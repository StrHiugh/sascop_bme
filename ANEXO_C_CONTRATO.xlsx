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https://sistemasbmt-my.sharepoint.com/personal/jarpa_bluemarine_com_mx/Documents/Documentos/"/>
    </mc:Choice>
  </mc:AlternateContent>
  <xr:revisionPtr revIDLastSave="0" documentId="8_{74B2E86B-5AD0-452E-970E-96C6B8920D97}" xr6:coauthVersionLast="47" xr6:coauthVersionMax="47" xr10:uidLastSave="{00000000-0000-0000-0000-000000000000}"/>
  <bookViews>
    <workbookView xWindow="-108" yWindow="-108" windowWidth="23256" windowHeight="12456" tabRatio="636" activeTab="1" xr2:uid="{426E36BB-E700-4487-9F18-71557A53DB3F}"/>
  </bookViews>
  <sheets>
    <sheet name="Anexo C-CR" sheetId="177" r:id="rId1"/>
    <sheet name="Anexo C-2-CR" sheetId="171" r:id="rId2"/>
    <sheet name="Anexo C-3-CR" sheetId="176" r:id="rId3"/>
    <sheet name="Anexo C-4-CR" sheetId="161" r:id="rId4"/>
    <sheet name="Anexo C-4-1" sheetId="162" r:id="rId5"/>
    <sheet name="Anexo C-5-CR" sheetId="163" r:id="rId6"/>
    <sheet name="Anexo C-5-1 " sheetId="164" r:id="rId7"/>
    <sheet name="Anexo C-6-CR" sheetId="165"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_" hidden="1">#REF!</definedName>
    <definedName name="________bgn1" hidden="1">{#N/A,#N/A,FALSE,"Sheet1"}</definedName>
    <definedName name="________cd1" hidden="1">{#N/A,#N/A,FALSE,"Sheet1"}</definedName>
    <definedName name="________cf1" hidden="1">{#N/A,#N/A,FALSE,"Sheet1"}</definedName>
    <definedName name="________gmh1" hidden="1">{#N/A,#N/A,FALSE,"Sheet1"}</definedName>
    <definedName name="________jun1" hidden="1">{#N/A,#N/A,FALSE,"Sheet1"}</definedName>
    <definedName name="________mr1" hidden="1">{#N/A,#N/A,FALSE,"Sheet1"}</definedName>
    <definedName name="________ng1" hidden="1">{#N/A,#N/A,TRUE,"AFE";#N/A,#N/A,TRUE,"Tangible";#N/A,#N/A,TRUE,"Construction";#N/A,#N/A,TRUE,"Rignmud";#N/A,#N/A,TRUE,"Bitnddr";#N/A,#N/A,TRUE,"Cmtdesign";#N/A,#N/A,TRUE,"Pumpfee";#N/A,#N/A,TRUE,"Corendst";#N/A,#N/A,TRUE,"Ohlogging";#N/A,#N/A,TRUE,"Perforating";#N/A,#N/A,TRUE,"Chlogging";#N/A,#N/A,TRUE,"Stimulation";#N/A,#N/A,TRUE,"Completion";#N/A,#N/A,TRUE,"General"}</definedName>
    <definedName name="________wrn1" hidden="1">{#N/A,#N/A,TRUE,"AFE";#N/A,#N/A,TRUE,"Tangible";#N/A,#N/A,TRUE,"Construction";#N/A,#N/A,TRUE,"Rignmud";#N/A,#N/A,TRUE,"Bitnddr";#N/A,#N/A,TRUE,"Cmtdesign";#N/A,#N/A,TRUE,"Pumpfee";#N/A,#N/A,TRUE,"Corendst";#N/A,#N/A,TRUE,"Ohlogging";#N/A,#N/A,TRUE,"Perforating";#N/A,#N/A,TRUE,"Chlogging";#N/A,#N/A,TRUE,"Stimulation";#N/A,#N/A,TRUE,"Completion";#N/A,#N/A,TRUE,"General"}</definedName>
    <definedName name="_______oct06" hidden="1">{#N/A,#N/A,FALSE,"Sheet1"}</definedName>
    <definedName name="_____oct06" hidden="1">{#N/A,#N/A,FALSE,"Sheet1"}</definedName>
    <definedName name="____bgn1" hidden="1">{#N/A,#N/A,FALSE,"Sheet1"}</definedName>
    <definedName name="____cd1" hidden="1">{#N/A,#N/A,FALSE,"Sheet1"}</definedName>
    <definedName name="____cf1" hidden="1">{#N/A,#N/A,FALSE,"Sheet1"}</definedName>
    <definedName name="____gmh1" hidden="1">{#N/A,#N/A,FALSE,"Sheet1"}</definedName>
    <definedName name="____jun1" hidden="1">{#N/A,#N/A,FALSE,"Sheet1"}</definedName>
    <definedName name="____mr1" hidden="1">{#N/A,#N/A,FALSE,"Sheet1"}</definedName>
    <definedName name="____ng1" hidden="1">{#N/A,#N/A,TRUE,"AFE";#N/A,#N/A,TRUE,"Tangible";#N/A,#N/A,TRUE,"Construction";#N/A,#N/A,TRUE,"Rignmud";#N/A,#N/A,TRUE,"Bitnddr";#N/A,#N/A,TRUE,"Cmtdesign";#N/A,#N/A,TRUE,"Pumpfee";#N/A,#N/A,TRUE,"Corendst";#N/A,#N/A,TRUE,"Ohlogging";#N/A,#N/A,TRUE,"Perforating";#N/A,#N/A,TRUE,"Chlogging";#N/A,#N/A,TRUE,"Stimulation";#N/A,#N/A,TRUE,"Completion";#N/A,#N/A,TRUE,"General"}</definedName>
    <definedName name="____oct06" hidden="1">{#N/A,#N/A,FALSE,"Sheet1"}</definedName>
    <definedName name="____wrn1" hidden="1">{#N/A,#N/A,TRUE,"AFE";#N/A,#N/A,TRUE,"Tangible";#N/A,#N/A,TRUE,"Construction";#N/A,#N/A,TRUE,"Rignmud";#N/A,#N/A,TRUE,"Bitnddr";#N/A,#N/A,TRUE,"Cmtdesign";#N/A,#N/A,TRUE,"Pumpfee";#N/A,#N/A,TRUE,"Corendst";#N/A,#N/A,TRUE,"Ohlogging";#N/A,#N/A,TRUE,"Perforating";#N/A,#N/A,TRUE,"Chlogging";#N/A,#N/A,TRUE,"Stimulation";#N/A,#N/A,TRUE,"Completion";#N/A,#N/A,TRUE,"General"}</definedName>
    <definedName name="___KEY2" hidden="1">#REF!</definedName>
    <definedName name="___oct06" hidden="1">{#N/A,#N/A,FALSE,"Sheet1"}</definedName>
    <definedName name="__1__123Graph_ACHART_1" hidden="1">'[1]DMS-C'!$B$4:$I$4</definedName>
    <definedName name="__10__123Graph_XCHART_1" hidden="1">'[1]DMS-C'!$B$3:$I$3</definedName>
    <definedName name="__11__123Graph_XCHART_2" hidden="1">'[1]DMS-C'!$B$3:$M$3</definedName>
    <definedName name="__12__123Graph_XOP_REPORT" hidden="1">'[1]DMS-C'!$B$3:$M$3</definedName>
    <definedName name="__123Graph_A" hidden="1">[2]DATOS!#REF!</definedName>
    <definedName name="__123Graph_AACTUEL" hidden="1">'[3]STAT"D"'!#REF!</definedName>
    <definedName name="__123Graph_ACHART1" hidden="1">'[3]STAT"D"'!#REF!</definedName>
    <definedName name="__123Graph_ACHART2" hidden="1">'[3]STAT"D"'!#REF!</definedName>
    <definedName name="__123Graph_ACHART3" hidden="1">'[3]STAT"D"'!#REF!</definedName>
    <definedName name="__123Graph_ACURRENT" hidden="1">'[3]STAT"D"'!#REF!</definedName>
    <definedName name="__123Graph_ANET" hidden="1">'[1]DMS-C'!$B$6:$M$6</definedName>
    <definedName name="__123Graph_AOA16MMBO" hidden="1">#REF!</definedName>
    <definedName name="__123Graph_AREVENUE" hidden="1">'[1]DMS-C'!$B$6:$M$6</definedName>
    <definedName name="__123Graph_B" hidden="1">[2]DATOS!#REF!</definedName>
    <definedName name="__123Graph_BNET" hidden="1">'[1]DMS-C'!$B$22:$M$22</definedName>
    <definedName name="__123Graph_BOA16MMBO" hidden="1">#REF!</definedName>
    <definedName name="__123Graph_BREVENUE" hidden="1">'[1]DMS-C'!$B$4:$M$4</definedName>
    <definedName name="__123Graph_C" hidden="1">#REF!</definedName>
    <definedName name="__123Graph_CACTUEL" hidden="1">'[3]STAT"D"'!#REF!</definedName>
    <definedName name="__123Graph_CCHART1" hidden="1">'[3]STAT"D"'!#REF!</definedName>
    <definedName name="__123Graph_CCHART2" hidden="1">'[3]STAT"D"'!#REF!</definedName>
    <definedName name="__123Graph_CCHART3" hidden="1">'[3]STAT"D"'!#REF!</definedName>
    <definedName name="__123Graph_CCURRENT" hidden="1">'[3]STAT"D"'!#REF!</definedName>
    <definedName name="__123Graph_CNET" hidden="1">'[1]DMS-C'!$B$24:$M$24</definedName>
    <definedName name="__123Graph_CREVENUE" hidden="1">'[1]DMS-C'!$B$5:$M$5</definedName>
    <definedName name="__123Graph_D" hidden="1">#REF!</definedName>
    <definedName name="__123Graph_DNET" hidden="1">'[1]DMS-C'!$B$39:$M$39</definedName>
    <definedName name="__123Graph_E" hidden="1">#REF!</definedName>
    <definedName name="__123Graph_EACTUEL" hidden="1">'[3]STAT"D"'!#REF!</definedName>
    <definedName name="__123Graph_ECHART1" hidden="1">'[3]STAT"D"'!#REF!</definedName>
    <definedName name="__123Graph_ECHART2" hidden="1">'[3]STAT"D"'!#REF!</definedName>
    <definedName name="__123Graph_ECHART3" hidden="1">'[3]STAT"D"'!#REF!</definedName>
    <definedName name="__123Graph_ECURRENT" hidden="1">'[3]STAT"D"'!#REF!</definedName>
    <definedName name="__123Graph_X" hidden="1">#REF!</definedName>
    <definedName name="__123Graph_XNET" hidden="1">'[1]DMS-C'!$B$3:$M$3</definedName>
    <definedName name="__123Graph_XREVENUE" hidden="1">'[1]DMS-C'!$B$3:$M$3</definedName>
    <definedName name="__2__123Graph_ACHART_2" hidden="1">'[1]DMS-C'!$B$6:$M$6</definedName>
    <definedName name="__3__123Graph_AOP_REPORT" hidden="1">'[1]DMS-C'!$B$6:$M$6</definedName>
    <definedName name="__4__123Graph_BCHART_1" hidden="1">'[1]DMS-C'!$B$5:$I$5</definedName>
    <definedName name="__5__123Graph_BCHART_2" hidden="1">'[1]DMS-C'!$B$4:$M$4</definedName>
    <definedName name="__6__123Graph_BOP_REPORT" hidden="1">'[1]DMS-C'!$B$22:$M$22</definedName>
    <definedName name="__7__123Graph_CCHART_1" hidden="1">'[1]DMS-C'!$B$6:$I$6</definedName>
    <definedName name="__8__123Graph_CCHART_2" hidden="1">'[1]DMS-C'!$B$5:$M$5</definedName>
    <definedName name="__9__123Graph_COP_REPORT" hidden="1">'[1]DMS-C'!$B$39:$M$39</definedName>
    <definedName name="__I86" hidden="1">#REF!</definedName>
    <definedName name="__k1" hidden="1">[4]IX!#REF!</definedName>
    <definedName name="__KEY2" hidden="1">#REF!</definedName>
    <definedName name="__oct06" hidden="1">{#N/A,#N/A,FALSE,"Sheet1"}</definedName>
    <definedName name="_1__123Graph_ACHART_1" hidden="1">'[1]DMS-C'!$B$4:$I$4</definedName>
    <definedName name="_10__123Graph_XCHART_1" hidden="1">'[1]DMS-C'!$B$3:$I$3</definedName>
    <definedName name="_11__123Graph_XCHART_2" hidden="1">'[1]DMS-C'!$B$3:$M$3</definedName>
    <definedName name="_12__123Graph_XOP_REPORT" hidden="1">'[1]DMS-C'!$B$3:$M$3</definedName>
    <definedName name="_123Graph_A" hidden="1">[2]DATOS!#REF!</definedName>
    <definedName name="_123Graph_BB" hidden="1">#REF!</definedName>
    <definedName name="_2__123Graph_ACHART_2" hidden="1">'[1]DMS-C'!$B$6:$M$6</definedName>
    <definedName name="_3__123Graph_AOP_REPORT" hidden="1">'[1]DMS-C'!$B$6:$M$6</definedName>
    <definedName name="_4__123Graph_BCHART_1" hidden="1">'[1]DMS-C'!$B$5:$I$5</definedName>
    <definedName name="_5__123Graph_BCHART_2" hidden="1">'[1]DMS-C'!$B$4:$M$4</definedName>
    <definedName name="_6__123Graph_BOP_REPORT" hidden="1">'[1]DMS-C'!$B$22:$M$22</definedName>
    <definedName name="_7__123Graph_CCHART_1" hidden="1">'[1]DMS-C'!$B$6:$I$6</definedName>
    <definedName name="_8__123Graph_CCHART_2" hidden="1">'[1]DMS-C'!$B$5:$M$5</definedName>
    <definedName name="_9__123Graph_COP_REPORT" hidden="1">'[1]DMS-C'!$B$39:$M$39</definedName>
    <definedName name="_ago04" hidden="1">{#N/A,#N/A,FALSE,"PMRAD92";#N/A,#N/A,FALSE,"FINRAD93";#N/A,#N/A,FALSE,"RDORAD93";#N/A,#N/A,FALSE,"GRADBC93";#N/A,#N/A,FALSE,"GRADBC92";#N/A,#N/A,FALSE,"REDRAD92";#N/A,#N/A,FALSE,"PMRAD93"}</definedName>
    <definedName name="_AtRisk_FitDataRange_FIT_8307F_A4E9"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0</definedName>
    <definedName name="_AtRisk_SimSetting_StdRecalcWithoutRiskStatic" hidden="1">0</definedName>
    <definedName name="_AtRisk_SimSetting_StdRecalcWithoutRiskStaticPercentile" hidden="1">0.5</definedName>
    <definedName name="_bgn1" hidden="1">{#N/A,#N/A,FALSE,"Sheet1"}</definedName>
    <definedName name="_bob" hidden="1">#REF!</definedName>
    <definedName name="_cd1" hidden="1">{#N/A,#N/A,FALSE,"Sheet1"}</definedName>
    <definedName name="_cf1" hidden="1">{#N/A,#N/A,FALSE,"Sheet1"}</definedName>
    <definedName name="_Fill" hidden="1">#REF!</definedName>
    <definedName name="_xlnm._FilterDatabase" localSheetId="1" hidden="1">'Anexo C-2-CR'!$B$6:$I$583</definedName>
    <definedName name="_xlnm._FilterDatabase" localSheetId="2" hidden="1">'Anexo C-3-CR'!$B$6:$I$779</definedName>
    <definedName name="_xlnm._FilterDatabase" localSheetId="4" hidden="1">'Anexo C-4-1'!$B$6:$I$17</definedName>
    <definedName name="_xlnm._FilterDatabase" localSheetId="3" hidden="1">'Anexo C-4-CR'!$B$6:$I$51</definedName>
    <definedName name="_xlnm._FilterDatabase" localSheetId="6" hidden="1">'Anexo C-5-1 '!$B$6:$I$19</definedName>
    <definedName name="_xlnm._FilterDatabase" localSheetId="5" hidden="1">'Anexo C-5-CR'!$B$6:$J$217</definedName>
    <definedName name="_xlnm._FilterDatabase" hidden="1">#REF!</definedName>
    <definedName name="_gmh1" hidden="1">{#N/A,#N/A,FALSE,"Sheet1"}</definedName>
    <definedName name="_I86" hidden="1">#REF!</definedName>
    <definedName name="_jun1" hidden="1">{#N/A,#N/A,FALSE,"Sheet1"}</definedName>
    <definedName name="_k1" hidden="1">[5]IX!#REF!</definedName>
    <definedName name="_Kee1" hidden="1">#REF!</definedName>
    <definedName name="_Key1" hidden="1">#REF!</definedName>
    <definedName name="_Key10" hidden="1">#REF!</definedName>
    <definedName name="_Key2" hidden="1">#REF!</definedName>
    <definedName name="_key2odv" hidden="1">[6]IX!#REF!</definedName>
    <definedName name="_Key9" hidden="1">[7]IX!#REF!</definedName>
    <definedName name="_mr1" hidden="1">{#N/A,#N/A,FALSE,"Sheet1"}</definedName>
    <definedName name="_MVS94" hidden="1">{#N/A,#N/A,FALSE,"Hoja2"}</definedName>
    <definedName name="_mzo95" hidden="1">{#N/A,#N/A,FALSE,"presentabce";#N/A,#N/A,FALSE,"traspasobac";#N/A,#N/A,FALSE,"capturabce";#N/A,#N/A,FALSE,"presentares";#N/A,#N/A,FALSE,"traspasores";#N/A,#N/A,FALSE,"caturares"}</definedName>
    <definedName name="_ng1" hidden="1">{#N/A,#N/A,TRUE,"AFE";#N/A,#N/A,TRUE,"Tangible";#N/A,#N/A,TRUE,"Construction";#N/A,#N/A,TRUE,"Rignmud";#N/A,#N/A,TRUE,"Bitnddr";#N/A,#N/A,TRUE,"Cmtdesign";#N/A,#N/A,TRUE,"Pumpfee";#N/A,#N/A,TRUE,"Corendst";#N/A,#N/A,TRUE,"Ohlogging";#N/A,#N/A,TRUE,"Perforating";#N/A,#N/A,TRUE,"Chlogging";#N/A,#N/A,TRUE,"Stimulation";#N/A,#N/A,TRUE,"Completion";#N/A,#N/A,TRUE,"General"}</definedName>
    <definedName name="_NO" hidden="1">#REF!</definedName>
    <definedName name="_oct06" hidden="1">{#N/A,#N/A,FALSE,"Sheet1"}</definedName>
    <definedName name="_ops" hidden="1">#REF!</definedName>
    <definedName name="_Order1" hidden="1">255</definedName>
    <definedName name="_Order2" hidden="1">255</definedName>
    <definedName name="_Orsc" hidden="1">#REF!</definedName>
    <definedName name="_Parse_In" hidden="1">#REF!</definedName>
    <definedName name="_Parse_Out" hidden="1">[8]IMSSOZUM!$A$39</definedName>
    <definedName name="_Regression_Int" hidden="1">1</definedName>
    <definedName name="_Regression_Out" hidden="1">#REF!</definedName>
    <definedName name="_Regression_X" hidden="1">#REF!</definedName>
    <definedName name="_Regression_Y" hidden="1">#REF!</definedName>
    <definedName name="_sep04" hidden="1">{#N/A,#N/A,FALSE,"presentabce";#N/A,#N/A,FALSE,"traspasobac";#N/A,#N/A,FALSE,"capturabce";#N/A,#N/A,FALSE,"presentares";#N/A,#N/A,FALSE,"traspasores";#N/A,#N/A,FALSE,"TRANSACCIONES BUENAS";#N/A,#N/A,FALSE,"caturares"}</definedName>
    <definedName name="_SEP95" hidden="1">{#N/A,#N/A,FALSE,"presentabce";#N/A,#N/A,FALSE,"traspasobac";#N/A,#N/A,FALSE,"capturabce";#N/A,#N/A,FALSE,"presentares";#N/A,#N/A,FALSE,"traspasores";#N/A,#N/A,FALSE,"caturares"}</definedName>
    <definedName name="_SEP98" hidden="1">{#N/A,#N/A,FALSE,"presentabce";#N/A,#N/A,FALSE,"traspasobac";#N/A,#N/A,FALSE,"capturabce";#N/A,#N/A,FALSE,"presentares";#N/A,#N/A,FALSE,"traspasores";#N/A,#N/A,FALSE,"caturares"}</definedName>
    <definedName name="_SHORT" hidden="1">#REF!</definedName>
    <definedName name="_skl" hidden="1">'[9]var dic'!#REF!</definedName>
    <definedName name="_Sort" hidden="1">#REF!</definedName>
    <definedName name="_Str" hidden="1">#REF!</definedName>
    <definedName name="_Table1_In1" hidden="1">#REF!</definedName>
    <definedName name="_Table1_Out" hidden="1">#REF!</definedName>
    <definedName name="_trt" hidden="1">#REF!</definedName>
    <definedName name="_wrn1" hidden="1">{#N/A,#N/A,TRUE,"AFE";#N/A,#N/A,TRUE,"Tangible";#N/A,#N/A,TRUE,"Construction";#N/A,#N/A,TRUE,"Rignmud";#N/A,#N/A,TRUE,"Bitnddr";#N/A,#N/A,TRUE,"Cmtdesign";#N/A,#N/A,TRUE,"Pumpfee";#N/A,#N/A,TRUE,"Corendst";#N/A,#N/A,TRUE,"Ohlogging";#N/A,#N/A,TRUE,"Perforating";#N/A,#N/A,TRUE,"Chlogging";#N/A,#N/A,TRUE,"Stimulation";#N/A,#N/A,TRUE,"Completion";#N/A,#N/A,TRUE,"General"}</definedName>
    <definedName name="a" hidden="1">#REF!</definedName>
    <definedName name="A0" hidden="1">[10]Inversión!#REF!</definedName>
    <definedName name="AA" hidden="1">[11]IX!#REF!</definedName>
    <definedName name="aaa" hidden="1">{#N/A,#N/A,FALSE,"ANEX-C MAQUINA";#N/A,#N/A,FALSE,"ANEX-C MANO OB";#N/A,#N/A,FALSE,"COB143SP";#N/A,#N/A,FALSE,"ANEX-C.MATERIAL."}</definedName>
    <definedName name="AAAA" hidden="1">{#N/A,#N/A,FALSE,"Aging Summary";#N/A,#N/A,FALSE,"Ratio Analysis";#N/A,#N/A,FALSE,"Test 120 Day Accts";#N/A,#N/A,FALSE,"Tickmarks"}</definedName>
    <definedName name="AAAAAAAA" hidden="1">{#N/A,#N/A,FALSE,"Sheet1"}</definedName>
    <definedName name="AAAAAAAAAAAA" hidden="1">{#N/A,#N/A,FALSE,"Sheet1"}</definedName>
    <definedName name="AAAAAAAAAAAAAA" hidden="1">{#N/A,#N/A,FALSE,"Sheet1"}</definedName>
    <definedName name="aaaaaaaaaaaaaaaaa" hidden="1">{#N/A,#N/A,FALSE,"Sheet1"}</definedName>
    <definedName name="aaddd" hidden="1">{#N/A,#N/A,FALSE,"Sheet1"}</definedName>
    <definedName name="AB" hidden="1">{#N/A,#N/A,FALSE,"EDOCAM93";#N/A,#N/A,FALSE,"PMRAD92";#N/A,#N/A,FALSE,"EDORES93";#N/A,#N/A,FALSE,"RDORAD93";#N/A,#N/A,FALSE,"GRADBC93";#N/A,#N/A,FALSE,"GRADBC92";#N/A,#N/A,FALSE,"REDRAD92";#N/A,#N/A,FALSE,"PMRAD93";#N/A,#N/A,FALSE,"PMRAD92"}</definedName>
    <definedName name="ABC" hidden="1">#REF!</definedName>
    <definedName name="abcd" hidden="1">{#N/A,#N/A,FALSE,"ANEX-C MAQUINA";#N/A,#N/A,FALSE,"ANEX-C MANO OB";#N/A,#N/A,FALSE,"COB143SP";#N/A,#N/A,FALSE,"ANEX-C.MATERIAL."}</definedName>
    <definedName name="ABRIL95" hidden="1">{#N/A,#N/A,FALSE,"presentabce";#N/A,#N/A,FALSE,"traspasobac";#N/A,#N/A,FALSE,"capturabce";#N/A,#N/A,FALSE,"presentares";#N/A,#N/A,FALSE,"traspasores";#N/A,#N/A,FALSE,"caturares"}</definedName>
    <definedName name="ac" hidden="1">{#N/A,#N/A,FALSE,"ANEX-C MAQUINA";#N/A,#N/A,FALSE,"ANEX-C MANO OB";#N/A,#N/A,FALSE,"COB143SP";#N/A,#N/A,FALSE,"ANEX-C.MATERIAL."}</definedName>
    <definedName name="acbd" hidden="1">#REF!</definedName>
    <definedName name="Acrued" hidden="1">#REF!</definedName>
    <definedName name="ACSEM3" hidden="1">{#N/A,#N/A,FALSE,"Sheet1"}</definedName>
    <definedName name="ad" hidden="1">{#N/A,#N/A,FALSE,"presentabce";#N/A,#N/A,FALSE,"presentares";#N/A,#N/A,FALSE,"traspasobac";#N/A,#N/A,FALSE,"traspasores";#N/A,#N/A,FALSE,"capturabce";#N/A,#N/A,FALSE,"caturares"}</definedName>
    <definedName name="adas" hidden="1">{#N/A,#N/A,FALSE,"Sheet1"}</definedName>
    <definedName name="adasdasada" hidden="1">{#N/A,#N/A,FALSE,"Sheet1"}</definedName>
    <definedName name="adasdasd" hidden="1">{#N/A,#N/A,FALSE,"Sheet1"}</definedName>
    <definedName name="adasdasdadasd" hidden="1">{#N/A,#N/A,FALSE,"Sheet1"}</definedName>
    <definedName name="adcacdc" hidden="1">{#N/A,#N/A,FALSE,"Sheet1"}</definedName>
    <definedName name="adcadcac" hidden="1">{#N/A,#N/A,FALSE,"Sheet1"}</definedName>
    <definedName name="adcdacds" hidden="1">{#N/A,#N/A,FALSE,"Parts";#N/A,#N/A,FALSE,"FG";#N/A,#N/A,FALSE,"Raw Material";#N/A,#N/A,FALSE,"Resale"}</definedName>
    <definedName name="adfadf" hidden="1">{#N/A,#N/A,FALSE,"COVER";#N/A,#N/A,FALSE,"CONTENTS";#N/A,#N/A,FALSE,"PAGE1";#N/A,#N/A,FALSE,"PAGE2";#N/A,#N/A,FALSE,"PAGE3";#N/A,#N/A,FALSE,"PAGE4";#N/A,#N/A,FALSE,"PAGE5";#N/A,#N/A,FALSE,"PAGE6";#N/A,#N/A,FALSE,"PAGE7";#N/A,#N/A,FALSE,"PAGE8";#N/A,#N/A,FALSE,"PAGE9"}</definedName>
    <definedName name="ADRIANA" hidden="1">{#N/A,#N/A,FALSE,"Sheet1"}</definedName>
    <definedName name="afaaa" hidden="1">{#N/A,#N/A,FALSE,"Parts";#N/A,#N/A,FALSE,"FG";#N/A,#N/A,FALSE,"Raw Material";#N/A,#N/A,FALSE,"Resale"}</definedName>
    <definedName name="afdfsafasdfdsfw" hidden="1">{#N/A,#N/A,FALSE,"COVER";#N/A,#N/A,FALSE,"CONTENTS";#N/A,#N/A,FALSE,"PAGE1";#N/A,#N/A,FALSE,"PAGE2";#N/A,#N/A,FALSE,"PAGE3";#N/A,#N/A,FALSE,"PAGE4";#N/A,#N/A,FALSE,"PAGE5";#N/A,#N/A,FALSE,"PAGE6";#N/A,#N/A,FALSE,"PAGE7";#N/A,#N/A,FALSE,"PAGE8";#N/A,#N/A,FALSE,"PAGE9"}</definedName>
    <definedName name="AFE19R" hidden="1">{#N/A,#N/A,TRUE,"AFE";#N/A,#N/A,TRUE,"Tangible";#N/A,#N/A,TRUE,"Construction";#N/A,#N/A,TRUE,"Rignmud";#N/A,#N/A,TRUE,"Bitnddr";#N/A,#N/A,TRUE,"Cmtdesign";#N/A,#N/A,TRUE,"Pumpfee";#N/A,#N/A,TRUE,"Corendst";#N/A,#N/A,TRUE,"Ohlogging";#N/A,#N/A,TRUE,"Perforating";#N/A,#N/A,TRUE,"Chlogging";#N/A,#N/A,TRUE,"Stimulation";#N/A,#N/A,TRUE,"Completion";#N/A,#N/A,TRUE,"General"}</definedName>
    <definedName name="ag" hidden="1">{#N/A,#N/A,FALSE,"COVER";#N/A,#N/A,FALSE,"CONTENTS";#N/A,#N/A,FALSE,"PAGE1";#N/A,#N/A,FALSE,"PAGE2";#N/A,#N/A,FALSE,"PAGE3";#N/A,#N/A,FALSE,"PAGE4";#N/A,#N/A,FALSE,"PAGE5";#N/A,#N/A,FALSE,"PAGE6";#N/A,#N/A,FALSE,"PAGE7";#N/A,#N/A,FALSE,"PAGE8";#N/A,#N/A,FALSE,"PAGE9"}</definedName>
    <definedName name="agooooooo" hidden="1">{#N/A,#N/A,FALSE,"PMRAD92";#N/A,#N/A,FALSE,"FINRAD93";#N/A,#N/A,FALSE,"RDORAD93";#N/A,#N/A,FALSE,"GRADBC93";#N/A,#N/A,FALSE,"GRADBC92";#N/A,#N/A,FALSE,"REDRAD92";#N/A,#N/A,FALSE,"PMRAD93"}</definedName>
    <definedName name="AJ" hidden="1">[12]IX!#REF!</definedName>
    <definedName name="aja" hidden="1">{#N/A,#N/A,FALSE,"presentabce";#N/A,#N/A,FALSE,"traspasobac";#N/A,#N/A,FALSE,"capturabce";#N/A,#N/A,FALSE,"presentares";#N/A,#N/A,FALSE,"traspasores";#N/A,#N/A,FALSE,"TRANSACCIONES BUENAS";#N/A,#N/A,FALSE,"caturares"}</definedName>
    <definedName name="analisis" hidden="1">{#N/A,#N/A,FALSE,"ANEX-C MAQUINA";#N/A,#N/A,FALSE,"ANEX-C MANO OB";#N/A,#N/A,FALSE,"COB143SP";#N/A,#N/A,FALSE,"ANEX-C.MATERIAL."}</definedName>
    <definedName name="ANEXO_C5_20181019" hidden="1">[10]Inversión!#REF!</definedName>
    <definedName name="anmar" hidden="1">{#N/A,#N/A,FALSE,"COVER";#N/A,#N/A,FALSE,"CONTENTS";#N/A,#N/A,FALSE,"PAGE1";#N/A,#N/A,FALSE,"PAGE2";#N/A,#N/A,FALSE,"PAGE3";#N/A,#N/A,FALSE,"PAGE4";#N/A,#N/A,FALSE,"PAGE5";#N/A,#N/A,FALSE,"PAGE6";#N/A,#N/A,FALSE,"PAGE7";#N/A,#N/A,FALSE,"PAGE8";#N/A,#N/A,FALSE,"PAGE9"}</definedName>
    <definedName name="AP" hidden="1">'[13]80-5'!#REF!</definedName>
    <definedName name="aqa" hidden="1">{#N/A,#N/A,FALSE,"COVER";#N/A,#N/A,FALSE,"CONTENTS";#N/A,#N/A,FALSE,"PAGE1";#N/A,#N/A,FALSE,"PAGE2";#N/A,#N/A,FALSE,"PAGE3";#N/A,#N/A,FALSE,"PAGE4";#N/A,#N/A,FALSE,"PAGE5";#N/A,#N/A,FALSE,"PAGE6";#N/A,#N/A,FALSE,"PAGE7";#N/A,#N/A,FALSE,"PAGE8";#N/A,#N/A,FALSE,"PAGE9"}</definedName>
    <definedName name="_xlnm.Print_Area" localSheetId="1">'Anexo C-2-CR'!$A$1:$J$592</definedName>
    <definedName name="_xlnm.Print_Area" localSheetId="2">'Anexo C-3-CR'!$B$1:$J$788</definedName>
    <definedName name="_xlnm.Print_Area" localSheetId="4">'Anexo C-4-1'!$A$1:$J$25</definedName>
    <definedName name="_xlnm.Print_Area" localSheetId="3">'Anexo C-4-CR'!$A$4:$K$52</definedName>
    <definedName name="_xlnm.Print_Area" localSheetId="6">'Anexo C-5-1 '!$B$1:$I$24</definedName>
    <definedName name="_xlnm.Print_Area" localSheetId="5">'Anexo C-5-CR'!$B$1:$I$225</definedName>
    <definedName name="_xlnm.Print_Area" localSheetId="7">'Anexo C-6-CR'!$B$1:$I$22</definedName>
    <definedName name="_xlnm.Print_Area" localSheetId="0">'Anexo C-CR'!$B$1:$I$27</definedName>
    <definedName name="AreaDatabase" hidden="1">OFFSET(#REF!,0,0,COUNTA(#REF!),10)</definedName>
    <definedName name="AreaRptList" hidden="1">OFFSET([14]Control!$DB$1,0,0,COUNTA([14]Control!$DB$1:$DB$65536),1)</definedName>
    <definedName name="as" hidden="1">{#N/A,#N/A,FALSE,"presentabce";#N/A,#N/A,FALSE,"traspasobac";#N/A,#N/A,FALSE,"capturabce";#N/A,#N/A,FALSE,"presentares";#N/A,#N/A,FALSE,"traspasores";#N/A,#N/A,FALSE,"caturares"}</definedName>
    <definedName name="AS2DocOpenMode" hidden="1">"AS2DocumentEdit"</definedName>
    <definedName name="AS2NamedRange" hidden="1">39</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{#N/A,#N/A,FALSE,"presentabce";#N/A,#N/A,FALSE,"traspasobac";#N/A,#N/A,FALSE,"capturabce";#N/A,#N/A,FALSE,"presentares";#N/A,#N/A,FALSE,"traspasores";#N/A,#N/A,FALSE,"caturares"}</definedName>
    <definedName name="ASDASDASD" hidden="1">#REF!</definedName>
    <definedName name="asdfasdfasdf" hidden="1">{#N/A,#N/A,FALSE,"Hoja2"}</definedName>
    <definedName name="AU" hidden="1">'[15]A-Cs'!#REF!</definedName>
    <definedName name="av" hidden="1">{#N/A,#N/A,FALSE,"Sheet1"}</definedName>
    <definedName name="AVSEM3" hidden="1">{#N/A,#N/A,FALSE,"Sheet1"}</definedName>
    <definedName name="AVSEM4" hidden="1">{#N/A,#N/A,FALSE,"Sheet1"}</definedName>
    <definedName name="ayuuuu" hidden="1">{#N/A,#N/A,FALSE,"Parts";#N/A,#N/A,FALSE,"FG";#N/A,#N/A,FALSE,"Raw Material";#N/A,#N/A,FALSE,"Resale"}</definedName>
    <definedName name="banza" hidden="1">{#N/A,#N/A,FALSE,"presentabce";#N/A,#N/A,FALSE,"traspasobac";#N/A,#N/A,FALSE,"capturabce";#N/A,#N/A,FALSE,"presentares";#N/A,#N/A,FALSE,"traspasores";#N/A,#N/A,FALSE,"TRANSACCIONES BUENAS";#N/A,#N/A,FALSE,"caturares"}</definedName>
    <definedName name="BBB" hidden="1">[16]SMG95!#REF!</definedName>
    <definedName name="bbyy" hidden="1">{#N/A,#N/A,FALSE,"Parts";#N/A,#N/A,FALSE,"FG";#N/A,#N/A,FALSE,"Raw Material";#N/A,#N/A,FALSE,"Resale"}</definedName>
    <definedName name="bccvbcv" hidden="1">{#N/A,#N/A,FALSE,"COVER";#N/A,#N/A,FALSE,"CONTENTS";#N/A,#N/A,FALSE,"PAGE1";#N/A,#N/A,FALSE,"PAGE2";#N/A,#N/A,FALSE,"PAGE3";#N/A,#N/A,FALSE,"PAGE4";#N/A,#N/A,FALSE,"PAGE5";#N/A,#N/A,FALSE,"PAGE6";#N/A,#N/A,FALSE,"PAGE7";#N/A,#N/A,FALSE,"PAGE8";#N/A,#N/A,FALSE,"PAGE9"}</definedName>
    <definedName name="BG_Del" hidden="1">15</definedName>
    <definedName name="BG_Ins" hidden="1">4</definedName>
    <definedName name="BG_Mod" hidden="1">6</definedName>
    <definedName name="bgkjhfksajhk" hidden="1">{#N/A,#N/A,TRUE,"AFE";#N/A,#N/A,TRUE,"Tangible";#N/A,#N/A,TRUE,"Construction";#N/A,#N/A,TRUE,"Rignmud";#N/A,#N/A,TRUE,"Bitnddr";#N/A,#N/A,TRUE,"Cmtdesign";#N/A,#N/A,TRUE,"Pumpfee";#N/A,#N/A,TRUE,"Corendst";#N/A,#N/A,TRUE,"Ohlogging";#N/A,#N/A,TRUE,"Perforating";#N/A,#N/A,TRUE,"Chlogging";#N/A,#N/A,TRUE,"Stimulation";#N/A,#N/A,TRUE,"Completion";#N/A,#N/A,TRUE,"General"}</definedName>
    <definedName name="bgn" hidden="1">{#N/A,#N/A,FALSE,"Sheet1"}</definedName>
    <definedName name="bgnn" hidden="1">{#N/A,#N/A,FALSE,"Sheet1"}</definedName>
    <definedName name="bgnnn" hidden="1">{#N/A,#N/A,FALSE,"Sheet1"}</definedName>
    <definedName name="bgnnnn" hidden="1">{#N/A,#N/A,FALSE,"Sheet1"}</definedName>
    <definedName name="bgnnnnnn" hidden="1">{#N/A,#N/A,FALSE,"Sheet1"}</definedName>
    <definedName name="bgnnnnnnr" hidden="1">{#N/A,#N/A,FALSE,"Sheet1"}</definedName>
    <definedName name="BV"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CBH" hidden="1">[10]Inversión!#REF!</definedName>
    <definedName name="CBWorkbookPriority" hidden="1">-1813110850</definedName>
    <definedName name="cczczczc" hidden="1">{#N/A,#N/A,FALSE,"presentabce";#N/A,#N/A,FALSE,"traspasobac";#N/A,#N/A,FALSE,"capturabce";#N/A,#N/A,FALSE,"presentares";#N/A,#N/A,FALSE,"traspasores";#N/A,#N/A,FALSE,"TRANSACCIONES BUENAS";#N/A,#N/A,FALSE,"caturares"}</definedName>
    <definedName name="cdd" hidden="1">{#N/A,#N/A,FALSE,"Sheet1"}</definedName>
    <definedName name="cdddd" hidden="1">{#N/A,#N/A,FALSE,"Sheet1"}</definedName>
    <definedName name="cddddd" hidden="1">{#N/A,#N/A,FALSE,"Sheet1"}</definedName>
    <definedName name="cddddddd" hidden="1">{#N/A,#N/A,FALSE,"Sheet1"}</definedName>
    <definedName name="cddddddddd" hidden="1">{#N/A,#N/A,FALSE,"Sheet1"}</definedName>
    <definedName name="Celda" hidden="1">{#N/A,#N/A,FALSE,"ANEX-C MAQUINA";#N/A,#N/A,FALSE,"ANEX-C MANO OB";#N/A,#N/A,FALSE,"COB143SP";#N/A,#N/A,FALSE,"ANEX-C.MATERIAL."}</definedName>
    <definedName name="Celda1" hidden="1">{#N/A,#N/A,FALSE,"ANEX-C MAQUINA";#N/A,#N/A,FALSE,"ANEX-C MANO OB";#N/A,#N/A,FALSE,"COB143SP";#N/A,#N/A,FALSE,"ANEX-C.MATERIAL."}</definedName>
    <definedName name="cf" hidden="1">{#N/A,#N/A,FALSE,"Sheet1"}</definedName>
    <definedName name="cff" hidden="1">{#N/A,#N/A,FALSE,"Sheet1"}</definedName>
    <definedName name="cfff" hidden="1">{#N/A,#N/A,FALSE,"Sheet1"}</definedName>
    <definedName name="cffffff" hidden="1">{#N/A,#N/A,FALSE,"Sheet1"}</definedName>
    <definedName name="cfffffffff" hidden="1">{#N/A,#N/A,FALSE,"Sheet1"}</definedName>
    <definedName name="cfffffffffffffffff" hidden="1">{#N/A,#N/A,FALSE,"Sheet1"}</definedName>
    <definedName name="Chart" hidden="1">{#N/A,#N/A,FALSE,"Sheet1"}</definedName>
    <definedName name="chart1" hidden="1">{#N/A,#N/A,FALSE,"Sheet1"}</definedName>
    <definedName name="COMBAND2" hidden="1">{#N/A,#N/A,FALSE,"Hoja2"}</definedName>
    <definedName name="Commenting" hidden="1">{#N/A,#N/A,FALSE,"DMC schedule";#N/A,#N/A,FALSE,"DMC_THC Revenue";#N/A,#N/A,FALSE,"Personnel plan";#N/A,#N/A,FALSE,"Capex HW+SW";#N/A,#N/A,FALSE,"P&amp;L"}</definedName>
    <definedName name="COMMENTS" hidden="1">{#N/A,#N/A,FALSE,"DMC schedule";#N/A,#N/A,FALSE,"DMC_THC Revenue";#N/A,#N/A,FALSE,"Personnel plan";#N/A,#N/A,FALSE,"Capex HW+SW";#N/A,#N/A,FALSE,"P&amp;L"}</definedName>
    <definedName name="conso" hidden="1">{#N/A,#N/A,FALSE,"presentabce";#N/A,#N/A,FALSE,"traspasobac";#N/A,#N/A,FALSE,"capturabce";#N/A,#N/A,FALSE,"presentares";#N/A,#N/A,FALSE,"traspasores";#N/A,#N/A,FALSE,"caturares"}</definedName>
    <definedName name="consol" hidden="1">{#N/A,#N/A,FALSE,"presentabce";#N/A,#N/A,FALSE,"traspasobac";#N/A,#N/A,FALSE,"capturabce";#N/A,#N/A,FALSE,"presentares";#N/A,#N/A,FALSE,"traspasores";#N/A,#N/A,FALSE,"caturares"}</definedName>
    <definedName name="consolid" hidden="1">{#N/A,#N/A,FALSE,"presentabce";#N/A,#N/A,FALSE,"traspasobac";#N/A,#N/A,FALSE,"capturabce";#N/A,#N/A,FALSE,"presentares";#N/A,#N/A,FALSE,"traspasores";#N/A,#N/A,FALSE,"caturares"}</definedName>
    <definedName name="CONSOLIDE" hidden="1">{#N/A,#N/A,FALSE,"presentabce";#N/A,#N/A,FALSE,"traspasobac";#N/A,#N/A,FALSE,"capturabce";#N/A,#N/A,FALSE,"presentares";#N/A,#N/A,FALSE,"traspasores";#N/A,#N/A,FALSE,"caturares"}</definedName>
    <definedName name="correcion" hidden="1">{#N/A,#N/A,FALSE,"COVER";#N/A,#N/A,FALSE,"CONTENTS";#N/A,#N/A,FALSE,"PAGE1";#N/A,#N/A,FALSE,"PAGE2";#N/A,#N/A,FALSE,"PAGE3";#N/A,#N/A,FALSE,"PAGE4";#N/A,#N/A,FALSE,"PAGE5";#N/A,#N/A,FALSE,"PAGE6";#N/A,#N/A,FALSE,"PAGE7";#N/A,#N/A,FALSE,"PAGE8";#N/A,#N/A,FALSE,"PAGE9"}</definedName>
    <definedName name="crossmar" hidden="1">#REF!</definedName>
    <definedName name="CT_Acct" hidden="1">#REF!</definedName>
    <definedName name="CT_CoLo" hidden="1">#REF!</definedName>
    <definedName name="CT_Cur" hidden="1">#REF!</definedName>
    <definedName name="CUFINRE" hidden="1">#REF!</definedName>
    <definedName name="czcxzxzz" hidden="1">{#N/A,#N/A,FALSE,"presentabce";#N/A,#N/A,FALSE,"traspasobac";#N/A,#N/A,FALSE,"capturabce";#N/A,#N/A,FALSE,"presentares";#N/A,#N/A,FALSE,"traspasores";#N/A,#N/A,FALSE,"caturares"}</definedName>
    <definedName name="DA" hidden="1">[12]IX!#REF!</definedName>
    <definedName name="dadasda" hidden="1">{#N/A,#N/A,FALSE,"Sheet1"}</definedName>
    <definedName name="dakdla" hidden="1">{#N/A,#N/A,FALSE,"presentabce";#N/A,#N/A,FALSE,"traspasobac";#N/A,#N/A,FALSE,"capturabce";#N/A,#N/A,FALSE,"presentares";#N/A,#N/A,FALSE,"traspasores";#N/A,#N/A,FALSE,"TRANSACCIONES BUENAS";#N/A,#N/A,FALSE,"caturares"}</definedName>
    <definedName name="DatabaseCriteria" hidden="1">OFFSET([14]Data!$A$1,0,0,COUNTA([14]Data!$G$1:$G$13),10)</definedName>
    <definedName name="dd" hidden="1">{#N/A,#N/A,FALSE,"Parts";#N/A,#N/A,FALSE,"FG";#N/A,#N/A,FALSE,"Raw Material";#N/A,#N/A,FALSE,"Resale"}</definedName>
    <definedName name="ddddd" hidden="1">{#N/A,#N/A,FALSE,"presentabce";#N/A,#N/A,FALSE,"traspasobac";#N/A,#N/A,FALSE,"capturabce";#N/A,#N/A,FALSE,"presentares";#N/A,#N/A,FALSE,"traspasores";#N/A,#N/A,FALSE,"caturares"}</definedName>
    <definedName name="dddddd" hidden="1">{#N/A,#N/A,FALSE,"presentabce";#N/A,#N/A,FALSE,"presentares";#N/A,#N/A,FALSE,"traspasobac";#N/A,#N/A,FALSE,"traspasores";#N/A,#N/A,FALSE,"capturabce";#N/A,#N/A,FALSE,"caturares"}</definedName>
    <definedName name="ddddddd" hidden="1">{#N/A,#N/A,FALSE,"Sheet1"}</definedName>
    <definedName name="DDDDDDDDDDDDD" hidden="1">{#N/A,#N/A,FALSE,"Sheet1"}</definedName>
    <definedName name="ddddddddddddddd" hidden="1">{#N/A,#N/A,FALSE,"Aging Summary";#N/A,#N/A,FALSE,"Ratio Analysis";#N/A,#N/A,FALSE,"Test 120 Day Accts";#N/A,#N/A,FALSE,"Tickmarks"}</definedName>
    <definedName name="ddddddddddddddddddd" hidden="1">{#N/A,#N/A,FALSE,"Sheet1"}</definedName>
    <definedName name="DDDS" hidden="1">{#N/A,#N/A,FALSE,"COVER";#N/A,#N/A,FALSE,"CONTENTS";#N/A,#N/A,FALSE,"PAGE1";#N/A,#N/A,FALSE,"PAGE2";#N/A,#N/A,FALSE,"PAGE3";#N/A,#N/A,FALSE,"PAGE4";#N/A,#N/A,FALSE,"PAGE5";#N/A,#N/A,FALSE,"PAGE6";#N/A,#N/A,FALSE,"PAGE7";#N/A,#N/A,FALSE,"PAGE8";#N/A,#N/A,FALSE,"PAGE9"}</definedName>
    <definedName name="ddfdfdfd" hidden="1">{#N/A,#N/A,FALSE,"Sheet1"}</definedName>
    <definedName name="DES" hidden="1">{#N/A,#N/A,FALSE,"presentabce";#N/A,#N/A,FALSE,"traspasobac";#N/A,#N/A,FALSE,"capturabce";#N/A,#N/A,FALSE,"presentares";#N/A,#N/A,FALSE,"traspasores";#N/A,#N/A,FALSE,"TRANSACCIONES BUENAS";#N/A,#N/A,FALSE,"caturares"}</definedName>
    <definedName name="dfdfd" hidden="1">{#N/A,#N/A,FALSE,"Sheet1"}</definedName>
    <definedName name="DFE" hidden="1">#REF!</definedName>
    <definedName name="dffdsdf" hidden="1">{#N/A,#N/A,FALSE,"ANEX-C MAQUINA";#N/A,#N/A,FALSE,"ANEX-C MANO OB";#N/A,#N/A,FALSE,"COB143SP";#N/A,#N/A,FALSE,"ANEX-C.MATERIAL."}</definedName>
    <definedName name="dfgdfgdfg" hidden="1">{#N/A,#N/A,FALSE,"Sheet1"}</definedName>
    <definedName name="dfgfd" hidden="1">{#N/A,#N/A,FALSE,"Sheet1"}</definedName>
    <definedName name="dg" hidden="1">{#N/A,#N/A,FALSE,"Sheet1"}</definedName>
    <definedName name="dgdfgdfg" hidden="1">{#N/A,#N/A,FALSE,"COVER";#N/A,#N/A,FALSE,"CONTENTS";#N/A,#N/A,FALSE,"PAGE1";#N/A,#N/A,FALSE,"PAGE2";#N/A,#N/A,FALSE,"PAGE3";#N/A,#N/A,FALSE,"PAGE4";#N/A,#N/A,FALSE,"PAGE5";#N/A,#N/A,FALSE,"PAGE6";#N/A,#N/A,FALSE,"PAGE7";#N/A,#N/A,FALSE,"PAGE8";#N/A,#N/A,FALSE,"PAGE9"}</definedName>
    <definedName name="dgdfgdg" hidden="1">{#N/A,#N/A,FALSE,"Parts";#N/A,#N/A,FALSE,"FG";#N/A,#N/A,FALSE,"Raw Material";#N/A,#N/A,FALSE,"Resale"}</definedName>
    <definedName name="dgdfgdgf" hidden="1">{#N/A,#N/A,FALSE,"Hoja2"}</definedName>
    <definedName name="dgfgfff" hidden="1">{#N/A,#N/A,FALSE,"Aging Summary";#N/A,#N/A,FALSE,"Ratio Analysis";#N/A,#N/A,FALSE,"Test 120 Day Accts";#N/A,#N/A,FALSE,"Tickmarks"}</definedName>
    <definedName name="dghfghfg" hidden="1">{#N/A,#N/A,FALSE,"Sheet1"}</definedName>
    <definedName name="djoko" hidden="1">#REF!</definedName>
    <definedName name="do" hidden="1">{#N/A,#N/A,FALSE,"COVER";#N/A,#N/A,FALSE,"CONTENTS";#N/A,#N/A,FALSE,"PAGE1";#N/A,#N/A,FALSE,"PAGE2";#N/A,#N/A,FALSE,"PAGE3";#N/A,#N/A,FALSE,"PAGE4";#N/A,#N/A,FALSE,"PAGE5";#N/A,#N/A,FALSE,"PAGE6";#N/A,#N/A,FALSE,"PAGE7";#N/A,#N/A,FALSE,"PAGE8";#N/A,#N/A,FALSE,"PAGE9"}</definedName>
    <definedName name="dwere" hidden="1">#REF!</definedName>
    <definedName name="eee" hidden="1">#REF!</definedName>
    <definedName name="eeeeeeeeeeee" hidden="1">{#N/A,#N/A,FALSE,"Sheet1"}</definedName>
    <definedName name="eeeeeeeeeeeeee" hidden="1">{#N/A,#N/A,FALSE,"Sheet1"}</definedName>
    <definedName name="eeeeeeeeeeeeeeee" hidden="1">{#N/A,#N/A,FALSE,"Sheet1"}</definedName>
    <definedName name="eeeeeeeeeeeeeeeeee" hidden="1">{#N/A,#N/A,FALSE,"Sheet1"}</definedName>
    <definedName name="EFRF" hidden="1">{#N/A,#N/A,FALSE,"COVER";#N/A,#N/A,FALSE,"CONTENTS";#N/A,#N/A,FALSE,"PAGE1";#N/A,#N/A,FALSE,"PAGE2";#N/A,#N/A,FALSE,"PAGE3";#N/A,#N/A,FALSE,"PAGE4";#N/A,#N/A,FALSE,"PAGE5";#N/A,#N/A,FALSE,"PAGE6";#N/A,#N/A,FALSE,"PAGE7";#N/A,#N/A,FALSE,"PAGE8";#N/A,#N/A,FALSE,"PAGE9"}</definedName>
    <definedName name="EGO" hidden="1">{#N/A,#N/A,FALSE,"presentabce";#N/A,#N/A,FALSE,"traspasobac";#N/A,#N/A,FALSE,"capturabce";#N/A,#N/A,FALSE,"presentares";#N/A,#N/A,FALSE,"traspasores";#N/A,#N/A,FALSE,"caturares"}</definedName>
    <definedName name="EL" hidden="1">{#N/A,#N/A,FALSE,"presentabce";#N/A,#N/A,FALSE,"traspasobac";#N/A,#N/A,FALSE,"capturabce";#N/A,#N/A,FALSE,"presentares";#N/A,#N/A,FALSE,"traspasores";#N/A,#N/A,FALSE,"TRANSACCIONES BUENAS";#N/A,#N/A,FALSE,"caturares"}</definedName>
    <definedName name="ELL" hidden="1">{#N/A,#N/A,FALSE,"presentabce";#N/A,#N/A,FALSE,"traspasobac";#N/A,#N/A,FALSE,"capturabce";#N/A,#N/A,FALSE,"presentares";#N/A,#N/A,FALSE,"traspasores";#N/A,#N/A,FALSE,"caturares"}</definedName>
    <definedName name="ELLA" hidden="1">{#N/A,#N/A,FALSE,"PMRAD92";#N/A,#N/A,FALSE,"FINRAD93";#N/A,#N/A,FALSE,"RDORAD93";#N/A,#N/A,FALSE,"GRADBC93";#N/A,#N/A,FALSE,"GRADBC92";#N/A,#N/A,FALSE,"REDRAD92";#N/A,#N/A,FALSE,"PMRAD93"}</definedName>
    <definedName name="ELLAA" hidden="1">{#N/A,#N/A,FALSE,"presentabce";#N/A,#N/A,FALSE,"traspasobac";#N/A,#N/A,FALSE,"capturabce";#N/A,#N/A,FALSE,"presentares";#N/A,#N/A,FALSE,"traspasores";#N/A,#N/A,FALSE,"caturares"}</definedName>
    <definedName name="emenes01" hidden="1">{#N/A,#N/A,FALSE,"COVER";#N/A,#N/A,FALSE,"CONTENTS";#N/A,#N/A,FALSE,"PAGE1";#N/A,#N/A,FALSE,"PAGE2";#N/A,#N/A,FALSE,"PAGE3";#N/A,#N/A,FALSE,"PAGE4";#N/A,#N/A,FALSE,"PAGE5";#N/A,#N/A,FALSE,"PAGE6";#N/A,#N/A,FALSE,"PAGE7";#N/A,#N/A,FALSE,"PAGE8";#N/A,#N/A,FALSE,"PAGE9"}</definedName>
    <definedName name="erwerwrwerwer" hidden="1">{#N/A,#N/A,FALSE,"presentabce";#N/A,#N/A,FALSE,"traspasobac";#N/A,#N/A,FALSE,"capturabce";#N/A,#N/A,FALSE,"presentares";#N/A,#N/A,FALSE,"traspasores";#N/A,#N/A,FALSE,"TRANSACCIONES BUENAS";#N/A,#N/A,FALSE,"caturares"}</definedName>
    <definedName name="ESTE" hidden="1">{#N/A,#N/A,FALSE,"presentabce";#N/A,#N/A,FALSE,"presentares";#N/A,#N/A,FALSE,"traspasobac";#N/A,#N/A,FALSE,"traspasores";#N/A,#N/A,FALSE,"capturabce";#N/A,#N/A,FALSE,"caturares"}</definedName>
    <definedName name="ESTEE" hidden="1">{#N/A,#N/A,FALSE,"presentabce";#N/A,#N/A,FALSE,"traspasobac";#N/A,#N/A,FALSE,"capturabce";#N/A,#N/A,FALSE,"presentares";#N/A,#N/A,FALSE,"traspasores";#N/A,#N/A,FALSE,"TRANSACCIONES BUENAS";#N/A,#N/A,FALSE,"caturares"}</definedName>
    <definedName name="estes" hidden="1">{#N/A,#N/A,FALSE,"presentabce";#N/A,#N/A,FALSE,"presentares";#N/A,#N/A,FALSE,"traspasobac";#N/A,#N/A,FALSE,"traspasores";#N/A,#N/A,FALSE,"capturabce";#N/A,#N/A,FALSE,"caturares"}</definedName>
    <definedName name="etert" hidden="1">{#N/A,#N/A,FALSE,"Aging Summary";#N/A,#N/A,FALSE,"Ratio Analysis";#N/A,#N/A,FALSE,"Test 120 Day Accts";#N/A,#N/A,FALSE,"Tickmarks"}</definedName>
    <definedName name="ewds" hidden="1">#REF!</definedName>
    <definedName name="ewere" hidden="1">#REF!</definedName>
    <definedName name="exit" hidden="1">{#N/A,#N/A,FALSE,"COVER";#N/A,#N/A,FALSE,"CONTENTS";#N/A,#N/A,FALSE,"PAGE1";#N/A,#N/A,FALSE,"PAGE2";#N/A,#N/A,FALSE,"PAGE3";#N/A,#N/A,FALSE,"PAGE4";#N/A,#N/A,FALSE,"PAGE5";#N/A,#N/A,FALSE,"PAGE6";#N/A,#N/A,FALSE,"PAGE7";#N/A,#N/A,FALSE,"PAGE8";#N/A,#N/A,FALSE,"PAGE9"}</definedName>
    <definedName name="Expl" hidden="1">{#N/A,#N/A,FALSE,"Parts";#N/A,#N/A,FALSE,"FG";#N/A,#N/A,FALSE,"Raw Material";#N/A,#N/A,FALSE,"Resale"}</definedName>
    <definedName name="ExtractAreaList" hidden="1">OFFSET(#REF!,0,0,COUNTA(#REF!)-1,1)</definedName>
    <definedName name="ExtractGeoList" hidden="1">OFFSET(#REF!,0,0,COUNTA(#REF!)-1,1)</definedName>
    <definedName name="eyder" hidden="1">{#N/A,#N/A,FALSE,"Sheet1"}</definedName>
    <definedName name="fafa" hidden="1">{#N/A,#N/A,FALSE,"Parts";#N/A,#N/A,FALSE,"FG";#N/A,#N/A,FALSE,"Raw Material";#N/A,#N/A,FALSE,"Resale"}</definedName>
    <definedName name="Farmer"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fd" hidden="1">{#N/A,#N/A,FALSE,"Parts";#N/A,#N/A,FALSE,"FG";#N/A,#N/A,FALSE,"Raw Material";#N/A,#N/A,FALSE,"Resale"}</definedName>
    <definedName name="FDD" hidden="1">{#N/A,#N/A,FALSE,"Sheet1"}</definedName>
    <definedName name="fddddddddfdfd"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fdf"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fdfdfd" hidden="1">{#N/A,#N/A,FALSE,"Hoja2"}</definedName>
    <definedName name="fdfdfdf" hidden="1">{#N/A,#N/A,FALSE,"Sheet1"}</definedName>
    <definedName name="fec" hidden="1">{#N/A,#N/A,TRUE,"AFE";#N/A,#N/A,TRUE,"Tangible";#N/A,#N/A,TRUE,"Construction";#N/A,#N/A,TRUE,"Rignmud";#N/A,#N/A,TRUE,"Bitnddr";#N/A,#N/A,TRUE,"Cmtdesign";#N/A,#N/A,TRUE,"Pumpfee";#N/A,#N/A,TRUE,"Corendst";#N/A,#N/A,TRUE,"Ohlogging";#N/A,#N/A,TRUE,"Perforating";#N/A,#N/A,TRUE,"Chlogging";#N/A,#N/A,TRUE,"Stimulation";#N/A,#N/A,TRUE,"Completion";#N/A,#N/A,TRUE,"General"}</definedName>
    <definedName name="fesd" hidden="1">{#N/A,#N/A,FALSE,"Hoja2"}</definedName>
    <definedName name="ff" hidden="1">{#N/A,#N/A,FALSE,"ANEX-C MAQUINA";#N/A,#N/A,FALSE,"ANEX-C MANO OB";#N/A,#N/A,FALSE,"COB143SP";#N/A,#N/A,FALSE,"ANEX-C.MATERIAL."}</definedName>
    <definedName name="ffa" hidden="1">{#N/A,#N/A,FALSE,"COVER";#N/A,#N/A,FALSE,"CONTENTS";#N/A,#N/A,FALSE,"PAGE1";#N/A,#N/A,FALSE,"PAGE2";#N/A,#N/A,FALSE,"PAGE3";#N/A,#N/A,FALSE,"PAGE4";#N/A,#N/A,FALSE,"PAGE5";#N/A,#N/A,FALSE,"PAGE6";#N/A,#N/A,FALSE,"PAGE7";#N/A,#N/A,FALSE,"PAGE8";#N/A,#N/A,FALSE,"PAGE9"}</definedName>
    <definedName name="ffdf" hidden="1">{#N/A,#N/A,FALSE,"COVER";#N/A,#N/A,FALSE,"CONTENTS";#N/A,#N/A,FALSE,"PAGE1";#N/A,#N/A,FALSE,"PAGE2";#N/A,#N/A,FALSE,"PAGE3";#N/A,#N/A,FALSE,"PAGE4";#N/A,#N/A,FALSE,"PAGE5";#N/A,#N/A,FALSE,"PAGE6";#N/A,#N/A,FALSE,"PAGE7";#N/A,#N/A,FALSE,"PAGE8";#N/A,#N/A,FALSE,"PAGE9"}</definedName>
    <definedName name="ffdfdsaf" hidden="1">#REF!</definedName>
    <definedName name="fffff" hidden="1">{#N/A,#N/A,FALSE,"COVER";#N/A,#N/A,FALSE,"CONTENTS";#N/A,#N/A,FALSE,"PAGE1";#N/A,#N/A,FALSE,"PAGE2";#N/A,#N/A,FALSE,"PAGE3";#N/A,#N/A,FALSE,"PAGE4";#N/A,#N/A,FALSE,"PAGE5";#N/A,#N/A,FALSE,"PAGE6";#N/A,#N/A,FALSE,"PAGE7";#N/A,#N/A,FALSE,"PAGE8";#N/A,#N/A,FALSE,"PAGE9"}</definedName>
    <definedName name="ffffffffffffffffffffffff" hidden="1">{#N/A,#N/A,FALSE,"Parts";#N/A,#N/A,FALSE,"FG";#N/A,#N/A,FALSE,"Raw Material";#N/A,#N/A,FALSE,"Resale"}</definedName>
    <definedName name="fffffffffffffffffffffffffff" hidden="1">{#N/A,#N/A,FALSE,"Sheet1"}</definedName>
    <definedName name="fgfg" hidden="1">{#N/A,#N/A,FALSE,"Sheet1"}</definedName>
    <definedName name="fgfgedfgd" hidden="1">{#N/A,#N/A,FALSE,"Sheet1"}</definedName>
    <definedName name="fghfgfgh" hidden="1">{#N/A,#N/A,FALSE,"presentabce";#N/A,#N/A,FALSE,"traspasobac";#N/A,#N/A,FALSE,"capturabce";#N/A,#N/A,FALSE,"presentares";#N/A,#N/A,FALSE,"traspasores";#N/A,#N/A,FALSE,"TRANSACCIONES BUENAS";#N/A,#N/A,FALSE,"caturares"}</definedName>
    <definedName name="fghfghfgh" hidden="1">{#N/A,#N/A,FALSE,"COVER";#N/A,#N/A,FALSE,"CONTENTS";#N/A,#N/A,FALSE,"PAGE1";#N/A,#N/A,FALSE,"PAGE2";#N/A,#N/A,FALSE,"PAGE3";#N/A,#N/A,FALSE,"PAGE4";#N/A,#N/A,FALSE,"PAGE5";#N/A,#N/A,FALSE,"PAGE6";#N/A,#N/A,FALSE,"PAGE7";#N/A,#N/A,FALSE,"PAGE8";#N/A,#N/A,FALSE,"PAGE9"}</definedName>
    <definedName name="fghfghfghfgh" hidden="1">{#N/A,#N/A,FALSE,"presentabce";#N/A,#N/A,FALSE,"presentares";#N/A,#N/A,FALSE,"traspasobac";#N/A,#N/A,FALSE,"traspasores";#N/A,#N/A,FALSE,"capturabce";#N/A,#N/A,FALSE,"caturares"}</definedName>
    <definedName name="fghfghfghfghfg" hidden="1">{#N/A,#N/A,FALSE,"Sheet1"}</definedName>
    <definedName name="fghfhfghf" hidden="1">{#N/A,#N/A,FALSE,"presentabce";#N/A,#N/A,FALSE,"traspasobac";#N/A,#N/A,FALSE,"capturabce";#N/A,#N/A,FALSE,"presentares";#N/A,#N/A,FALSE,"traspasores";#N/A,#N/A,FALSE,"caturares"}</definedName>
    <definedName name="fghfhfhfg" hidden="1">{#N/A,#N/A,FALSE,"Hoja2"}</definedName>
    <definedName name="fghjgh" hidden="1">{#N/A,#N/A,FALSE,"EDOCAM93";#N/A,#N/A,FALSE,"PMRAD92";#N/A,#N/A,FALSE,"EDORES93";#N/A,#N/A,FALSE,"RDORAD93";#N/A,#N/A,FALSE,"GRADBC93";#N/A,#N/A,FALSE,"GRADBC92";#N/A,#N/A,FALSE,"REDRAD92";#N/A,#N/A,FALSE,"PMRAD93";#N/A,#N/A,FALSE,"PMRAD92"}</definedName>
    <definedName name="fgjfgjghj" hidden="1">{#N/A,#N/A,FALSE,"COVER";#N/A,#N/A,FALSE,"CONTENTS";#N/A,#N/A,FALSE,"PAGE1";#N/A,#N/A,FALSE,"PAGE2";#N/A,#N/A,FALSE,"PAGE3";#N/A,#N/A,FALSE,"PAGE4";#N/A,#N/A,FALSE,"PAGE5";#N/A,#N/A,FALSE,"PAGE6";#N/A,#N/A,FALSE,"PAGE7";#N/A,#N/A,FALSE,"PAGE8";#N/A,#N/A,FALSE,"PAGE9"}</definedName>
    <definedName name="fh" hidden="1">{#N/A,#N/A,FALSE,"Sheet1"}</definedName>
    <definedName name="fhfghfg" hidden="1">{#N/A,#N/A,FALSE,"ANEX-C MAQUINA";#N/A,#N/A,FALSE,"ANEX-C MANO OB";#N/A,#N/A,FALSE,"COB143SP";#N/A,#N/A,FALSE,"ANEX-C.MATERIAL."}</definedName>
    <definedName name="fhfghfgh" hidden="1">{#N/A,#N/A,FALSE,"Sheet1"}</definedName>
    <definedName name="fhfghfghf" hidden="1">{#N/A,#N/A,FALSE,"Sheet1"}</definedName>
    <definedName name="fhfghfghfghfh" hidden="1">{#N/A,#N/A,FALSE,"presentabce";#N/A,#N/A,FALSE,"traspasobac";#N/A,#N/A,FALSE,"capturabce";#N/A,#N/A,FALSE,"presentares";#N/A,#N/A,FALSE,"traspasores";#N/A,#N/A,FALSE,"caturares"}</definedName>
    <definedName name="fhghfghfghg" hidden="1">{#N/A,#N/A,FALSE,"presentabce";#N/A,#N/A,FALSE,"traspasobac";#N/A,#N/A,FALSE,"capturabce";#N/A,#N/A,FALSE,"presentares";#N/A,#N/A,FALSE,"traspasores";#N/A,#N/A,FALSE,"TRANSACCIONES BUENAS";#N/A,#N/A,FALSE,"caturares"}</definedName>
    <definedName name="fhjf" hidden="1">{#N/A,#N/A,FALSE,"EDOCAM93";#N/A,#N/A,FALSE,"PMRAD92";#N/A,#N/A,FALSE,"EDORES93";#N/A,#N/A,FALSE,"RDORAD93";#N/A,#N/A,FALSE,"GRADBC93";#N/A,#N/A,FALSE,"GRADBC92";#N/A,#N/A,FALSE,"REDRAD92";#N/A,#N/A,FALSE,"PMRAD93";#N/A,#N/A,FALSE,"PMRAD92"}</definedName>
    <definedName name="FileArea" hidden="1">OFFSET([14]Control!$CL$2,0,0,COUNTA([14]Control!$CL$1:$CL$65536)-1,1)</definedName>
    <definedName name="FileCompany" hidden="1">OFFSET([14]Control!$DD$2,0,0,COUNTA([14]Control!$DD$1:$DD$65536)-1,1)</definedName>
    <definedName name="FileGeo" hidden="1">OFFSET([14]Control!$CM$2,0,0,COUNTA([14]Control!$CM$1:$CM$65536)-1,1)</definedName>
    <definedName name="FINRAD323" hidden="1">{#N/A,#N/A,FALSE,"EDOCAM93";#N/A,#N/A,FALSE,"PMRAD92";#N/A,#N/A,FALSE,"EDORES93";#N/A,#N/A,FALSE,"RDORAD93";#N/A,#N/A,FALSE,"GRADBC93";#N/A,#N/A,FALSE,"GRADBC92";#N/A,#N/A,FALSE,"REDRAD92";#N/A,#N/A,FALSE,"PMRAD93";#N/A,#N/A,FALSE,"PMRAD92"}</definedName>
    <definedName name="FORECAST" hidden="1">#REF!</definedName>
    <definedName name="fr" hidden="1">{#N/A,#N/A,FALSE,"COVER";#N/A,#N/A,FALSE,"CONTENTS";#N/A,#N/A,FALSE,"PAGE1";#N/A,#N/A,FALSE,"PAGE2";#N/A,#N/A,FALSE,"PAGE3";#N/A,#N/A,FALSE,"PAGE4";#N/A,#N/A,FALSE,"PAGE5";#N/A,#N/A,FALSE,"PAGE6";#N/A,#N/A,FALSE,"PAGE7";#N/A,#N/A,FALSE,"PAGE8";#N/A,#N/A,FALSE,"PAGE9"}</definedName>
    <definedName name="fr3e" hidden="1">{#N/A,#N/A,FALSE,"Parts";#N/A,#N/A,FALSE,"FG";#N/A,#N/A,FALSE,"Raw Material";#N/A,#N/A,FALSE,"Resale"}</definedName>
    <definedName name="frd" hidden="1">{#N/A,#N/A,FALSE,"Parts";#N/A,#N/A,FALSE,"FG";#N/A,#N/A,FALSE,"Raw Material";#N/A,#N/A,FALSE,"Resale"}</definedName>
    <definedName name="fsdfsdfs" hidden="1">{#N/A,#N/A,FALSE,"COVER";#N/A,#N/A,FALSE,"CONTENTS";#N/A,#N/A,FALSE,"PAGE1";#N/A,#N/A,FALSE,"PAGE2";#N/A,#N/A,FALSE,"PAGE3";#N/A,#N/A,FALSE,"PAGE4";#N/A,#N/A,FALSE,"PAGE5";#N/A,#N/A,FALSE,"PAGE6";#N/A,#N/A,FALSE,"PAGE7";#N/A,#N/A,FALSE,"PAGE8";#N/A,#N/A,FALSE,"PAGE9"}</definedName>
    <definedName name="fsdfsdfsdf" hidden="1">{#N/A,#N/A,FALSE,"Aging Summary";#N/A,#N/A,FALSE,"Ratio Analysis";#N/A,#N/A,FALSE,"Test 120 Day Accts";#N/A,#N/A,FALSE,"Tickmarks"}</definedName>
    <definedName name="fsdfsdfsdfvbvbv" hidden="1">{#N/A,#N/A,FALSE,"Sheet1"}</definedName>
    <definedName name="fsfs" hidden="1">{#N/A,#N/A,FALSE,"Parts";#N/A,#N/A,FALSE,"FG";#N/A,#N/A,FALSE,"Raw Material";#N/A,#N/A,FALSE,"Resale"}</definedName>
    <definedName name="fsfsddddd" hidden="1">{#N/A,#N/A,FALSE,"PMRAD92";#N/A,#N/A,FALSE,"FINRAD93";#N/A,#N/A,FALSE,"RDORAD93";#N/A,#N/A,FALSE,"GRADBC93";#N/A,#N/A,FALSE,"GRADBC92";#N/A,#N/A,FALSE,"REDRAD92";#N/A,#N/A,FALSE,"PMRAD93"}</definedName>
    <definedName name="fsfsfv" hidden="1">{#N/A,#N/A,FALSE,"Sheet1"}</definedName>
    <definedName name="fssfsdfsds" hidden="1">{#N/A,#N/A,FALSE,"presentabce";#N/A,#N/A,FALSE,"traspasobac";#N/A,#N/A,FALSE,"capturabce";#N/A,#N/A,FALSE,"presentares";#N/A,#N/A,FALSE,"traspasores";#N/A,#N/A,FALSE,"caturares"}</definedName>
    <definedName name="GABBO" hidden="1">[17]IX!#REF!</definedName>
    <definedName name="gb" hidden="1">{#N/A,#N/A,FALSE,"Sheet1"}</definedName>
    <definedName name="gbnnn" hidden="1">{#N/A,#N/A,FALSE,"Sheet1"}</definedName>
    <definedName name="gdfdff" hidden="1">{#N/A,#N/A,FALSE,"COVER";#N/A,#N/A,FALSE,"CONTENTS";#N/A,#N/A,FALSE,"PAGE1";#N/A,#N/A,FALSE,"PAGE2";#N/A,#N/A,FALSE,"PAGE3";#N/A,#N/A,FALSE,"PAGE4";#N/A,#N/A,FALSE,"PAGE5";#N/A,#N/A,FALSE,"PAGE6";#N/A,#N/A,FALSE,"PAGE7";#N/A,#N/A,FALSE,"PAGE8";#N/A,#N/A,FALSE,"PAGE9"}</definedName>
    <definedName name="gdfgdfg" hidden="1">{#N/A,#N/A,TRUE,"AFE";#N/A,#N/A,TRUE,"Tangible";#N/A,#N/A,TRUE,"Construction";#N/A,#N/A,TRUE,"Rignmud";#N/A,#N/A,TRUE,"Bitnddr";#N/A,#N/A,TRUE,"Cmtdesign";#N/A,#N/A,TRUE,"Pumpfee";#N/A,#N/A,TRUE,"Corendst";#N/A,#N/A,TRUE,"Ohlogging";#N/A,#N/A,TRUE,"Perforating";#N/A,#N/A,TRUE,"Chlogging";#N/A,#N/A,TRUE,"Stimulation";#N/A,#N/A,TRUE,"Completion";#N/A,#N/A,TRUE,"General"}</definedName>
    <definedName name="gdfgdfgd" hidden="1">'[13]80-5'!#REF!</definedName>
    <definedName name="gdfgdfgdfg" hidden="1">{#N/A,#N/A,FALSE,"Sheet1"}</definedName>
    <definedName name="gdfgdfgdfgd" hidden="1">{#N/A,#N/A,FALSE,"presentabce";#N/A,#N/A,FALSE,"traspasobac";#N/A,#N/A,FALSE,"capturabce";#N/A,#N/A,FALSE,"presentares";#N/A,#N/A,FALSE,"traspasores";#N/A,#N/A,FALSE,"caturares"}</definedName>
    <definedName name="gdgddfg" hidden="1">{#N/A,#N/A,FALSE,"Sheet1"}</definedName>
    <definedName name="gdgdfgd" hidden="1">{#N/A,#N/A,FALSE,"Sheet1"}</definedName>
    <definedName name="gdgdfgdf" hidden="1">{#N/A,#N/A,FALSE,"Sheet1"}</definedName>
    <definedName name="gdgdfgl" hidden="1">{#N/A,#N/A,FALSE,"Hoja2"}</definedName>
    <definedName name="gdgdgdfgdfg" hidden="1">{#N/A,#N/A,FALSE,"presentabce";#N/A,#N/A,FALSE,"traspasobac";#N/A,#N/A,FALSE,"capturabce";#N/A,#N/A,FALSE,"presentares";#N/A,#N/A,FALSE,"traspasores";#N/A,#N/A,FALSE,"caturares"}</definedName>
    <definedName name="GeoDatabase" hidden="1">OFFSET([14]GeoData!$A$5,0,0,COUNTA([14]GeoData!$A$1:$A$65536),10)</definedName>
    <definedName name="GeoIptArea" hidden="1">[14]Control!$CG$13</definedName>
    <definedName name="GeoIptGeo" hidden="1">[14]Control!$CG$14</definedName>
    <definedName name="GeoIptMonth" hidden="1">[14]Control!$CG$16</definedName>
    <definedName name="GeoIptYear" hidden="1">[14]Control!$CG$17</definedName>
    <definedName name="gf" hidden="1">{#N/A,#N/A,FALSE,"Sheet1"}</definedName>
    <definedName name="gfhf" hidden="1">{#N/A,#N/A,FALSE,"COVER";#N/A,#N/A,FALSE,"CONTENTS";#N/A,#N/A,FALSE,"PAGE1";#N/A,#N/A,FALSE,"PAGE2";#N/A,#N/A,FALSE,"PAGE3";#N/A,#N/A,FALSE,"PAGE4";#N/A,#N/A,FALSE,"PAGE5";#N/A,#N/A,FALSE,"PAGE6";#N/A,#N/A,FALSE,"PAGE7";#N/A,#N/A,FALSE,"PAGE8";#N/A,#N/A,FALSE,"PAGE9"}</definedName>
    <definedName name="gfjfgjfghjgh" hidden="1">{#N/A,#N/A,FALSE,"ANEX-C MAQUINA";#N/A,#N/A,FALSE,"ANEX-C MANO OB";#N/A,#N/A,FALSE,"COB143SP";#N/A,#N/A,FALSE,"ANEX-C.MATERIAL."}</definedName>
    <definedName name="GFYTR" hidden="1">#REF!</definedName>
    <definedName name="gg" hidden="1">{#N/A,#N/A,FALSE,"Parts";#N/A,#N/A,FALSE,"FG";#N/A,#N/A,FALSE,"Raw Material";#N/A,#N/A,FALSE,"Resale"}</definedName>
    <definedName name="ggdfgdfgdfg" hidden="1">{#N/A,#N/A,FALSE,"Sheet1"}</definedName>
    <definedName name="ggdfgdfgdfgggg" hidden="1">{#N/A,#N/A,FALSE,"EDOCAM93";#N/A,#N/A,FALSE,"PMRAD92";#N/A,#N/A,FALSE,"EDORES93";#N/A,#N/A,FALSE,"RDORAD93";#N/A,#N/A,FALSE,"GRADBC93";#N/A,#N/A,FALSE,"GRADBC92";#N/A,#N/A,FALSE,"REDRAD92";#N/A,#N/A,FALSE,"PMRAD93";#N/A,#N/A,FALSE,"PMRAD92"}</definedName>
    <definedName name="ggg" hidden="1">#REF!</definedName>
    <definedName name="gggg" hidden="1">[12]IX!#REF!</definedName>
    <definedName name="GGGGGG" hidden="1">{#N/A,#N/A,FALSE,"PMRAD92";#N/A,#N/A,FALSE,"FINRAD93";#N/A,#N/A,FALSE,"RDORAD93";#N/A,#N/A,FALSE,"GRADBC93";#N/A,#N/A,FALSE,"GRADBC92";#N/A,#N/A,FALSE,"REDRAD92";#N/A,#N/A,FALSE,"PMRAD93"}</definedName>
    <definedName name="gggggggg" hidden="1">{#N/A,#N/A,FALSE,"Sheet1"}</definedName>
    <definedName name="ggggggggg" hidden="1">{#N/A,#N/A,FALSE,"Sheet1"}</definedName>
    <definedName name="ggggggggggg"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gggggggggggg" hidden="1">{#N/A,#N/A,FALSE,"Sheet1"}</definedName>
    <definedName name="ggggggggggggb" hidden="1">{#N/A,#N/A,FALSE,"Parts";#N/A,#N/A,FALSE,"FG";#N/A,#N/A,FALSE,"Raw Material";#N/A,#N/A,FALSE,"Resale"}</definedName>
    <definedName name="gggggggggggggggg" hidden="1">{#N/A,#N/A,FALSE,"Aging Summary";#N/A,#N/A,FALSE,"Ratio Analysis";#N/A,#N/A,FALSE,"Test 120 Day Accts";#N/A,#N/A,FALSE,"Tickmarks"}</definedName>
    <definedName name="gggggggggggggggggggg" hidden="1">{#N/A,#N/A,FALSE,"Sheet1"}</definedName>
    <definedName name="gggggggggggggggggggggg" hidden="1">{#N/A,#N/A,FALSE,"Sheet1"}</definedName>
    <definedName name="gggggggggggggggggggggggg" hidden="1">{#N/A,#N/A,FALSE,"Sheet1"}</definedName>
    <definedName name="ghfhfghfgh" hidden="1">{#N/A,#N/A,FALSE,"ANEX-C MAQUINA";#N/A,#N/A,FALSE,"ANEX-C MANO OB";#N/A,#N/A,FALSE,"COB143SP";#N/A,#N/A,FALSE,"ANEX-C.MATERIAL."}</definedName>
    <definedName name="ghjghjghjgh" hidden="1">{#N/A,#N/A,FALSE,"Sheet1"}</definedName>
    <definedName name="ghs" hidden="1">{#N/A,#N/A,FALSE,"Parts";#N/A,#N/A,FALSE,"FG";#N/A,#N/A,FALSE,"Raw Material";#N/A,#N/A,FALSE,"Resale"}</definedName>
    <definedName name="gjfg" hidden="1">{#N/A,#N/A,FALSE,"EDOCAM93";#N/A,#N/A,FALSE,"PMRAD92";#N/A,#N/A,FALSE,"EDORES93";#N/A,#N/A,FALSE,"RDORAD93";#N/A,#N/A,FALSE,"GRADBC93";#N/A,#N/A,FALSE,"GRADBC92";#N/A,#N/A,FALSE,"REDRAD92";#N/A,#N/A,FALSE,"PMRAD93";#N/A,#N/A,FALSE,"PMRAD92"}</definedName>
    <definedName name="gjh" hidden="1">{#N/A,#N/A,FALSE,"Sheet1"}</definedName>
    <definedName name="Gmh" hidden="1">{#N/A,#N/A,FALSE,"Sheet1"}</definedName>
    <definedName name="gmhh" hidden="1">{#N/A,#N/A,FALSE,"Sheet1"}</definedName>
    <definedName name="gmhhhh" hidden="1">{#N/A,#N/A,FALSE,"Sheet1"}</definedName>
    <definedName name="gmhhhhh" hidden="1">{#N/A,#N/A,FALSE,"Sheet1"}</definedName>
    <definedName name="gmhhhhhhhh" hidden="1">{#N/A,#N/A,FALSE,"Sheet1"}</definedName>
    <definedName name="gmhhhhhhhhy" hidden="1">{#N/A,#N/A,FALSE,"Sheet1"}</definedName>
    <definedName name="graba" hidden="1">{#N/A,#N/A,FALSE,"Hoja2"}</definedName>
    <definedName name="grabates" hidden="1">{#N/A,#N/A,FALSE,"Hoja2"}</definedName>
    <definedName name="graphhhhhhhh" hidden="1">[2]DATOS!#REF!</definedName>
    <definedName name="GU3E" hidden="1">#REF!</definedName>
    <definedName name="GY" hidden="1">#REF!</definedName>
    <definedName name="h" hidden="1">{#N/A,#N/A,FALSE,"Sheet1"}</definedName>
    <definedName name="ha" hidden="1">{#N/A,#N/A,FALSE,"Parts";#N/A,#N/A,FALSE,"FG";#N/A,#N/A,FALSE,"Raw Material";#N/A,#N/A,FALSE,"Resale"}</definedName>
    <definedName name="hahaha" hidden="1">{#N/A,#N/A,FALSE,"EDOCAM93";#N/A,#N/A,FALSE,"PMRAD92";#N/A,#N/A,FALSE,"EDORES93";#N/A,#N/A,FALSE,"RDORAD93";#N/A,#N/A,FALSE,"GRADBC93";#N/A,#N/A,FALSE,"GRADBC92";#N/A,#N/A,FALSE,"REDRAD92";#N/A,#N/A,FALSE,"PMRAD93";#N/A,#N/A,FALSE,"PMRAD92"}</definedName>
    <definedName name="HAR" hidden="1">{#N/A,#N/A,FALSE,"Sheet1"}</definedName>
    <definedName name="hdsgdf" hidden="1">{#N/A,#N/A,FALSE,"COVER";#N/A,#N/A,FALSE,"CONTENTS";#N/A,#N/A,FALSE,"PAGE1";#N/A,#N/A,FALSE,"PAGE2";#N/A,#N/A,FALSE,"PAGE3";#N/A,#N/A,FALSE,"PAGE4";#N/A,#N/A,FALSE,"PAGE5";#N/A,#N/A,FALSE,"PAGE6";#N/A,#N/A,FALSE,"PAGE7";#N/A,#N/A,FALSE,"PAGE8";#N/A,#N/A,FALSE,"PAGE9"}</definedName>
    <definedName name="HeaderSpot" hidden="1">#REF!</definedName>
    <definedName name="hfghf" hidden="1">{#N/A,#N/A,FALSE,"Parts";#N/A,#N/A,FALSE,"FG";#N/A,#N/A,FALSE,"Raw Material";#N/A,#N/A,FALSE,"Resale"}</definedName>
    <definedName name="hfghff" hidden="1">{#N/A,#N/A,FALSE,"presentabce";#N/A,#N/A,FALSE,"traspasobac";#N/A,#N/A,FALSE,"capturabce";#N/A,#N/A,FALSE,"presentares";#N/A,#N/A,FALSE,"traspasores";#N/A,#N/A,FALSE,"caturares"}</definedName>
    <definedName name="hfghfgh" hidden="1">{#N/A,#N/A,FALSE,"Parts";#N/A,#N/A,FALSE,"FG";#N/A,#N/A,FALSE,"Raw Material";#N/A,#N/A,FALSE,"Resale"}</definedName>
    <definedName name="hfhf" hidden="1">{#N/A,#N/A,FALSE,"Sheet1"}</definedName>
    <definedName name="hfhfghfg" hidden="1">{#N/A,#N/A,FALSE,"Sheet1"}</definedName>
    <definedName name="hfhfghfgh" hidden="1">{#N/A,#N/A,FALSE,"Sheet1"}</definedName>
    <definedName name="hggfhfgh" hidden="1">{#N/A,#N/A,FALSE,"Hoja2"}</definedName>
    <definedName name="hghghghg" hidden="1">{#N/A,#N/A,FALSE,"ANEX-C MAQUINA";#N/A,#N/A,FALSE,"ANEX-C MANO OB";#N/A,#N/A,FALSE,"COB143SP";#N/A,#N/A,FALSE,"ANEX-C.MATERIAL."}</definedName>
    <definedName name="hhh" hidden="1">{#N/A,#N/A,FALSE,"COVER";#N/A,#N/A,FALSE,"CONTENTS";#N/A,#N/A,FALSE,"PAGE1";#N/A,#N/A,FALSE,"PAGE2";#N/A,#N/A,FALSE,"PAGE3";#N/A,#N/A,FALSE,"PAGE4";#N/A,#N/A,FALSE,"PAGE5";#N/A,#N/A,FALSE,"PAGE6";#N/A,#N/A,FALSE,"PAGE7";#N/A,#N/A,FALSE,"PAGE8";#N/A,#N/A,FALSE,"PAGE9"}</definedName>
    <definedName name="hi" hidden="1">'[18]10-7-1'!$AC$9:$AC$59</definedName>
    <definedName name="hjkhjk" hidden="1">{#N/A,#N/A,FALSE,"COVER";#N/A,#N/A,FALSE,"CONTENTS";#N/A,#N/A,FALSE,"PAGE1";#N/A,#N/A,FALSE,"PAGE2";#N/A,#N/A,FALSE,"PAGE3";#N/A,#N/A,FALSE,"PAGE4";#N/A,#N/A,FALSE,"PAGE5";#N/A,#N/A,FALSE,"PAGE6";#N/A,#N/A,FALSE,"PAGE7";#N/A,#N/A,FALSE,"PAGE8";#N/A,#N/A,FALSE,"PAGE9"}</definedName>
    <definedName name="hjkhjkj" hidden="1">{#N/A,#N/A,FALSE,"ANEX-C MAQUINA";#N/A,#N/A,FALSE,"ANEX-C MANO OB";#N/A,#N/A,FALSE,"COB143SP";#N/A,#N/A,FALSE,"ANEX-C.MATERIAL."}</definedName>
    <definedName name="hkhjk" hidden="1">{#N/A,#N/A,TRUE,"AFE";#N/A,#N/A,TRUE,"Tangible";#N/A,#N/A,TRUE,"Construction";#N/A,#N/A,TRUE,"Rignmud";#N/A,#N/A,TRUE,"Bitnddr";#N/A,#N/A,TRUE,"Cmtdesign";#N/A,#N/A,TRUE,"Pumpfee";#N/A,#N/A,TRUE,"Corendst";#N/A,#N/A,TRUE,"Ohlogging";#N/A,#N/A,TRUE,"Perforating";#N/A,#N/A,TRUE,"Chlogging";#N/A,#N/A,TRUE,"Stimulation";#N/A,#N/A,TRUE,"Completion";#N/A,#N/A,TRUE,"General"}</definedName>
    <definedName name="hkhjkh" hidden="1">{#N/A,#N/A,FALSE,"Parts";#N/A,#N/A,FALSE,"FG";#N/A,#N/A,FALSE,"Raw Material";#N/A,#N/A,FALSE,"Resale"}</definedName>
    <definedName name="hkjhkjhkjhkh" hidden="1">{#N/A,#N/A,FALSE,"ANEX-C MAQUINA";#N/A,#N/A,FALSE,"ANEX-C MANO OB";#N/A,#N/A,FALSE,"COB143SP";#N/A,#N/A,FALSE,"ANEX-C.MATERIAL."}</definedName>
    <definedName name="huhuhuhuh" hidden="1">7</definedName>
    <definedName name="i" hidden="1">{#N/A,#N/A,FALSE,"EDOCAM93";#N/A,#N/A,FALSE,"PMRAD92";#N/A,#N/A,FALSE,"EDORES93";#N/A,#N/A,FALSE,"RDORAD93";#N/A,#N/A,FALSE,"GRADBC93";#N/A,#N/A,FALSE,"GRADBC92";#N/A,#N/A,FALSE,"REDRAD92";#N/A,#N/A,FALSE,"PMRAD93";#N/A,#N/A,FALSE,"PMRAD92"}</definedName>
    <definedName name="iiii" hidden="1">{#N/A,#N/A,FALSE,"Parts";#N/A,#N/A,FALSE,"FG";#N/A,#N/A,FALSE,"Raw Material";#N/A,#N/A,FALSE,"Resale"}</definedName>
    <definedName name="incrementa" hidden="1">{#N/A,#N/A,TRUE,"AFE";#N/A,#N/A,TRUE,"Tangible";#N/A,#N/A,TRUE,"Construction";#N/A,#N/A,TRUE,"Rignmud";#N/A,#N/A,TRUE,"Bitnddr";#N/A,#N/A,TRUE,"Cmtdesign";#N/A,#N/A,TRUE,"Pumpfee";#N/A,#N/A,TRUE,"Corendst";#N/A,#N/A,TRUE,"Ohlogging";#N/A,#N/A,TRUE,"Perforating";#N/A,#N/A,TRUE,"Chlogging";#N/A,#N/A,TRUE,"Stimulation";#N/A,#N/A,TRUE,"Completion";#N/A,#N/A,TRUE,"General"}</definedName>
    <definedName name="index1" hidden="1">#REF!</definedName>
    <definedName name="INTEG" hidden="1">{#N/A,#N/A,FALSE,"Hoja2"}</definedName>
    <definedName name="INTEGR" hidden="1">{#N/A,#N/A,FALSE,"Hoja2"}</definedName>
    <definedName name="INTEGRAL" hidden="1">{#N/A,#N/A,FALSE,"Hoja2"}</definedName>
    <definedName name="ioioui" hidden="1">{#N/A,#N/A,FALSE,"presentabce";#N/A,#N/A,FALSE,"traspasobac";#N/A,#N/A,FALSE,"capturabce";#N/A,#N/A,FALSE,"presentares";#N/A,#N/A,FALSE,"traspasores";#N/A,#N/A,FALSE,"caturares"}</definedName>
    <definedName name="ipipiop" hidden="1">{#N/A,#N/A,FALSE,"Parts";#N/A,#N/A,FALSE,"FG";#N/A,#N/A,FALSE,"Raw Material";#N/A,#N/A,FALSE,"Resale"}</definedName>
    <definedName name="IptAreaList" hidden="1">OFFSET([14]Control!$CR$2,0,0,COUNTA([14]Control!$CR$1:$CR$65536)-1,1)</definedName>
    <definedName name="IptGeoList" hidden="1">OFFSET([14]Control!$CS$2,0,0,COUNTA([14]Control!$CS$1:$CS$65536)-1,1)</definedName>
    <definedName name="IptPLList" hidden="1">[14]Control!$CT$2:$CT$49</definedName>
    <definedName name="isr" hidden="1">#REF!</definedName>
    <definedName name="iyiyuiyuyu" hidden="1">{#N/A,#N/A,FALSE,"presentabce";#N/A,#N/A,FALSE,"presentares";#N/A,#N/A,FALSE,"traspasobac";#N/A,#N/A,FALSE,"traspasores";#N/A,#N/A,FALSE,"capturabce";#N/A,#N/A,FALSE,"caturares"}</definedName>
    <definedName name="iyuiyuiuyi" hidden="1">{#N/A,#N/A,FALSE,"PMRAD92";#N/A,#N/A,FALSE,"FINRAD93";#N/A,#N/A,FALSE,"RDORAD93";#N/A,#N/A,FALSE,"GRADBC93";#N/A,#N/A,FALSE,"GRADBC92";#N/A,#N/A,FALSE,"REDRAD92";#N/A,#N/A,FALSE,"PMRAD93"}</definedName>
    <definedName name="jfgjghhh" hidden="1">{#N/A,#N/A,FALSE,"COVER";#N/A,#N/A,FALSE,"CONTENTS";#N/A,#N/A,FALSE,"PAGE1";#N/A,#N/A,FALSE,"PAGE2";#N/A,#N/A,FALSE,"PAGE3";#N/A,#N/A,FALSE,"PAGE4";#N/A,#N/A,FALSE,"PAGE5";#N/A,#N/A,FALSE,"PAGE6";#N/A,#N/A,FALSE,"PAGE7";#N/A,#N/A,FALSE,"PAGE8";#N/A,#N/A,FALSE,"PAGE9"}</definedName>
    <definedName name="jfhjgg" hidden="1">{#N/A,#N/A,FALSE,"Hoja2"}</definedName>
    <definedName name="jgfhjfgjfgh" hidden="1">{#N/A,#N/A,FALSE,"COVER";#N/A,#N/A,FALSE,"CONTENTS";#N/A,#N/A,FALSE,"PAGE1";#N/A,#N/A,FALSE,"PAGE2";#N/A,#N/A,FALSE,"PAGE3";#N/A,#N/A,FALSE,"PAGE4";#N/A,#N/A,FALSE,"PAGE5";#N/A,#N/A,FALSE,"PAGE6";#N/A,#N/A,FALSE,"PAGE7";#N/A,#N/A,FALSE,"PAGE8";#N/A,#N/A,FALSE,"PAGE9"}</definedName>
    <definedName name="jgfjfgjf" hidden="1">{#N/A,#N/A,FALSE,"Parts";#N/A,#N/A,FALSE,"FG";#N/A,#N/A,FALSE,"Raw Material";#N/A,#N/A,FALSE,"Resale"}</definedName>
    <definedName name="jghdfgh" hidden="1">{#N/A,#N/A,FALSE,"PMRAD92";#N/A,#N/A,FALSE,"FINRAD93";#N/A,#N/A,FALSE,"RDORAD93";#N/A,#N/A,FALSE,"GRADBC93";#N/A,#N/A,FALSE,"GRADBC92";#N/A,#N/A,FALSE,"REDRAD92";#N/A,#N/A,FALSE,"PMRAD93"}</definedName>
    <definedName name="jghjghjg" hidden="1">{#N/A,#N/A,FALSE,"Hoja2"}</definedName>
    <definedName name="jghjghjghj" hidden="1">{#N/A,#N/A,FALSE,"Parts";#N/A,#N/A,FALSE,"FG";#N/A,#N/A,FALSE,"Raw Material";#N/A,#N/A,FALSE,"Resale"}</definedName>
    <definedName name="jgjg" hidden="1">{#N/A,#N/A,FALSE,"Parts";#N/A,#N/A,FALSE,"FG";#N/A,#N/A,FALSE,"Raw Material";#N/A,#N/A,FALSE,"Resale"}</definedName>
    <definedName name="jgjghjg" hidden="1">{#N/A,#N/A,FALSE,"Sheet1"}</definedName>
    <definedName name="jgjghjgh"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jgjghjghññ" hidden="1">{#N/A,#N/A,FALSE,"Hoja2"}</definedName>
    <definedName name="JIK" hidden="1">{#N/A,#N/A,FALSE,"ANEX-C MAQUINA";#N/A,#N/A,FALSE,"ANEX-C MANO OB";#N/A,#N/A,FALSE,"COB143SP";#N/A,#N/A,FALSE,"ANEX-C.MATERIAL."}</definedName>
    <definedName name="jjjj" hidden="1">{#N/A,#N/A,FALSE,"Aging Summary";#N/A,#N/A,FALSE,"Ratio Analysis";#N/A,#N/A,FALSE,"Test 120 Day Accts";#N/A,#N/A,FALSE,"Tickmarks"}</definedName>
    <definedName name="jlj" hidden="1">{#N/A,#N/A,FALSE,"Sheet1"}</definedName>
    <definedName name="jljkljk" hidden="1">{#N/A,#N/A,FALSE,"Sheet1"}</definedName>
    <definedName name="jljkljktutu" hidden="1">{#N/A,#N/A,FALSE,"Sheet1"}</definedName>
    <definedName name="JMB" hidden="1">{#N/A,#N/A,FALSE,"COVER";#N/A,#N/A,FALSE,"CONTENTS";#N/A,#N/A,FALSE,"PAGE1";#N/A,#N/A,FALSE,"PAGE2";#N/A,#N/A,FALSE,"PAGE3";#N/A,#N/A,FALSE,"PAGE4";#N/A,#N/A,FALSE,"PAGE5";#N/A,#N/A,FALSE,"PAGE6";#N/A,#N/A,FALSE,"PAGE7";#N/A,#N/A,FALSE,"PAGE8";#N/A,#N/A,FALSE,"PAGE9"}</definedName>
    <definedName name="ju" hidden="1">{#N/A,#N/A,FALSE,"PMRAD92";#N/A,#N/A,FALSE,"FINRAD93";#N/A,#N/A,FALSE,"RDORAD93";#N/A,#N/A,FALSE,"GRADBC93";#N/A,#N/A,FALSE,"GRADBC92";#N/A,#N/A,FALSE,"REDRAD92";#N/A,#N/A,FALSE,"PMRAD93"}</definedName>
    <definedName name="JULIO" hidden="1">{#N/A,#N/A,FALSE,"Hoja2"}</definedName>
    <definedName name="JULIO04" hidden="1">{#N/A,#N/A,FALSE,"presentabce";#N/A,#N/A,FALSE,"traspasobac";#N/A,#N/A,FALSE,"capturabce";#N/A,#N/A,FALSE,"presentares";#N/A,#N/A,FALSE,"traspasores";#N/A,#N/A,FALSE,"TRANSACCIONES BUENAS";#N/A,#N/A,FALSE,"caturares"}</definedName>
    <definedName name="JULIO95" hidden="1">{#N/A,#N/A,FALSE,"presentabce";#N/A,#N/A,FALSE,"presentares";#N/A,#N/A,FALSE,"traspasobac";#N/A,#N/A,FALSE,"traspasores";#N/A,#N/A,FALSE,"capturabce";#N/A,#N/A,FALSE,"caturares"}</definedName>
    <definedName name="jun" hidden="1">{#N/A,#N/A,FALSE,"Sheet1"}</definedName>
    <definedName name="June" hidden="1">{#N/A,#N/A,FALSE,"Sheet1"}</definedName>
    <definedName name="June1" hidden="1">{#N/A,#N/A,FALSE,"Sheet1"}</definedName>
    <definedName name="junghgjhgjh" hidden="1">{#N/A,#N/A,FALSE,"Sheet1"}</definedName>
    <definedName name="junn" hidden="1">{#N/A,#N/A,FALSE,"Sheet1"}</definedName>
    <definedName name="junnnnnnn" hidden="1">{#N/A,#N/A,FALSE,"Sheet1"}</definedName>
    <definedName name="junnnnnnnn" hidden="1">{#N/A,#N/A,FALSE,"Sheet1"}</definedName>
    <definedName name="jupoiter" hidden="1">{#N/A,#N/A,FALSE,"presentabce";#N/A,#N/A,FALSE,"traspasobac";#N/A,#N/A,FALSE,"capturabce";#N/A,#N/A,FALSE,"presentares";#N/A,#N/A,FALSE,"traspasores";#N/A,#N/A,FALSE,"caturares"}</definedName>
    <definedName name="kfsdgh" hidden="1">{#N/A,#N/A,FALSE,"COVER";#N/A,#N/A,FALSE,"CONTENTS";#N/A,#N/A,FALSE,"PAGE1";#N/A,#N/A,FALSE,"PAGE2";#N/A,#N/A,FALSE,"PAGE3";#N/A,#N/A,FALSE,"PAGE4";#N/A,#N/A,FALSE,"PAGE5";#N/A,#N/A,FALSE,"PAGE6";#N/A,#N/A,FALSE,"PAGE7";#N/A,#N/A,FALSE,"PAGE8";#N/A,#N/A,FALSE,"PAGE9"}</definedName>
    <definedName name="khjkhj" hidden="1">{#N/A,#N/A,FALSE,"COVER";#N/A,#N/A,FALSE,"CONTENTS";#N/A,#N/A,FALSE,"PAGE1";#N/A,#N/A,FALSE,"PAGE2";#N/A,#N/A,FALSE,"PAGE3";#N/A,#N/A,FALSE,"PAGE4";#N/A,#N/A,FALSE,"PAGE5";#N/A,#N/A,FALSE,"PAGE6";#N/A,#N/A,FALSE,"PAGE7";#N/A,#N/A,FALSE,"PAGE8";#N/A,#N/A,FALSE,"PAGE9"}</definedName>
    <definedName name="khjkhjkh" hidden="1">{#N/A,#N/A,FALSE,"COVER";#N/A,#N/A,FALSE,"CONTENTS";#N/A,#N/A,FALSE,"PAGE1";#N/A,#N/A,FALSE,"PAGE2";#N/A,#N/A,FALSE,"PAGE3";#N/A,#N/A,FALSE,"PAGE4";#N/A,#N/A,FALSE,"PAGE5";#N/A,#N/A,FALSE,"PAGE6";#N/A,#N/A,FALSE,"PAGE7";#N/A,#N/A,FALSE,"PAGE8";#N/A,#N/A,FALSE,"PAGE9"}</definedName>
    <definedName name="khjkjhk" hidden="1">{#N/A,#N/A,FALSE,"Sheet1"}</definedName>
    <definedName name="khjkjhkkkk" hidden="1">{#N/A,#N/A,FALSE,"COVER";#N/A,#N/A,FALSE,"CONTENTS";#N/A,#N/A,FALSE,"PAGE1";#N/A,#N/A,FALSE,"PAGE2";#N/A,#N/A,FALSE,"PAGE3";#N/A,#N/A,FALSE,"PAGE4";#N/A,#N/A,FALSE,"PAGE5";#N/A,#N/A,FALSE,"PAGE6";#N/A,#N/A,FALSE,"PAGE7";#N/A,#N/A,FALSE,"PAGE8";#N/A,#N/A,FALSE,"PAGE9"}</definedName>
    <definedName name="khkhjkh" hidden="1">{#N/A,#N/A,FALSE,"Sheet1"}</definedName>
    <definedName name="KJ" hidden="1">{#N/A,#N/A,FALSE,"Parts";#N/A,#N/A,FALSE,"FG";#N/A,#N/A,FALSE,"Raw Material";#N/A,#N/A,FALSE,"Resale"}</definedName>
    <definedName name="kjhkh" hidden="1">{#N/A,#N/A,FALSE,"ANEX-C MAQUINA";#N/A,#N/A,FALSE,"ANEX-C MANO OB";#N/A,#N/A,FALSE,"COB143SP";#N/A,#N/A,FALSE,"ANEX-C.MATERIAL."}</definedName>
    <definedName name="KK" hidden="1">{#N/A,#N/A,FALSE,"COVER";#N/A,#N/A,FALSE,"CONTENTS";#N/A,#N/A,FALSE,"PAGE1";#N/A,#N/A,FALSE,"PAGE2";#N/A,#N/A,FALSE,"PAGE3";#N/A,#N/A,FALSE,"PAGE4";#N/A,#N/A,FALSE,"PAGE5";#N/A,#N/A,FALSE,"PAGE6";#N/A,#N/A,FALSE,"PAGE7";#N/A,#N/A,FALSE,"PAGE8";#N/A,#N/A,FALSE,"PAGE9"}</definedName>
    <definedName name="KKK" hidden="1">#REF!</definedName>
    <definedName name="kkkkk" hidden="1">{#N/A,#N/A,FALSE,"Sheet1"}</definedName>
    <definedName name="kklklklk" hidden="1">{#N/A,#N/A,FALSE,"Sheet1"}</definedName>
    <definedName name="klklkklk" hidden="1">{#N/A,#N/A,FALSE,"COVER";#N/A,#N/A,FALSE,"CONTENTS";#N/A,#N/A,FALSE,"PAGE1";#N/A,#N/A,FALSE,"PAGE2";#N/A,#N/A,FALSE,"PAGE3";#N/A,#N/A,FALSE,"PAGE4";#N/A,#N/A,FALSE,"PAGE5";#N/A,#N/A,FALSE,"PAGE6";#N/A,#N/A,FALSE,"PAGE7";#N/A,#N/A,FALSE,"PAGE8";#N/A,#N/A,FALSE,"PAGE9"}</definedName>
    <definedName name="kokokokoko"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l\" hidden="1">{#N/A,#N/A,FALSE,"COVER";#N/A,#N/A,FALSE,"CONTENTS";#N/A,#N/A,FALSE,"PAGE1";#N/A,#N/A,FALSE,"PAGE2";#N/A,#N/A,FALSE,"PAGE3";#N/A,#N/A,FALSE,"PAGE4";#N/A,#N/A,FALSE,"PAGE5";#N/A,#N/A,FALSE,"PAGE6";#N/A,#N/A,FALSE,"PAGE7";#N/A,#N/A,FALSE,"PAGE8";#N/A,#N/A,FALSE,"PAGE9"}</definedName>
    <definedName name="Law_Account" hidden="1">[19]Topside!$C$1:$C$65536</definedName>
    <definedName name="Law_Accounting_Unit" hidden="1">[19]Topside!$B$1:$B$65536</definedName>
    <definedName name="Law_Company" hidden="1">[19]Topside!$A$1:$A$65536</definedName>
    <definedName name="LC" hidden="1">'[20]10'!$A$1:$A$65536</definedName>
    <definedName name="LIBRO1" hidden="1">#REF!</definedName>
    <definedName name="LK" hidden="1">#REF!</definedName>
    <definedName name="lklklklklk" hidden="1">{#N/A,#N/A,FALSE,"Parts";#N/A,#N/A,FALSE,"FG";#N/A,#N/A,FALSE,"Raw Material";#N/A,#N/A,FALSE,"Resale"}</definedName>
    <definedName name="lklklklklklk" hidden="1">{#N/A,#N/A,FALSE,"COVER";#N/A,#N/A,FALSE,"CONTENTS";#N/A,#N/A,FALSE,"PAGE1";#N/A,#N/A,FALSE,"PAGE2";#N/A,#N/A,FALSE,"PAGE3";#N/A,#N/A,FALSE,"PAGE4";#N/A,#N/A,FALSE,"PAGE5";#N/A,#N/A,FALSE,"PAGE6";#N/A,#N/A,FALSE,"PAGE7";#N/A,#N/A,FALSE,"PAGE8";#N/A,#N/A,FALSE,"PAGE9"}</definedName>
    <definedName name="lkñlkñlk" hidden="1">{#N/A,#N/A,FALSE,"Sheet1"}</definedName>
    <definedName name="LL" hidden="1">{#N/A,#N/A,FALSE,"COVER";#N/A,#N/A,FALSE,"CONTENTS";#N/A,#N/A,FALSE,"PAGE1";#N/A,#N/A,FALSE,"PAGE2";#N/A,#N/A,FALSE,"PAGE3";#N/A,#N/A,FALSE,"PAGE4";#N/A,#N/A,FALSE,"PAGE5";#N/A,#N/A,FALSE,"PAGE6";#N/A,#N/A,FALSE,"PAGE7";#N/A,#N/A,FALSE,"PAGE8";#N/A,#N/A,FALSE,"PAGE9"}</definedName>
    <definedName name="LLL" hidden="1">{#N/A,#N/A,FALSE,"COVER";#N/A,#N/A,FALSE,"CONTENTS";#N/A,#N/A,FALSE,"PAGE1";#N/A,#N/A,FALSE,"PAGE2";#N/A,#N/A,FALSE,"PAGE3";#N/A,#N/A,FALSE,"PAGE4";#N/A,#N/A,FALSE,"PAGE5";#N/A,#N/A,FALSE,"PAGE6";#N/A,#N/A,FALSE,"PAGE7";#N/A,#N/A,FALSE,"PAGE8";#N/A,#N/A,FALSE,"PAGE9"}</definedName>
    <definedName name="lllklk" hidden="1">{#N/A,#N/A,FALSE,"COVER";#N/A,#N/A,FALSE,"CONTENTS";#N/A,#N/A,FALSE,"PAGE1";#N/A,#N/A,FALSE,"PAGE2";#N/A,#N/A,FALSE,"PAGE3";#N/A,#N/A,FALSE,"PAGE4";#N/A,#N/A,FALSE,"PAGE5";#N/A,#N/A,FALSE,"PAGE6";#N/A,#N/A,FALSE,"PAGE7";#N/A,#N/A,FALSE,"PAGE8";#N/A,#N/A,FALSE,"PAGE9"}</definedName>
    <definedName name="LOL" hidden="1">{#N/A,#N/A,FALSE,"ANEX-C MAQUINA";#N/A,#N/A,FALSE,"ANEX-C MANO OB";#N/A,#N/A,FALSE,"COB143SP";#N/A,#N/A,FALSE,"ANEX-C.MATERIAL."}</definedName>
    <definedName name="LOS" hidden="1">{#N/A,#N/A,FALSE,"presentabce";#N/A,#N/A,FALSE,"traspasobac";#N/A,#N/A,FALSE,"capturabce";#N/A,#N/A,FALSE,"presentares";#N/A,#N/A,FALSE,"traspasores";#N/A,#N/A,FALSE,"TRANSACCIONES BUENAS";#N/A,#N/A,FALSE,"caturares"}</definedName>
    <definedName name="lplplplp" hidden="1">{#N/A,#N/A,FALSE,"Sheet1"}</definedName>
    <definedName name="LT_Acct" hidden="1">#REF!</definedName>
    <definedName name="LUIS" hidden="1">{#N/A,#N/A,FALSE,"presentabce";#N/A,#N/A,FALSE,"traspasobac";#N/A,#N/A,FALSE,"capturabce";#N/A,#N/A,FALSE,"presentares";#N/A,#N/A,FALSE,"traspasores";#N/A,#N/A,FALSE,"caturares"}</definedName>
    <definedName name="LUISROBERTO" hidden="1">{#N/A,#N/A,FALSE,"presentabce";#N/A,#N/A,FALSE,"traspasobac";#N/A,#N/A,FALSE,"capturabce";#N/A,#N/A,FALSE,"presentares";#N/A,#N/A,FALSE,"traspasores";#N/A,#N/A,FALSE,"TRANSACCIONES BUENAS";#N/A,#N/A,FALSE,"caturares"}</definedName>
    <definedName name="LWD" hidden="1">{#N/A,#N/A,FALSE,"Parts";#N/A,#N/A,FALSE,"FG";#N/A,#N/A,FALSE,"Raw Material";#N/A,#N/A,FALSE,"Resale"}</definedName>
    <definedName name="Lws_FormVersion_7.0" hidden="1">[19]Topside!$C$1:$C$65536</definedName>
    <definedName name="Lws_SSType_Columns" hidden="1">[19]Topside!$C$1:$C$65536</definedName>
    <definedName name="m" hidden="1">{#N/A,#N/A,FALSE,"Sheet1"}</definedName>
    <definedName name="MARCI" hidden="1">{#N/A,#N/A,FALSE,"Hoja2"}</definedName>
    <definedName name="mary" hidden="1">#REF!</definedName>
    <definedName name="MasterHierarchy" hidden="1">OFFSET([14]MasterTable!$S$6,0,0,COUNTA([14]MasterTable!$S$1:$S$65536)-1,5)</definedName>
    <definedName name="MasterSegments" hidden="1">OFFSET([14]MasterTable!$O$6,0,0,COUNTA([14]MasterTable!$O$1:$O$65536)-1,3)</definedName>
    <definedName name="MasterSegmentsOnly" hidden="1">OFFSET([14]MasterTable!$Q$6,0,0,COUNTA([14]MasterTable!$Q$1:$Q$65536)-1,1)</definedName>
    <definedName name="MasterTable" hidden="1">OFFSET(OFFSET([14]MasterTable!$A$5,1,0),0,0,COUNTA([14]MasterTable!$A$1:$A$65536)-1,7)</definedName>
    <definedName name="MI" hidden="1">{#N/A,#N/A,FALSE,"presentabce";#N/A,#N/A,FALSE,"traspasobac";#N/A,#N/A,FALSE,"capturabce";#N/A,#N/A,FALSE,"presentares";#N/A,#N/A,FALSE,"traspasores";#N/A,#N/A,FALSE,"caturares"}</definedName>
    <definedName name="MIA" hidden="1">{#N/A,#N/A,FALSE,"presentabce";#N/A,#N/A,FALSE,"traspasobac";#N/A,#N/A,FALSE,"capturabce";#N/A,#N/A,FALSE,"presentares";#N/A,#N/A,FALSE,"traspasores";#N/A,#N/A,FALSE,"caturares"}</definedName>
    <definedName name="mimi" hidden="1">{#N/A,#N/A,FALSE,"COVER";#N/A,#N/A,FALSE,"CONTENTS";#N/A,#N/A,FALSE,"PAGE1";#N/A,#N/A,FALSE,"PAGE2";#N/A,#N/A,FALSE,"PAGE3";#N/A,#N/A,FALSE,"PAGE4";#N/A,#N/A,FALSE,"PAGE5";#N/A,#N/A,FALSE,"PAGE6";#N/A,#N/A,FALSE,"PAGE7";#N/A,#N/A,FALSE,"PAGE8";#N/A,#N/A,FALSE,"PAGE9"}</definedName>
    <definedName name="Mimio" hidden="1">{#N/A,#N/A,FALSE,"Parts";#N/A,#N/A,FALSE,"FG";#N/A,#N/A,FALSE,"Raw Material";#N/A,#N/A,FALSE,"Resale"}</definedName>
    <definedName name="mnmnmnmn" hidden="1">{#N/A,#N/A,FALSE,"Sheet1"}</definedName>
    <definedName name="mnsc" hidden="1">#REF!</definedName>
    <definedName name="Mon" hidden="1">{#N/A,#N/A,FALSE,"COVER";#N/A,#N/A,FALSE,"CONTENTS";#N/A,#N/A,FALSE,"PAGE1";#N/A,#N/A,FALSE,"PAGE2";#N/A,#N/A,FALSE,"PAGE3";#N/A,#N/A,FALSE,"PAGE4";#N/A,#N/A,FALSE,"PAGE5";#N/A,#N/A,FALSE,"PAGE6";#N/A,#N/A,FALSE,"PAGE7";#N/A,#N/A,FALSE,"PAGE8";#N/A,#N/A,FALSE,"PAGE9"}</definedName>
    <definedName name="mpdiouwoiruweoiru" hidden="1">{#N/A,#N/A,FALSE,"Sheet1"}</definedName>
    <definedName name="mr" hidden="1">{#N/A,#N/A,FALSE,"Sheet1"}</definedName>
    <definedName name="mrr" hidden="1">{#N/A,#N/A,FALSE,"Sheet1"}</definedName>
    <definedName name="mrrrrrrr" hidden="1">{#N/A,#N/A,FALSE,"Sheet1"}</definedName>
    <definedName name="mrrrrrrrrrr" hidden="1">{#N/A,#N/A,FALSE,"Sheet1"}</definedName>
    <definedName name="mrtyut" hidden="1">{#N/A,#N/A,FALSE,"Sheet1"}</definedName>
    <definedName name="muestreo" hidden="1">{#N/A,#N/A,FALSE,"Aging Summary";#N/A,#N/A,FALSE,"Ratio Analysis";#N/A,#N/A,FALSE,"Test 120 Day Accts";#N/A,#N/A,FALSE,"Tickmarks"}</definedName>
    <definedName name="mvshfgsajh" hidden="1">{#N/A,#N/A,FALSE,"Hoja2"}</definedName>
    <definedName name="MVSINTERGRA" hidden="1">{#N/A,#N/A,FALSE,"Hoja2"}</definedName>
    <definedName name="mvsoct3" hidden="1">{#N/A,#N/A,FALSE,"presentabce";#N/A,#N/A,FALSE,"traspasobac";#N/A,#N/A,FALSE,"capturabce";#N/A,#N/A,FALSE,"presentares";#N/A,#N/A,FALSE,"traspasores";#N/A,#N/A,FALSE,"caturares"}</definedName>
    <definedName name="mzoojho" hidden="1">{#N/A,#N/A,FALSE,"presentabce";#N/A,#N/A,FALSE,"traspasobac";#N/A,#N/A,FALSE,"capturabce";#N/A,#N/A,FALSE,"presentares";#N/A,#N/A,FALSE,"traspasores";#N/A,#N/A,FALSE,"caturares"}</definedName>
    <definedName name="n" hidden="1">#REF!</definedName>
    <definedName name="n_AcctCurrAmount" hidden="1">#REF!</definedName>
    <definedName name="n_GLAmountRv" hidden="1">#REF!</definedName>
    <definedName name="N0" hidden="1">{#N/A,#N/A,FALSE,"Hoja2"}</definedName>
    <definedName name="Name" hidden="1">{#N/A,#N/A,FALSE,"COVER";#N/A,#N/A,FALSE,"CONTENTS";#N/A,#N/A,FALSE,"PAGE1";#N/A,#N/A,FALSE,"PAGE2";#N/A,#N/A,FALSE,"PAGE3";#N/A,#N/A,FALSE,"PAGE4";#N/A,#N/A,FALSE,"PAGE5";#N/A,#N/A,FALSE,"PAGE6";#N/A,#N/A,FALSE,"PAGE7";#N/A,#N/A,FALSE,"PAGE8";#N/A,#N/A,FALSE,"PAGE9"}</definedName>
    <definedName name="Ney_2" hidden="1">'[9]var dic'!#REF!</definedName>
    <definedName name="ng" hidden="1">{#N/A,#N/A,TRUE,"AFE";#N/A,#N/A,TRUE,"Tangible";#N/A,#N/A,TRUE,"Construction";#N/A,#N/A,TRUE,"Rignmud";#N/A,#N/A,TRUE,"Bitnddr";#N/A,#N/A,TRUE,"Cmtdesign";#N/A,#N/A,TRUE,"Pumpfee";#N/A,#N/A,TRUE,"Corendst";#N/A,#N/A,TRUE,"Ohlogging";#N/A,#N/A,TRUE,"Perforating";#N/A,#N/A,TRUE,"Chlogging";#N/A,#N/A,TRUE,"Stimulation";#N/A,#N/A,TRUE,"Completion";#N/A,#N/A,TRUE,"General"}</definedName>
    <definedName name="NG18CHT" hidden="1">{#N/A,#N/A,TRUE,"AFE";#N/A,#N/A,TRUE,"Tangible";#N/A,#N/A,TRUE,"Construction";#N/A,#N/A,TRUE,"Rignmud";#N/A,#N/A,TRUE,"Bitnddr";#N/A,#N/A,TRUE,"Cmtdesign";#N/A,#N/A,TRUE,"Pumpfee";#N/A,#N/A,TRUE,"Corendst";#N/A,#N/A,TRUE,"Ohlogging";#N/A,#N/A,TRUE,"Perforating";#N/A,#N/A,TRUE,"Chlogging";#N/A,#N/A,TRUE,"Stimulation";#N/A,#N/A,TRUE,"Completion";#N/A,#N/A,TRUE,"General"}</definedName>
    <definedName name="ng18cht1" hidden="1">{#N/A,#N/A,TRUE,"AFE";#N/A,#N/A,TRUE,"Tangible";#N/A,#N/A,TRUE,"Construction";#N/A,#N/A,TRUE,"Rignmud";#N/A,#N/A,TRUE,"Bitnddr";#N/A,#N/A,TRUE,"Cmtdesign";#N/A,#N/A,TRUE,"Pumpfee";#N/A,#N/A,TRUE,"Corendst";#N/A,#N/A,TRUE,"Ohlogging";#N/A,#N/A,TRUE,"Perforating";#N/A,#N/A,TRUE,"Chlogging";#N/A,#N/A,TRUE,"Stimulation";#N/A,#N/A,TRUE,"Completion";#N/A,#N/A,TRUE,"General"}</definedName>
    <definedName name="ngg" hidden="1">{#N/A,#N/A,TRUE,"AFE";#N/A,#N/A,TRUE,"Tangible";#N/A,#N/A,TRUE,"Construction";#N/A,#N/A,TRUE,"Rignmud";#N/A,#N/A,TRUE,"Bitnddr";#N/A,#N/A,TRUE,"Cmtdesign";#N/A,#N/A,TRUE,"Pumpfee";#N/A,#N/A,TRUE,"Corendst";#N/A,#N/A,TRUE,"Ohlogging";#N/A,#N/A,TRUE,"Perforating";#N/A,#N/A,TRUE,"Chlogging";#N/A,#N/A,TRUE,"Stimulation";#N/A,#N/A,TRUE,"Completion";#N/A,#N/A,TRUE,"General"}</definedName>
    <definedName name="nggggggg" hidden="1">{#N/A,#N/A,TRUE,"AFE";#N/A,#N/A,TRUE,"Tangible";#N/A,#N/A,TRUE,"Construction";#N/A,#N/A,TRUE,"Rignmud";#N/A,#N/A,TRUE,"Bitnddr";#N/A,#N/A,TRUE,"Cmtdesign";#N/A,#N/A,TRUE,"Pumpfee";#N/A,#N/A,TRUE,"Corendst";#N/A,#N/A,TRUE,"Ohlogging";#N/A,#N/A,TRUE,"Perforating";#N/A,#N/A,TRUE,"Chlogging";#N/A,#N/A,TRUE,"Stimulation";#N/A,#N/A,TRUE,"Completion";#N/A,#N/A,TRUE,"General"}</definedName>
    <definedName name="ngggggggggg" hidden="1">{#N/A,#N/A,TRUE,"AFE";#N/A,#N/A,TRUE,"Tangible";#N/A,#N/A,TRUE,"Construction";#N/A,#N/A,TRUE,"Rignmud";#N/A,#N/A,TRUE,"Bitnddr";#N/A,#N/A,TRUE,"Cmtdesign";#N/A,#N/A,TRUE,"Pumpfee";#N/A,#N/A,TRUE,"Corendst";#N/A,#N/A,TRUE,"Ohlogging";#N/A,#N/A,TRUE,"Perforating";#N/A,#N/A,TRUE,"Chlogging";#N/A,#N/A,TRUE,"Stimulation";#N/A,#N/A,TRUE,"Completion";#N/A,#N/A,TRUE,"General"}</definedName>
    <definedName name="ngn" hidden="1">{#N/A,#N/A,TRUE,"AFE";#N/A,#N/A,TRUE,"Tangible";#N/A,#N/A,TRUE,"Construction";#N/A,#N/A,TRUE,"Rignmud";#N/A,#N/A,TRUE,"Bitnddr";#N/A,#N/A,TRUE,"Cmtdesign";#N/A,#N/A,TRUE,"Pumpfee";#N/A,#N/A,TRUE,"Corendst";#N/A,#N/A,TRUE,"Ohlogging";#N/A,#N/A,TRUE,"Perforating";#N/A,#N/A,TRUE,"Chlogging";#N/A,#N/A,TRUE,"Stimulation";#N/A,#N/A,TRUE,"Completion";#N/A,#N/A,TRUE,"General"}</definedName>
    <definedName name="NKM" hidden="1">#REF!</definedName>
    <definedName name="nm" hidden="1">{#N/A,#N/A,FALSE,"PMRAD92";#N/A,#N/A,FALSE,"FINRAD93";#N/A,#N/A,FALSE,"RDORAD93";#N/A,#N/A,FALSE,"GRADBC93";#N/A,#N/A,FALSE,"GRADBC92";#N/A,#N/A,FALSE,"REDRAD92";#N/A,#N/A,FALSE,"PMRAD93"}</definedName>
    <definedName name="NO" hidden="1">{#N/A,#N/A,FALSE,"Hoja2"}</definedName>
    <definedName name="NOM" hidden="1">#REF!</definedName>
    <definedName name="NOO" hidden="1">{#N/A,#N/A,FALSE,"PMRAD92";#N/A,#N/A,FALSE,"FINRAD93";#N/A,#N/A,FALSE,"RDORAD93";#N/A,#N/A,FALSE,"GRADBC93";#N/A,#N/A,FALSE,"GRADBC92";#N/A,#N/A,FALSE,"REDRAD92";#N/A,#N/A,FALSE,"PMRAD93"}</definedName>
    <definedName name="NOSE" hidden="1">{#N/A,#N/A,FALSE,"ANEX-C MAQUINA";#N/A,#N/A,FALSE,"ANEX-C MANO OB";#N/A,#N/A,FALSE,"COB143SP";#N/A,#N/A,FALSE,"ANEX-C.MATERIAL."}</definedName>
    <definedName name="NUEVO" hidden="1">#REF!</definedName>
    <definedName name="ñklklklklk" hidden="1">{#N/A,#N/A,FALSE,"Hoja2"}</definedName>
    <definedName name="ñlkñlkñ" hidden="1">{#N/A,#N/A,FALSE,"Parts";#N/A,#N/A,FALSE,"FG";#N/A,#N/A,FALSE,"Raw Material";#N/A,#N/A,FALSE,"Resale"}</definedName>
    <definedName name="O" hidden="1">{#N/A,#N/A,FALSE,"PMRAD92";#N/A,#N/A,FALSE,"FINRAD93";#N/A,#N/A,FALSE,"RDORAD93";#N/A,#N/A,FALSE,"GRADBC93";#N/A,#N/A,FALSE,"GRADBC92";#N/A,#N/A,FALSE,"REDRAD92";#N/A,#N/A,FALSE,"PMRAD93"}</definedName>
    <definedName name="oct06n" hidden="1">{#N/A,#N/A,FALSE,"Sheet1"}</definedName>
    <definedName name="octintegra" hidden="1">{#N/A,#N/A,FALSE,"presentabce";#N/A,#N/A,FALSE,"presentares";#N/A,#N/A,FALSE,"traspasobac";#N/A,#N/A,FALSE,"traspasores";#N/A,#N/A,FALSE,"capturabce";#N/A,#N/A,FALSE,"caturares"}</definedName>
    <definedName name="octt" hidden="1">{#N/A,#N/A,FALSE,"Sheet1"}</definedName>
    <definedName name="octttttt" hidden="1">{#N/A,#N/A,FALSE,"Sheet1"}</definedName>
    <definedName name="octtttttt" hidden="1">{#N/A,#N/A,FALSE,"Sheet1"}</definedName>
    <definedName name="octttttttt" hidden="1">{#N/A,#N/A,FALSE,"Sheet1"}</definedName>
    <definedName name="octtttttttttt" hidden="1">{#N/A,#N/A,FALSE,"Sheet1"}</definedName>
    <definedName name="octttttttttttttttttt" hidden="1">{#N/A,#N/A,FALSE,"Sheet1"}</definedName>
    <definedName name="octyuydtu" hidden="1">{#N/A,#N/A,FALSE,"Sheet1"}</definedName>
    <definedName name="OFSDatabase" hidden="1">OFFSET(#REF!,0,0,COUNTA(#REF!),10)</definedName>
    <definedName name="OFSRptList" hidden="1">OFFSET([14]Control!$CY$1,0,0,COUNTA([14]Control!$CY$1:$CY$65536),1)</definedName>
    <definedName name="OIlphase" hidden="1">{#N/A,#N/A,FALSE,"Parts";#N/A,#N/A,FALSE,"FG";#N/A,#N/A,FALSE,"Raw Material";#N/A,#N/A,FALSE,"Resale"}</definedName>
    <definedName name="OK" hidden="1">{#N/A,#N/A,FALSE,"Hoja2"}</definedName>
    <definedName name="omdo" hidden="1">{#N/A,#N/A,TRUE,"AFE";#N/A,#N/A,TRUE,"Tangible";#N/A,#N/A,TRUE,"Construction";#N/A,#N/A,TRUE,"Rignmud";#N/A,#N/A,TRUE,"Bitnddr";#N/A,#N/A,TRUE,"Cmtdesign";#N/A,#N/A,TRUE,"Pumpfee";#N/A,#N/A,TRUE,"Corendst";#N/A,#N/A,TRUE,"Ohlogging";#N/A,#N/A,TRUE,"Perforating";#N/A,#N/A,TRUE,"Chlogging";#N/A,#N/A,TRUE,"Stimulation";#N/A,#N/A,TRUE,"Completion";#N/A,#N/A,TRUE,"General"}</definedName>
    <definedName name="OO" hidden="1">{#N/A,#N/A,FALSE,"Parts";#N/A,#N/A,FALSE,"FG";#N/A,#N/A,FALSE,"Raw Material";#N/A,#N/A,FALSE,"Resale"}</definedName>
    <definedName name="ooooo" hidden="1">{#N/A,#N/A,FALSE,"COVER";#N/A,#N/A,FALSE,"CONTENTS";#N/A,#N/A,FALSE,"PAGE1";#N/A,#N/A,FALSE,"PAGE2";#N/A,#N/A,FALSE,"PAGE3";#N/A,#N/A,FALSE,"PAGE4";#N/A,#N/A,FALSE,"PAGE5";#N/A,#N/A,FALSE,"PAGE6";#N/A,#N/A,FALSE,"PAGE7";#N/A,#N/A,FALSE,"PAGE8";#N/A,#N/A,FALSE,"PAGE9"}</definedName>
    <definedName name="OSC" hidden="1">#REF!</definedName>
    <definedName name="ouiouio" hidden="1">{#N/A,#N/A,TRUE,"AFE";#N/A,#N/A,TRUE,"Tangible";#N/A,#N/A,TRUE,"Construction";#N/A,#N/A,TRUE,"Rignmud";#N/A,#N/A,TRUE,"Bitnddr";#N/A,#N/A,TRUE,"Cmtdesign";#N/A,#N/A,TRUE,"Pumpfee";#N/A,#N/A,TRUE,"Corendst";#N/A,#N/A,TRUE,"Ohlogging";#N/A,#N/A,TRUE,"Perforating";#N/A,#N/A,TRUE,"Chlogging";#N/A,#N/A,TRUE,"Stimulation";#N/A,#N/A,TRUE,"Completion";#N/A,#N/A,TRUE,"General"}</definedName>
    <definedName name="P" hidden="1">{#N/A,#N/A,FALSE,"EDOCAM93";#N/A,#N/A,FALSE,"PMRAD92";#N/A,#N/A,FALSE,"EDORES93";#N/A,#N/A,FALSE,"RDORAD93";#N/A,#N/A,FALSE,"GRADBC93";#N/A,#N/A,FALSE,"GRADBC92";#N/A,#N/A,FALSE,"REDRAD92";#N/A,#N/A,FALSE,"PMRAD93";#N/A,#N/A,FALSE,"PMRAD92"}</definedName>
    <definedName name="Pal_Workbook_GUID" hidden="1">"LAC6KJXLZT6GIDN5PE9A9LKJ"</definedName>
    <definedName name="PeerTickers" hidden="1">#REF!</definedName>
    <definedName name="PEPE" hidden="1">[21]Hoja1!#REF!</definedName>
    <definedName name="pilar" hidden="1">{#N/A,#N/A,FALSE,"ANEX-C MAQUINA";#N/A,#N/A,FALSE,"ANEX-C MANO OB";#N/A,#N/A,FALSE,"COB143SP";#N/A,#N/A,FALSE,"ANEX-C.MATERIAL."}</definedName>
    <definedName name="po" hidden="1">{#N/A,#N/A,FALSE,"presentabce";#N/A,#N/A,FALSE,"traspasobac";#N/A,#N/A,FALSE,"capturabce";#N/A,#N/A,FALSE,"presentares";#N/A,#N/A,FALSE,"traspasores";#N/A,#N/A,FALSE,"caturares"}</definedName>
    <definedName name="poiopipi" hidden="1">{#N/A,#N/A,FALSE,"Hoja2"}</definedName>
    <definedName name="pop" hidden="1">#REF!</definedName>
    <definedName name="ppipoipoipi" hidden="1">{#N/A,#N/A,FALSE,"DMC schedule";#N/A,#N/A,FALSE,"DMC_THC Revenue";#N/A,#N/A,FALSE,"Personnel plan";#N/A,#N/A,FALSE,"Capex HW+SW";#N/A,#N/A,FALSE,"P&amp;L"}</definedName>
    <definedName name="PPO" hidden="1">{#N/A,#N/A,FALSE,"COVER";#N/A,#N/A,FALSE,"CONTENTS";#N/A,#N/A,FALSE,"PAGE1";#N/A,#N/A,FALSE,"PAGE2";#N/A,#N/A,FALSE,"PAGE3";#N/A,#N/A,FALSE,"PAGE4";#N/A,#N/A,FALSE,"PAGE5";#N/A,#N/A,FALSE,"PAGE6";#N/A,#N/A,FALSE,"PAGE7";#N/A,#N/A,FALSE,"PAGE8";#N/A,#N/A,FALSE,"PAGE9"}</definedName>
    <definedName name="pr" hidden="1">{#N/A,#N/A,FALSE,"ANEX-C MAQUINA";#N/A,#N/A,FALSE,"ANEX-C MANO OB";#N/A,#N/A,FALSE,"COB143SP";#N/A,#N/A,FALSE,"ANEX-C.MATERIAL."}</definedName>
    <definedName name="PRB" hidden="1">{#N/A,#N/A,FALSE,"Parts";#N/A,#N/A,FALSE,"FG";#N/A,#N/A,FALSE,"Raw Material";#N/A,#N/A,FALSE,"Resale"}</definedName>
    <definedName name="prt" hidden="1">{#N/A,#N/A,FALSE,"ANEX-C MAQUINA";#N/A,#N/A,FALSE,"ANEX-C MANO OB";#N/A,#N/A,FALSE,"COB143SP";#N/A,#N/A,FALSE,"ANEX-C.MATERIAL."}</definedName>
    <definedName name="Prueba" hidden="1">{#N/A,#N/A,FALSE,"Parts";#N/A,#N/A,FALSE,"FG";#N/A,#N/A,FALSE,"Raw Material";#N/A,#N/A,FALSE,"Resale"}</definedName>
    <definedName name="PTOSI" hidden="1">{#N/A,#N/A,FALSE,"Parts";#N/A,#N/A,FALSE,"FG";#N/A,#N/A,FALSE,"Raw Material";#N/A,#N/A,FALSE,"Resale"}</definedName>
    <definedName name="Q" hidden="1">{#N/A,#N/A,FALSE,"Hoja2"}</definedName>
    <definedName name="qeqwe" hidden="1">{#N/A,#N/A,FALSE,"Parts";#N/A,#N/A,FALSE,"FG";#N/A,#N/A,FALSE,"Raw Material";#N/A,#N/A,FALSE,"Resale"}</definedName>
    <definedName name="qeqweq" hidden="1">{#N/A,#N/A,FALSE,"COVER";#N/A,#N/A,FALSE,"CONTENTS";#N/A,#N/A,FALSE,"PAGE1";#N/A,#N/A,FALSE,"PAGE2";#N/A,#N/A,FALSE,"PAGE3";#N/A,#N/A,FALSE,"PAGE4";#N/A,#N/A,FALSE,"PAGE5";#N/A,#N/A,FALSE,"PAGE6";#N/A,#N/A,FALSE,"PAGE7";#N/A,#N/A,FALSE,"PAGE8";#N/A,#N/A,FALSE,"PAGE9"}</definedName>
    <definedName name="qeqweqe" hidden="1">{#N/A,#N/A,FALSE,"presentabce";#N/A,#N/A,FALSE,"traspasobac";#N/A,#N/A,FALSE,"capturabce";#N/A,#N/A,FALSE,"presentares";#N/A,#N/A,FALSE,"traspasores";#N/A,#N/A,FALSE,"caturares"}</definedName>
    <definedName name="qeqweqwe" hidden="1">{#N/A,#N/A,FALSE,"Sheet1"}</definedName>
    <definedName name="qeqweqweqw" hidden="1">{#N/A,#N/A,FALSE,"DMC schedule";#N/A,#N/A,FALSE,"DMC_THC Revenue";#N/A,#N/A,FALSE,"Personnel plan";#N/A,#N/A,FALSE,"Capex HW+SW";#N/A,#N/A,FALSE,"P&amp;L"}</definedName>
    <definedName name="qeqweqweqwds" hidden="1">{#N/A,#N/A,FALSE,"presentabce";#N/A,#N/A,FALSE,"traspasobac";#N/A,#N/A,FALSE,"capturabce";#N/A,#N/A,FALSE,"presentares";#N/A,#N/A,FALSE,"traspasores";#N/A,#N/A,FALSE,"caturares"}</definedName>
    <definedName name="QQ" hidden="1">{#N/A,#N/A,FALSE,"PMRAD92";#N/A,#N/A,FALSE,"FINRAD93";#N/A,#N/A,FALSE,"RDORAD93";#N/A,#N/A,FALSE,"GRADBC93";#N/A,#N/A,FALSE,"GRADBC92";#N/A,#N/A,FALSE,"REDRAD92";#N/A,#N/A,FALSE,"PMRAD93"}</definedName>
    <definedName name="qqeqeqweqwe" hidden="1">{#N/A,#N/A,FALSE,"ANEX-C MAQUINA";#N/A,#N/A,FALSE,"ANEX-C MANO OB";#N/A,#N/A,FALSE,"COB143SP";#N/A,#N/A,FALSE,"ANEX-C.MATERIAL."}</definedName>
    <definedName name="QQQ" hidden="1">{#N/A,#N/A,FALSE,"presentabce";#N/A,#N/A,FALSE,"traspasobac";#N/A,#N/A,FALSE,"capturabce";#N/A,#N/A,FALSE,"presentares";#N/A,#N/A,FALSE,"traspasores";#N/A,#N/A,FALSE,"caturares"}</definedName>
    <definedName name="QQQQ" hidden="1">{#N/A,#N/A,FALSE,"presentabce";#N/A,#N/A,FALSE,"traspasobac";#N/A,#N/A,FALSE,"capturabce";#N/A,#N/A,FALSE,"presentares";#N/A,#N/A,FALSE,"traspasores";#N/A,#N/A,FALSE,"caturares"}</definedName>
    <definedName name="QQQQQ" hidden="1">{#N/A,#N/A,FALSE,"EDOCAM93";#N/A,#N/A,FALSE,"PMRAD92";#N/A,#N/A,FALSE,"EDORES93";#N/A,#N/A,FALSE,"RDORAD93";#N/A,#N/A,FALSE,"GRADBC93";#N/A,#N/A,FALSE,"GRADBC92";#N/A,#N/A,FALSE,"REDRAD92";#N/A,#N/A,FALSE,"PMRAD93";#N/A,#N/A,FALSE,"PMRAD92"}</definedName>
    <definedName name="QQQQQQ" hidden="1">{#N/A,#N/A,FALSE,"presentabce";#N/A,#N/A,FALSE,"presentares";#N/A,#N/A,FALSE,"traspasobac";#N/A,#N/A,FALSE,"traspasores";#N/A,#N/A,FALSE,"capturabce";#N/A,#N/A,FALSE,"caturares"}</definedName>
    <definedName name="QQQQQQQ" hidden="1">{#N/A,#N/A,FALSE,"presentabce";#N/A,#N/A,FALSE,"traspasobac";#N/A,#N/A,FALSE,"capturabce";#N/A,#N/A,FALSE,"presentares";#N/A,#N/A,FALSE,"traspasores";#N/A,#N/A,FALSE,"TRANSACCIONES BUENAS";#N/A,#N/A,FALSE,"caturares"}</definedName>
    <definedName name="QQQQQQQQ" hidden="1">{#N/A,#N/A,FALSE,"presentabce";#N/A,#N/A,FALSE,"traspasobac";#N/A,#N/A,FALSE,"capturabce";#N/A,#N/A,FALSE,"presentares";#N/A,#N/A,FALSE,"traspasores";#N/A,#N/A,FALSE,"caturares"}</definedName>
    <definedName name="QQQQQQQQQQQQQQQ" hidden="1">{#N/A,#N/A,FALSE,"Sheet1"}</definedName>
    <definedName name="qweqeqe" hidden="1">#REF!</definedName>
    <definedName name="raton" hidden="1">[22]IX!#REF!</definedName>
    <definedName name="RECON" hidden="1">#REF!</definedName>
    <definedName name="REP" hidden="1">{#N/A,#N/A,FALSE,"Sheet1"}</definedName>
    <definedName name="ReportAs" hidden="1">OFFSET([14]Control!$A$2,0,0,COUNTA([14]Control!$A$1:$A$65536)-1,1)</definedName>
    <definedName name="ReportBs" hidden="1">OFFSET([14]Control!$AP$2,0,0,COUNTA([14]Control!$AP$1:$AP$65536)-1,1)</definedName>
    <definedName name="ReportM" hidden="1">[14]Control!$CP$4</definedName>
    <definedName name="ReportPG" hidden="1">[14]Control!$CP$2</definedName>
    <definedName name="ReportPGs" hidden="1">OFFSET(OFFSET([14]Control!$CO$1,1,0),0,0,COUNTA([14]Control!$CO$1:$CO$65536)-1,1)</definedName>
    <definedName name="ReportY" hidden="1">[14]Control!$CP$6</definedName>
    <definedName name="RESUMAN" hidden="1">#REF!</definedName>
    <definedName name="Revised" hidden="1">{#N/A,#N/A,FALSE,"Parts";#N/A,#N/A,FALSE,"FG";#N/A,#N/A,FALSE,"Raw Material";#N/A,#N/A,FALSE,"Resale"}</definedName>
    <definedName name="rfew" hidden="1">{#N/A,#N/A,FALSE,"COVER";#N/A,#N/A,FALSE,"CONTENTS";#N/A,#N/A,FALSE,"PAGE1";#N/A,#N/A,FALSE,"PAGE2";#N/A,#N/A,FALSE,"PAGE3";#N/A,#N/A,FALSE,"PAGE4";#N/A,#N/A,FALSE,"PAGE5";#N/A,#N/A,FALSE,"PAGE6";#N/A,#N/A,FALSE,"PAGE7";#N/A,#N/A,FALSE,"PAGE8";#N/A,#N/A,FALSE,"PAGE9"}</definedName>
    <definedName name="RGGRGREGQTF" hidden="1">{#N/A,#N/A,FALSE,"Hoja2"}</definedName>
    <definedName name="RiskAfterRecalcMacro" hidden="1">""</definedName>
    <definedName name="RiskAfterSimMacro" hidden="1">""</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oos" hidden="1">[23]IX!#REF!</definedName>
    <definedName name="roos2" hidden="1">#REF!</definedName>
    <definedName name="RptMonth" hidden="1">[14]Control!$CI$2:$CI$13</definedName>
    <definedName name="RptYear" hidden="1">[14]Control!$CJ$2:$CJ$9</definedName>
    <definedName name="rrr" hidden="1">#REF!</definedName>
    <definedName name="rrrrrrr" hidden="1">{#N/A,#N/A,FALSE,"Parts";#N/A,#N/A,FALSE,"FG";#N/A,#N/A,FALSE,"Raw Material";#N/A,#N/A,FALSE,"Resale"}</definedName>
    <definedName name="rwerwerwe" hidden="1">{#N/A,#N/A,FALSE,"Hoja2"}</definedName>
    <definedName name="rwrwerwe" hidden="1">{#N/A,#N/A,FALSE,"Sheet1"}</definedName>
    <definedName name="Rwvu.Q1._.1995." hidden="1">[24]Sales!$G$1:$O$65536,[24]Sales!$T$1:$AB$65536</definedName>
    <definedName name="Rwvu.Q2._.1995." hidden="1">[24]Sales!$D$1:$F$65536,[24]Sales!$J$1:$O$65536,[24]Sales!$Q$1:$S$65536,[24]Sales!$W$1:$AB$65536</definedName>
    <definedName name="SabanaFinal" hidden="1">{#N/A,#N/A,FALSE,"ANEX-C MAQUINA";#N/A,#N/A,FALSE,"ANEX-C MANO OB";#N/A,#N/A,FALSE,"COB143SP";#N/A,#N/A,FALSE,"ANEX-C.MATERIAL."}</definedName>
    <definedName name="sadadasda"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sadsf" hidden="1">#REF!</definedName>
    <definedName name="SAlir" hidden="1">{#N/A,#N/A,FALSE,"Parts";#N/A,#N/A,FALSE,"FG";#N/A,#N/A,FALSE,"Raw Material";#N/A,#N/A,FALSE,"Resale"}</definedName>
    <definedName name="SAPBEXdnldView" hidden="1">"46ONTXFVMMJKM7G9NJ5GMR6OU"</definedName>
    <definedName name="SAPBEXsysID" hidden="1">"PW1"</definedName>
    <definedName name="sas" hidden="1">{#N/A,#N/A,FALSE,"Parts";#N/A,#N/A,FALSE,"FG";#N/A,#N/A,FALSE,"Raw Material";#N/A,#N/A,FALSE,"Resale"}</definedName>
    <definedName name="scen_result" hidden="1">#VALUE!</definedName>
    <definedName name="sd" hidden="1">{#N/A,#N/A,FALSE,"presentabce";#N/A,#N/A,FALSE,"traspasobac";#N/A,#N/A,FALSE,"capturabce";#N/A,#N/A,FALSE,"presentares";#N/A,#N/A,FALSE,"traspasores";#N/A,#N/A,FALSE,"caturares"}</definedName>
    <definedName name="sda" hidden="1">#REF!</definedName>
    <definedName name="sdasdfas" hidden="1">{#N/A,#N/A,FALSE,"Hoja2"}</definedName>
    <definedName name="sdd" hidden="1">{#N/A,#N/A,FALSE,"EDOCAM93";#N/A,#N/A,FALSE,"PMRAD92";#N/A,#N/A,FALSE,"EDORES93";#N/A,#N/A,FALSE,"RDORAD93";#N/A,#N/A,FALSE,"GRADBC93";#N/A,#N/A,FALSE,"GRADBC92";#N/A,#N/A,FALSE,"REDRAD92";#N/A,#N/A,FALSE,"PMRAD93";#N/A,#N/A,FALSE,"PMRAD92"}</definedName>
    <definedName name="sdf" hidden="1">{#N/A,#N/A,FALSE,"Parts";#N/A,#N/A,FALSE,"FG";#N/A,#N/A,FALSE,"Raw Material";#N/A,#N/A,FALSE,"Resale"}</definedName>
    <definedName name="sdfsds" hidden="1">{#N/A,#N/A,FALSE,"Sheet1"}</definedName>
    <definedName name="sdsdsdsd" hidden="1">{#N/A,#N/A,TRUE,"AFE";#N/A,#N/A,TRUE,"Tangible";#N/A,#N/A,TRUE,"Construction";#N/A,#N/A,TRUE,"Rignmud";#N/A,#N/A,TRUE,"Bitnddr";#N/A,#N/A,TRUE,"Cmtdesign";#N/A,#N/A,TRUE,"Pumpfee";#N/A,#N/A,TRUE,"Corendst";#N/A,#N/A,TRUE,"Ohlogging";#N/A,#N/A,TRUE,"Perforating";#N/A,#N/A,TRUE,"Chlogging";#N/A,#N/A,TRUE,"Stimulation";#N/A,#N/A,TRUE,"Completion";#N/A,#N/A,TRUE,"General"}</definedName>
    <definedName name="sdssad" hidden="1">#REF!</definedName>
    <definedName name="sdssd" hidden="1">#REF!</definedName>
    <definedName name="sdwe" hidden="1">#REF!</definedName>
    <definedName name="se" hidden="1">{#N/A,#N/A,FALSE,"Parts";#N/A,#N/A,FALSE,"FG";#N/A,#N/A,FALSE,"Raw Material";#N/A,#N/A,FALSE,"Resale"}</definedName>
    <definedName name="seppp" hidden="1">{#N/A,#N/A,FALSE,"presentabce";#N/A,#N/A,FALSE,"traspasobac";#N/A,#N/A,FALSE,"capturabce";#N/A,#N/A,FALSE,"presentares";#N/A,#N/A,FALSE,"traspasores";#N/A,#N/A,FALSE,"TRANSACCIONES BUENAS";#N/A,#N/A,FALSE,"caturares"}</definedName>
    <definedName name="sepppp" hidden="1">{#N/A,#N/A,FALSE,"presentabce";#N/A,#N/A,FALSE,"traspasobac";#N/A,#N/A,FALSE,"capturabce";#N/A,#N/A,FALSE,"presentares";#N/A,#N/A,FALSE,"traspasores";#N/A,#N/A,FALSE,"caturares"}</definedName>
    <definedName name="sepppppp" hidden="1">{#N/A,#N/A,FALSE,"presentabce";#N/A,#N/A,FALSE,"traspasobac";#N/A,#N/A,FALSE,"capturabce";#N/A,#N/A,FALSE,"presentares";#N/A,#N/A,FALSE,"traspasores";#N/A,#N/A,FALSE,"caturares"}</definedName>
    <definedName name="sept04" hidden="1">{#N/A,#N/A,FALSE,"Hoja2"}</definedName>
    <definedName name="septi04" hidden="1">{#N/A,#N/A,FALSE,"PMRAD92";#N/A,#N/A,FALSE,"FINRAD93";#N/A,#N/A,FALSE,"RDORAD93";#N/A,#N/A,FALSE,"GRADBC93";#N/A,#N/A,FALSE,"GRADBC92";#N/A,#N/A,FALSE,"REDRAD92";#N/A,#N/A,FALSE,"PMRAD93"}</definedName>
    <definedName name="septiembre04" hidden="1">{#N/A,#N/A,FALSE,"Hoja2"}</definedName>
    <definedName name="sfdc" hidden="1">{#N/A,#N/A,FALSE,"presentabce";#N/A,#N/A,FALSE,"traspasobac";#N/A,#N/A,FALSE,"capturabce";#N/A,#N/A,FALSE,"presentares";#N/A,#N/A,FALSE,"traspasores";#N/A,#N/A,FALSE,"TRANSACCIONES BUENAS";#N/A,#N/A,FALSE,"caturares"}</definedName>
    <definedName name="sfdf" hidden="1">{#N/A,#N/A,FALSE,"presentabce";#N/A,#N/A,FALSE,"traspasobac";#N/A,#N/A,FALSE,"capturabce";#N/A,#N/A,FALSE,"presentares";#N/A,#N/A,FALSE,"traspasores";#N/A,#N/A,FALSE,"caturares"}</definedName>
    <definedName name="sfsdf" hidden="1">{#N/A,#N/A,FALSE,"Sheet1"}</definedName>
    <definedName name="sfsdfd" hidden="1">{#N/A,#N/A,FALSE,"presentabce";#N/A,#N/A,FALSE,"traspasobac";#N/A,#N/A,FALSE,"capturabce";#N/A,#N/A,FALSE,"presentares";#N/A,#N/A,FALSE,"traspasores";#N/A,#N/A,FALSE,"TRANSACCIONES BUENAS";#N/A,#N/A,FALSE,"caturares"}</definedName>
    <definedName name="sfsdfg" hidden="1">{#N/A,#N/A,FALSE,"PMRAD92";#N/A,#N/A,FALSE,"FINRAD93";#N/A,#N/A,FALSE,"RDORAD93";#N/A,#N/A,FALSE,"GRADBC93";#N/A,#N/A,FALSE,"GRADBC92";#N/A,#N/A,FALSE,"REDRAD92";#N/A,#N/A,FALSE,"PMRAD93"}</definedName>
    <definedName name="sfsdfsdfs" hidden="1">{#N/A,#N/A,FALSE,"ANEX-C MAQUINA";#N/A,#N/A,FALSE,"ANEX-C MANO OB";#N/A,#N/A,FALSE,"COB143SP";#N/A,#N/A,FALSE,"ANEX-C.MATERIAL."}</definedName>
    <definedName name="sfsdfsdfsf" hidden="1">{#N/A,#N/A,FALSE,"Sheet1"}</definedName>
    <definedName name="sfsdfsds" hidden="1">{#N/A,#N/A,FALSE,"presentabce";#N/A,#N/A,FALSE,"presentares";#N/A,#N/A,FALSE,"traspasobac";#N/A,#N/A,FALSE,"traspasores";#N/A,#N/A,FALSE,"capturabce";#N/A,#N/A,FALSE,"caturares"}</definedName>
    <definedName name="sfsdfsf" hidden="1">{#N/A,#N/A,FALSE,"COVER";#N/A,#N/A,FALSE,"CONTENTS";#N/A,#N/A,FALSE,"PAGE1";#N/A,#N/A,FALSE,"PAGE2";#N/A,#N/A,FALSE,"PAGE3";#N/A,#N/A,FALSE,"PAGE4";#N/A,#N/A,FALSE,"PAGE5";#N/A,#N/A,FALSE,"PAGE6";#N/A,#N/A,FALSE,"PAGE7";#N/A,#N/A,FALSE,"PAGE8";#N/A,#N/A,FALSE,"PAGE9"}</definedName>
    <definedName name="sfsfsdds" hidden="1">{#N/A,#N/A,FALSE,"presentabce";#N/A,#N/A,FALSE,"traspasobac";#N/A,#N/A,FALSE,"capturabce";#N/A,#N/A,FALSE,"presentares";#N/A,#N/A,FALSE,"traspasores";#N/A,#N/A,FALSE,"TRANSACCIONES BUENAS";#N/A,#N/A,FALSE,"caturares"}</definedName>
    <definedName name="sfsssfsfd" hidden="1">{#N/A,#N/A,FALSE,"Sheet1"}</definedName>
    <definedName name="shit" hidden="1">{#N/A,#N/A,FALSE,"Sheet1"}</definedName>
    <definedName name="SI" hidden="1">{#N/A,#N/A,FALSE,"presentabce";#N/A,#N/A,FALSE,"traspasobac";#N/A,#N/A,FALSE,"capturabce";#N/A,#N/A,FALSE,"presentares";#N/A,#N/A,FALSE,"traspasores";#N/A,#N/A,FALSE,"caturares"}</definedName>
    <definedName name="side" hidden="1">{#N/A,#N/A,FALSE,"ANEX-C MAQUINA";#N/A,#N/A,FALSE,"ANEX-C MANO OB";#N/A,#N/A,FALSE,"COB143SP";#N/A,#N/A,FALSE,"ANEX-C.MATERIAL."}</definedName>
    <definedName name="sidetrack" hidden="1">{#N/A,#N/A,FALSE,"ANEX-C MAQUINA";#N/A,#N/A,FALSE,"ANEX-C MANO OB";#N/A,#N/A,FALSE,"COB143SP";#N/A,#N/A,FALSE,"ANEX-C.MATERIAL."}</definedName>
    <definedName name="SII" hidden="1">{#N/A,#N/A,FALSE,"presentabce";#N/A,#N/A,FALSE,"traspasobac";#N/A,#N/A,FALSE,"capturabce";#N/A,#N/A,FALSE,"presentares";#N/A,#N/A,FALSE,"traspasores";#N/A,#N/A,FALSE,"caturares"}</definedName>
    <definedName name="SimOpt_CheckPrecisionAfter" hidden="1">100</definedName>
    <definedName name="SimOpt_GotoSample" hidden="1">0</definedName>
    <definedName name="SimOpt_Macros0" hidden="1">""</definedName>
    <definedName name="SimOpt_Macros1" hidden="1">""</definedName>
    <definedName name="SimOpt_Macros2" hidden="1">""</definedName>
    <definedName name="SimOpt_Macros3" hidden="1">""</definedName>
    <definedName name="SimOpt_MacrosUsage" hidden="1">0</definedName>
    <definedName name="SimOpt_MinSimBufferSize" hidden="1">5000000</definedName>
    <definedName name="SimOpt_RefreshExcel" hidden="1">0</definedName>
    <definedName name="SimOpt_RefreshRate" hidden="1">10</definedName>
    <definedName name="SimOpt_SamplesCount" hidden="1">70000</definedName>
    <definedName name="SimOpt_Seed0" hidden="1">0</definedName>
    <definedName name="SimOpt_SeedFixed" hidden="1">0</definedName>
    <definedName name="SimOpt_SeedMultiplyType" hidden="1">0</definedName>
    <definedName name="SimOpt_ShowResultsAtEnd" hidden="1">1</definedName>
    <definedName name="SimOpt_SimName0" hidden="1">""</definedName>
    <definedName name="SimOpt_SimsCount" hidden="1">1</definedName>
    <definedName name="SimOpt_StopOnOutputError" hidden="1">0</definedName>
    <definedName name="So" hidden="1">#REF!</definedName>
    <definedName name="SOL" hidden="1">[22]IX!#REF!</definedName>
    <definedName name="solver_num" hidden="1">0</definedName>
    <definedName name="solver_typ" hidden="1">1</definedName>
    <definedName name="solver_val" hidden="1">0</definedName>
    <definedName name="SORT1" hidden="1">#REF!</definedName>
    <definedName name="SortArea" hidden="1">OFFSET([14]MasterTable!$J$6,0,0,COUNTA([14]MasterTable!$J$1:$J$65536)-1,1)</definedName>
    <definedName name="SortCompany" hidden="1">OFFSET([14]MasterTable!$I$6,0,0,COUNTA([14]MasterTable!$I$1:$I$65536)-1,1)</definedName>
    <definedName name="SortGeo" hidden="1">OFFSET([14]MasterTable!$K$6,0,0,COUNTA([14]MasterTable!$K$1:$K$65536)-1,1)</definedName>
    <definedName name="SortPG" hidden="1">OFFSET([14]MasterTable!$L$6,0,0,COUNTA([14]MasterTable!$L$1:$L$65536)-1,1)</definedName>
    <definedName name="SortPL" hidden="1">OFFSET([14]MasterTable!$M$6,0,0,COUNTA([14]MasterTable!$M$1:$M$65536)-1,1)</definedName>
    <definedName name="ssd" hidden="1">#REF!</definedName>
    <definedName name="sss" hidden="1">{#N/A,#N/A,FALSE,"Sheet1"}</definedName>
    <definedName name="ssssss" hidden="1">[25]IX!#REF!</definedName>
    <definedName name="SSSSSSSSSSSSSS" hidden="1">{#N/A,#N/A,FALSE,"Sheet1"}</definedName>
    <definedName name="SSSSSSSSSSSSSSS" hidden="1">#REF!</definedName>
    <definedName name="Sudan" hidden="1">{#N/A,#N/A,FALSE,"COVER";#N/A,#N/A,FALSE,"CONTENTS";#N/A,#N/A,FALSE,"PAGE1";#N/A,#N/A,FALSE,"PAGE2";#N/A,#N/A,FALSE,"PAGE3";#N/A,#N/A,FALSE,"PAGE4";#N/A,#N/A,FALSE,"PAGE5";#N/A,#N/A,FALSE,"PAGE6";#N/A,#N/A,FALSE,"PAGE7";#N/A,#N/A,FALSE,"PAGE8";#N/A,#N/A,FALSE,"PAGE9"}</definedName>
    <definedName name="suficiencia" hidden="1">{#N/A,#N/A,FALSE,"Aging Summary";#N/A,#N/A,FALSE,"Ratio Analysis";#N/A,#N/A,FALSE,"Test 120 Day Accts";#N/A,#N/A,FALSE,"Tickmarks"}</definedName>
    <definedName name="sufucuencia1" hidden="1">{#N/A,#N/A,FALSE,"Aging Summary";#N/A,#N/A,FALSE,"Ratio Analysis";#N/A,#N/A,FALSE,"Test 120 Day Accts";#N/A,#N/A,FALSE,"Tickmarks"}</definedName>
    <definedName name="T" hidden="1">{#N/A,#N/A,FALSE,"ANEX-C MAQUINA";#N/A,#N/A,FALSE,"ANEX-C MANO OB";#N/A,#N/A,FALSE,"COB143SP";#N/A,#N/A,FALSE,"ANEX-C.MATERIAL."}</definedName>
    <definedName name="TABASCO" hidden="1">{#N/A,#N/A,FALSE,"Hoja2"}</definedName>
    <definedName name="targe" hidden="1">{#N/A,#N/A,TRUE,"AFE";#N/A,#N/A,TRUE,"Tangible";#N/A,#N/A,TRUE,"Construction";#N/A,#N/A,TRUE,"Rignmud";#N/A,#N/A,TRUE,"Bitnddr";#N/A,#N/A,TRUE,"Cmtdesign";#N/A,#N/A,TRUE,"Pumpfee";#N/A,#N/A,TRUE,"Corendst";#N/A,#N/A,TRUE,"Ohlogging";#N/A,#N/A,TRUE,"Perforating";#N/A,#N/A,TRUE,"Chlogging";#N/A,#N/A,TRUE,"Stimulation";#N/A,#N/A,TRUE,"Completion";#N/A,#N/A,TRUE,"General"}</definedName>
    <definedName name="target" hidden="1">{#N/A,#N/A,TRUE,"AFE";#N/A,#N/A,TRUE,"Tangible";#N/A,#N/A,TRUE,"Construction";#N/A,#N/A,TRUE,"Rignmud";#N/A,#N/A,TRUE,"Bitnddr";#N/A,#N/A,TRUE,"Cmtdesign";#N/A,#N/A,TRUE,"Pumpfee";#N/A,#N/A,TRUE,"Corendst";#N/A,#N/A,TRUE,"Ohlogging";#N/A,#N/A,TRUE,"Perforating";#N/A,#N/A,TRUE,"Chlogging";#N/A,#N/A,TRUE,"Stimulation";#N/A,#N/A,TRUE,"Completion";#N/A,#N/A,TRUE,"General"}</definedName>
    <definedName name="TE" hidden="1">{#N/A,#N/A,FALSE,"presentabce";#N/A,#N/A,FALSE,"traspasobac";#N/A,#N/A,FALSE,"capturabce";#N/A,#N/A,FALSE,"presentares";#N/A,#N/A,FALSE,"traspasores";#N/A,#N/A,FALSE,"caturares"}</definedName>
    <definedName name="TEE" hidden="1">{#N/A,#N/A,FALSE,"EDOCAM93";#N/A,#N/A,FALSE,"PMRAD92";#N/A,#N/A,FALSE,"EDORES93";#N/A,#N/A,FALSE,"RDORAD93";#N/A,#N/A,FALSE,"GRADBC93";#N/A,#N/A,FALSE,"GRADBC92";#N/A,#N/A,FALSE,"REDRAD92";#N/A,#N/A,FALSE,"PMRAD93";#N/A,#N/A,FALSE,"PMRAD92"}</definedName>
    <definedName name="teks" hidden="1">{#N/A,#N/A,TRUE,"AFE";#N/A,#N/A,TRUE,"Tangible";#N/A,#N/A,TRUE,"Construction";#N/A,#N/A,TRUE,"Rignmud";#N/A,#N/A,TRUE,"Bitnddr";#N/A,#N/A,TRUE,"Cmtdesign";#N/A,#N/A,TRUE,"Pumpfee";#N/A,#N/A,TRUE,"Corendst";#N/A,#N/A,TRUE,"Ohlogging";#N/A,#N/A,TRUE,"Perforating";#N/A,#N/A,TRUE,"Chlogging";#N/A,#N/A,TRUE,"Stimulation";#N/A,#N/A,TRUE,"Completion";#N/A,#N/A,TRUE,"General"}</definedName>
    <definedName name="TELEREY" hidden="1">{#N/A,#N/A,FALSE,"Hoja2"}</definedName>
    <definedName name="television2" hidden="1">{#N/A,#N/A,FALSE,"Hoja2"}</definedName>
    <definedName name="tely" hidden="1">{#N/A,#N/A,FALSE,"Hoja2"}</definedName>
    <definedName name="tertertrete" hidden="1">{#N/A,#N/A,FALSE,"Parts";#N/A,#N/A,FALSE,"FG";#N/A,#N/A,FALSE,"Raw Material";#N/A,#N/A,FALSE,"Resale"}</definedName>
    <definedName name="tertetre" hidden="1">{#N/A,#N/A,TRUE,"AFE";#N/A,#N/A,TRUE,"Tangible";#N/A,#N/A,TRUE,"Construction";#N/A,#N/A,TRUE,"Rignmud";#N/A,#N/A,TRUE,"Bitnddr";#N/A,#N/A,TRUE,"Cmtdesign";#N/A,#N/A,TRUE,"Pumpfee";#N/A,#N/A,TRUE,"Corendst";#N/A,#N/A,TRUE,"Ohlogging";#N/A,#N/A,TRUE,"Perforating";#N/A,#N/A,TRUE,"Chlogging";#N/A,#N/A,TRUE,"Stimulation";#N/A,#N/A,TRUE,"Completion";#N/A,#N/A,TRUE,"General"}</definedName>
    <definedName name="teste" hidden="1">{#N/A,#N/A,FALSE,"Sheet1"}</definedName>
    <definedName name="tetete" hidden="1">{#N/A,#N/A,FALSE,"presentabce";#N/A,#N/A,FALSE,"traspasobac";#N/A,#N/A,FALSE,"capturabce";#N/A,#N/A,FALSE,"presentares";#N/A,#N/A,FALSE,"traspasores";#N/A,#N/A,FALSE,"caturares"}</definedName>
    <definedName name="TextRefCopyRangeCount" hidden="1">6</definedName>
    <definedName name="Title2Spot" hidden="1">#REF!</definedName>
    <definedName name="_xlnm.Print_Titles" localSheetId="1">'Anexo C-2-CR'!$1:$6</definedName>
    <definedName name="_xlnm.Print_Titles" localSheetId="2">'Anexo C-3-CR'!$1:$6</definedName>
    <definedName name="_xlnm.Print_Titles" localSheetId="4">'Anexo C-4-1'!$1:$6</definedName>
    <definedName name="_xlnm.Print_Titles" localSheetId="3">'Anexo C-4-CR'!$1:$6</definedName>
    <definedName name="_xlnm.Print_Titles" localSheetId="6">'Anexo C-5-1 '!$1:$6</definedName>
    <definedName name="_xlnm.Print_Titles" localSheetId="5">'Anexo C-5-CR'!$1:$6</definedName>
    <definedName name="_xlnm.Print_Titles" localSheetId="0">'Anexo C-CR'!$1:$6</definedName>
    <definedName name="TLRYSERV" hidden="1">{#N/A,#N/A,FALSE,"Hoja2"}</definedName>
    <definedName name="TRD" hidden="1">#REF!</definedName>
    <definedName name="tttt" hidden="1">{#N/A,#N/A,FALSE,"Parts";#N/A,#N/A,FALSE,"FG";#N/A,#N/A,FALSE,"Raw Material";#N/A,#N/A,FALSE,"Resale"}</definedName>
    <definedName name="TU" hidden="1">{#N/A,#N/A,FALSE,"EDOCAM93";#N/A,#N/A,FALSE,"PMRAD92";#N/A,#N/A,FALSE,"EDORES93";#N/A,#N/A,FALSE,"RDORAD93";#N/A,#N/A,FALSE,"GRADBC93";#N/A,#N/A,FALSE,"GRADBC92";#N/A,#N/A,FALSE,"REDRAD92";#N/A,#N/A,FALSE,"PMRAD93";#N/A,#N/A,FALSE,"PMRAD92"}</definedName>
    <definedName name="TUA" hidden="1">{#N/A,#N/A,FALSE,"EDOCAM93";#N/A,#N/A,FALSE,"PMRAD92";#N/A,#N/A,FALSE,"EDORES93";#N/A,#N/A,FALSE,"RDORAD93";#N/A,#N/A,FALSE,"GRADBC93";#N/A,#N/A,FALSE,"GRADBC92";#N/A,#N/A,FALSE,"REDRAD92";#N/A,#N/A,FALSE,"PMRAD93";#N/A,#N/A,FALSE,"PMRAD92"}</definedName>
    <definedName name="tutyutyuty" hidden="1">{#N/A,#N/A,FALSE,"presentabce";#N/A,#N/A,FALSE,"traspasobac";#N/A,#N/A,FALSE,"capturabce";#N/A,#N/A,FALSE,"presentares";#N/A,#N/A,FALSE,"traspasores";#N/A,#N/A,FALSE,"caturares"}</definedName>
    <definedName name="tutyyt" hidden="1">{#N/A,#N/A,FALSE,"COVER";#N/A,#N/A,FALSE,"CONTENTS";#N/A,#N/A,FALSE,"PAGE1";#N/A,#N/A,FALSE,"PAGE2";#N/A,#N/A,FALSE,"PAGE3";#N/A,#N/A,FALSE,"PAGE4";#N/A,#N/A,FALSE,"PAGE5";#N/A,#N/A,FALSE,"PAGE6";#N/A,#N/A,FALSE,"PAGE7";#N/A,#N/A,FALSE,"PAGE8";#N/A,#N/A,FALSE,"PAGE9"}</definedName>
    <definedName name="TUU" hidden="1">{#N/A,#N/A,FALSE,"presentabce";#N/A,#N/A,FALSE,"presentares";#N/A,#N/A,FALSE,"traspasobac";#N/A,#N/A,FALSE,"traspasores";#N/A,#N/A,FALSE,"capturabce";#N/A,#N/A,FALSE,"caturares"}</definedName>
    <definedName name="TUUA" hidden="1">{#N/A,#N/A,FALSE,"presentabce";#N/A,#N/A,FALSE,"presentares";#N/A,#N/A,FALSE,"traspasobac";#N/A,#N/A,FALSE,"traspasores";#N/A,#N/A,FALSE,"capturabce";#N/A,#N/A,FALSE,"caturares"}</definedName>
    <definedName name="tuyuty" hidden="1">{#N/A,#N/A,FALSE,"presentabce";#N/A,#N/A,FALSE,"traspasobac";#N/A,#N/A,FALSE,"capturabce";#N/A,#N/A,FALSE,"presentares";#N/A,#N/A,FALSE,"traspasores";#N/A,#N/A,FALSE,"TRANSACCIONES BUENAS";#N/A,#N/A,FALSE,"caturares"}</definedName>
    <definedName name="UFINRE" hidden="1">#REF!</definedName>
    <definedName name="uiouiou" hidden="1">{#N/A,#N/A,FALSE,"ANEX-C MAQUINA";#N/A,#N/A,FALSE,"ANEX-C MANO OB";#N/A,#N/A,FALSE,"COB143SP";#N/A,#N/A,FALSE,"ANEX-C.MATERIAL."}</definedName>
    <definedName name="uiouioui" hidden="1">{#N/A,#N/A,FALSE,"presentabce";#N/A,#N/A,FALSE,"traspasobac";#N/A,#N/A,FALSE,"capturabce";#N/A,#N/A,FALSE,"presentares";#N/A,#N/A,FALSE,"traspasores";#N/A,#N/A,FALSE,"caturares"}</definedName>
    <definedName name="uiouiouioiou" hidden="1">{#N/A,#N/A,FALSE,"PMRAD92";#N/A,#N/A,FALSE,"FINRAD93";#N/A,#N/A,FALSE,"RDORAD93";#N/A,#N/A,FALSE,"GRADBC93";#N/A,#N/A,FALSE,"GRADBC92";#N/A,#N/A,FALSE,"REDRAD92";#N/A,#N/A,FALSE,"PMRAD93"}</definedName>
    <definedName name="uittyu" hidden="1">{#N/A,#N/A,FALSE,"COVER";#N/A,#N/A,FALSE,"CONTENTS";#N/A,#N/A,FALSE,"PAGE1";#N/A,#N/A,FALSE,"PAGE2";#N/A,#N/A,FALSE,"PAGE3";#N/A,#N/A,FALSE,"PAGE4";#N/A,#N/A,FALSE,"PAGE5";#N/A,#N/A,FALSE,"PAGE6";#N/A,#N/A,FALSE,"PAGE7";#N/A,#N/A,FALSE,"PAGE8";#N/A,#N/A,FALSE,"PAGE9"}</definedName>
    <definedName name="under" hidden="1">{#N/A,#N/A,FALSE,"ANEX-C MAQUINA";#N/A,#N/A,FALSE,"ANEX-C MANO OB";#N/A,#N/A,FALSE,"COB143SP";#N/A,#N/A,FALSE,"ANEX-C.MATERIAL."}</definedName>
    <definedName name="uoouio" hidden="1">{#N/A,#N/A,TRUE,"AFE";#N/A,#N/A,TRUE,"Tangible";#N/A,#N/A,TRUE,"Construction";#N/A,#N/A,TRUE,"Rignmud";#N/A,#N/A,TRUE,"Bitnddr";#N/A,#N/A,TRUE,"Cmtdesign";#N/A,#N/A,TRUE,"Pumpfee";#N/A,#N/A,TRUE,"Corendst";#N/A,#N/A,TRUE,"Ohlogging";#N/A,#N/A,TRUE,"Perforating";#N/A,#N/A,TRUE,"Chlogging";#N/A,#N/A,TRUE,"Stimulation";#N/A,#N/A,TRUE,"Completion";#N/A,#N/A,TRUE,"General"}</definedName>
    <definedName name="uoouiou" hidden="1">{#N/A,#N/A,TRUE,"AFE";#N/A,#N/A,TRUE,"Tangible";#N/A,#N/A,TRUE,"Construction";#N/A,#N/A,TRUE,"Rignmud";#N/A,#N/A,TRUE,"Bitnddr";#N/A,#N/A,TRUE,"Cmtdesign";#N/A,#N/A,TRUE,"Pumpfee";#N/A,#N/A,TRUE,"Corendst";#N/A,#N/A,TRUE,"Ohlogging";#N/A,#N/A,TRUE,"Perforating";#N/A,#N/A,TRUE,"Chlogging";#N/A,#N/A,TRUE,"Stimulation";#N/A,#N/A,TRUE,"Completion";#N/A,#N/A,TRUE,"General"}</definedName>
    <definedName name="uoui" hidden="1">{#N/A,#N/A,FALSE,"PMRAD92";#N/A,#N/A,FALSE,"FINRAD93";#N/A,#N/A,FALSE,"RDORAD93";#N/A,#N/A,FALSE,"GRADBC93";#N/A,#N/A,FALSE,"GRADBC92";#N/A,#N/A,FALSE,"REDRAD92";#N/A,#N/A,FALSE,"PMRAD93"}</definedName>
    <definedName name="uouio" hidden="1">{#N/A,#N/A,FALSE,"Hoja2"}</definedName>
    <definedName name="uouioiu" hidden="1">{#N/A,#N/A,TRUE,"AFE";#N/A,#N/A,TRUE,"Tangible";#N/A,#N/A,TRUE,"Construction";#N/A,#N/A,TRUE,"Rignmud";#N/A,#N/A,TRUE,"Bitnddr";#N/A,#N/A,TRUE,"Cmtdesign";#N/A,#N/A,TRUE,"Pumpfee";#N/A,#N/A,TRUE,"Corendst";#N/A,#N/A,TRUE,"Ohlogging";#N/A,#N/A,TRUE,"Perforating";#N/A,#N/A,TRUE,"Chlogging";#N/A,#N/A,TRUE,"Stimulation";#N/A,#N/A,TRUE,"Completion";#N/A,#N/A,TRUE,"General"}</definedName>
    <definedName name="uouiouio" hidden="1">{#N/A,#N/A,TRUE,"AFE";#N/A,#N/A,TRUE,"Tangible";#N/A,#N/A,TRUE,"Construction";#N/A,#N/A,TRUE,"Rignmud";#N/A,#N/A,TRUE,"Bitnddr";#N/A,#N/A,TRUE,"Cmtdesign";#N/A,#N/A,TRUE,"Pumpfee";#N/A,#N/A,TRUE,"Corendst";#N/A,#N/A,TRUE,"Ohlogging";#N/A,#N/A,TRUE,"Perforating";#N/A,#N/A,TRUE,"Chlogging";#N/A,#N/A,TRUE,"Stimulation";#N/A,#N/A,TRUE,"Completion";#N/A,#N/A,TRUE,"General"}</definedName>
    <definedName name="uouiu" hidden="1">{#N/A,#N/A,FALSE,"COVER";#N/A,#N/A,FALSE,"CONTENTS";#N/A,#N/A,FALSE,"PAGE1";#N/A,#N/A,FALSE,"PAGE2";#N/A,#N/A,FALSE,"PAGE3";#N/A,#N/A,FALSE,"PAGE4";#N/A,#N/A,FALSE,"PAGE5";#N/A,#N/A,FALSE,"PAGE6";#N/A,#N/A,FALSE,"PAGE7";#N/A,#N/A,FALSE,"PAGE8";#N/A,#N/A,FALSE,"PAGE9"}</definedName>
    <definedName name="v" hidden="1">#REF!</definedName>
    <definedName name="vilo" hidden="1">{#N/A,#N/A,FALSE,"Parts";#N/A,#N/A,FALSE,"FG";#N/A,#N/A,FALSE,"Raw Material";#N/A,#N/A,FALSE,"Resale"}</definedName>
    <definedName name="vilo2" hidden="1">{#N/A,#N/A,FALSE,"COVER";#N/A,#N/A,FALSE,"CONTENTS";#N/A,#N/A,FALSE,"PAGE1";#N/A,#N/A,FALSE,"PAGE2";#N/A,#N/A,FALSE,"PAGE3";#N/A,#N/A,FALSE,"PAGE4";#N/A,#N/A,FALSE,"PAGE5";#N/A,#N/A,FALSE,"PAGE6";#N/A,#N/A,FALSE,"PAGE7";#N/A,#N/A,FALSE,"PAGE8";#N/A,#N/A,FALSE,"PAGE9"}</definedName>
    <definedName name="von" hidden="1">{#N/A,#N/A,FALSE,"Hoja2"}</definedName>
    <definedName name="w" hidden="1">{#N/A,#N/A,FALSE,"presentabce";#N/A,#N/A,FALSE,"traspasobac";#N/A,#N/A,FALSE,"capturabce";#N/A,#N/A,FALSE,"presentares";#N/A,#N/A,FALSE,"traspasores";#N/A,#N/A,FALSE,"TRANSACCIONES BUENAS";#N/A,#N/A,FALSE,"caturares"}</definedName>
    <definedName name="we" hidden="1">{#N/A,#N/A,FALSE,"Parts";#N/A,#N/A,FALSE,"FG";#N/A,#N/A,FALSE,"Raw Material";#N/A,#N/A,FALSE,"Resale"}</definedName>
    <definedName name="well1" hidden="1">{#N/A,#N/A,TRUE,"AFE";#N/A,#N/A,TRUE,"Tangible";#N/A,#N/A,TRUE,"Construction";#N/A,#N/A,TRUE,"Rignmud";#N/A,#N/A,TRUE,"Bitnddr";#N/A,#N/A,TRUE,"Cmtdesign";#N/A,#N/A,TRUE,"Pumpfee";#N/A,#N/A,TRUE,"Corendst";#N/A,#N/A,TRUE,"Ohlogging";#N/A,#N/A,TRUE,"Perforating";#N/A,#N/A,TRUE,"Chlogging";#N/A,#N/A,TRUE,"Stimulation";#N/A,#N/A,TRUE,"Completion";#N/A,#N/A,TRUE,"General"}</definedName>
    <definedName name="werwrewr" hidden="1">{#N/A,#N/A,FALSE,"ANEX-C MAQUINA";#N/A,#N/A,FALSE,"ANEX-C MANO OB";#N/A,#N/A,FALSE,"COB143SP";#N/A,#N/A,FALSE,"ANEX-C.MATERIAL."}</definedName>
    <definedName name="werwrwe" hidden="1">{#N/A,#N/A,FALSE,"Sheet1"}</definedName>
    <definedName name="wewe" hidden="1">#REF!</definedName>
    <definedName name="weweew" hidden="1">#REF!</definedName>
    <definedName name="wrn.Aging._.and._.Trend._.Analysis." hidden="1">{#N/A,#N/A,FALSE,"Aging Summary";#N/A,#N/A,FALSE,"Ratio Analysis";#N/A,#N/A,FALSE,"Test 120 Day Accts";#N/A,#N/A,FALSE,"Tickmarks"}</definedName>
    <definedName name="wrn.all." hidden="1">{#N/A,#N/A,FALSE,"PORTADA";#N/A,#N/A,FALSE,"JULIO";#N/A,#N/A,FALSE,"PEPJULIO";#N/A,#N/A,FALSE,"GRAFICA";#N/A,#N/A,FALSE,"CSJUL";#N/A,#N/A,FALSE,"HSE"}</definedName>
    <definedName name="wrn.Badep._.All." hidden="1">{#N/A,#N/A,FALSE,"DMC schedule";#N/A,#N/A,FALSE,"DMC_THC Revenue";#N/A,#N/A,FALSE,"Personnel plan";#N/A,#N/A,FALSE,"Capex HW+SW";#N/A,#N/A,FALSE,"P&amp;L"}</definedName>
    <definedName name="wrn.CD_MST." hidden="1">{#N/A,#N/A,FALSE,"Sheet1"}</definedName>
    <definedName name="wrn.Competitor._.Activity." hidden="1">{"Services",#N/A,FALSE,"Activity"}</definedName>
    <definedName name="wrn.consolidado._.de._.mvs9" hidden="1">{#N/A,#N/A,FALSE,"Hoja2"}</definedName>
    <definedName name="wrn.consolidado._.de._.mvs93." hidden="1">{#N/A,#N/A,FALSE,"Hoja2"}</definedName>
    <definedName name="wrn.consolidado._.radio." hidden="1">{#N/A,#N/A,FALSE,"PMRAD92";#N/A,#N/A,FALSE,"FINRAD93";#N/A,#N/A,FALSE,"RDORAD93";#N/A,#N/A,FALSE,"GRADBC93";#N/A,#N/A,FALSE,"GRADBC92";#N/A,#N/A,FALSE,"REDRAD92";#N/A,#N/A,FALSE,"PMRAD93"}</definedName>
    <definedName name="wrn.consolidado._.SEPT95." hidden="1">{#N/A,#N/A,FALSE,"presentabce";#N/A,#N/A,FALSE,"traspasobac";#N/A,#N/A,FALSE,"capturabce";#N/A,#N/A,FALSE,"presentares";#N/A,#N/A,FALSE,"traspasores";#N/A,#N/A,FALSE,"caturares"}</definedName>
    <definedName name="wrn.consolidado._.teleinte" hidden="1">{#N/A,#N/A,FALSE,"PMRAD92";#N/A,#N/A,FALSE,"FINRAD93";#N/A,#N/A,FALSE,"RDORAD93";#N/A,#N/A,FALSE,"GRADBC93";#N/A,#N/A,FALSE,"GRADBC92";#N/A,#N/A,FALSE,"REDRAD92";#N/A,#N/A,FALSE,"PMRAD93"}</definedName>
    <definedName name="wrn.CONSOLIDSEP95." hidden="1">{#N/A,#N/A,FALSE,"presentabce";#N/A,#N/A,FALSE,"traspasobac";#N/A,#N/A,FALSE,"capturabce";#N/A,#N/A,FALSE,"presentares";#N/A,#N/A,FALSE,"traspasores";#N/A,#N/A,FALSE,"caturares"}</definedName>
    <definedName name="wrn.finrad32." hidden="1">{#N/A,#N/A,FALSE,"EDOCAM93";#N/A,#N/A,FALSE,"PMRAD92";#N/A,#N/A,FALSE,"EDORES93";#N/A,#N/A,FALSE,"RDORAD93";#N/A,#N/A,FALSE,"GRADBC93";#N/A,#N/A,FALSE,"GRADBC92";#N/A,#N/A,FALSE,"REDRAD92";#N/A,#N/A,FALSE,"PMRAD93";#N/A,#N/A,FALSE,"PMRAD92"}</definedName>
    <definedName name="wrn.GCR._.Rig._.Activity." hidden="1">{"Activity",#N/A,TRUE,"GCR";"Rigs 1998",#N/A,TRUE,"GCR";"Rigs 1999",#N/A,TRUE,"GCR"}</definedName>
    <definedName name="wrn.index." hidden="1">{#N/A,#N/A,FALSE,"Sheet1"}</definedName>
    <definedName name="wrn.index2" hidden="1">{#N/A,#N/A,FALSE,"Sheet1"}</definedName>
    <definedName name="wrn.JUNIO95." hidden="1">{#N/A,#N/A,FALSE,"presentabce";#N/A,#N/A,FALSE,"presentares";#N/A,#N/A,FALSE,"traspasobac";#N/A,#N/A,FALSE,"traspasores";#N/A,#N/A,FALSE,"capturabce";#N/A,#N/A,FALSE,"caturares"}</definedName>
    <definedName name="wrn.MARZO94._.COMBINA." hidden="1">{#N/A,#N/A,FALSE,"presentabce";#N/A,#N/A,FALSE,"traspasobac";#N/A,#N/A,FALSE,"capturabce";#N/A,#N/A,FALSE,"presentares";#N/A,#N/A,FALSE,"traspasores";#N/A,#N/A,FALSE,"TRANSACCIONES BUENAS";#N/A,#N/A,FALSE,"caturares"}</definedName>
    <definedName name="wrn.MARZO95COMBINADO." hidden="1">{#N/A,#N/A,FALSE,"presentabce";#N/A,#N/A,FALSE,"traspasobac";#N/A,#N/A,FALSE,"capturabce";#N/A,#N/A,FALSE,"presentares";#N/A,#N/A,FALSE,"traspasores";#N/A,#N/A,FALSE,"caturares"}</definedName>
    <definedName name="WRN.PRINT" hidden="1">{#N/A,#N/A,FALSE,"ANEX-C MAQUINA";#N/A,#N/A,FALSE,"ANEX-C MANO OB";#N/A,#N/A,FALSE,"COB143SP";#N/A,#N/A,FALSE,"ANEX-C.MATERIAL."}</definedName>
    <definedName name="wrn.PRINT." hidden="1">{#N/A,#N/A,FALSE,"ANEX-C MAQUINA";#N/A,#N/A,FALSE,"ANEX-C MANO OB";#N/A,#N/A,FALSE,"COB143SP";#N/A,#N/A,FALSE,"ANEX-C.MATERIAL."}</definedName>
    <definedName name="wrn.Section._.1." hidden="1">{#N/A,#N/A,FALSE,"COVER";#N/A,#N/A,FALSE,"CONTENTS";#N/A,#N/A,FALSE,"PAGE1";#N/A,#N/A,FALSE,"PAGE2";#N/A,#N/A,FALSE,"PAGE3";#N/A,#N/A,FALSE,"PAGE4";#N/A,#N/A,FALSE,"PAGE5";#N/A,#N/A,FALSE,"PAGE6";#N/A,#N/A,FALSE,"PAGE7";#N/A,#N/A,FALSE,"PAGE8";#N/A,#N/A,FALSE,"PAGE9"}</definedName>
    <definedName name="wrn.SNI._.INS._.Reconciliation." hidden="1">{#N/A,#N/A,FALSE,"Parts";#N/A,#N/A,FALSE,"FG";#N/A,#N/A,FALSE,"Raw Material";#N/A,#N/A,FALSE,"Resale"}</definedName>
    <definedName name="wrn.TYUT." hidden="1">{#N/A,#N/A,FALSE,"Sheet1"}</definedName>
    <definedName name="wrn.Wellplan." hidden="1">{#N/A,#N/A,TRUE,"AFE";#N/A,#N/A,TRUE,"Tangible";#N/A,#N/A,TRUE,"Construction";#N/A,#N/A,TRUE,"Rignmud";#N/A,#N/A,TRUE,"Bitnddr";#N/A,#N/A,TRUE,"Cmtdesign";#N/A,#N/A,TRUE,"Pumpfee";#N/A,#N/A,TRUE,"Corendst";#N/A,#N/A,TRUE,"Ohlogging";#N/A,#N/A,TRUE,"Perforating";#N/A,#N/A,TRUE,"Chlogging";#N/A,#N/A,TRUE,"Stimulation";#N/A,#N/A,TRUE,"Completion";#N/A,#N/A,TRUE,"General"}</definedName>
    <definedName name="wrn1.index" hidden="1">{#N/A,#N/A,FALSE,"Sheet1"}</definedName>
    <definedName name="WRN1.PRINT" hidden="1">{#N/A,#N/A,FALSE,"ANEX-C MAQUINA";#N/A,#N/A,FALSE,"ANEX-C MANO OB";#N/A,#N/A,FALSE,"COB143SP";#N/A,#N/A,FALSE,"ANEX-C.MATERIAL."}</definedName>
    <definedName name="wrn1.print." hidden="1">{#N/A,#N/A,FALSE,"ANEX-C MAQUINA";#N/A,#N/A,FALSE,"ANEX-C MANO OB";#N/A,#N/A,FALSE,"COB143SP";#N/A,#N/A,FALSE,"ANEX-C.MATERIAL."}</definedName>
    <definedName name="wrn10.print" hidden="1">{#N/A,#N/A,FALSE,"ANEX-C MAQUINA";#N/A,#N/A,FALSE,"ANEX-C MANO OB";#N/A,#N/A,FALSE,"COB143SP";#N/A,#N/A,FALSE,"ANEX-C.MATERIAL."}</definedName>
    <definedName name="wrn2.PRINT" hidden="1">{#N/A,#N/A,FALSE,"ANEX-C MAQUINA";#N/A,#N/A,FALSE,"ANEX-C MANO OB";#N/A,#N/A,FALSE,"COB143SP";#N/A,#N/A,FALSE,"ANEX-C.MATERIAL."}</definedName>
    <definedName name="wrn3.PRINT" hidden="1">{#N/A,#N/A,FALSE,"ANEX-C MAQUINA";#N/A,#N/A,FALSE,"ANEX-C MANO OB";#N/A,#N/A,FALSE,"COB143SP";#N/A,#N/A,FALSE,"ANEX-C.MATERIAL."}</definedName>
    <definedName name="WRN6.PRINT" hidden="1">{#N/A,#N/A,FALSE,"ANEX-C MAQUINA";#N/A,#N/A,FALSE,"ANEX-C MANO OB";#N/A,#N/A,FALSE,"COB143SP";#N/A,#N/A,FALSE,"ANEX-C.MATERIAL."}</definedName>
    <definedName name="wrn7.PRINT" hidden="1">{#N/A,#N/A,FALSE,"ANEX-C MAQUINA";#N/A,#N/A,FALSE,"ANEX-C MANO OB";#N/A,#N/A,FALSE,"COB143SP";#N/A,#N/A,FALSE,"ANEX-C.MATERIAL."}</definedName>
    <definedName name="wrn79.PRINT" hidden="1">{#N/A,#N/A,FALSE,"ANEX-C MAQUINA";#N/A,#N/A,FALSE,"ANEX-C MANO OB";#N/A,#N/A,FALSE,"COB143SP";#N/A,#N/A,FALSE,"ANEX-C.MATERIAL."}</definedName>
    <definedName name="wrnn" hidden="1">{#N/A,#N/A,TRUE,"AFE";#N/A,#N/A,TRUE,"Tangible";#N/A,#N/A,TRUE,"Construction";#N/A,#N/A,TRUE,"Rignmud";#N/A,#N/A,TRUE,"Bitnddr";#N/A,#N/A,TRUE,"Cmtdesign";#N/A,#N/A,TRUE,"Pumpfee";#N/A,#N/A,TRUE,"Corendst";#N/A,#N/A,TRUE,"Ohlogging";#N/A,#N/A,TRUE,"Perforating";#N/A,#N/A,TRUE,"Chlogging";#N/A,#N/A,TRUE,"Stimulation";#N/A,#N/A,TRUE,"Completion";#N/A,#N/A,TRUE,"General"}</definedName>
    <definedName name="wrnnnnn" hidden="1">{#N/A,#N/A,TRUE,"AFE";#N/A,#N/A,TRUE,"Tangible";#N/A,#N/A,TRUE,"Construction";#N/A,#N/A,TRUE,"Rignmud";#N/A,#N/A,TRUE,"Bitnddr";#N/A,#N/A,TRUE,"Cmtdesign";#N/A,#N/A,TRUE,"Pumpfee";#N/A,#N/A,TRUE,"Corendst";#N/A,#N/A,TRUE,"Ohlogging";#N/A,#N/A,TRUE,"Perforating";#N/A,#N/A,TRUE,"Chlogging";#N/A,#N/A,TRUE,"Stimulation";#N/A,#N/A,TRUE,"Completion";#N/A,#N/A,TRUE,"General"}</definedName>
    <definedName name="wrnnnnnm" hidden="1">{#N/A,#N/A,TRUE,"AFE";#N/A,#N/A,TRUE,"Tangible";#N/A,#N/A,TRUE,"Construction";#N/A,#N/A,TRUE,"Rignmud";#N/A,#N/A,TRUE,"Bitnddr";#N/A,#N/A,TRUE,"Cmtdesign";#N/A,#N/A,TRUE,"Pumpfee";#N/A,#N/A,TRUE,"Corendst";#N/A,#N/A,TRUE,"Ohlogging";#N/A,#N/A,TRUE,"Perforating";#N/A,#N/A,TRUE,"Chlogging";#N/A,#N/A,TRUE,"Stimulation";#N/A,#N/A,TRUE,"Completion";#N/A,#N/A,TRUE,"General"}</definedName>
    <definedName name="wrnnnnnnnnnn" hidden="1">{#N/A,#N/A,TRUE,"AFE";#N/A,#N/A,TRUE,"Tangible";#N/A,#N/A,TRUE,"Construction";#N/A,#N/A,TRUE,"Rignmud";#N/A,#N/A,TRUE,"Bitnddr";#N/A,#N/A,TRUE,"Cmtdesign";#N/A,#N/A,TRUE,"Pumpfee";#N/A,#N/A,TRUE,"Corendst";#N/A,#N/A,TRUE,"Ohlogging";#N/A,#N/A,TRUE,"Perforating";#N/A,#N/A,TRUE,"Chlogging";#N/A,#N/A,TRUE,"Stimulation";#N/A,#N/A,TRUE,"Completion";#N/A,#N/A,TRUE,"General"}</definedName>
    <definedName name="wrweerwrwev" hidden="1">{#N/A,#N/A,FALSE,"COVER";#N/A,#N/A,FALSE,"CONTENTS";#N/A,#N/A,FALSE,"PAGE1";#N/A,#N/A,FALSE,"PAGE2";#N/A,#N/A,FALSE,"PAGE3";#N/A,#N/A,FALSE,"PAGE4";#N/A,#N/A,FALSE,"PAGE5";#N/A,#N/A,FALSE,"PAGE6";#N/A,#N/A,FALSE,"PAGE7";#N/A,#N/A,FALSE,"PAGE8";#N/A,#N/A,FALSE,"PAGE9"}</definedName>
    <definedName name="wrwerwer" hidden="1">{#N/A,#N/A,FALSE,"presentabce";#N/A,#N/A,FALSE,"traspasobac";#N/A,#N/A,FALSE,"capturabce";#N/A,#N/A,FALSE,"presentares";#N/A,#N/A,FALSE,"traspasores";#N/A,#N/A,FALSE,"TRANSACCIONES BUENAS";#N/A,#N/A,FALSE,"caturares"}</definedName>
    <definedName name="wvu.Q1._.1995." hidden="1">{TRUE,TRUE,1,1,542,364,FALSE,FALSE,TRUE,FALSE,0,3,29,2,1,0.524,3,2,TRUE,TRUE,1,TRUE,1,FALSE,100,"Swvu.Q1._.1995.","ACwvu.Q1._.1995.",1,FALSE,FALSE,0,0,0.65,0.88,2,"&amp;C&amp;""Times""&amp;14&amp;BAnadrill Sales Plan  -  1995&amp;R&amp;""Times""&amp;9&amp;d     &amp;t","&amp;R&amp;""Times""Page &amp;p",TRUE,TRUE,FALSE,FALSE,2,100,#N/A,#N/A,"=R1C1:R112C32",FALSE,"Rwvu.Q1._.1995.",#N/A,FALSE,FALSE}</definedName>
    <definedName name="wvu.Q2._.1995." hidden="1">{TRUE,TRUE,1,1,542,364,FALSE,FALSE,TRUE,FALSE,0,3,21,1,1,0.524,3,2,TRUE,TRUE,1,TRUE,1,FALSE,100,"Swvu.Q2._.1995.","ACwvu.Q2._.1995.",1,FALSE,FALSE,0,0,0.65,0.88,2,"&amp;C&amp;""Times""&amp;14&amp;BAnadrill Sales Plan  -  1995&amp;R&amp;""Times""&amp;9&amp;d     &amp;t","&amp;R&amp;""Times""Page &amp;p",TRUE,TRUE,FALSE,FALSE,2,100,#N/A,#N/A,"=R1C1:R112C32",FALSE,"Rwvu.Q2._.1995.",#N/A,FALSE,FALSE}</definedName>
    <definedName name="wvu.VIEW._.ALL." hidden="1">{TRUE,TRUE,1,1,542,364,FALSE,FALSE,TRUE,FALSE,0,3,4,3,1,0.98,3,1,TRUE,TRUE,1,TRUE,1,FALSE,100,"Swvu.VIEW._.ALL.","ACwvu.VIEW._.ALL.",1,FALSE,FALSE,0,0,0.65,0.88,2,"&amp;C&amp;""Times""&amp;14&amp;BAnadrill Sales Plan  -  1995&amp;R&amp;""Times""&amp;9&amp;d     &amp;t","&amp;R&amp;""Times""Page &amp;p",TRUE,TRUE,FALSE,FALSE,2,100,#N/A,#N/A,"=R1C1:R112C32",FALSE,#N/A,#N/A,FALSE,FALSE}</definedName>
    <definedName name="x" hidden="1">{#N/A,#N/A,FALSE,"presentabce";#N/A,#N/A,FALSE,"presentares";#N/A,#N/A,FALSE,"traspasobac";#N/A,#N/A,FALSE,"traspasores";#N/A,#N/A,FALSE,"capturabce";#N/A,#N/A,FALSE,"caturares"}</definedName>
    <definedName name="XREF_COLUMN_1" hidden="1">#REF!</definedName>
    <definedName name="XREF_COLUMN_10" hidden="1">'[26]1'!#REF!</definedName>
    <definedName name="XREF_COLUMN_11" hidden="1">'[26]1'!#REF!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[10]Inversión!#REF!</definedName>
    <definedName name="XREF_COLUMN_29" hidden="1">#REF!</definedName>
    <definedName name="XREF_COLUMN_3" hidden="1">#REF!</definedName>
    <definedName name="XREF_COLUMN_30" hidden="1">[10]Inversión!#REF!</definedName>
    <definedName name="XREF_COLUMN_31" hidden="1">[10]Depreciación!#REF!</definedName>
    <definedName name="XREF_COLUMN_32" hidden="1">[10]Inversión!#REF!</definedName>
    <definedName name="XREF_COLUMN_33" hidden="1">[10]Inversión!#REF!</definedName>
    <definedName name="XREF_COLUMN_34" hidden="1">[10]Inversión!#REF!</definedName>
    <definedName name="XREF_COLUMN_35" hidden="1">[10]Inversión!#REF!</definedName>
    <definedName name="XREF_COLUMN_36" hidden="1">[10]Inversión!#REF!</definedName>
    <definedName name="XREF_COLUMN_37" hidden="1">[10]Depreciación!#REF!</definedName>
    <definedName name="XREF_COLUMN_38" hidden="1">[10]Depreciación!#REF!</definedName>
    <definedName name="XREF_COLUMN_39" hidden="1">#REF!</definedName>
    <definedName name="XREF_COLUMN_4" hidden="1">#REF!</definedName>
    <definedName name="XREF_COLUMN_40" hidden="1">#REF!</definedName>
    <definedName name="XREF_COLUMN_41" hidden="1">[10]Inversión!#REF!</definedName>
    <definedName name="XREF_COLUMN_42" hidden="1">[10]Inversión!#REF!</definedName>
    <definedName name="XREF_COLUMN_43" hidden="1">[10]Depreciación!#REF!</definedName>
    <definedName name="XREF_COLUMN_44" hidden="1">[10]Inversión!#REF!</definedName>
    <definedName name="XREF_COLUMN_45" hidden="1">[10]Inversión!#REF!</definedName>
    <definedName name="XREF_COLUMN_46" hidden="1">[10]Inversión!#REF!</definedName>
    <definedName name="XREF_COLUMN_47" hidden="1">[10]Depreciación!#REF!</definedName>
    <definedName name="XREF_COLUMN_48" hidden="1">[10]Depreciación!#REF!</definedName>
    <definedName name="XREF_COLUMN_49" hidden="1">[10]Depreciación!#REF!</definedName>
    <definedName name="XREF_COLUMN_5" hidden="1">#REF!</definedName>
    <definedName name="XREF_COLUMN_6" hidden="1">#REF!</definedName>
    <definedName name="XREF_COLUMN_7" hidden="1">[27]SI!#REF!</definedName>
    <definedName name="XREF_COLUMN_8" hidden="1">[27]SI!#REF!</definedName>
    <definedName name="XRefActiveRow" hidden="1">#REF!</definedName>
    <definedName name="XRefColumnsCount" hidden="1">3</definedName>
    <definedName name="XRefCopy1" hidden="1">#REF!</definedName>
    <definedName name="XRefCopy10" hidden="1">#REF!</definedName>
    <definedName name="XRefCopy100Row" hidden="1">#REF!</definedName>
    <definedName name="XRefCopy101Row" hidden="1">#REF!</definedName>
    <definedName name="XRefCopy102Row" hidden="1">#REF!</definedName>
    <definedName name="XRefCopy103Row" hidden="1">#REF!</definedName>
    <definedName name="XRefCopy104Row" hidden="1">#REF!</definedName>
    <definedName name="XRefCopy105" hidden="1">[10]Depreciación!#REF!</definedName>
    <definedName name="XRefCopy105Row" hidden="1">#REF!</definedName>
    <definedName name="XRefCopy106" hidden="1">#REF!</definedName>
    <definedName name="XRefCopy106Row" hidden="1">#REF!</definedName>
    <definedName name="XRefCopy107Row" hidden="1">#REF!</definedName>
    <definedName name="XRefCopy108" hidden="1">[10]Inversión!#REF!</definedName>
    <definedName name="XRefCopy108Row" hidden="1">#REF!</definedName>
    <definedName name="XRefCopy109" hidden="1">[10]Depreciación!#REF!</definedName>
    <definedName name="XRefCopy10Row" hidden="1">#REF!</definedName>
    <definedName name="XRefCopy11" hidden="1">#REF!</definedName>
    <definedName name="XRefCopy110" hidden="1">[10]Inversión!#REF!</definedName>
    <definedName name="XRefCopy110Row" hidden="1">#REF!</definedName>
    <definedName name="XRefCopy111Row" hidden="1">#REF!</definedName>
    <definedName name="XRefCopy112" hidden="1">[10]Inversión!#REF!</definedName>
    <definedName name="XRefCopy112Row" hidden="1">#REF!</definedName>
    <definedName name="XRefCopy113" hidden="1">[10]Inversión!#REF!</definedName>
    <definedName name="XRefCopy113Row" hidden="1">#REF!</definedName>
    <definedName name="XRefCopy114" hidden="1">[10]Inversión!#REF!</definedName>
    <definedName name="XRefCopy114Row" hidden="1">#REF!</definedName>
    <definedName name="XRefCopy115" hidden="1">[10]Inversión!#REF!</definedName>
    <definedName name="XRefCopy115Row" hidden="1">#REF!</definedName>
    <definedName name="XRefCopy116" hidden="1">[10]Inversión!#REF!</definedName>
    <definedName name="XRefCopy116Row" hidden="1">#REF!</definedName>
    <definedName name="XRefCopy117" hidden="1">[10]Inversión!#REF!</definedName>
    <definedName name="XRefCopy117Row" hidden="1">#REF!</definedName>
    <definedName name="XRefCopy118" hidden="1">[10]Inversión!#REF!</definedName>
    <definedName name="XRefCopy118Row" hidden="1">#REF!</definedName>
    <definedName name="XRefCopy119" hidden="1">[10]Depreciación!#REF!</definedName>
    <definedName name="XRefCopy119Row" hidden="1">#REF!</definedName>
    <definedName name="XRefCopy11Row" hidden="1">#REF!</definedName>
    <definedName name="XRefCopy12" hidden="1">#REF!</definedName>
    <definedName name="XRefCopy121" hidden="1">[10]Depreciación!#REF!</definedName>
    <definedName name="XRefCopy121Row" hidden="1">#REF!</definedName>
    <definedName name="XRefCopy122" hidden="1">[10]Depreciación!#REF!</definedName>
    <definedName name="XRefCopy122Row" hidden="1">#REF!</definedName>
    <definedName name="XRefCopy123" hidden="1">[10]Inversión!#REF!</definedName>
    <definedName name="XRefCopy125" hidden="1">[10]Inversión!#REF!</definedName>
    <definedName name="XRefCopy125Row" hidden="1">#REF!</definedName>
    <definedName name="XRefCopy126" hidden="1">[10]Inversión!#REF!</definedName>
    <definedName name="XRefCopy126Row" hidden="1">#REF!</definedName>
    <definedName name="XRefCopy127" hidden="1">[10]Inversión!#REF!</definedName>
    <definedName name="XRefCopy127Row" hidden="1">#REF!</definedName>
    <definedName name="XRefCopy128" hidden="1">[10]Depreciación!#REF!</definedName>
    <definedName name="XRefCopy128Row" hidden="1">#REF!</definedName>
    <definedName name="XRefCopy12Row" hidden="1">#REF!</definedName>
    <definedName name="XRefCopy13" hidden="1">#REF!</definedName>
    <definedName name="XRefCopy13Row" hidden="1">#REF!</definedName>
    <definedName name="XRefCopy14" hidden="1">#REF!</definedName>
    <definedName name="XRefCopy14Row" hidden="1">[28]XREF!#REF!</definedName>
    <definedName name="XRefCopy15" hidden="1">#REF!</definedName>
    <definedName name="XRefCopy15Row" hidden="1">[28]XREF!#REF!</definedName>
    <definedName name="XRefCopy16" hidden="1">#REF!</definedName>
    <definedName name="XRefCopy16Row" hidden="1">[28]XREF!#REF!</definedName>
    <definedName name="XRefCopy17" hidden="1">#REF!</definedName>
    <definedName name="XRefCopy17Row" hidden="1">[28]XREF!#REF!</definedName>
    <definedName name="XRefCopy18" hidden="1">#REF!</definedName>
    <definedName name="XRefCopy18Row" hidden="1">[28]XREF!#REF!</definedName>
    <definedName name="XRefCopy19" hidden="1">#REF!</definedName>
    <definedName name="XRefCopy19Row" hidden="1">[28]XREF!#REF!</definedName>
    <definedName name="XRefCopy1Row" hidden="1">#REF!</definedName>
    <definedName name="XRefCopy2" hidden="1">#REF!</definedName>
    <definedName name="XRefCopy20" hidden="1">#REF!</definedName>
    <definedName name="XRefCopy20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[29]XREF!#REF!</definedName>
    <definedName name="XRefCopy33" hidden="1">#REF!</definedName>
    <definedName name="XRefCopy33_"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Row" hidden="1">#REF!</definedName>
    <definedName name="XRefCopy6" hidden="1">#REF!</definedName>
    <definedName name="XRefCopy60" hidden="1">#REF!</definedName>
    <definedName name="XRefCopy60Row" hidden="1">#REF!</definedName>
    <definedName name="XRefCopy61" hidden="1">[10]Inversión!#REF!</definedName>
    <definedName name="XRefCopy61Row" hidden="1">#REF!</definedName>
    <definedName name="XRefCopy62" hidden="1">[10]Inversión!#REF!</definedName>
    <definedName name="XRefCopy63" hidden="1">#REF!</definedName>
    <definedName name="XRefCopy63Row" hidden="1">#REF!</definedName>
    <definedName name="XRefCopy65Row" hidden="1">#REF!</definedName>
    <definedName name="XRefCopy66" hidden="1">[10]Inversión!#REF!</definedName>
    <definedName name="XRefCopy66Row" hidden="1">#REF!</definedName>
    <definedName name="XRefCopy67" hidden="1">[10]Inversión!#REF!</definedName>
    <definedName name="XRefCopy67Row" hidden="1">#REF!</definedName>
    <definedName name="XRefCopy68" hidden="1">[10]Depreciación!#REF!</definedName>
    <definedName name="XRefCopy68Row" hidden="1">#REF!</definedName>
    <definedName name="XRefCopy69" hidden="1">[10]Depreciación!#REF!</definedName>
    <definedName name="XRefCopy69Row" hidden="1">#REF!</definedName>
    <definedName name="XRefCopy6Row" hidden="1">#REF!</definedName>
    <definedName name="XRefCopy7" hidden="1">#REF!</definedName>
    <definedName name="XRefCopy70" hidden="1">[10]Inversión!#REF!</definedName>
    <definedName name="XRefCopy70Row" hidden="1">#REF!</definedName>
    <definedName name="XRefCopy71" hidden="1">[10]Inversión!#REF!</definedName>
    <definedName name="XRefCopy71Row" hidden="1">#REF!</definedName>
    <definedName name="XRefCopy72" hidden="1">[10]Inversión!#REF!</definedName>
    <definedName name="XRefCopy72Row" hidden="1">#REF!</definedName>
    <definedName name="XRefCopy73" hidden="1">[10]Inversión!#REF!</definedName>
    <definedName name="XRefCopy73Row" hidden="1">#REF!</definedName>
    <definedName name="XRefCopy74" hidden="1">[10]Inversión!#REF!</definedName>
    <definedName name="XRefCopy74Row" hidden="1">#REF!</definedName>
    <definedName name="XRefCopy75" hidden="1">[10]Inversión!#REF!</definedName>
    <definedName name="XRefCopy75Row" hidden="1">#REF!</definedName>
    <definedName name="XRefCopy76" hidden="1">[10]Inversión!#REF!</definedName>
    <definedName name="XRefCopy76Row" hidden="1">#REF!</definedName>
    <definedName name="XRefCopy77" hidden="1">[10]Inversión!#REF!</definedName>
    <definedName name="XRefCopy77Row" hidden="1">#REF!</definedName>
    <definedName name="XRefCopy78" hidden="1">[10]Depreciación!#REF!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[10]Depreciación!#REF!</definedName>
    <definedName name="XRefCopy81Row" hidden="1">#REF!</definedName>
    <definedName name="XRefCopy82" hidden="1">[10]Depreciación!#REF!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7" hidden="1">#REF!</definedName>
    <definedName name="XRefCopy87Row" hidden="1">#REF!</definedName>
    <definedName name="XRefCopy88" hidden="1">#REF!</definedName>
    <definedName name="XRefCopy88Row" hidden="1">#REF!</definedName>
    <definedName name="XRefCopy89" hidden="1">#REF!</definedName>
    <definedName name="XRefCopy89Row" hidden="1">#REF!</definedName>
    <definedName name="XRefCopy8Row" hidden="1">#REF!</definedName>
    <definedName name="XRefCopy9" hidden="1">#REF!</definedName>
    <definedName name="XRefCopy91" hidden="1">[10]Inversión!#REF!</definedName>
    <definedName name="XRefCopy91Row" hidden="1">#REF!</definedName>
    <definedName name="XRefCopy92" hidden="1">[10]Inversión!#REF!</definedName>
    <definedName name="XRefCopy92Row" hidden="1">#REF!</definedName>
    <definedName name="XRefCopy93" hidden="1">[10]Inversión!#REF!</definedName>
    <definedName name="XRefCopy93Row" hidden="1">#REF!</definedName>
    <definedName name="XRefCopy94" hidden="1">[10]Inversión!#REF!</definedName>
    <definedName name="XRefCopy94Row" hidden="1">#REF!</definedName>
    <definedName name="XRefCopy95" hidden="1">[10]Inversión!#REF!</definedName>
    <definedName name="XRefCopy95Row" hidden="1">#REF!</definedName>
    <definedName name="XRefCopy96" hidden="1">[10]Inversión!#REF!</definedName>
    <definedName name="XRefCopy96Row" hidden="1">#REF!</definedName>
    <definedName name="XRefCopy97" hidden="1">[10]Inversión!#REF!</definedName>
    <definedName name="XRefCopy97Row" hidden="1">#REF!</definedName>
    <definedName name="XRefCopy99Row" hidden="1">#REF!</definedName>
    <definedName name="XRefCopy9Row" hidden="1">[30]XREF!#REF!</definedName>
    <definedName name="XRefCopyRangeCount" hidden="1">4</definedName>
    <definedName name="XRefPaste1" hidden="1">#REF!</definedName>
    <definedName name="XRefPaste10" hidden="1">#REF!</definedName>
    <definedName name="XRefPaste100" hidden="1">[10]Inversión!#REF!</definedName>
    <definedName name="XRefPaste100Row" hidden="1">#REF!</definedName>
    <definedName name="XRefPaste101" hidden="1">[10]Inversión!#REF!</definedName>
    <definedName name="XRefPaste101Row" hidden="1">#REF!</definedName>
    <definedName name="XRefPaste102" hidden="1">[10]Inversión!#REF!</definedName>
    <definedName name="XRefPaste102Row" hidden="1">#REF!</definedName>
    <definedName name="XRefPaste103" hidden="1">[10]Inversión!#REF!</definedName>
    <definedName name="XRefPaste103Row" hidden="1">#REF!</definedName>
    <definedName name="XRefPaste104" hidden="1">[10]Inversión!#REF!</definedName>
    <definedName name="XRefPaste104Row" hidden="1">#REF!</definedName>
    <definedName name="XRefPaste105" hidden="1">[10]Inversión!#REF!</definedName>
    <definedName name="XRefPaste105Row" hidden="1">#REF!</definedName>
    <definedName name="XRefPaste106" hidden="1">[10]Inversión!#REF!</definedName>
    <definedName name="XRefPaste106Row" hidden="1">#REF!</definedName>
    <definedName name="XRefPaste107" hidden="1">[10]Inversión!#REF!</definedName>
    <definedName name="XRefPaste107Row" hidden="1">#REF!</definedName>
    <definedName name="XRefPaste108" hidden="1">[10]Inversión!#REF!</definedName>
    <definedName name="XRefPaste108Row" hidden="1">#REF!</definedName>
    <definedName name="XRefPaste109" hidden="1">[10]Inversión!#REF!</definedName>
    <definedName name="XRefPaste109Row" hidden="1">#REF!</definedName>
    <definedName name="XRefPaste10Row" hidden="1">#REF!</definedName>
    <definedName name="XRefPaste11" hidden="1">#REF!</definedName>
    <definedName name="XRefPaste110" hidden="1">[10]Inversión!#REF!</definedName>
    <definedName name="XRefPaste110Row" hidden="1">#REF!</definedName>
    <definedName name="XRefPaste111" hidden="1">[10]Inversión!#REF!</definedName>
    <definedName name="XRefPaste111Row" hidden="1">#REF!</definedName>
    <definedName name="XRefPaste112" hidden="1">[10]Inversión!#REF!</definedName>
    <definedName name="XRefPaste112Row" hidden="1">#REF!</definedName>
    <definedName name="XRefPaste113" hidden="1">[10]Inversión!#REF!</definedName>
    <definedName name="XRefPaste113Row" hidden="1">#REF!</definedName>
    <definedName name="XRefPaste114" hidden="1">[10]Inversión!#REF!</definedName>
    <definedName name="XRefPaste114Row" hidden="1">#REF!</definedName>
    <definedName name="XRefPaste115" hidden="1">[10]Inversión!#REF!</definedName>
    <definedName name="XRefPaste115Row" hidden="1">#REF!</definedName>
    <definedName name="XRefPaste116" hidden="1">[10]Inversión!#REF!</definedName>
    <definedName name="XRefPaste116Row" hidden="1">#REF!</definedName>
    <definedName name="XRefPaste117" hidden="1">[10]Inversión!#REF!</definedName>
    <definedName name="XRefPaste117Row" hidden="1">#REF!</definedName>
    <definedName name="XRefPaste118" hidden="1">[10]Depreciación!#REF!</definedName>
    <definedName name="XRefPaste118Row" hidden="1">#REF!</definedName>
    <definedName name="XRefPaste119" hidden="1">[10]Depreciación!#REF!</definedName>
    <definedName name="XRefPaste119Row" hidden="1">#REF!</definedName>
    <definedName name="XRefPaste11Row" hidden="1">#REF!</definedName>
    <definedName name="XRefPaste12" hidden="1">#REF!</definedName>
    <definedName name="XRefPaste12_" hidden="1">#REF!</definedName>
    <definedName name="XRefPaste120" hidden="1">[10]Depreciación!#REF!</definedName>
    <definedName name="XRefPaste120Row" hidden="1">#REF!</definedName>
    <definedName name="XRefPaste121" hidden="1">[10]Depreciación!#REF!</definedName>
    <definedName name="XRefPaste121Row" hidden="1">#REF!</definedName>
    <definedName name="XRefPaste122" hidden="1">[10]Depreciación!#REF!</definedName>
    <definedName name="XRefPaste122Row" hidden="1">#REF!</definedName>
    <definedName name="XRefPaste123" hidden="1">[10]Depreciación!#REF!</definedName>
    <definedName name="XRefPaste123Row" hidden="1">#REF!</definedName>
    <definedName name="XRefPaste124" hidden="1">[10]Depreciación!#REF!</definedName>
    <definedName name="XRefPaste124Row" hidden="1">#REF!</definedName>
    <definedName name="XRefPaste125" hidden="1">[10]Depreciación!#REF!</definedName>
    <definedName name="XRefPaste125Row" hidden="1">#REF!</definedName>
    <definedName name="XRefPaste126" hidden="1">[10]Inversión!#REF!</definedName>
    <definedName name="XRefPaste126Row" hidden="1">#REF!</definedName>
    <definedName name="XRefPaste127" hidden="1">[10]Inversión!#REF!</definedName>
    <definedName name="XRefPaste127Row" hidden="1">#REF!</definedName>
    <definedName name="XRefPaste128" hidden="1">[10]Inversión!#REF!</definedName>
    <definedName name="XRefPaste128Row" hidden="1">#REF!</definedName>
    <definedName name="XRefPaste129" hidden="1">[10]Inversión!#REF!</definedName>
    <definedName name="XRefPaste129Row" hidden="1">#REF!</definedName>
    <definedName name="XRefPaste12Row" hidden="1">#REF!</definedName>
    <definedName name="XRefPaste13" hidden="1">#REF!</definedName>
    <definedName name="XRefPaste130" hidden="1">[10]Inversión!#REF!</definedName>
    <definedName name="XRefPaste130Row" hidden="1">#REF!</definedName>
    <definedName name="XRefPaste131" hidden="1">[10]Inversión!#REF!</definedName>
    <definedName name="XRefPaste131Row" hidden="1">#REF!</definedName>
    <definedName name="XRefPaste132" hidden="1">[10]Inversión!#REF!</definedName>
    <definedName name="XRefPaste132Row" hidden="1">#REF!</definedName>
    <definedName name="XRefPaste133" hidden="1">[10]Inversión!#REF!</definedName>
    <definedName name="XRefPaste133Row" hidden="1">#REF!</definedName>
    <definedName name="XRefPaste134" hidden="1">[10]Inversión!#REF!</definedName>
    <definedName name="XRefPaste134Row" hidden="1">#REF!</definedName>
    <definedName name="XRefPaste135" hidden="1">[10]Inversión!#REF!</definedName>
    <definedName name="XRefPaste135Row" hidden="1">#REF!</definedName>
    <definedName name="XRefPaste136" hidden="1">[10]Inversión!#REF!</definedName>
    <definedName name="XRefPaste136Row" hidden="1">#REF!</definedName>
    <definedName name="XRefPaste137" hidden="1">[10]Inversión!#REF!</definedName>
    <definedName name="XRefPaste137Row" hidden="1">#REF!</definedName>
    <definedName name="XRefPaste138" hidden="1">[10]Inversión!#REF!</definedName>
    <definedName name="XRefPaste138Row" hidden="1">#REF!</definedName>
    <definedName name="XRefPaste139" hidden="1">[10]Inversión!#REF!</definedName>
    <definedName name="XRefPaste139Row" hidden="1">#REF!</definedName>
    <definedName name="XRefPaste13Row" hidden="1">[29]XREF!#REF!</definedName>
    <definedName name="XRefPaste14" hidden="1">#REF!</definedName>
    <definedName name="XRefPaste140" hidden="1">[10]Inversión!#REF!</definedName>
    <definedName name="XRefPaste140Row" hidden="1">#REF!</definedName>
    <definedName name="XRefPaste141" hidden="1">[10]Inversión!#REF!</definedName>
    <definedName name="XRefPaste141Row" hidden="1">#REF!</definedName>
    <definedName name="XRefPaste142Row" hidden="1">#REF!</definedName>
    <definedName name="XRefPaste143Row" hidden="1">#REF!</definedName>
    <definedName name="XRefPaste144" hidden="1">[10]Inversión!#REF!</definedName>
    <definedName name="XRefPaste144Row" hidden="1">#REF!</definedName>
    <definedName name="XRefPaste145" hidden="1">[10]Depreciación!#REF!</definedName>
    <definedName name="XRefPaste145Row" hidden="1">#REF!</definedName>
    <definedName name="XRefPaste14Row" hidden="1">[28]XREF!#REF!</definedName>
    <definedName name="XRefPaste15" hidden="1">#REF!</definedName>
    <definedName name="XRefPaste15Row" hidden="1">[28]XREF!#REF!</definedName>
    <definedName name="XRefPaste16" hidden="1">#REF!</definedName>
    <definedName name="XRefPaste16Row" hidden="1">[29]XREF!#REF!</definedName>
    <definedName name="XRefPaste17" hidden="1">#REF!</definedName>
    <definedName name="XRefPaste17Row" hidden="1">[29]XREF!#REF!</definedName>
    <definedName name="XRefPaste18" hidden="1">#REF!</definedName>
    <definedName name="XRefPaste18Row" hidden="1">[28]XREF!#REF!</definedName>
    <definedName name="XRefPaste19" hidden="1">#REF!</definedName>
    <definedName name="XRefPaste19Row" hidden="1">[28]XREF!#REF!</definedName>
    <definedName name="XRefPaste1Row" hidden="1">#REF!</definedName>
    <definedName name="XRefPaste2" hidden="1">#REF!</definedName>
    <definedName name="XRefPaste20" hidden="1">#REF!</definedName>
    <definedName name="XRefPaste20Row" hidden="1">[28]XREF!#REF!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[31]Lead!#REF!</definedName>
    <definedName name="XRefPaste25Row" hidden="1">#REF!</definedName>
    <definedName name="XRefPaste26" hidden="1">[31]Lead!#REF!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'[32]CN-160'!#REF!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[10]Inversión!#REF!</definedName>
    <definedName name="XRefPaste50Row" hidden="1">#REF!</definedName>
    <definedName name="XRefPaste51" hidden="1">[10]Inversión!#REF!</definedName>
    <definedName name="XRefPaste51Row" hidden="1">#REF!</definedName>
    <definedName name="XRefPaste52" hidden="1">[10]Inversión!#REF!</definedName>
    <definedName name="XRefPaste52Row" hidden="1">#REF!</definedName>
    <definedName name="XRefPaste53Row" hidden="1">#REF!</definedName>
    <definedName name="XRefPaste54Row" hidden="1">#REF!</definedName>
    <definedName name="XRefPaste55Row" hidden="1">#REF!</definedName>
    <definedName name="XRefPaste56Row" hidden="1">#REF!</definedName>
    <definedName name="XRefPaste57" hidden="1">[10]Inversión!#REF!</definedName>
    <definedName name="XRefPaste57Row" hidden="1">#REF!</definedName>
    <definedName name="XRefPaste58" hidden="1">[10]Inversión!#REF!</definedName>
    <definedName name="XRefPaste58Row" hidden="1">#REF!</definedName>
    <definedName name="XRefPaste59" hidden="1">[10]Depreciación!#REF!</definedName>
    <definedName name="XRefPaste59Row" hidden="1">#REF!</definedName>
    <definedName name="XRefPaste5Row" hidden="1">#REF!</definedName>
    <definedName name="XRefPaste6" hidden="1">#REF!</definedName>
    <definedName name="XRefPaste60Row" hidden="1">#REF!</definedName>
    <definedName name="XRefPaste61" hidden="1">[10]Inversión!#REF!</definedName>
    <definedName name="XRefPaste61Row" hidden="1">#REF!</definedName>
    <definedName name="XRefPaste62" hidden="1">[10]Inversión!#REF!</definedName>
    <definedName name="XRefPaste62Row" hidden="1">#REF!</definedName>
    <definedName name="XRefPaste63" hidden="1">[10]Inversión!#REF!</definedName>
    <definedName name="XRefPaste63Row" hidden="1">#REF!</definedName>
    <definedName name="XRefPaste64" hidden="1">[10]Inversión!#REF!</definedName>
    <definedName name="XRefPaste64Row" hidden="1">#REF!</definedName>
    <definedName name="XRefPaste65" hidden="1">[10]Inversión!#REF!</definedName>
    <definedName name="XRefPaste65Row" hidden="1">#REF!</definedName>
    <definedName name="XRefPaste66" hidden="1">[10]Inversión!#REF!</definedName>
    <definedName name="XRefPaste66Row" hidden="1">#REF!</definedName>
    <definedName name="XRefPaste67" hidden="1">[10]Inversión!#REF!</definedName>
    <definedName name="XRefPaste67Row" hidden="1">#REF!</definedName>
    <definedName name="XRefPaste68" hidden="1">[10]Inversión!#REF!</definedName>
    <definedName name="XRefPaste68Row" hidden="1">#REF!</definedName>
    <definedName name="XRefPaste69" hidden="1">[10]Inversión!#REF!</definedName>
    <definedName name="XRefPaste69Row" hidden="1">#REF!</definedName>
    <definedName name="XRefPaste6Row" hidden="1">#REF!</definedName>
    <definedName name="XRefPaste7" hidden="1">#REF!</definedName>
    <definedName name="XRefPaste70" hidden="1">[10]Inversión!#REF!</definedName>
    <definedName name="XRefPaste70Row" hidden="1">#REF!</definedName>
    <definedName name="XRefPaste71" hidden="1">[10]Inversión!#REF!</definedName>
    <definedName name="XRefPaste71Row" hidden="1">#REF!</definedName>
    <definedName name="XRefPaste72" hidden="1">[10]Inversión!#REF!</definedName>
    <definedName name="XRefPaste72Row" hidden="1">#REF!</definedName>
    <definedName name="XRefPaste73" hidden="1">[10]Inversión!#REF!</definedName>
    <definedName name="XRefPaste73Row" hidden="1">#REF!</definedName>
    <definedName name="XRefPaste74Row" hidden="1">#REF!</definedName>
    <definedName name="XRefPaste75Row" hidden="1">#REF!</definedName>
    <definedName name="XRefPaste76Row" hidden="1">#REF!</definedName>
    <definedName name="XRefPaste77" hidden="1">[10]Inversión!#REF!</definedName>
    <definedName name="XRefPaste77Row" hidden="1">#REF!</definedName>
    <definedName name="XRefPaste78" hidden="1">[10]Depreciación!#REF!</definedName>
    <definedName name="XRefPaste78Row" hidden="1">#REF!</definedName>
    <definedName name="XRefPaste79" hidden="1">[10]Depreciación!#REF!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[10]Depreciación!#REF!</definedName>
    <definedName name="XRefPaste81Row" hidden="1">#REF!</definedName>
    <definedName name="XRefPaste82" hidden="1">[10]Inversión!#REF!</definedName>
    <definedName name="XRefPaste82Row" hidden="1">#REF!</definedName>
    <definedName name="XRefPaste83Row" hidden="1">#REF!</definedName>
    <definedName name="XRefPaste84Row" hidden="1">#REF!</definedName>
    <definedName name="XRefPaste85" hidden="1">[10]Inversión!#REF!</definedName>
    <definedName name="XRefPaste85Row" hidden="1">#REF!</definedName>
    <definedName name="XRefPaste86" hidden="1">[10]Inversión!#REF!</definedName>
    <definedName name="XRefPaste86Row" hidden="1">#REF!</definedName>
    <definedName name="XRefPaste87" hidden="1">#REF!</definedName>
    <definedName name="XRefPaste87Row" hidden="1">#REF!</definedName>
    <definedName name="XRefPaste88" hidden="1">[10]Inversión!#REF!</definedName>
    <definedName name="XRefPaste88Row" hidden="1">#REF!</definedName>
    <definedName name="XRefPaste89Row" hidden="1">#REF!</definedName>
    <definedName name="XRefPaste8Row" hidden="1">#REF!</definedName>
    <definedName name="XRefPaste9" hidden="1">#REF!</definedName>
    <definedName name="XRefPaste90Row" hidden="1">#REF!</definedName>
    <definedName name="XRefPaste91" hidden="1">[10]Inversión!#REF!</definedName>
    <definedName name="XRefPaste91Row" hidden="1">#REF!</definedName>
    <definedName name="XRefPaste92" hidden="1">[10]Inversión!#REF!</definedName>
    <definedName name="XRefPaste92Row" hidden="1">#REF!</definedName>
    <definedName name="XRefPaste93" hidden="1">[10]Inversión!#REF!</definedName>
    <definedName name="XRefPaste93Row" hidden="1">#REF!</definedName>
    <definedName name="XRefPaste94" hidden="1">[10]Inversión!#REF!</definedName>
    <definedName name="XRefPaste94Row" hidden="1">#REF!</definedName>
    <definedName name="XRefPaste95" hidden="1">[10]Inversión!#REF!</definedName>
    <definedName name="XRefPaste95Row" hidden="1">#REF!</definedName>
    <definedName name="XRefPaste96" hidden="1">[10]Inversión!#REF!</definedName>
    <definedName name="XRefPaste96Row" hidden="1">#REF!</definedName>
    <definedName name="XRefPaste97" hidden="1">[10]Inversión!#REF!</definedName>
    <definedName name="XRefPaste97Row" hidden="1">#REF!</definedName>
    <definedName name="XRefPaste98" hidden="1">[10]Inversión!#REF!</definedName>
    <definedName name="XRefPaste98Row" hidden="1">#REF!</definedName>
    <definedName name="XRefPaste99" hidden="1">[10]Inversión!#REF!</definedName>
    <definedName name="XRefPaste99Row" hidden="1">#REF!</definedName>
    <definedName name="XRefPaste9Row" hidden="1">[33]XREF!#REF!</definedName>
    <definedName name="XRefPasteRangeCount" hidden="1">8</definedName>
    <definedName name="xretaodhsjhfv" hidden="1">#REF!</definedName>
    <definedName name="xx" hidden="1">{#N/A,#N/A,FALSE,"presentabce";#N/A,#N/A,FALSE,"traspasobac";#N/A,#N/A,FALSE,"capturabce";#N/A,#N/A,FALSE,"presentares";#N/A,#N/A,FALSE,"traspasores";#N/A,#N/A,FALSE,"caturares"}</definedName>
    <definedName name="xxx" hidden="1">{#N/A,#N/A,FALSE,"presentabce";#N/A,#N/A,FALSE,"traspasobac";#N/A,#N/A,FALSE,"capturabce";#N/A,#N/A,FALSE,"presentares";#N/A,#N/A,FALSE,"traspasores";#N/A,#N/A,FALSE,"caturares"}</definedName>
    <definedName name="XXXX" hidden="1">{#N/A,#N/A,FALSE,"ANEX-C MAQUINA";#N/A,#N/A,FALSE,"ANEX-C MANO OB";#N/A,#N/A,FALSE,"COB143SP";#N/A,#N/A,FALSE,"ANEX-C.MATERIAL."}</definedName>
    <definedName name="xxxxx" hidden="1">{#N/A,#N/A,FALSE,"PMRAD92";#N/A,#N/A,FALSE,"FINRAD93";#N/A,#N/A,FALSE,"RDORAD93";#N/A,#N/A,FALSE,"GRADBC93";#N/A,#N/A,FALSE,"GRADBC92";#N/A,#N/A,FALSE,"REDRAD92";#N/A,#N/A,FALSE,"PMRAD93"}</definedName>
    <definedName name="YA" hidden="1">{#N/A,#N/A,FALSE,"Hoja2"}</definedName>
    <definedName name="YAAA" hidden="1">{#N/A,#N/A,FALSE,"PMRAD92";#N/A,#N/A,FALSE,"FINRAD93";#N/A,#N/A,FALSE,"RDORAD93";#N/A,#N/A,FALSE,"GRADBC93";#N/A,#N/A,FALSE,"GRADBC92";#N/A,#N/A,FALSE,"REDRAD92";#N/A,#N/A,FALSE,"PMRAD93"}</definedName>
    <definedName name="YAAAA" hidden="1">{#N/A,#N/A,FALSE,"presentabce";#N/A,#N/A,FALSE,"traspasobac";#N/A,#N/A,FALSE,"capturabce";#N/A,#N/A,FALSE,"presentares";#N/A,#N/A,FALSE,"traspasores";#N/A,#N/A,FALSE,"caturares"}</definedName>
    <definedName name="YAAAAA" hidden="1">{#N/A,#N/A,FALSE,"presentabce";#N/A,#N/A,FALSE,"traspasobac";#N/A,#N/A,FALSE,"capturabce";#N/A,#N/A,FALSE,"presentares";#N/A,#N/A,FALSE,"traspasores";#N/A,#N/A,FALSE,"caturares"}</definedName>
    <definedName name="YAAAAAA" hidden="1">{#N/A,#N/A,FALSE,"EDOCAM93";#N/A,#N/A,FALSE,"PMRAD92";#N/A,#N/A,FALSE,"EDORES93";#N/A,#N/A,FALSE,"RDORAD93";#N/A,#N/A,FALSE,"GRADBC93";#N/A,#N/A,FALSE,"GRADBC92";#N/A,#N/A,FALSE,"REDRAD92";#N/A,#N/A,FALSE,"PMRAD93";#N/A,#N/A,FALSE,"PMRAD92"}</definedName>
    <definedName name="YAAAAAAA" hidden="1">{#N/A,#N/A,FALSE,"presentabce";#N/A,#N/A,FALSE,"presentares";#N/A,#N/A,FALSE,"traspasobac";#N/A,#N/A,FALSE,"traspasores";#N/A,#N/A,FALSE,"capturabce";#N/A,#N/A,FALSE,"caturares"}</definedName>
    <definedName name="YAAAAAAAAA" hidden="1">{#N/A,#N/A,FALSE,"presentabce";#N/A,#N/A,FALSE,"traspasobac";#N/A,#N/A,FALSE,"capturabce";#N/A,#N/A,FALSE,"presentares";#N/A,#N/A,FALSE,"traspasores";#N/A,#N/A,FALSE,"caturares"}</definedName>
    <definedName name="YAAAAAAAAAA" hidden="1">{#N/A,#N/A,FALSE,"presentabce";#N/A,#N/A,FALSE,"traspasobac";#N/A,#N/A,FALSE,"capturabce";#N/A,#N/A,FALSE,"presentares";#N/A,#N/A,FALSE,"traspasores";#N/A,#N/A,FALSE,"TRANSACCIONES BUENAS";#N/A,#N/A,FALSE,"caturares"}</definedName>
    <definedName name="yeryrtyrtyrty" hidden="1">{#N/A,#N/A,FALSE,"Sheet1"}</definedName>
    <definedName name="yiuyiuyiyi" hidden="1">{#N/A,#N/A,FALSE,"Sheet1"}</definedName>
    <definedName name="yrtyry" hidden="1">{#N/A,#N/A,FALSE,"presentabce";#N/A,#N/A,FALSE,"traspasobac";#N/A,#N/A,FALSE,"capturabce";#N/A,#N/A,FALSE,"presentares";#N/A,#N/A,FALSE,"traspasores";#N/A,#N/A,FALSE,"TRANSACCIONES BUENAS";#N/A,#N/A,FALSE,"caturares"}</definedName>
    <definedName name="yrtyryry" hidden="1">{#N/A,#N/A,FALSE,"Hoja2"}</definedName>
    <definedName name="ytrtyrtyrt" hidden="1">{#N/A,#N/A,FALSE,"Parts";#N/A,#N/A,FALSE,"FG";#N/A,#N/A,FALSE,"Raw Material";#N/A,#N/A,FALSE,"Resale"}</definedName>
    <definedName name="Z_3D00FBD1_136B_4B90_A4F4_CBFEF54A36D9_.wvu.Cols" hidden="1">#REF!</definedName>
    <definedName name="Z_3D00FBD1_136B_4B90_A4F4_CBFEF54A36D9_.wvu.Rows" hidden="1">#REF!</definedName>
    <definedName name="Zelda" hidden="1">{#N/A,#N/A,FALSE,"ANEX-C MAQUINA";#N/A,#N/A,FALSE,"ANEX-C MANO OB";#N/A,#N/A,FALSE,"COB143SP";#N/A,#N/A,FALSE,"ANEX-C.MATERIAL."}</definedName>
    <definedName name="ZZ" hidden="1">{#N/A,#N/A,FALSE,"Sheet1"}</definedName>
    <definedName name="ZZZZZ" hidden="1">{#N/A,#N/A,FALSE,"Sheet1"}</definedName>
  </definedNames>
  <calcPr calcId="191028"/>
  <fileRecoveryPr autoRecover="0"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18" i="171" l="1"/>
  <c r="S47" i="161" l="1"/>
  <c r="S49" i="16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14C412-2417-4569-910C-689344BC3D16}" keepAlive="1" name="Consulta - Tabla1" description="Conexión a la consulta 'Tabla1' en el libro." type="5" refreshedVersion="0" background="1" saveData="1">
    <dbPr connection="Provider=Microsoft.Mashup.OleDb.1;Data Source=$Workbook$;Location=Tabla1;Extended Properties=&quot;&quot;" command="SELECT * FROM [Tabla1]"/>
  </connection>
  <connection id="2" xr16:uid="{E4659FAF-B551-4F59-B771-6C67726CB1FE}" keepAlive="1" name="Consulta - Tabla2" description="Conexión a la consulta 'Tabla2' en el libro." type="5" refreshedVersion="0" background="1" saveData="1">
    <dbPr connection="Provider=Microsoft.Mashup.OleDb.1;Data Source=$Workbook$;Location=Tabla2;Extended Properties=&quot;&quot;" command="SELECT * FROM [Tabla2]"/>
  </connection>
  <connection id="3" xr16:uid="{FBFAEF1E-31F9-40CD-A0C7-4E0237038454}" keepAlive="1" name="Consulta - Tabla5" description="Conexión a la consulta 'Tabla5' en el libro." type="5" refreshedVersion="0" background="1" saveData="1">
    <dbPr connection="Provider=Microsoft.Mashup.OleDb.1;Data Source=$Workbook$;Location=Tabla5;Extended Properties=&quot;&quot;" command="SELECT * FROM [Tabla5]"/>
  </connection>
</connections>
</file>

<file path=xl/sharedStrings.xml><?xml version="1.0" encoding="utf-8"?>
<sst xmlns="http://schemas.openxmlformats.org/spreadsheetml/2006/main" count="9444" uniqueCount="2696">
  <si>
    <t>Subdirección de Mantenimiento, Logística e Infraestructura Complementaria.</t>
  </si>
  <si>
    <t>Gerencia de Mantenimiento e Infraestructura Complementaria Marina.</t>
  </si>
  <si>
    <t>Descripción de los trabajos: “Desarrollo de trabajos de instalación de infraestructura, montaje de equipos, rehabilitación y mantenimiento de estructuras, interconexión de líneas de proceso, obra electromecánica y de seguridad en los centros de proceso y plataformas satélites en aguas de las zonas marinas mexicanas”.</t>
  </si>
  <si>
    <t>Anexo C-CR: Catálogo de conceptos, para evaluación económica.</t>
  </si>
  <si>
    <t>PART.</t>
  </si>
  <si>
    <t>DESCRIPCIÓN DE CONCEPTOS</t>
  </si>
  <si>
    <t>UNID.</t>
  </si>
  <si>
    <t>CANT.</t>
  </si>
  <si>
    <t>PRECIO UNITARIO</t>
  </si>
  <si>
    <t>IMPORTE</t>
  </si>
  <si>
    <t>M.N.</t>
  </si>
  <si>
    <t>U.S.D.</t>
  </si>
  <si>
    <t>Barco grúa con posicionamiento dinámico de acuerdo con las características requeridas en el Anexo “DT-4”.</t>
  </si>
  <si>
    <t>Barco Grúa con Posicionamiento Dinámico Clase 2 OMI de acuerdo a los Anexos “B” y “DT-4”</t>
  </si>
  <si>
    <t>Día</t>
  </si>
  <si>
    <t>Conceptos optativos</t>
  </si>
  <si>
    <t>Catálogo de conceptos de suministro y prefabricación de estructuras y Tubos para trabajos de rehabilitación y adecuación en tierra (Anexo C-2-CR)</t>
  </si>
  <si>
    <t>Lote</t>
  </si>
  <si>
    <t>Catálogo de conceptos para trabajos de rehabilitación y adecuación optativos Costa Fuera (Anexo C-3-CR).</t>
  </si>
  <si>
    <t>Catálogo de conceptos de personal optativo para trabajos de rehabilitación y adecuación en tierra, mar, y seguridad. (Anexo C-4-CR).</t>
  </si>
  <si>
    <t>4-1</t>
  </si>
  <si>
    <t>Plantilla base de personal (Anexo C-4-1).</t>
  </si>
  <si>
    <t>Catálogo de conceptos de equipo optativo para trabajos de rehabilitación y adecuación en mar y seguridad (Anexo C-5-CR).</t>
  </si>
  <si>
    <t>5-1</t>
  </si>
  <si>
    <t>Plantilla base de equipo (Anexo C-5-1).</t>
  </si>
  <si>
    <t>Catálogo de conceptos de hospedaje y alimentación Optativos (Anexo C-6-CR).</t>
  </si>
  <si>
    <t>TOTAL</t>
  </si>
  <si>
    <t>EL MONTO DE LA PROPUESTA ES DE: ** SIETE MIL SETECIENTOS TREINTA Y UN MILLONES CUATROCIENTOS DOS MIL QUINIENTOS VEINTISIETE 22/100 M.N.**  MAS  ** CUATROCIENTOS DOCE MILLONES CUATROCIENTOS SETENTA Y SIETE MIL DOSCIENTOS TREINTA Y SIETE 58/100 U.S.D.** SIN INCLUIR EL IMPUESTO AL VALOR AGREGADO.</t>
  </si>
  <si>
    <t>Ciudad del Carmen, Campeche a 10 de Enero de 2023</t>
  </si>
  <si>
    <t>ROMÁN LEONARDO LEÓN NARVÁEZ</t>
  </si>
  <si>
    <t>BME SUBTEC, S.A. DE C.V.</t>
  </si>
  <si>
    <t>NOMBRE Y FIRMA DEL REPRESENTANTE LEGAL</t>
  </si>
  <si>
    <t>Anexo C-2-CR: Catálogo de conceptos de suministro y prefabricación de estructuras y Tubos para trabajos de rehabilitación y adecuación en tierra (Cantidades de referencia).</t>
  </si>
  <si>
    <t>UNIDAD</t>
  </si>
  <si>
    <t>CANTIDADES DE REFERENCIA</t>
  </si>
  <si>
    <t xml:space="preserve">Catálogo de conceptos de suministro y prefabricación de estructuras y Tubos para trabajos de rehabilitación y adecuación en tierra. </t>
  </si>
  <si>
    <t>Tubos</t>
  </si>
  <si>
    <t>Suministro, habilitación e instalación de tubo metálico de acero al carbón API-5l GR. B, extremos biselados, incluye: acarreo, carga, descarga, maniobras en el patio de prefabricados, así como embalado y acarreo del patio de prefabricado al muelle de embarque</t>
  </si>
  <si>
    <t>2.1.</t>
  </si>
  <si>
    <t>Tubo de acero al carbón de 8"Ø, XS, cédula 80, espesor de pared 0.500</t>
  </si>
  <si>
    <t>M</t>
  </si>
  <si>
    <t>2.2.</t>
  </si>
  <si>
    <t>Tubo de acero al carbón de 10"Ø, estándar, cédula 40, espesor de pared 0.365</t>
  </si>
  <si>
    <t>TON</t>
  </si>
  <si>
    <t>2.3.</t>
  </si>
  <si>
    <t>Tubo de acero al carbón de 12"Ø, XS, espesor de pared 0.500</t>
  </si>
  <si>
    <t>2.4.</t>
  </si>
  <si>
    <t>Tubo de acero al carbón de 12"Ø, XS, espesor de pared 0.750</t>
  </si>
  <si>
    <t>2.5.</t>
  </si>
  <si>
    <t>Tubo de acero al carbón de 14"Ø, cédula 80, espesor de pared 0.750</t>
  </si>
  <si>
    <t>2.6.</t>
  </si>
  <si>
    <t>Tubo de acero al carbón de 16"Ø, espesor de pared 0.750</t>
  </si>
  <si>
    <t>2.7.</t>
  </si>
  <si>
    <t>Tubo de acero al carbón de 18"Ø, XS, espesor de pared 0.500</t>
  </si>
  <si>
    <t>2.8.</t>
  </si>
  <si>
    <t>Tubo de acero al carbón de 18"Ø, cédula 60, espesor de pared 0.750</t>
  </si>
  <si>
    <t>2.9.</t>
  </si>
  <si>
    <t>Tubo de acero al carbón de 20"Ø, espesor de pared 0.938</t>
  </si>
  <si>
    <t>2.10.</t>
  </si>
  <si>
    <t>Tubo de acero al carbón de 20"Ø, cédula 80, espesor de pared 1.031</t>
  </si>
  <si>
    <t>2.11.</t>
  </si>
  <si>
    <t>Tubo de acero al carbón de 24"Ø, XS, espesor de pared 0.500</t>
  </si>
  <si>
    <t>2.12.</t>
  </si>
  <si>
    <t>Tubo de acero al carbón de 24"Ø, espesor de pared 0.625</t>
  </si>
  <si>
    <t>2.13.</t>
  </si>
  <si>
    <t>Tubo de acero al carbón de 24"Ø, espesor de pared 0.750</t>
  </si>
  <si>
    <t>2.14.</t>
  </si>
  <si>
    <t>Tubo de acero al carbón de 24"Ø, espesor de pared 1.000</t>
  </si>
  <si>
    <t>2.15.</t>
  </si>
  <si>
    <t>Tubo de acero al carbón de 36"Ø, XS, cédula 20, espesor de pared 0.500</t>
  </si>
  <si>
    <t>Suministro, habilitación e instalación de tubo metálico de acero al carbón API 2H Gr 50, extremos biselados, incluye: acarreo, carga, descarga, maniobras en el patio de prefabricados, así como embalado y acarreo del patio de prefabricado al muelle de embarque</t>
  </si>
  <si>
    <t>2.16.</t>
  </si>
  <si>
    <t>Tubo de acero al carbón de 18"Ø, espesor de pared 1.000</t>
  </si>
  <si>
    <t>2.17.</t>
  </si>
  <si>
    <t>Suministro, habilitación e instalación de tubo metálico de acero al carbón ASTM A-36, extremos planos, incluye: acarreo, carga, descarga, maniobras en el patio de prefabricados, así como embalado y acarreo del patio de prefabricado al muelle de embarque</t>
  </si>
  <si>
    <t>2.18.</t>
  </si>
  <si>
    <t>2.19.</t>
  </si>
  <si>
    <t>Suministro, habilitación e instalación de tubo metálico de acero al carbón ASTM A-53, extremos planos, incluye: acarreo, carga, descarga, maniobras en el patio de prefabricados, así como embalado y acarreo del patio de prefabricado al muelle de embarque</t>
  </si>
  <si>
    <t>2.20.</t>
  </si>
  <si>
    <t>suministro, habilitado e instalacion de tubo acero al carbon galvanizado astm a53 gr. b tipo "s", asme b36.10m cédula 80 extremos planos. 1" diametro, en patio de construcción.</t>
  </si>
  <si>
    <t>2.21.</t>
  </si>
  <si>
    <t>suministro, habilitado e instalacion de tubo acero al carbon galvanizado astm a53 gr. b tipo "s", asme b36.10m cédula 80 extremos planos. 2" diametro, en patio de construcción.</t>
  </si>
  <si>
    <t>Suministro, habilitación e instalación de tubo metálico de acero al carbón ASTM A-106, extremos planos, incluye: acarreo, carga, descarga, maniobras en el patio de prefabricados, así como embalado y acarreo del patio de prefabricado al muelle de embarque</t>
  </si>
  <si>
    <t>2.22.</t>
  </si>
  <si>
    <t>Tubo de acero al carbón de ¾"Ø, XS, cédula 80, espesor de pared 0.154</t>
  </si>
  <si>
    <t>2.23.</t>
  </si>
  <si>
    <t>Tubo de acero al carbón de ¾"Ø, cédula 160, espesor de pared 0.219</t>
  </si>
  <si>
    <t>2.24.</t>
  </si>
  <si>
    <t>Tubo de acero al carbón de 1"Ø, XS, cédula 80, espesor de pared 0.179</t>
  </si>
  <si>
    <t>2.25.</t>
  </si>
  <si>
    <t>Tubo de acero al carbón de 1"Ø, cédula 160, espesor de pared 0.250</t>
  </si>
  <si>
    <t>2.26.</t>
  </si>
  <si>
    <t>Tubo de acero al carbón de 1½"Ø, XS, cédula 80, espesor de pared 0.200</t>
  </si>
  <si>
    <t>2.27.</t>
  </si>
  <si>
    <t>Tubo de acero al carbón de 2"Ø, XS, cédula 80, espesor de pared 0.218</t>
  </si>
  <si>
    <t>2.28.</t>
  </si>
  <si>
    <t>Tubo de acero al carbón de 2"Ø, cédula 160, espesor de pared 0.344</t>
  </si>
  <si>
    <t>2.29.</t>
  </si>
  <si>
    <t>Tubo de acero al carbón de 2½"Ø, cédula 160, espesor de pared 0.375</t>
  </si>
  <si>
    <t>2.30.</t>
  </si>
  <si>
    <t>Tubo de acero al carbón de 3"Ø, estándar, cédula 40, espesor de pared 0.216</t>
  </si>
  <si>
    <t>2.31.</t>
  </si>
  <si>
    <t>Tubo de acero al carbón de 3"Ø, cédula 160, espesor de pared 0.438</t>
  </si>
  <si>
    <t>2.32.</t>
  </si>
  <si>
    <t>Tubo de acero al carbón de 4"Ø, estándar, cédula 40, espesor de pared 0.237</t>
  </si>
  <si>
    <t>2.33.</t>
  </si>
  <si>
    <t>Tubo de acero al carbón de 4"Ø, XS, cédula 80, espesor de pared 0.337</t>
  </si>
  <si>
    <t>2.34.</t>
  </si>
  <si>
    <t>Tubo de acero al carbón de 4"Ø, cédula 120, espesor de pared 0.438</t>
  </si>
  <si>
    <t>2.35.</t>
  </si>
  <si>
    <t>Tubo de acero al carbón de 6"Ø, estándar, cédula 40, espesor de pared 0.280</t>
  </si>
  <si>
    <t>2.36.</t>
  </si>
  <si>
    <t>Tubo de acero al carbón de 6"Ø, XS, cédula 80, espesor de pared 0.432</t>
  </si>
  <si>
    <t>2.37.</t>
  </si>
  <si>
    <t>Tubo de acero al carbón de 6"Ø, cédula 120, espesor de pared 0.562</t>
  </si>
  <si>
    <t>2.38.</t>
  </si>
  <si>
    <t>Tubo de acero al carbón de 8"Ø, estándar, cédula 40, espesor de pared 0.322</t>
  </si>
  <si>
    <t>2.39.</t>
  </si>
  <si>
    <t>2.40.</t>
  </si>
  <si>
    <t>Tubo de acero al carbón de 8"Ø, cédula 120, espesor de pared 0.719</t>
  </si>
  <si>
    <t>2.41.</t>
  </si>
  <si>
    <t>2.42.</t>
  </si>
  <si>
    <t>Tubo de acero al carbón de 16"Ø, cédula 80, espesor de pared 0.844</t>
  </si>
  <si>
    <t>2.43.</t>
  </si>
  <si>
    <t>Tubo de acero al carbón de 16"Ø, cédula 100, espesor de pared 1.031</t>
  </si>
  <si>
    <t>2.44.</t>
  </si>
  <si>
    <t>2.45.</t>
  </si>
  <si>
    <t>Tubo de acero al carbón de 24"Ø, cédula 80, espesor de pared 1.219</t>
  </si>
  <si>
    <t>Conexiones de Fabrica</t>
  </si>
  <si>
    <t>Suministro, habilitación e instalación de conexiones metálicas de acero al carbón, incluye: acarreo, carga, descarga, maniobras en el patio de prefabricados, así como embalado y acarreo del patio de prefabricado al muelle de embarque</t>
  </si>
  <si>
    <t>Suministro e instalación de Codos caja soldable de acero al carbón, ASTM A-105, fabricados de acuerdo al ASME B16.11 (debe cumplir con el estándar NACE MR0175).</t>
  </si>
  <si>
    <t>2.46.</t>
  </si>
  <si>
    <t>Codo de acero al carbón de ½"Ø, 90° grados 6,000#</t>
  </si>
  <si>
    <t>PIEZA</t>
  </si>
  <si>
    <t>2.47.</t>
  </si>
  <si>
    <t>Codo de acero al carbón de ¾"Ø, 90° grados  3,000#</t>
  </si>
  <si>
    <t>2.48.</t>
  </si>
  <si>
    <t>Codo de acero al carbón de 1"Ø, 90° grados 3,000#</t>
  </si>
  <si>
    <t>2.49.</t>
  </si>
  <si>
    <t>Codo de acero al carbón de 1"Ø, 90° grados 6,000#</t>
  </si>
  <si>
    <t>2.50.</t>
  </si>
  <si>
    <t>Codo de acero al carbón de 1½"Ø, 90° grados 3,000#</t>
  </si>
  <si>
    <t>2.51.</t>
  </si>
  <si>
    <t>Codo de acero al carbón de 2"Ø, 90° grados 3,000#</t>
  </si>
  <si>
    <t>2.52.</t>
  </si>
  <si>
    <t>Codo de acero al carbón de 2"Ø, 90° grados 6,000#</t>
  </si>
  <si>
    <t>2.53.</t>
  </si>
  <si>
    <t>SUMINISTRO, CARGA, ACARREO E INSTALACIÓN DE CODO DE 45° DE ACERO AL CARBON FORJADO ASTM A 105, SIN COSTURA EXTREMOS CAJA SOLDAR, DE 1" DE DIÁMETRO CLASE 3000 # ASME B16.11 (DEBE CUMPLIR CON EL ESTANDAR NACE-MR0175 / ISO 15156, ÚLTIMA EDICIÓN), EN PATIO DE CONSTRUCCIÓN.</t>
  </si>
  <si>
    <t>2.54.</t>
  </si>
  <si>
    <t>Codo de acero al carbón de 1"Ø, 45° grados 6,000#</t>
  </si>
  <si>
    <t>2.55.</t>
  </si>
  <si>
    <t>SUMINISTRO E INSTALACIÓN DE CODO DE 45° DE ACERO AL CARBON FORJADO ASTM A 105, SIN COSTURA EXTREMOS CAJA SOLDAR, (DEBE CUMPLIR CON EL ESTANDAR NACE-MR0175 / ISO 15156, ÚLTIMA EDICIÓN) DE 2" Ø CLASE 3000#.</t>
  </si>
  <si>
    <t>2.56.</t>
  </si>
  <si>
    <t>SUMINISTRO, HABILITADO E INSTALACION EN PATIO DE FABRICACIÓN DE LA CONTRATISTA DE CODO DE 45 , DE ACERO AL CARBON FORJADO, ASTM A 105 ASME B16.11 CLASE 6000#, EXTREMOS CAJA PARA SOLDAR. (PARA SERVICIO AMARGO Y DEBE CUMPLIR CON LOS REQUERIMIENTOS DEL ESTÁNDAR ISO 15156-2.), DE 2" DE DIAMETRO.</t>
  </si>
  <si>
    <t>Suministro e instalación de Codos de acero al carbón, ASTM-A 234 GR. WPB, fabricados de acuerdo al ASME B16.9 sin costura, extremos biselados (debe cumplir con el estándar NACE MR0175).</t>
  </si>
  <si>
    <t>2.57.</t>
  </si>
  <si>
    <t xml:space="preserve">Codo radio corto de acero al carbón de 6"Ø, 45° grados para tubo de acero al carbón de 6"Ø, cédula 120, espesor de pared 0.562. </t>
  </si>
  <si>
    <t>2.58.</t>
  </si>
  <si>
    <t xml:space="preserve">Codo radio corto de acero al carbón de 8"Ø, 45° grados para tubo de acero al carbón de 8"Ø, cédula 120, espesor de pared 0.719. </t>
  </si>
  <si>
    <t>Suministro e instalación de Codos R.L. de acero al carbón, ASTM-A 234 GR. WPB, fabricados de acuerdo al ASME B16.9 sin costura, extremos biselados (debe cumplir con el estándar NACE MR0175).</t>
  </si>
  <si>
    <t>2.59.</t>
  </si>
  <si>
    <t xml:space="preserve">Codo R.L. de acero al carbón de 3"Ø, 90° grados para tubo de acero al carbón de 3"Ø, estándar, cédula 40, espesor de pared 0.216. </t>
  </si>
  <si>
    <t>2.60.</t>
  </si>
  <si>
    <t xml:space="preserve">Codo R.L. de acero al carbón de 3"Ø, 90° grados para tubo de acero al carbón de 3"Ø, estándar, cédula 80, espesor de pared 0.300. </t>
  </si>
  <si>
    <t>2.61.</t>
  </si>
  <si>
    <t xml:space="preserve">Codo R.L. de acero al carbón de 3"Ø, 90° grados para tubo de acero al carbón de 3"Ø, cédula 160, espesor de pared 0.438. </t>
  </si>
  <si>
    <t>2.62.</t>
  </si>
  <si>
    <t xml:space="preserve">Codo R.L. de acero al carbón de 4"Ø, 90° grados para tubo de acero al carbón de 4"Ø, estándar, cédula 40, espesor de pared 0.237. </t>
  </si>
  <si>
    <t>2.63.</t>
  </si>
  <si>
    <t xml:space="preserve">Codo R.L. de acero al carbón de 4"Ø, 90° grados para tubo de acero al carbón de 4"Ø, XS, cédula 80, espesor de pared 0.337. </t>
  </si>
  <si>
    <t>2.64.</t>
  </si>
  <si>
    <t xml:space="preserve">Codo R.L. de acero al carbón de 4"Ø, 90° grados para tubo de acero al carbón de 4"Ø, cédula 120, espesor de pared 0.438. </t>
  </si>
  <si>
    <t>2.65.</t>
  </si>
  <si>
    <t xml:space="preserve">Codo R.L.de acero al carbón de 4"Ø, 45° grados para tubo de acero al carbón de 4"Ø, XS, cédula 80, espesor de pared 0.337. </t>
  </si>
  <si>
    <t>2.66.</t>
  </si>
  <si>
    <t xml:space="preserve">Codo R.L. de acero al carbón de 6"Ø, 90° grados para tubo de acero al carbón de 6"Ø, estándar, cédula 40, espesor de pared 0.280. </t>
  </si>
  <si>
    <t>2.67.</t>
  </si>
  <si>
    <t xml:space="preserve">Codo R.L. de acero al carbón de 6"Ø, 90° grados para tubo de acero al carbón de 6"Ø, XS, cédula 80, espesor de pared 0.432. </t>
  </si>
  <si>
    <t>2.68.</t>
  </si>
  <si>
    <t xml:space="preserve">Codo R.L. de acero al carbón de 6"Ø, 90° grados para tubo de acero al carbón de 6"Ø, cédula 160, espesor de pared 0.719. </t>
  </si>
  <si>
    <t>2.69.</t>
  </si>
  <si>
    <t xml:space="preserve">Codo R.L. de acero al carbón de 6"Ø, 90° grados para tubo de acero al carbón de 6"Ø, cédula 120, espesor de pared 0.562. </t>
  </si>
  <si>
    <t>2.70.</t>
  </si>
  <si>
    <t xml:space="preserve">Codo R.L. de acero al carbón de 8"Ø, 90° grados para tubo de acero al carbón de 8"Ø, estándar, cédula 40, espesor de pared 0.322. </t>
  </si>
  <si>
    <t>2.71.</t>
  </si>
  <si>
    <t xml:space="preserve">Codo R.L. de acero al carbón de 8"Ø, 90° grados para tubo de acero al carbón de 8"Ø, XS, cédula 80, espesor de pared 0.500. </t>
  </si>
  <si>
    <t>2.72.</t>
  </si>
  <si>
    <t xml:space="preserve">Codo R.L. de acero al carbón de 8"Ø, 90° grados para tubo de acero al carbón de 8"Ø, cédula 120, espesor de pared 0.719. </t>
  </si>
  <si>
    <t>2.73.</t>
  </si>
  <si>
    <t xml:space="preserve">Codo R.L. de acero al carbón de 8"Ø, 45° grados para tubo de acero al carbón de 8"Ø, estándar, cédula 40, espesor de pared 0.322. </t>
  </si>
  <si>
    <t>2.74.</t>
  </si>
  <si>
    <t xml:space="preserve">Codo R.L. de acero al carbón de 10"Ø, 90° grados para tubo de acero al carbón de 10"Ø, estándar, cédula 40, espesor de pared 0.365. </t>
  </si>
  <si>
    <t>2.75.</t>
  </si>
  <si>
    <t xml:space="preserve">Codo R.L. de acero al carbón de 10"Ø, 45° grados para tubo de acero al carbón de 10"Ø, estándar, cédula 40, espesor de pared 0.365. </t>
  </si>
  <si>
    <t>2.76.</t>
  </si>
  <si>
    <t xml:space="preserve">Codo R.L. de acero al carbón de 16"Ø, 90° grados para tubo de acero al carbón de 16"Ø, cédula 80, espesor de pared 0.844. </t>
  </si>
  <si>
    <t>2.77.</t>
  </si>
  <si>
    <t xml:space="preserve">Codo R.L. de acero al carbón de 16"Ø, 45° grados para tubo de acero al carbón de 16"Ø, cédula 80, espesor de pared 0.844. </t>
  </si>
  <si>
    <t>2.78.</t>
  </si>
  <si>
    <t xml:space="preserve">Codo R.L. de acero al carbón de 20"Ø, 90° grados para tubo de acero al carbón de 20"Ø, cédula 80, espesor de pared 1.031. </t>
  </si>
  <si>
    <t>2.79.</t>
  </si>
  <si>
    <t xml:space="preserve">Codo R.L. de acero al carbón de 20"Ø, 45° grados para tubo de acero al carbón de 20"Ø, cédula 80, espesor de pared 1.031. </t>
  </si>
  <si>
    <t>2.80.</t>
  </si>
  <si>
    <t xml:space="preserve">Codo R.L. de acero al carbón de 24"Ø, 90° grados para tubo de acero al carbón de 24"Ø, espesor de pared 0.625. </t>
  </si>
  <si>
    <t>2.81.</t>
  </si>
  <si>
    <t xml:space="preserve">Codo R.L. de acero al carbón de 24"Ø, 90° grados para tubo de acero al carbón de 24"Ø, espesor de pared 1.125. </t>
  </si>
  <si>
    <t>2.82.</t>
  </si>
  <si>
    <t xml:space="preserve">Codo R.L. de acero al carbón de 24"Ø, 45° grados para tubo de acero al carbón de 24"Ø, espesor de pared 0.625. </t>
  </si>
  <si>
    <t>2.83.</t>
  </si>
  <si>
    <t xml:space="preserve">Codo R.L. de acero al carbón de 24"Ø, 45° grados para tubo de acero al carbón de 24"Ø, espesor de pared 1.125. </t>
  </si>
  <si>
    <t>SUMINISTRO, HABILITACION E INSTALACION DE BRIDAS ACERO AL CARBÓN ASTM A-105 CAJA SOLDABLE 150# Y 1500#, ANSI B16.5</t>
  </si>
  <si>
    <t>2.84.</t>
  </si>
  <si>
    <t>SUMINISTRO, CARGA, ACARREO E INSTALACIÓN DE BRIDA DE 1" DE DIAMETRO CAJA PARA SOLDAR 150# CARA REALZADA (R.F.) DE ACERO AL CARBON ASTM A105, ASME B16.5, EN PATIO DE CONSTRUCCIÓN.</t>
  </si>
  <si>
    <t>2.85.</t>
  </si>
  <si>
    <t>SUMINISTRO E INSTALACIÓN EN PATIO DE CONSTRUCCIÓN DE LA CONTRATISTA DE BRIDA CAJA SOLDAR  1½" DE DIAMETRO CLASE 150 CARA REALZADA (R.F.) DE ACERO AL CARBON, ASTM A-105 ASME B16.5. CEDULA 80</t>
  </si>
  <si>
    <t>2.86.</t>
  </si>
  <si>
    <t>SUMINISTRO E INSTALACIÓN EN PATIO DE CONSTRUCCIÓN DE LA CONTRATISTA DE BRIDA CAJA SOLDABLE DE ACERO AL CARBONO FORJADO, ASTM A105 ASME B16.5 CLASE 150# CARA REALZADA (R.F.)  DE 2" DE DIAMETRO.</t>
  </si>
  <si>
    <t>2.87.</t>
  </si>
  <si>
    <t>SUMINISTRO, CARGA, ACARREO E INSTALACIÓN DE BRIDA CAJA SOLDAR DE ACERO AL CARBON FORJADO, ASTM A105 ASME B16.5 CLASE 1500#, R.J. EXTREMO CAJA SOLDABLE. (PARA SERVICIO AMARGO Y DEBE CUMPLIR CON LOS REQUERIMIENTOS DEL ESTÁNDAR ISO 15156-2.) 1" DE DIAMETRO.</t>
  </si>
  <si>
    <t>2.88.</t>
  </si>
  <si>
    <t>SUMINISTRO, CARGA, ACARREO E INSTALACIÓN DE BRIDA CAJA SOLDAR DE ACERO AL CARBON FORJADO, ASTM A105 ASME B16.5 CLASE 1500#, R.J. EXTREMO CAJA SOLDABLE. (PARA SERVICIO AMARGO Y DEBE CUMPLIR CON LOS REQUERIMIENTOS DEL ESTÁNDAR ISO 15156-2.)  2" DE DIAMETRO.</t>
  </si>
  <si>
    <t>SUMINISTRO, HABILITACION E INSTALACION DE BRIDAS ACERO AL CARBÓN ASTM A-105 CAJA SOLDABLE 300#, ANSI B16.5</t>
  </si>
  <si>
    <t>2.89.</t>
  </si>
  <si>
    <t>SUMINISTRO E INSTALACIÓN EN PATIO DE FABRICACIÓN DE BRIDA CAJA SOLDABLE DE ACERO AL CARBONO FORJADO, ASTM A105 ASME B16.5 CLASE 300# CARA REALZADA (R.F.) DE ¾" DE DIAMETRO, CEDULA 160</t>
  </si>
  <si>
    <t>2.90.</t>
  </si>
  <si>
    <t>SUMINISTRO E INSTALACIÓN EN PATIO DE CONSTRUCCIÓN DE LA CONTRATISTA DE BRIDA CAJA SOLDABLE DE ACERO AL CARBONO FORJADO, ASTM A105 ASME B16.5 CLASE 300# CARA REALZADA (R.F.)  DE 2" DE DIAMETRO.</t>
  </si>
  <si>
    <t>SUMINISTRO, HABILITACION E INSTALACION DE BRIDAS ACERO AL CARBÓN ASTM A-105 CAJA SOLDABLE 600#, ANSI B16.5</t>
  </si>
  <si>
    <t>2.91.</t>
  </si>
  <si>
    <t>SUMINISTRO E INSTALACIÓN EN PATIO DE FABRICACIÓN DE LA CONTRATISTA DE BRIDA CAJA PARA SOLDAR, DE 2" DE DIAMETRO, BORE=CEDULA 160, CLASE 600, CARA REALZADA (R.F.), DE ACERO AL CARBONO, ASTM A105, CONFORME ASME B16.5, ESTE MATERIAL ES PARA SERVICIO AMARGO QUE CAUSA "SSC" Y DEBE CUMPLIR CON LOS REQUERIMIENTOS DEL ESTÁNDAR ISO 15156-2</t>
  </si>
  <si>
    <t>SUMINISTRO, HABILITACION E INSTALACION DE BRIDAS ACERO AL CARBÓN ASTM A-105 CUELLO SOLDABLE 150#, ANSI B16.5</t>
  </si>
  <si>
    <t>2.92.</t>
  </si>
  <si>
    <t>SUMINISTRO, CARGA, ACARREO E INSTALACIÓN DE BRIDA CUELLO SOLDABLE DE ACERO AL CARBON ASTM A105, ASME B16.5 CLASE 150# R.F. BORE:2.624", EXTREMO BISELADO, 3" DE DIAMETRO, EN PATIO DE CONSTRUCCIÓN.</t>
  </si>
  <si>
    <t>2.93.</t>
  </si>
  <si>
    <t>BRIDA DE 3"Ø BORE 3.068" CED STD</t>
  </si>
  <si>
    <t>2.94.</t>
  </si>
  <si>
    <t>BRIDA DE 4"Ø BORE 4.026" CED STD</t>
  </si>
  <si>
    <t>2.95.</t>
  </si>
  <si>
    <t>SUMINISTRO E INSTALACIÓN DE BRIDA CUELLO SOLDABLE CARA REALZADA 4" DE DIÁMETRO 150# CEDULA 80 DE ACERO AL CARBON ASTM A-105 ASME B16.5, EN PATIO DE CONSTRUCCION.</t>
  </si>
  <si>
    <t>2.96.</t>
  </si>
  <si>
    <t>BRIDA DE 6"Ø BORE 6.065" CED STD</t>
  </si>
  <si>
    <t>2.97.</t>
  </si>
  <si>
    <t>SUMINISTRO E INSTALACIÓN DE BRIDA CUELLO SOLDABLE (W.N.) DE ACERO AL CARBON ASTM A-105, 150# CARA REALZADA (R.F.) CEDULA 80, DE 6" DE DIAMETRO., EN PATIO DE  CONSTRUCCION.</t>
  </si>
  <si>
    <t>2.98.</t>
  </si>
  <si>
    <t>BRIDA DE 8"Ø BORE 7.981" CED STD</t>
  </si>
  <si>
    <t>2.99.</t>
  </si>
  <si>
    <t>BRIDA DE 10"Ø BORE 10.020" CED STD</t>
  </si>
  <si>
    <t>2.100.</t>
  </si>
  <si>
    <t>SUMINISTRO E INSTALACION DE BRIDA CUELLO SOLDABLE CLASE 150 R.F. PARA ESPESOR DE PARED 0.625", ACERO AL CARBONO ASTM A-105, PARA SERVICIO AMARGO, DEBE CUMPLIR CON EL ESTANDAR ISO 15156. DE 24" DIÁMETRO. INCLUYE: ACARREO, CARGA, DESCARGA Y MANIOBRAS</t>
  </si>
  <si>
    <t>SUMINISTRO, HABILITACION E INSTALACION DE BRIDAS ACERO AL CARBÓN ASTM A-105 CUELLO SOLDABLE 300#, ANSI B16.5</t>
  </si>
  <si>
    <t>2.101.</t>
  </si>
  <si>
    <t>BRIDA DE 3½"Ø BORE 3.068"</t>
  </si>
  <si>
    <t>2.102.</t>
  </si>
  <si>
    <t>BRIDA DE 4"Ø CED. 40</t>
  </si>
  <si>
    <t>2.103.</t>
  </si>
  <si>
    <t>BRIDA DE 6"Ø BORE 6.065"</t>
  </si>
  <si>
    <t>2.104.</t>
  </si>
  <si>
    <t xml:space="preserve">BRIDA DE 8"Ø BORE 7.813" </t>
  </si>
  <si>
    <t>2.105.</t>
  </si>
  <si>
    <t>SUMINISTRO E INSTALACION DE BRIDA CUELLO SOLDABLE CLASE 300 R.F. PARA CED. 40, ACERO AL CARBONO ASTM A-105, PARA SERVICIO AMARGO, DEBE CUMPLIR CON EL ESTANDAR ISO 15156. DE  10" DE DIÁMETRO. INCLUYE: ACARREO, CARGA, DESCARGA Y MANIOBRAS</t>
  </si>
  <si>
    <t>2.106.</t>
  </si>
  <si>
    <t>SUMINISTRO E INSTALACION DE BRIDA CUELLO SOLDABLE CLASE 300 R.F. PARA ESPESOR DE PARED 0.625", ACERO AL CARBONO ASTM A-105, PARA SERVICIO AMARGO, DEBE CUMPLIR CON EL ESTANDAR ISO 15156. DE  24" DE DIÁMETRO. INCLUYE: ACARREO, CARGA, DESCARGA Y MANIOBRAS</t>
  </si>
  <si>
    <t>SUMINISTRO, HABILITACION E INSTALACION DE BRIDAS ACERO AL CARBÓN ASTM A-105 CUELLO SOLDABLE 600#, ANSI B16.5</t>
  </si>
  <si>
    <t>2.107.</t>
  </si>
  <si>
    <t>BRIDA DE 1½"Ø BORE 1.500"</t>
  </si>
  <si>
    <t>2.108.</t>
  </si>
  <si>
    <t>BRIDA DE 4"Ø BORE 3.826"</t>
  </si>
  <si>
    <t>2.109.</t>
  </si>
  <si>
    <t>BRIDA DE 6"Ø BORE 5.761"</t>
  </si>
  <si>
    <t>2.110.</t>
  </si>
  <si>
    <t>SUMINISTRO E INSTALACIÓN EN PATIO DE CONSTRUCCIÓN DE LA CONTRATISTA DE BRIDA CUELLO SOLDABLE DE ACERO AL CARBONO, ASTM A 105 ASME B16.5 CLASE 600# CARA REALZADA (R.F.) BORE: 6.065", EXTREMO BISELADO DE 6" DE DIAMETRO.</t>
  </si>
  <si>
    <t>2.111.</t>
  </si>
  <si>
    <t>BRIDA DE 8"Ø BORE 7.625"</t>
  </si>
  <si>
    <t>2.112.</t>
  </si>
  <si>
    <t>BRIDA DE 16"Ø BORE 14.312"</t>
  </si>
  <si>
    <t>2.113.</t>
  </si>
  <si>
    <t>BRIDA DE 20"Ø BORE 18.124"</t>
  </si>
  <si>
    <t>2.114.</t>
  </si>
  <si>
    <t>BRIDA DE 24"Ø BORE 21.750</t>
  </si>
  <si>
    <t>2.115.</t>
  </si>
  <si>
    <t>SUMINISTRO E INSTALACION DE BRIDA CUELLO SOLDABLE CLASE 600 R.F. PARA ESPESOR DE PARED 0.875", ACERO AL CARBONO ASTM A-105, PARA SERVICIO AMARGO, DEBE CUMPLIR CON EL ESTANDAR ISO 15156. DE  36" DE DIÁMETRO. INCLUYE: ACARREO, CARGA, DESCARGA Y MANIOBRAS</t>
  </si>
  <si>
    <t>SUMINISTRO, HABILITACION E INSTALACION DE BRIDAS ACERO AL CARBÓN ASTM A-105 CUELLO SOLDABLE 900#, ANSI B16.5</t>
  </si>
  <si>
    <t>2.116.</t>
  </si>
  <si>
    <t xml:space="preserve"> 900# R.J. BRIDA DE 3"Ø BORE :2.624"</t>
  </si>
  <si>
    <t>2.117.</t>
  </si>
  <si>
    <t xml:space="preserve"> 900# R.J. BRIDA DE 4"Ø BORE :3.624"</t>
  </si>
  <si>
    <t>2.118.</t>
  </si>
  <si>
    <t xml:space="preserve"> 900# R.J. BRIDA DE 6"Ø BORE :5.501",(CED 120)</t>
  </si>
  <si>
    <t>2.119.</t>
  </si>
  <si>
    <t xml:space="preserve"> 900# R.J. BRIDA DE 8"Ø BORE 7.187" (CED 120)</t>
  </si>
  <si>
    <t>2.120.</t>
  </si>
  <si>
    <t xml:space="preserve"> 900# R.J. BRIDA DE 16"Ø BORE  13.938"</t>
  </si>
  <si>
    <t>2.121.</t>
  </si>
  <si>
    <t xml:space="preserve"> 900# R.J. BRIDA DE 20"Ø BORE :17.938"</t>
  </si>
  <si>
    <t xml:space="preserve">SUMINISTRO E INSTALACION DE TE RECTA DE ACERO AL CARBON ASTM A 234 Gr. WPB, SIN COSTURA EXTREMOS BISELADOS (DEBE CUMPLIR CON EL ESTANDAR NACE-MR0175, ULTIMA EDICION) </t>
  </si>
  <si>
    <t>2.122.</t>
  </si>
  <si>
    <t>Te de acero al carbón de 3"Ø, estándar, cédula 40, espesor de pared 0.216</t>
  </si>
  <si>
    <t>2.123.</t>
  </si>
  <si>
    <t>Te de acero al carbón de 3"Ø, cédula 160, espesor de pared 0.438</t>
  </si>
  <si>
    <t>2.124.</t>
  </si>
  <si>
    <t>Te de acero al carbón de 4"Ø, estándar, cédula 40, espesor de pared 0.237</t>
  </si>
  <si>
    <t>2.125.</t>
  </si>
  <si>
    <t>Te de acero al carbón de 4"Ø, XS, cédula 80, espesor de pared 0.337</t>
  </si>
  <si>
    <t>2.126.</t>
  </si>
  <si>
    <t>Te de acero al carbón de 4"Ø, cédula 120, espesor de pared 0.438</t>
  </si>
  <si>
    <t>2.127.</t>
  </si>
  <si>
    <t>Te de acero al carbón de 6"Ø, estándar, cédula 40, espesor de pared 0.280</t>
  </si>
  <si>
    <t>2.128.</t>
  </si>
  <si>
    <t>Te de acero al carbón de 6"Ø, XS, cédula 80, espesor de pared 0.432</t>
  </si>
  <si>
    <t>2.129.</t>
  </si>
  <si>
    <t>Te de acero al carbón de 6"Ø, cédula 120, espesor de pared 0.562</t>
  </si>
  <si>
    <t>2.130.</t>
  </si>
  <si>
    <t>Te de acero al carbón de 8"Ø, XS, cédula 80, espesor de pared 0.500</t>
  </si>
  <si>
    <t>2.131.</t>
  </si>
  <si>
    <t>Te de acero al carbón de 8"Ø, cédula 120, espesor de pared 0.719</t>
  </si>
  <si>
    <t>2.132.</t>
  </si>
  <si>
    <t>Te de acero al carbón de 14"Ø, cédula 100, espesor de pared 0.938</t>
  </si>
  <si>
    <t>2.133.</t>
  </si>
  <si>
    <t>Te de acero al carbón de 20"Ø, cédula 80, espesor de pared 1.031</t>
  </si>
  <si>
    <t>2.134.</t>
  </si>
  <si>
    <t>Te de acero al carbón de 24"Ø, espesor de pared 0.625</t>
  </si>
  <si>
    <t>2.135.</t>
  </si>
  <si>
    <t>Te de acero al carbón de 24"Ø, cédula 80, espesor de pared 1.219</t>
  </si>
  <si>
    <t>SUMINISTRO, E INSTALACION DE TE RECTA DE ACERO AL CARBON FORJADO ASTM A 105, 300# SIN COSTURA EXTREMOS CAJA SOLDAR DE (DEBE CUMPLIR CON EL ESTANDAR NACE-MR0175 / ISO 15156, ULTIMA EDICION)</t>
  </si>
  <si>
    <t>2.136.</t>
  </si>
  <si>
    <t>SUMINISTRO, CARGA, ACARREO E INSTALACIÓN DE TEE RECTA DE ACERO AL CARBON FORJADO, ASTM A105 ASME B16.11 CLASE 3000#, EXTREMOS CAJA PARA SOLDAR. 1"  DIAMETRO, EN PATIO DE CONSTRUCCIÓN.</t>
  </si>
  <si>
    <t>2.137.</t>
  </si>
  <si>
    <t>SUMINISTRO, E INSTALACION DE TE RECTA DE ACERO AL CARBON FORJADO ASTM A 105, SIN COSTURA EXTREMOS CAJA SOLDAR DE (DEBE CUMPLIR CON EL ESTANDAR NACE-MR0175 / ISO 15156, ULTIMA EDICION) 2" Ø CLASE 3000#</t>
  </si>
  <si>
    <t>SUMINISTRO E INSTALACIÓN DE TEE REDUCIDA DE ACERO AL CARBON ASTM A234 GR. WPB SIN COSTURA ASME B16.9 EXTREMOS BISELADOS.</t>
  </si>
  <si>
    <t>2.138.</t>
  </si>
  <si>
    <t>Te reducción de acero al carbón de 4"Ø, x 4"Ø, XS, cédula 80, espesor de pared 0.337 x 3"Ø, XS, cédula 80, espesor de pared 0.300</t>
  </si>
  <si>
    <t>2.139.</t>
  </si>
  <si>
    <t>Te reducción de acero al carbón de 6"Ø, x 6"Ø, estándar, cédula 40, espesor de pared 0.280 x 4"Ø, estándar, cédula 40, espesor de pared 0.237</t>
  </si>
  <si>
    <t>2.140.</t>
  </si>
  <si>
    <t>Te reducción de acero al carbón de 8"Ø, x 8"Ø, XS, cédula 80, espesor de pared 0.500 x 6"Ø, XS, cédula 80, espesor de pared 0.432</t>
  </si>
  <si>
    <t>2.141.</t>
  </si>
  <si>
    <t>Te reducción de acero al carbón de 8"Ø, x 8"Ø, cédula 120, espesor de pared 0.719 x 6"Ø, cédula 120, espesor de pared 0.562</t>
  </si>
  <si>
    <t>2.142.</t>
  </si>
  <si>
    <t>Te reducción de acero al carbón de 10"Ø x 10"Ø, estándar, cédula 40, espesor de pared 0.365 x 4"Ø, estándar, cédula 40, espesor de pared 0.237</t>
  </si>
  <si>
    <t>2.143.</t>
  </si>
  <si>
    <t>Te reducción de acero al carbón de 10"Ø x 10"Ø, estándar, cédula 40, espesor de pared 0.365 x 4"Ø, XS, cédula 80, espesor de pared 0.337</t>
  </si>
  <si>
    <t>2.144.</t>
  </si>
  <si>
    <t>Te reducción de acero al carbón de 10"Ø x 10"Ø, estándar, cédula 40, espesor de pared 0.365 x 6"Ø, estándar, cédula 40, espesor de pared 0.280</t>
  </si>
  <si>
    <t>2.145.</t>
  </si>
  <si>
    <t>Te reducción de acero al carbón de 10"Ø x 10"Ø, cédula 80, espesor de pared 0.594 x 8"Ø, estándar, cédula 40, espesor de pared 0.322</t>
  </si>
  <si>
    <t>2.146.</t>
  </si>
  <si>
    <t>Te reducción de acero al carbón de 12"Ø x 12"Ø, cédula 40, espesor de pared 0.406 x 6"Ø, estándar, cédula 40, espesor de pared 0.280</t>
  </si>
  <si>
    <t>2.147.</t>
  </si>
  <si>
    <t>Te reducción de acero al carbón de 16"Ø x 16"Ø, cédula 80, espesor de pared 0.844 x 6"Ø, XS, cédula 80, espesor de pared 0.432</t>
  </si>
  <si>
    <t>2.148.</t>
  </si>
  <si>
    <t>Te reducción de acero al carbón de 16"Ø x 16"Ø, cédula 100, espesor de pared 1.031 x 6"Ø, cédula 120, espesor de pared 0.562</t>
  </si>
  <si>
    <t>2.149.</t>
  </si>
  <si>
    <t>Te reducción de acero al carbón de 20"Ø x 20"Ø, cédula 80, espesor de pared 1.031 x 16"Ø, cédula 80, espesor de pared 0.844</t>
  </si>
  <si>
    <t>2.150.</t>
  </si>
  <si>
    <t>Te reducción de acero al carbón de 24"Ø x 24"Ø, espesor de pared 1.125 x 16"Ø, cédula 80, espesor de pared 0.844</t>
  </si>
  <si>
    <t>2.151.</t>
  </si>
  <si>
    <t>Te reducción de acero al carbón de 24"Ø x 24"Ø, espesor de pared 1.125 x 20"Ø, cédula 80, espesor de pared 1.031</t>
  </si>
  <si>
    <t>2.152.</t>
  </si>
  <si>
    <t>SUMINISTRO E INSTALACION DE TEE REDUCCIÓN, EXTREMOS BISELADOS, ESPESOR DE PARED 0.750" x 0.625", ACERO AL CARBONO, ASTM A-234 Gr. WPB PARA SERVICIO AMARGO, DEBE CUMPLIR CON EL ESTANDAR ISO 15156. DE 30" x 24" DE DIÁMETRO. INCLUYE: ACARREO, CARGA, DESCARGA Y MANIOBRAS</t>
  </si>
  <si>
    <t>2.153.</t>
  </si>
  <si>
    <t>SUMINISTRO E INSTALACION DE TEE REDUCCIÓN, EXTREMOS BISELADOS, ESPESOR DE PARED 0.500" x 0.375", ACERO AL SERVICIO AMARGO, DEBE CUMPLIR CON EL ESTANDAR ISO 15156.  DE 36" x 24" DE DIAMETRO. INCLUYE: ACARREO, CARGA,DESCARGA Y MANIOBRAS</t>
  </si>
  <si>
    <t>SUMINISTRO, CARGA, ACARREO E INSTALACIÓN TEE REDUCIDA DE ACERO AL CARBON FORJADO, ASTM A105 ASME B16.11 CLASE 3000#, EXTREMOS CAJA PARA SOLDAR.</t>
  </si>
  <si>
    <t>2.154.</t>
  </si>
  <si>
    <t>SUMINISTRO, CARGA, ACARREO E INSTALACIÓN EN PATIO DE CONSTRUCCIÓN DE TEE REDUCIDA DE ACERO AL CARBON FORJADO, ASTM A105 ASME B16.11 CLASE 3000#, EXTREMOS CAJA PARA SOLDAR. 1" X ¾   DE DIAMETRO, EN PATIO DE CONSTRUCCIÓN.</t>
  </si>
  <si>
    <t>2.155.</t>
  </si>
  <si>
    <t>Te reducción de acero al carbón de 1½"Ø x 1½"Ø x 1"Ø 3,000#</t>
  </si>
  <si>
    <t>2.156.</t>
  </si>
  <si>
    <t>Te reducción de acero al carbón de 2"Ø, x 2"Ø x ¾"Ø 3,000#</t>
  </si>
  <si>
    <t>2.157.</t>
  </si>
  <si>
    <t>Te reducción de acero al carbón de 2"Ø, x 2"Ø x 1"Ø 3,000#</t>
  </si>
  <si>
    <t>2.158.</t>
  </si>
  <si>
    <t>Te reducción de acero al carbón de 2"Ø, x 2"Ø x 1½"Ø 3,000#</t>
  </si>
  <si>
    <t>SUMINISTRO E INSTALACION DE REDUCCION CONCENTRICA DE ACERO AL CARBON ASTM-A234 GR. WPB</t>
  </si>
  <si>
    <t>2.159.</t>
  </si>
  <si>
    <t>Reducción Concéntrica de acero al carbón de 3"Ø, estándar, cédula 40, espesor de pared 0.216 x 2"Ø, XS, cédula 80, espesor de pared 0.218</t>
  </si>
  <si>
    <t>2.160.</t>
  </si>
  <si>
    <t xml:space="preserve">Reducción Concéntrica de acero al carbón de 3"Ø, cédula 160, espesor de pared 0.438 x 2"Ø, XS, cédula 80, espesor de pared 0.218 </t>
  </si>
  <si>
    <t>2.161.</t>
  </si>
  <si>
    <t xml:space="preserve">Reducción Concéntrica de acero al carbón de 4"Ø, XS, cédula 80, espesor de pared 0.337 x 3"Ø, XS, cédula 160, espesor de pared 0.438 </t>
  </si>
  <si>
    <t>2.162.</t>
  </si>
  <si>
    <t>Reducción Concéntrica de acero al carbón de 6"Ø, estándar, cédula 40, espesor de pared 0.280 x 3"Ø, estándar, cédula 40, espesor de pared 0.216</t>
  </si>
  <si>
    <t>2.163.</t>
  </si>
  <si>
    <t>Reducción Concéntrica de acero al carbón de 6"Ø, estándar, cédula 40, espesor de pared 0.280 x 4"Ø, estándar, cédula 40, espesor de pared 0.237</t>
  </si>
  <si>
    <t>2.164.</t>
  </si>
  <si>
    <t xml:space="preserve">Reducción Concéntrica de acero al carbón de 6"Ø, XS, cédula 80, espesor de pared 0.432 x 3"Ø, XS, cédula 80, espesor de pared 0.300 </t>
  </si>
  <si>
    <t>2.165.</t>
  </si>
  <si>
    <t>Reducción Concéntrica de acero al carbón de 6"Ø, XS, cédula 80, espesor de pared 0.432 x 4"Ø, XS, cédula 80, espesor de pared 0.337</t>
  </si>
  <si>
    <t>2.166.</t>
  </si>
  <si>
    <t>Reducción Concéntrica de acero al carbón de 6"Ø, cédula 120, espesor de pared 0.562 x 4"Ø, cédula 120, espesor de pared 0.438</t>
  </si>
  <si>
    <t>2.167.</t>
  </si>
  <si>
    <t>Reducción Concéntrica de acero al carbón de 20"Ø, cédula 80, espesor de pared 1.031 x 16"Ø, cédula 80, espesor de pared 0.844</t>
  </si>
  <si>
    <t>2.168.</t>
  </si>
  <si>
    <t>Reducción Concéntrica de acero al carbón de 24"Ø, espesor de pared 1.125 x 16"Ø, cédula 80, espesor de pared 0.844</t>
  </si>
  <si>
    <t>2.169.</t>
  </si>
  <si>
    <t>Reducción Concéntrica de acero al carbón de 24"Ø, cédula 80, espesor de pared 1.219 x 16"Ø, cédula 80, espesor de pared 0.844</t>
  </si>
  <si>
    <t>2.170.</t>
  </si>
  <si>
    <t>Reducción Concéntrica de acero al carbón de 24"Ø, espesor de pared 0.875 x 22"Ø, espesor de pared 0.625</t>
  </si>
  <si>
    <t>SUMINISTRO E INSTALACION DE REDUCCION EXCENTRICA DE ACERO AL CARBON ASTM-A234 GR. WPB</t>
  </si>
  <si>
    <t>2.171.</t>
  </si>
  <si>
    <t>Reducción Excéntrica de acero al carbón de 10"Ø, estándar, cédula 40, espesor de pared 0.365 x 8"Ø, estándar, cédula 40, espesor de pared 0.322</t>
  </si>
  <si>
    <t>2.172.</t>
  </si>
  <si>
    <t>Reducción Excéntrica de acero al carbón de 20"Ø, cédula 80, espesor de pared 1.031 x 16"Ø, cédula 100,</t>
  </si>
  <si>
    <t xml:space="preserve">SUMINISTRO, CARGA, ACARREO E INSTALACIÓN DE "Y" LATERAL REDUCCIÓN A 45 ACERO AL CARBON, ASTM A234 GR. WPB SIN COSTURA ASME B16.9 CÉDULA STD, EXTREMOS BISELADOS. </t>
  </si>
  <si>
    <t>2.173.</t>
  </si>
  <si>
    <t>SUMINISTRO, CARGA, ACARREO E INSTALACIÓN DE "Y" LATERAL REDUCCIÓN A 45 ACERO AL CARBON, ASTM A234 GR. WPB SIN COSTURA ASME B16.9 CÉDULA STD, EXTREMOS BISELADOS. DE 6 X 3"  DIAMETRO, EN PATIO DE CONSTRUCCIÓN.</t>
  </si>
  <si>
    <t>2.174.</t>
  </si>
  <si>
    <t>SUMINISTRO E INSTALACIÓN DE "Y" LATERAL REDUCCIÓN A 45  DE 6" X 4"  DIAMETRO, ACERO AL CARBON, ASTM A234 GR. WPB SIN COSTURA ASME B16.9 CÉDULA STD, EXTREMOS BISELADOS, EN PATIO DE CONSTRUCCION.</t>
  </si>
  <si>
    <t>2.175.</t>
  </si>
  <si>
    <t>SUMINISTRO, CARGA, ACARREO E INSTALACIÓN DE "Y" LATERAL REDUCCIÓN A 45  ACERO AL CARBON, ASTM A234 GR. WPB SIN COSTURA ASME B16.9 CÉDULA STD, EXTREMOS BISELADOS. DE 8 X 4"  DIAMETRO,  EN PATIO DE CONSTRUCCIÓN.</t>
  </si>
  <si>
    <t>SUMINISTRO, CARGA, ACARREO E INSTALACIÓN DE "Y" LATERAL REDUCCIÓN A 45  DE ACERO AL CARBON FORJADO, ASTM A105 ASME B16.11 CLASE 3000#, EXTREMOS CAJA PARA SOLDAR.</t>
  </si>
  <si>
    <t>2.176.</t>
  </si>
  <si>
    <t>SUMINISTRO, CARGA, ACARREO E INSTALACIÓN DE "Y" LATERAL REDUCCIÓN A 45  DE ACERO AL CARBON FORJADO, ASTM A105 ASME B16.11 CLASE 3000#, EXTREMOS CAJA PARA SOLDAR. DE 2" X 1"  DIAMETRO, EN PATIO DE CONSTRUCCIÓN.</t>
  </si>
  <si>
    <t>SUMINISTRO, CARGA, ACARREO E INSTALACIÓN DE COPLE DE ACERO AL CARBON FORJADO, ASTM A105 ASME B16.11, EXTREMOS CAJA PARA SOLDAR.</t>
  </si>
  <si>
    <t>2.177.</t>
  </si>
  <si>
    <t>IDEM AL ANTERIOR PERO DE ¾" Ø CLASE 3000#</t>
  </si>
  <si>
    <t>2.178.</t>
  </si>
  <si>
    <t>IDEM AL ANTERIOR PERO DE 1" Ø CLASE 3000#</t>
  </si>
  <si>
    <t>2.179.</t>
  </si>
  <si>
    <t>IDEM AL ANTERIOR PERO DE 1½" Ø CLASE 3000#</t>
  </si>
  <si>
    <t>2.180.</t>
  </si>
  <si>
    <t>IDEM AL ANTERIOR PERO DE 2" Ø CLASE 3000#</t>
  </si>
  <si>
    <t>2.181.</t>
  </si>
  <si>
    <t>SUMINISTRO E INSTALACIÓN EN PATIO DE FABRICACIÓN DE LA CONTRATISTA DE COPLE RECTO, EXTREMOS CAJA SOLDABLE DE 2" DE DIAMETRO, CLASE 6000, DE ACERO AL CARBONO ASTM A105, CONFORME ASME B16.11. ESTE MATERIAL ES PARA SERVICIO AMARGO QUE CAUSA "SSC" Y DEBE CUMPLIR CON LOS REQUERIMIENTOS DEL ESTÁNDAR ISO 15156-2</t>
  </si>
  <si>
    <t>SUMINISTRO E INSTALACIÓN DE INSERTO REDUCTOR DE ACERO AL CARBONO FORJADO, ASTM A105 ASME B16.11 CLASE 3000#, EXTREMO PLANO X CAJA SOLDABLE</t>
  </si>
  <si>
    <t>2.182.</t>
  </si>
  <si>
    <t>SUMINISTRO E INSTALACIÓN DE INSERTO REDUCTOR DE ACERO AL CARBONO FORJADO, ASTM A105 ASME B16.11 CLASE 3000#, EXTREMO PLANO X CAJA SOLDABLE DE 1" A ¾" DE DIAMETRO.</t>
  </si>
  <si>
    <t>2.183.</t>
  </si>
  <si>
    <t>SUMINISTRO, CARGA, ACARREO E INSTALACIÓN DE COPLE REDUCTOR CAJA SOLDAR ASTM A 105, CLASE 3000, DE 1 X ¾" DE DIÁMETRO.</t>
  </si>
  <si>
    <t>SUMINISTRO, CARGA, ACARREO E INSTALACIÓN DE SWAGE REDUCTOR DE ACERO AL CARBON ASTM A 105 EXTREMOS BISELADOS X ROSCADO</t>
  </si>
  <si>
    <t>2.184.</t>
  </si>
  <si>
    <t>Swage reducción de acero al carbón de ¾”Ø x ¼”Ø, cédula XXS.</t>
  </si>
  <si>
    <t>2.185.</t>
  </si>
  <si>
    <t>Swage reducción de acero al carbón de ¾”Ø x ½”Ø, cédula XXS.</t>
  </si>
  <si>
    <t>2.186.</t>
  </si>
  <si>
    <t>Swage reducción concéntrica de acero al carbón de ¾”Ø x ½”Ø, clase 6000#.</t>
  </si>
  <si>
    <t>2.187.</t>
  </si>
  <si>
    <t>Swage reducción concéntrica de acero al carbón de 3”Ø x 1”Ø, clase 6000#.</t>
  </si>
  <si>
    <t>2.188.</t>
  </si>
  <si>
    <t>Swage reducción concéntrica de acero al carbón de 3”Ø x 2”Ø, clase 3000#.</t>
  </si>
  <si>
    <t>2.189.</t>
  </si>
  <si>
    <t>Swage reducción de acero al carbón de 4”Ø x 2”Ø, cédula 80.</t>
  </si>
  <si>
    <t>SUMINISTRO E INSTALACION DE REDUCCIÓN SWAGE DE ACERO AL CARBON CEDULA 80 ,EXTREMOS BISELADO/ROSCADO ASTM A234 GR WPB MSS SP/95</t>
  </si>
  <si>
    <t>2.190.</t>
  </si>
  <si>
    <t>Swage reducción concéntrica de acero al carbón de 3”Ø x 2”Ø, cédula 80.</t>
  </si>
  <si>
    <t>SUMINISTRO E INSTALACION DE WELDOLET EXTREMOS BISELADOS ESTANDAR DE ACERO AL CARBON ASTM A105, MSS SP-97</t>
  </si>
  <si>
    <t>2.191.</t>
  </si>
  <si>
    <t>Weldolet de acero al carbón de 6”Ø a 2½”Ø x ¾”Ø, cedula 160</t>
  </si>
  <si>
    <t>2.192.</t>
  </si>
  <si>
    <t>Weldolet de acero al carbón de 8”Ø a 4”Ø</t>
  </si>
  <si>
    <t>2.193.</t>
  </si>
  <si>
    <t>Weldolet de acero al carbón de 8”Ø a 3”Ø</t>
  </si>
  <si>
    <t>2.194.</t>
  </si>
  <si>
    <t>Weldolet de acero al carbón de 10”Ø a 3”Ø x 1¼”Ø, cedula 160</t>
  </si>
  <si>
    <t>2.195.</t>
  </si>
  <si>
    <t>SUMINISTRO E INSTALACION DE  WELDOLET 1.125" ESP. PARED X CED. 80 EXT. BISELADOS DE ACERO AL CARBONO ASTM A-105, PARA SERVICIO AMARGO DEBEN CUMPLIR CON EL ESTANDAR ISO 15156. 16"  x 6" DE DIAMETRO</t>
  </si>
  <si>
    <t>2.196.</t>
  </si>
  <si>
    <t>Weldolet de acero al carbón de 20”Ø x 3”Ø, cedula 160</t>
  </si>
  <si>
    <t>2.197.</t>
  </si>
  <si>
    <t>SUMINISTRO E INSTALACIÓN DE WELDOLET DE ACERO AL CARBONO FORJADO, ASTM A105 MSS SP-97 ESPESOR 1.031" x CÉDULA 120, EXTREMOS BISELADOS. 20" x 8" DE DIAMETRO EN PATIO DE CONSTRUCCION.</t>
  </si>
  <si>
    <t>2.198.</t>
  </si>
  <si>
    <t>SUMINISTRO E INSTALACION EN PATIO DE CONSTRUCCION DE WELDOLET EXTREMOS BISELADOS ESTANDAR DE ACERO AL CARBON ASTM A105, MSS SP-97,24"X6" DE DIAMETRO (1.125" X CEDULA 80)</t>
  </si>
  <si>
    <t>2.199.</t>
  </si>
  <si>
    <t>SUMINISTRO E INSTALACION DE WELDOLET, 0.625" PARED x CEDULA 40, ACERO AL CARBONO ASTM A-105, PARA SERVICIO AMARGO, DEBE CUMPLIR CON EL ESTANDAR ISO 15156. DE  24" x 10" DE DIÁMETRO. INCLUYE: ACARREO, CARGA, DESCARGA Y MANIOBRAS</t>
  </si>
  <si>
    <t>SUMINISTRO E INSTALACIÓN DE SOCKOLET DE ACERO AL CARBONO FORJADO, ASTM A105 MSS SP-97, EXTREMOS BISELADO/CAJA SOLDABLE</t>
  </si>
  <si>
    <t>2.200.</t>
  </si>
  <si>
    <t>Sockolet de acero al carbón de 3”Ø x 2”Ø, clase 3,000#</t>
  </si>
  <si>
    <t>2.201.</t>
  </si>
  <si>
    <t>Sockolet de acero al carbón de 4”Ø x ¾”Ø, clase 6,000#</t>
  </si>
  <si>
    <t>2.202.</t>
  </si>
  <si>
    <t>Sockolet de acero al carbón de 4”Ø x 2”Ø, clase 6,000#</t>
  </si>
  <si>
    <t>2.203.</t>
  </si>
  <si>
    <t>Sockolet de acero al carbón de 4”Ø a 3½”Ø x 2”Ø, clase 3,000#</t>
  </si>
  <si>
    <t>2.204.</t>
  </si>
  <si>
    <t>Sockolet de acero al carbón de 10”Ø a 3”Ø x ¾”Ø, clase 6,000#</t>
  </si>
  <si>
    <t>2.205.</t>
  </si>
  <si>
    <t>Sockolet de acero al carbón de 10”Ø a 8”Ø x 2”Ø, clase 6,000#</t>
  </si>
  <si>
    <t>2.206.</t>
  </si>
  <si>
    <t>Sockolet de acero al carbón de 12”Ø a 6”Ø x ¾”Ø, clase 3,000#</t>
  </si>
  <si>
    <t>2.207.</t>
  </si>
  <si>
    <t>Sockolet de acero al carbón de 16”Ø x ¾”Ø, clase 6,000#</t>
  </si>
  <si>
    <t>2.208.</t>
  </si>
  <si>
    <t>Sockolet de acero al carbón de 20”Ø x ¾”Ø, clase 6,000#</t>
  </si>
  <si>
    <t>2.209.</t>
  </si>
  <si>
    <t>Sockolet de acero al carbón de 24”Ø x ¾”Ø, clase 6,000#</t>
  </si>
  <si>
    <t>2.210.</t>
  </si>
  <si>
    <t>Sockolet de acero al carbón de 36”Ø a 12”Ø x ¾”Ø, clase 6,000#</t>
  </si>
  <si>
    <t>SUMINISTRO E INSTALACIÓN DE THREADOLET DE ACERO AL CARBONO, ESPECIFICACIÓN ASTM A 105, MSS SP-97, EXTREMOS BISELADO/ROSCADO, EN PATIO DE CONSTRUCCION.</t>
  </si>
  <si>
    <t>2.211.</t>
  </si>
  <si>
    <t>Thredolet de acero al carbón de 3”Ø x 1½”Ø, clase 3,000</t>
  </si>
  <si>
    <t>2.212.</t>
  </si>
  <si>
    <t>Thredolet de acero al carbón de 4”Ø a 3½”Ø x 1½”Ø, clase 3,000</t>
  </si>
  <si>
    <t>2.213.</t>
  </si>
  <si>
    <t>Thredolet de acero al carbón de 4”Ø a 3½”Ø x 2”Ø, clase 3,000</t>
  </si>
  <si>
    <t>2.214.</t>
  </si>
  <si>
    <t>Thredolet de acero al carbón de 5”Ø a 3”Ø x ¾”Ø, clase 3,000</t>
  </si>
  <si>
    <t>2.215.</t>
  </si>
  <si>
    <t>Thredolet de acero al carbón de 6”Ø a 5”Ø x 1½”Ø, clase 3,000</t>
  </si>
  <si>
    <t>2.216.</t>
  </si>
  <si>
    <t>Thredolet de acero al carbón de 10”Ø a 3”Ø x ¾”Ø, clase 6,000</t>
  </si>
  <si>
    <t>2.217.</t>
  </si>
  <si>
    <t>Thredolet de acero al carbón de 12”Ø a 6”Ø x ¾”Ø, clase 3,000</t>
  </si>
  <si>
    <t>2.218.</t>
  </si>
  <si>
    <t>Thredolet de acero al carbón de 36”Ø a 12”Ø x ¾”Ø, clase 3,000</t>
  </si>
  <si>
    <t>2.219.</t>
  </si>
  <si>
    <t>Thredolet de acero al carbón de 36”Ø a 12”Ø x ¾”Ø, clase 6,000</t>
  </si>
  <si>
    <t>SUMINISTRO E INSTALACIÓN DE NIPLE DE ACERO AL CARBONO, ASTM A106 GR. B ASME B36.10M CÉDULA 160</t>
  </si>
  <si>
    <t>2.220.</t>
  </si>
  <si>
    <t>SUMINISTRO E INSTALACIÓN EN PATIO DE CONSTRUCCIÓN DE LA CONTRATISTA DE NIPLE DE ACERO AL CARBONO, ASTM A106 GR. B ASME B36.10M LONGITUD DE ¾"DE DIAMETRO x 3.5" DE LONGITUD CÉDULA 160, EXTREMOS PLANO/ROSCADO.</t>
  </si>
  <si>
    <t>2.221.</t>
  </si>
  <si>
    <t>SUMINISTRO E INSTALACIÓN EN PATIO DE FABRICACIÓN DE NIPLE DE ACERO AL CARBONO, ASTM A106 GR. B ASME B36.10M DE ¾" DE DIAMETRO x 3½" DE LONGITUD CÉDULA 160, EXTREMOS PLANOS.</t>
  </si>
  <si>
    <t>2.222.</t>
  </si>
  <si>
    <t>SUMINISTRO E INSTALACIÓN EN PATIO DE FABRICACIÓN DE NIPLE DE ACERO AL CARBONO, ASTM A106 GR. B ASME B36.10M DE 1" DE DIAMETRO x 3½" DE LONGITUD 89 MM (3.5") CÉDULA 160, EXTREMOS PLANOS.</t>
  </si>
  <si>
    <t>2.223.</t>
  </si>
  <si>
    <t>SUMINISTRO E INSTALACIÓN DE NIPLE DE ACERO AL CARBONO, ASTM A106 GR. B ASME B36.10M LONGITUD 89 MM (3.5"), CÉDULA 160 EXTREMOS PLANOS. 2" DE DIAMETRO EN PATIO DE CONSTRUCCION.</t>
  </si>
  <si>
    <t>SUMINISTRO E INSTALACIÓN DE NIPLE DE ACERO AL CARBONO, ASTM A106 GR. B ASME B36.10M CÉDULA XXS</t>
  </si>
  <si>
    <t>2.224.</t>
  </si>
  <si>
    <t>SUMINISTRO, CARGA, ACARREO E INSTALACIÓN DE NIPLE DE ACERO AL CARBON, ASTM A106 GR. B ASME B36.10M CÉDULA XXS, EXTREMOS PLANO/ROSCADO. DE ½"   DIAMETRO X 3.5" LONGITUD,EN PATIO DE CONSTRUCCIÓN.</t>
  </si>
  <si>
    <t>2.225.</t>
  </si>
  <si>
    <t>DE ½" Ø X 3.5" DE LONGITUD, CED. XXS EXT. PLANOS</t>
  </si>
  <si>
    <t>2.226.</t>
  </si>
  <si>
    <t>SUMINISTRO E INSTALACIÓN EN PATIO DE CONSTRUCCIÓN DE NIPLE DE ACERO AL CARBON, ASTM A106 GR. B ASME B36.10M, DE ¾" DE DIAMETRO x 3.5" LONGITUD. CÉDULA XXS, EXTREMOS PLANO/ROSCADO.</t>
  </si>
  <si>
    <t>2.227.</t>
  </si>
  <si>
    <t>SUMINISTRO E INSTALACIÓN DE NIPLE DE ACERO AL CARBON, ASTM A106 GR. B ASME B36.10M, DE ¾" DE DIAMETRO  x 3.5" LONGITUD. CÉDULA XXS, EXTREMOS PLANOS, EN PATIO DE CONSTRUCCIÓN.</t>
  </si>
  <si>
    <t>2.228.</t>
  </si>
  <si>
    <t>SUMINISTRO E INSTALACIÓN DE NIPLE DE ACERO AL CARBONO, ASTM A106 GR. B ASME B36.10M DE ¾" DE DIAMETRO POR 6" LONGITUD  CÉDULA XXS, EXTREMOS PLANOS, EN PATIO DE CONSTRUCCION.</t>
  </si>
  <si>
    <t>2.229.</t>
  </si>
  <si>
    <t>SUMINISTRO E INSTALACIÓN DE NIPLE DE 1" DE DIAMETRO X 3.5" DE LONGITUD CED. 160, UN  EXTREMO PLANO OTRO ROSCADO ESPECIFICACIÓN ASTM A-106 GR.B, EN PATIO DE CONSTRUCCIÓN.</t>
  </si>
  <si>
    <t>SUMINISTRO E INSTALACIÓN DE NIPOLET DE ACERO AL CARBONO FORJADO, ASTM A105, CLASE 6000#, 3.5" LONGITUD  EXTREMOS BISELADO/PLANO ASME B31.3 (302.2, 304.3, 326, 328.5.4)</t>
  </si>
  <si>
    <t>2.230.</t>
  </si>
  <si>
    <t>SUMINISTRO E INSTALACIÓN EN PATIO DE CONSTRUCCIÓN DE LA CONTRATISTA DE NIPOLET DE ACERO AL CARBONO FORJADO, ASTM A105, CLASE 6000#, 3.5" LONGITUD  EXTREMOS BISELADO/PLANO ASME B31.3 (302.2, 304.3, 326, 328.5.4) DE 10-3 x ¾"DE DIAMETRO.</t>
  </si>
  <si>
    <t>2.231.</t>
  </si>
  <si>
    <t>SUMINISTRO, CARGA, ACARREO E INSTALACIÓN DE NIPOLET DE ACERO AL CARBON FORJADO, ASTM A105 ASME B31.3 (302.2, 304.3, 326, 328.5.4) CLASE 6000#, EXTREMOS BISELADO/PLANO. DE 36"-12" x ¾"  DIAMETRO, EN PATIO DE CONSTRUCCIÓN.</t>
  </si>
  <si>
    <t>SUMINISTRO, CARGA, ACARREO E INSTALACIÓN DE LATROLET A 45° DE ACERO AL CARBON FORJADO, ASTM A105 ASME B16.11 CLASE 3000#, EXTREMOS CAJA PARA SOLDAR.</t>
  </si>
  <si>
    <t>2.232.</t>
  </si>
  <si>
    <t>SUMINISTRO, CARGA, ACARREO E INSTALACIÓN DE LATROLET A 45°  DE ACERO AL CARBON FORJADO, ASTM A105 ASME B16.11 CLASE 3000#, EXTREMOS CAJA PARA SOLDAR. DE 6 X 2"  DIAMETRO,EN PATIO DE CONSTRUCCIÓN.</t>
  </si>
  <si>
    <t>2.233.</t>
  </si>
  <si>
    <t>de 8" Ø X 2" Ø, clase 3,000#</t>
  </si>
  <si>
    <t>SUMINISTRO E INSTALACIÓN DE TAPON CACHUCHA DE ACERO AL CARBONO, ASTM A234 GR. WPB  SIN COSTURA  ASME B16.9 CÉDULA STD</t>
  </si>
  <si>
    <t>2.234.</t>
  </si>
  <si>
    <t>Tapon cachucha de acero al carbón de 1"Ø, 3000#</t>
  </si>
  <si>
    <t>2.235.</t>
  </si>
  <si>
    <t>Tapon cachucha de acero al carbón de 4"Ø, estándar, cédula 40, espesor de pared 0.237</t>
  </si>
  <si>
    <t>2.236.</t>
  </si>
  <si>
    <t>Tapon cachucha de acero al carbón de 8"Ø, estándar, cédula 40, espesor de pared 0.322</t>
  </si>
  <si>
    <t>2.237.</t>
  </si>
  <si>
    <t>SUMINISTRO, CARGA, ACARREO E INSTALACIÓN DE TAPÓN CACHUCHA DE ACERO AL CARBON, ASTM A234 GR. WPB SIN COSTURA ASME B16.9 CÉDULA 80, EXTREMOS BISELADOS. DE 8" DE DIAMETRO, EN PATIO DE CONSTRUCCIÓN.</t>
  </si>
  <si>
    <t>2.238.</t>
  </si>
  <si>
    <t>SUMINISTRO E INSTALACIÓN DE TAPÓN CACHUCHA DE ACERO AL CARBONO, ASTM A234 GR. WPB SIN COSTURA ASME B16.9 CÉDULA 120, EXTREMO BISELADO. 8" DE DIAMETRO EN PATIO DE CONSTRUCCION.</t>
  </si>
  <si>
    <t>2.239.</t>
  </si>
  <si>
    <t>SUMINISTRO E INSTALACIÓN DE EN PATIO DE CONTRUCCIÓN DE TAPÓN CACHUCHA DE 16" DE DIAMETRO, ACERO AL CARBONO, ASTM A234 GR. WPB S/C ASME B16.9 CÉDULA 80, EXTREMOS BISELADOS.</t>
  </si>
  <si>
    <t>2.240.</t>
  </si>
  <si>
    <t>SUMINISTRO E INSTALACIÓN DE TAPÓN CACHUCHA DE ACERO AL CARBONO, ASTM A234 GR. WPB SIN COSTURA ASME B16.9 CÉDULA 100, EXTREMO BISELADO. 16" DE DIAMETRO EN PATIO DE CONSTRUCCION.</t>
  </si>
  <si>
    <t>2.241.</t>
  </si>
  <si>
    <t>SUMINISTRO E INSTALACIÓN DE TAPÓN CACHUCHA EXTREMO BISELADO, 1.125" ESPESOR DE PARED DE ACERO AL CARBONO ASTM A-234 GR WPB, CON COSTURA PARA SERVICIO AMARGO DEBEN CUMPLIR CON EL ESTANDAR ISO 15156. 24"  DE DIAMETRO, EN PATIO DE CONSTRUCCIÓN</t>
  </si>
  <si>
    <t>SUMINISTRO E INSTALACIÓN DE CODO DE ACERO GALVANIZADO ASTM A-105 ASME B16.11  EXTREMOS ROSCADOS</t>
  </si>
  <si>
    <t>2.242.</t>
  </si>
  <si>
    <t>DE 1" Ø. 90° CLASE 300#</t>
  </si>
  <si>
    <t>2.243.</t>
  </si>
  <si>
    <t>DE 2" Ø. 90° CLASE 300#</t>
  </si>
  <si>
    <t>2.244.</t>
  </si>
  <si>
    <t>SUMINISTRO E INSTALACIÓN DE CODO 45  ACERO AL CARBONO GALVANIZADO ASTM A105, ASME B16.11  CLASE 3000# EXTREMOS ROSCADOS. 2" DE DIAMETRO</t>
  </si>
  <si>
    <t>SUMINISTRO E INSTALACIÓN DE CODO DE ACERO AL CARBON FORJADO ASTM-105, EXTREMOS ROSCADOS, (DEBE CUMPLIR CON EL ESTANDAR NACE-MR0175 / ISO 15156, ÚLTIMA EDICIÓN)</t>
  </si>
  <si>
    <t>2.245.</t>
  </si>
  <si>
    <t>Codo de acero al carbón de 2"Ø, 90° grados 6000#</t>
  </si>
  <si>
    <t>SUMINISTRO, HABILITACION E INSTALACION DE BRIDAS ACERO AL CARBÓN ASTM A-105 ROSCADA GALVANIZADA, ANSI/ASME B16.5, DEBE CUMPLIR CON EL ESTANDAR NACE-MR0175 / ISO 15156, ÚLTIMA EDICIÓN.</t>
  </si>
  <si>
    <t>2.246.</t>
  </si>
  <si>
    <t>BRIDA DE 2"Ø BORE 1.939" 150# R.F.</t>
  </si>
  <si>
    <t>SUMINISTRO, CARGA, ACARREO E INSTALACIÓN DE TEE RECTA DE ACERO AL CARBON GALVANIZADO ASTM A105, ASME B16.11  CLASE 3000# EXTREMOS ROSCADOS.</t>
  </si>
  <si>
    <t>2.247.</t>
  </si>
  <si>
    <t>SUMINISTRO, CARGA, ACARREO E INSTALACIÓN DE TEE RECTA DE ACERO AL CARBON GALVANIZADO ASTM A105, ASME B16.11  CLASE 3000# EXTREMOS ROSCADOS. 2" DIAMETRO.</t>
  </si>
  <si>
    <t xml:space="preserve">SUMINISTRO, CARGA, ACARREO E INSTALACIÓN DE TEE REDUCIDA DE ACERO AL CARBON GALVANIZADO ASTM A105, ASME B16.11  CLASE 3000# EXTREMOS ROSCADOS. </t>
  </si>
  <si>
    <t>2.248.</t>
  </si>
  <si>
    <t>SUMINISTRO, CARGA, ACARREO E INSTALACIÓN DE COPLE RECTO DE ACERO AL CARBON GALVANIZADO ASTM A105, ASME B16.11 CLASE 3000#, EXTREMO ROSCADOS.</t>
  </si>
  <si>
    <t>2.249.</t>
  </si>
  <si>
    <t>SUMINISTRO, CARGA, ACARREO E INSTALACIÓN DE COPLE RECTO DE ACERO AL CARBON GALVANIZADO ASTM A105, ASME B16.11 CLASE 3000#, EXTREMO ROSCADOS. 1" DE DIAMETRO.</t>
  </si>
  <si>
    <t>SUMINISTRO E INSTALACIÓN DE COPLE REDUCCIÓN DE ACERO AL CARBONO GALVANIZADO ASTM A105, EXTREMO ROSCADO.</t>
  </si>
  <si>
    <t>2.250.</t>
  </si>
  <si>
    <t>SUMINISTRO E INSTALACION DE COPLE REDUCCIÓN DE ACERO AL CARBON ASTM-A105 DE CON ROSCA INTERIOR EN AMBOS EXTREMOS, (DEBE CUMPLIR CON EL ESTANDAR NACE-MR0175 / ISO 15156, ÚLTIMA EDICIÓN) DE 2 X 1"  CLASE 3000 #</t>
  </si>
  <si>
    <t>2.251.</t>
  </si>
  <si>
    <t>SUMINISTRO E INSTALACIÓN DE COPLE REDUCCIÓN DE ACERO AL CARBONO GALVANIZADO ASTM A105, ASME B16.11 CLASE 3000#, EXTREMO ROSCADO. 2" X 1½" DE DIAMETRO.</t>
  </si>
  <si>
    <t>SUMINISTRO, CARGA, ACARREO E INSTALACIÓN DE NIPLE DE ACERO AL CARBON GALVANIZADO ASTM A 53 GR. B TIPO "S" ASME B36.10M EXTREMOS ROSCADOS.</t>
  </si>
  <si>
    <t>2.252.</t>
  </si>
  <si>
    <t>SUMINISTRO E INSTALACIÓN DE NIPLE DE ACERO AL CARBON GALVANIZADO ASTM A 53 GR. B TIPO "S" ASME B36.10M LONGITUD 89 MM (3.5"), CÉDULA 80 EXTREMOS ROSCADOS. DE ¾" DIAMETRO.</t>
  </si>
  <si>
    <t>2.253.</t>
  </si>
  <si>
    <t>SUMINISTRO E INSTALACIÓN DE NIPLE DE ACERO AL CARBON GALVANIZADO ASTM A 53 GR. B TIPO "S" ASME B36.10M LONGITUD 89 MM (3.5"), CÉDULA 160 EXTREMOS ROSCADOS. DE ¾" DIAMETRO.</t>
  </si>
  <si>
    <t>2.254.</t>
  </si>
  <si>
    <t>SUMINISTRO, CARGA, ACARREO E INSTALACIÓN DE NIPLE DE ACERO AL CARBON GALVANIZADO ASTM A 53 GR. B TIPO "S" ASME B36.10M LONGITUD 89 MM (3.5"), CÉDULA 80 EXTREMOS ROSCADOS. DE 1" DIAMETRO.</t>
  </si>
  <si>
    <t>2.255.</t>
  </si>
  <si>
    <t>SUMINISTRO, CARGA, ACARREO E INSTALACIÓN DE NIPLE DE ACERO AL CARBON GALVANIZADO ASTM A 53 GR. B TIPO "S" ASME B36.10M LONGITUD 89 MM (3.5"), CÉDULA 80 EXTREMOS ROSCADOS.  DE 1½" DIAMETRO.</t>
  </si>
  <si>
    <t>2.256.</t>
  </si>
  <si>
    <t>SUMINISTRO, CARGA, ACARREO E INSTALACIÓN DE NIPLE DE ACERO AL CARBON GALVANIZADO ASTM A 53 GR. B TIPO "S" ASME B36.10M LONGITUD 89 MM (3.5"), CÉDULA 80 EXTREMOS ROSCADOS. DE 2" DIAMETRO.</t>
  </si>
  <si>
    <t>SUMINISTRO, MANEJO E INSTALACION DE TAPON CACHUCHA ROSCA, ASME B16.11, ACERO AL CARBON ASTM-A-105, (DEBE CUMPLIR CON EL ESTANDAR NACE-MR0175 / ISO 15156, ULTIMA EDICION)</t>
  </si>
  <si>
    <t>2.257.</t>
  </si>
  <si>
    <t>Tapon cachucha de acero al carbón roscado de ¾"Ø, 3000#</t>
  </si>
  <si>
    <t>2.258.</t>
  </si>
  <si>
    <t>Tapon cachucha de acero al carbón roscado de ¾"Ø, 6000#</t>
  </si>
  <si>
    <t>2.259.</t>
  </si>
  <si>
    <t>Tapon cachucha de acero al carbón roscado de 1"Ø, 3000#</t>
  </si>
  <si>
    <t>2.260.</t>
  </si>
  <si>
    <t>Tapon cachucha de acero al carbón roscado de 1½"Ø, 3000#, Galvanizado</t>
  </si>
  <si>
    <t>SUMINISTRO, CARGA, ACARREO E INSTALACIÓN DE TAPÓN CACHUCHA DE ACERO AL CARBON GALVANIZADO ASTM A105, ASME B16.11 CLASE 3000#, EXTREMO ROSCADO.</t>
  </si>
  <si>
    <t>2.261.</t>
  </si>
  <si>
    <t>Tapon cachucha de acero al carbón roscado de ¾"Ø, 3000#, Galvanizado</t>
  </si>
  <si>
    <t>2.262.</t>
  </si>
  <si>
    <t>Tapón Macho de acero al carbón Roscado de ¾"Ø, 6000#</t>
  </si>
  <si>
    <t>2.263.</t>
  </si>
  <si>
    <t>Tapon cachucha de acero al carbón roscado de 1"Ø, 3000#, Galvanizado</t>
  </si>
  <si>
    <t>2.264.</t>
  </si>
  <si>
    <t>Tapon cachucha de acero al carbón roscado de 2"Ø, 3000#, Galvanizado</t>
  </si>
  <si>
    <t>SUMINISTRO, CARGA, ACARREO E INSTALACIÓN DE BRIDA CIEGA CLASE 150# R.F. DE ACERO AL CARBON ASTM A-105 B16.5</t>
  </si>
  <si>
    <t>2.265.</t>
  </si>
  <si>
    <t>ESPECIFICACIONES (ÍDEM.) AL ANTERIOR PERO DE 6" 600 LIBRAS</t>
  </si>
  <si>
    <t>2.266.</t>
  </si>
  <si>
    <t>ESPECIFICACIONES (ÍDEM.) AL ANTERIOR PERO DE 8" 150 LIBRAS</t>
  </si>
  <si>
    <t>2.267.</t>
  </si>
  <si>
    <t>ESPECIFICACIONES (ÍDEM.) AL ANTERIOR PERO DE 10" 150 LIBRAS</t>
  </si>
  <si>
    <t>2.268.</t>
  </si>
  <si>
    <t>ESPECIFICACIONES (ÍDEM.) AL ANTERIOR PERO DE 12" 150 LIBRAS</t>
  </si>
  <si>
    <t>ESPARRAGOS - TORNILLERIA</t>
  </si>
  <si>
    <t>SUMINISTRO E INSTALACION DE TORNILLO DE CABEZA HEXAGONAL DE ALTA RESISTENCIA ASTM A-325</t>
  </si>
  <si>
    <t>2.269.</t>
  </si>
  <si>
    <t>SUMINISTRO E INSTALACION DE TORNILLO DE CABEZA HEXAGONAL DE ALTA RESISTENCIA ASTM A-325 DE 15.9 mm DE DIAMETRO x 102 mm DE LONGITUD. (⅝" DE DIAMETRO x 4" LONGITUD.), CON UNA ARANDELA DE PRESIÓN, UNA ARANDELA PLANA F-436 Y TUERCA HEXAGONAL ASTM A-194 Gr. 2H</t>
  </si>
  <si>
    <t>2.270.</t>
  </si>
  <si>
    <t>SUMINISTRO E INSTALACION DE TORNILLO DE CABEZA HEXAGONAL DE ALTA RESISTENCIA ASTM A-325 DE 16 mm DE DIAMETRO x 300 mm DE LONGITUD. (⅝" DE DIAMETRO x 12" LONGITUD.), CON UNA ARANDELA DE PRESIÓN, UNA ARANDELA PLANA F-436 Y TUERCA HEXAGONAL ASTM A-194 Gr. 2H</t>
  </si>
  <si>
    <t>2.271.</t>
  </si>
  <si>
    <t>SUMINISTRO E INSTALACION DE TORNILLO DE CABEZA HEXAGONAL DE ALTA RESISTENCIA ASTM A-325 DE 31.8mm DE DIAMETRO x 127mm DE LONGITUD. (1¼" DE DIAMETRO x 5" LONGITUD), CON UNA ARANDELA DE PRESIÓN, UNA ARANDELA PLANA F-436 Y TUERCA HEXAGONAL ASTM A-194 Gr. 2H CADMINIZADOS</t>
  </si>
  <si>
    <t>2.272.</t>
  </si>
  <si>
    <t>SUMINISTRO E INSTALACION DE TORNILLO DE CABEZA HEXAGONAL DE ALTA RESISTENCIA ASTM A-325 DE 31.8mm DE DIAMETRO x 190.5mm DE LONGITUD. (1¼" DE DIAMETRO x 7½" LONGITUD), CON UNA ARANDELA DE PRESIÓN, UNA ARANDELA PLANA F-436 Y TUERCA HEXAGONAL ASTM A-194 Gr. 2H.</t>
  </si>
  <si>
    <t>SUMINISTRO E INSTALACIÓN DE ESPÁRRAGOS CADMINIZADOS</t>
  </si>
  <si>
    <t>2.273.</t>
  </si>
  <si>
    <t>SUMINISTRO E INSTALACIÓN DE ESPÁRRAGOS CADMINIZADOS: ESPARRAGO DE 12" 150 LIBRAS ⅞Ø X 5 LONG</t>
  </si>
  <si>
    <t>2.274.</t>
  </si>
  <si>
    <t>SUMINISTRO, CARGA, ACARREO E INSTALACIÓN EN PATIO DE FABRICACIÓN DE ESPARRAGO DE ¾"  X 4½" DE LONGITUD, ASTM A 193 GR. B7M CON 2 TUERCAS HEXAGONALES ASTM A194 GR. 2HM, CADMINIZADOS</t>
  </si>
  <si>
    <t>2.275.</t>
  </si>
  <si>
    <t>SUMINISTRO, CARGA, ACARREO E INSTALACIÓN EN PATIO DE FABRICACIÓN DE ESPARRAGO DE ¾"  X 6½" DE LONGITUD, ASTM A 193 GR. B7M CON 2 TUERCAS HEXAGONALES ASTM A194 GR. 2HM, CADMINIZADOS</t>
  </si>
  <si>
    <t>2.276.</t>
  </si>
  <si>
    <t>SUMINISTRO E INSTALACION DE ESPARRAGO ASTM A193 GR. B7 DE 51mm. DE DIAMETRO x 559mm LONGITUG (2" DE DIAMETRO x 22" DE LONG.) CON TUERCAS Y CONTRATUERCAS HEXAGONALES ASTM A194 GR. 2H CADMINIZADOS.</t>
  </si>
  <si>
    <t>SUMINISTRO E INSTALACIÓN DE EMPAQUES SEMIMETÁLICOS CARA REALZADA DE CINTA DE ACERO INOXIDABLE 316</t>
  </si>
  <si>
    <t>2.277.</t>
  </si>
  <si>
    <t>EMPAQUE DE 8" CLASE 150</t>
  </si>
  <si>
    <t>2.278.</t>
  </si>
  <si>
    <t>EMPAQUE DE 10" CLASE 150</t>
  </si>
  <si>
    <t>2.279.</t>
  </si>
  <si>
    <t>EMPAQUE DE 12" CLASE 150</t>
  </si>
  <si>
    <t>SUMINISTRO, HABILITADO, PREFABRICADO  E INSTALACION DE TUBO METÁLICO ESTRUCTURAL TIPO OC DE ACERO AL CARBON API 5L Gr.B. INCLUYE: ACARREO, CARGA, DESCARGA, MANIOBRAS</t>
  </si>
  <si>
    <t>2.280.</t>
  </si>
  <si>
    <t>TUBO CIRCULAR (OC) 33 mm x 4.55 mm (1.315 in. x 0.179 in.) 3.24 kg/m</t>
  </si>
  <si>
    <t>2.281.</t>
  </si>
  <si>
    <t>TUBO CIRCULAR (OC) 89 mm x 5.49 mm (3.5 in. x 0.216 in.) 11.29 kg/m</t>
  </si>
  <si>
    <t>2.282.</t>
  </si>
  <si>
    <t>TUBO CIRCULAR (OC) 168 mm x 7.11 mm (6.63 in. x 0.280 in.) 28.26 kg/m</t>
  </si>
  <si>
    <t>2.283.</t>
  </si>
  <si>
    <t>TUBO CIRCULAR (OC) 219 mm x 8.18 mm (8.63 in. x 0.322 in.) 42.55 kg/m</t>
  </si>
  <si>
    <t>2.284.</t>
  </si>
  <si>
    <t>TUBO CIRCULAR (OC) 324 mm x 9.53 mm (12.75 in. x 0.375 in.) 73.88 kg/m</t>
  </si>
  <si>
    <t>2.285.</t>
  </si>
  <si>
    <t>TUBO CIRCULAR (OC) 356 mm x 12.7 mm (14 in. x 0.500 in.) 107.40 kg/m</t>
  </si>
  <si>
    <t>2.286.</t>
  </si>
  <si>
    <t>TUBO CIRCULAR (OC) 457 mm x 12.7 mm (18 in. x 0.500 in.) 139.16 kg/m</t>
  </si>
  <si>
    <t>2.287.</t>
  </si>
  <si>
    <t>TUBO CIRCULAR (OC) 457 mm x 9.52 mm (18 in. x 0.375 in.) 105.10 kg/m</t>
  </si>
  <si>
    <t>SUMINISTRO, HABILITACION E INSTALACION DE TUBULARES METÁLICOS ESTRUCTURALES DE ACERO AL CARBÓN ASTM A-53</t>
  </si>
  <si>
    <t>2.288.</t>
  </si>
  <si>
    <t>TUBO CIRCULAR (OC) 48 mm x 3.68 mm (1.9 in. x 0.145 in.) 4.05 kg/m</t>
  </si>
  <si>
    <t>2.289.</t>
  </si>
  <si>
    <t>TUBO CIRCULAR (OC) 48 mm x 5.08 mm (1.9 in. x 0.200 in.) 5.41 kg/m</t>
  </si>
  <si>
    <t>2.290.</t>
  </si>
  <si>
    <t>TUBO CIRCULAR (OC) 60 mm x 3.91 mm (2.375 in. x 0.154 in.) 5.44 kg/m</t>
  </si>
  <si>
    <t>2.291.</t>
  </si>
  <si>
    <t>TUBO CIRCULAR (OC) 60 mm x 5.54 mm (2.375 in. x 0.218 in.) 7.48 kg/m</t>
  </si>
  <si>
    <t>2.292.</t>
  </si>
  <si>
    <t>TUBO CIRCULAR (OC) 73 mm x 5.16 mm (2⅞ in. x 0.203 in.) 8.63 kg/m</t>
  </si>
  <si>
    <t>2.293.</t>
  </si>
  <si>
    <t>2.294.</t>
  </si>
  <si>
    <t>TUBO CIRCULAR (OC) 102 mm x 5.74 mm (4 in. x 0.226 in.) 13.57 kg/m</t>
  </si>
  <si>
    <t>2.295.</t>
  </si>
  <si>
    <t>TUBO CIRCULAR (OC) 114 mm x 6.02 mm (4.5 in. x 0.237 in.) 16.08 kg/m</t>
  </si>
  <si>
    <t>2.296.</t>
  </si>
  <si>
    <t>2.297.</t>
  </si>
  <si>
    <t>TUBO CIRCULAR (OC) 168 mm x 10.97 mm (6.63 in. x 0.432 in.) 42.56 kg/m</t>
  </si>
  <si>
    <t>2.298.</t>
  </si>
  <si>
    <t>TUBO CIRCULAR (OC) 219 mm x 6.35 mm (8.63 in. x 0.250 in.) 33.32 kg/m</t>
  </si>
  <si>
    <t>2.299.</t>
  </si>
  <si>
    <t>2.300.</t>
  </si>
  <si>
    <t>TUBO CIRCULAR (OC) 219 mm x 12.7 mm (8.63 in. x 0.500 in.) 64.64 kg/m</t>
  </si>
  <si>
    <t>2.301.</t>
  </si>
  <si>
    <t>TUBO CIRCULAR (OC) 273 mm x 9.27 mm (10.75 in. x 0.365 in.) 60.31 kg/m</t>
  </si>
  <si>
    <t>2.302.</t>
  </si>
  <si>
    <t>TUBO CIRCULAR (OC) 273 mm x 12.7 mm (10.75 in. x 0.500 in.) 81.56 kg/m</t>
  </si>
  <si>
    <t>2.303.</t>
  </si>
  <si>
    <t>TUBO CIRCULAR (OC) 273 mm x 15.09 mm (10.75 in. x 0.594 in.) 96.02 kg/m</t>
  </si>
  <si>
    <t>2.304.</t>
  </si>
  <si>
    <t>2.305.</t>
  </si>
  <si>
    <t>TUBO CIRCULAR (OC) 324 mm x 10.31 mm (12.75 in. x 0.406 in.) 79.73 kg/m</t>
  </si>
  <si>
    <t>2.306.</t>
  </si>
  <si>
    <t>TUBO CIRCULAR (OC) 324 mm x 12.7 mm (12.75 in. x 0.500 in.) 97.47 kg/m</t>
  </si>
  <si>
    <t>2.307.</t>
  </si>
  <si>
    <t>TUBO CIRCULAR (OC) 324 mm x 17.48 mm (12.75 in. x 0.668 in.) 132.09 kg/m</t>
  </si>
  <si>
    <t>2.308.</t>
  </si>
  <si>
    <t>TUBO CIRCULAR (OC) 356 mm x 19.05 mm (14 in. x 0.750 in.) 158.11 kg/m</t>
  </si>
  <si>
    <t>2.309.</t>
  </si>
  <si>
    <t xml:space="preserve">PERFIL I RECTANGULAR (IR) 152 mm x 18.00 kg/m (6 in. x 12 lb./ft.) </t>
  </si>
  <si>
    <t>2.310.</t>
  </si>
  <si>
    <t xml:space="preserve">PERFIL I RECTANGULAR (IR) 152 mm x 24.00 kg/m (6 in. x 16 lb./ft.) </t>
  </si>
  <si>
    <t>2.311.</t>
  </si>
  <si>
    <t xml:space="preserve">PERFIL I RECTANGULAR (IR) 203 mm x 26.60 kg/m (8 in. x 18 lb./ft.) </t>
  </si>
  <si>
    <t>2.312.</t>
  </si>
  <si>
    <t xml:space="preserve">PERFIL I RECTANGULAR (IR) 203 mm x 15.00 kg/m (8 in. x 10 lb./ft.) </t>
  </si>
  <si>
    <t>2.313.</t>
  </si>
  <si>
    <t xml:space="preserve">PERFIL I RECTANGULAR (IR) 254 mm x 25.30 kg/m (10 in. x 17 lb./ft.) </t>
  </si>
  <si>
    <t>2.314.</t>
  </si>
  <si>
    <t xml:space="preserve">PERFIL I RECTANGULAR (IR) 254 mm x 28.50 kg/m (10 in. x 19 lb./ft.) </t>
  </si>
  <si>
    <t>2.315.</t>
  </si>
  <si>
    <t xml:space="preserve">PERFIL I RECTANGULAR (IR) 254 mm x 32.90 kg/m (10 in. x 22 lb./ft.) </t>
  </si>
  <si>
    <t>2.316.</t>
  </si>
  <si>
    <t xml:space="preserve">PERFIL I RECTANGULAR (IR) 254 mm x 38.50 kg/m (10 in. x 26 lb./ft.) </t>
  </si>
  <si>
    <t>2.317.</t>
  </si>
  <si>
    <t xml:space="preserve">PERFIL I RECTANGULAR (IR) 254 mm x 44.80 kg/m (10 in. x 30 lb./ft.) </t>
  </si>
  <si>
    <t>2.318.</t>
  </si>
  <si>
    <t xml:space="preserve">PERFIL I RECTANGULAR (IR) 305 mm x 38.70 kg/m (12 in. x 26 lb./ft.) </t>
  </si>
  <si>
    <t>2.319.</t>
  </si>
  <si>
    <t xml:space="preserve">PERFIL I RECTANGULAR (IR) 305 mm x 44.50 kg/m (12 in. x 30 lb./ft.) </t>
  </si>
  <si>
    <t>2.320.</t>
  </si>
  <si>
    <t xml:space="preserve">PERFIL I RECTANGULAR (IR) 305 mm x 59.80 kg/m (12 in. x 40 lb./ft.) </t>
  </si>
  <si>
    <t>2.321.</t>
  </si>
  <si>
    <t xml:space="preserve">PERFIL I RECTANGULAR (IR) 305 mm x 74.40 kg/m (12 in. x 50 lb./ft.) </t>
  </si>
  <si>
    <t>2.322.</t>
  </si>
  <si>
    <t xml:space="preserve">PERFIL I RECTANGULAR (IR) 356 mm x 32.9 kg/m (14 in. x 22 lb./ft.) </t>
  </si>
  <si>
    <t>2.323.</t>
  </si>
  <si>
    <t xml:space="preserve">PERFIL I RECTANGULAR (IR) 406 mm x 74.40 kg/m (16 in. x 50 lb./ft.) </t>
  </si>
  <si>
    <t>2.324.</t>
  </si>
  <si>
    <t xml:space="preserve">PERFIL I RECTANGULAR (IR) 457 mm x 68.40 kg/m (18 in. x 46 lb./ft.) </t>
  </si>
  <si>
    <t>2.325.</t>
  </si>
  <si>
    <t xml:space="preserve">PERFIL I RECTANGULAR (IR) 457 mm x 74.50 kg/m (18 in. x 50 lb./ft.) </t>
  </si>
  <si>
    <t>2.326.</t>
  </si>
  <si>
    <t xml:space="preserve">PERFIL I RECTANGULAR (IR) 457 mm x 82.00 kg/m (18 in. x 55 lb./ft.) </t>
  </si>
  <si>
    <t>2.327.</t>
  </si>
  <si>
    <t xml:space="preserve">PERFIL I RECTANGULAR (IR) 457 mm x 89.10 kg/m (18 in. x 60 lb./ft.) </t>
  </si>
  <si>
    <t>2.328.</t>
  </si>
  <si>
    <t xml:space="preserve">PERFIL I RECTANGULAR (IR) 457 mm x 105.30 kg/m (18 in. x 71 lb./ft.) </t>
  </si>
  <si>
    <t>2.329.</t>
  </si>
  <si>
    <t xml:space="preserve">PERFIL I RECTANGULAR (IR) 610 mm x 125.10 kg/m (24 in. x 84 lb./ft.) </t>
  </si>
  <si>
    <t>2.330.</t>
  </si>
  <si>
    <t xml:space="preserve">PERFIL I RECTANGULAR (IR) 914 mm x 223.90 kg/m (36 in. x 150 lb./ft.) </t>
  </si>
  <si>
    <t>SUMINISTRO, HABILITACION E INSTALACION DE ANGULO (TIPO LI) METÁLICOS ESTRUCTURALES DE ACERO AL CARBÓN ASTM A-36</t>
  </si>
  <si>
    <t>2.331.</t>
  </si>
  <si>
    <t>ANGULO DE LADOS IGUALES (LI)  25 mm x 6 mm (1 in. x ¼ in.) 2.22 kg/m</t>
  </si>
  <si>
    <t>2.332.</t>
  </si>
  <si>
    <t>ANGULO DE LADOS IGUALES (LI)  38 mm x 6 mm (1½ in. x ¼ in.) 3.48 kg/m</t>
  </si>
  <si>
    <t>2.333.</t>
  </si>
  <si>
    <t>ANGULO DE LADOS IGUALES (LI)  51 mm x 6 mm (2 in. x ¼ in.) 4.75 kg/m</t>
  </si>
  <si>
    <t>2.334.</t>
  </si>
  <si>
    <t>ANGULO DE LADOS IGUALES (LI)  51 mm x 10 mm (2 in. x ⅜ in.) 6.99 kg/m</t>
  </si>
  <si>
    <t>2.335.</t>
  </si>
  <si>
    <t>ANGULO DE LADOS IGUALES (LI)  64 mm x 6 mm (2½ in. x ¼ in.) 6.10 kg/m</t>
  </si>
  <si>
    <t>2.336.</t>
  </si>
  <si>
    <t>ANGULO DE LADOS IGUALES (LI)  64 mm x 10 mm (2½ in. x ⅜ in.) 8.78 kg/m</t>
  </si>
  <si>
    <t>2.337.</t>
  </si>
  <si>
    <t>ANGULO DE LADOS IGUALES (LI)  76 mm x 6 mm (3 in. x ¼ in.) 7.29 kg/m</t>
  </si>
  <si>
    <t>2.338.</t>
  </si>
  <si>
    <t>ANGULO DE LADOS IGUALES (LI)  76 mm x 10 mm (3 in. x ⅜ in.) 10.72 kg/m</t>
  </si>
  <si>
    <t>2.339.</t>
  </si>
  <si>
    <t>ANGULO DE LADOS IGUALES (LI)  102 mm x 6 mm (4 in. x ¼ in.) 9.82 kg/m</t>
  </si>
  <si>
    <t>2.340.</t>
  </si>
  <si>
    <t>ANGULO DE LADOS IGUALES (LI)  102 mm x 10 mm (4 in. x ⅜ in.) 14.58 kg/m</t>
  </si>
  <si>
    <t>2.341.</t>
  </si>
  <si>
    <t>ANGULO DE LADOS IGUALES (LI)  152 mm x 10 mm (6 in. x ⅜ in.) 22.17 kg/m</t>
  </si>
  <si>
    <t>SUMINISTRO, HABILITACION E INSTALACION DE VIGAS METÁLICOS (TIPO CE) ESTRUCTURALES DE ACERO AL CARBÓN ASTM A-36, INCLUYE: ACARREO, CARGA DESCARGA, MANIOBRAS:</t>
  </si>
  <si>
    <t>2.342.</t>
  </si>
  <si>
    <t xml:space="preserve">PERFIL C ESTANDAR (CE) 102 mm x 8.04 kg/m (4 in. x 5.40 lb./ft.) </t>
  </si>
  <si>
    <t>2.343.</t>
  </si>
  <si>
    <t xml:space="preserve">PERFIL C ESTANDAR (CE) 203 mm x 17.11 kg/m (8 in. x 11.50 lb./ft.) </t>
  </si>
  <si>
    <t>2.344.</t>
  </si>
  <si>
    <t xml:space="preserve">PERFIL C ESTANDAR (CE) 254 mm x 22.76 kg/m (10 in. x 15.30 lb./ft.) </t>
  </si>
  <si>
    <t>2.345.</t>
  </si>
  <si>
    <t xml:space="preserve">PERFIL C ESTANDAR (CE) 254 mm x 29.76 kg/m (10 in. x 20.00 lb./ft.) </t>
  </si>
  <si>
    <t>2.346.</t>
  </si>
  <si>
    <t xml:space="preserve">PERFIL C ESTANDAR (CE) 203 mm x 27.90 kg/m (8 in. x 18.75 lb./ft.) </t>
  </si>
  <si>
    <t>2.347.</t>
  </si>
  <si>
    <t xml:space="preserve">PERFIL C ESTANDAR (CE) 305 mm x 30.80 kg/m (12 in. x 20.70 lb./ft.) </t>
  </si>
  <si>
    <t>SUMINISTRO, HABILITADO E INSTALACION DE PLACA LISA DE ACERO AL CARBON ESPECIFICACION API 2H GR. 50. INCLUYE: ACARREO, CARGA DESCARGA, MANIOBRAS.</t>
  </si>
  <si>
    <t>2.348.</t>
  </si>
  <si>
    <t>SUMINISTRO, HABILITADO E INSTALACIÓN EN PATIO DE CONSTRUCCIÓN DE PLACA DE ACERO API 2H GR. 50 DE 1.000" DE ESPESOR CON SUPLEMENTOS S1,S3,S4 Y S5.</t>
  </si>
  <si>
    <t>2.349.</t>
  </si>
  <si>
    <t>SUMINISTRO, HABILITADO E INSTALACIÓN DE PLACA LISA ROLADA DE ACERO API 2H GR 50 DE 1½" DE ESPESOR. CON SUPLEMENTOS S1, S3, S4 Y S5.</t>
  </si>
  <si>
    <t>SUMINISTRO, HABILITACION E INSTALACION DE PLACA LISA METÁLICA ESTRUCTURAL DE ACERO AL CARBÓN ASTM A-36</t>
  </si>
  <si>
    <t>2.350.</t>
  </si>
  <si>
    <t>PLACA LISA DE ¼" ESP.</t>
  </si>
  <si>
    <t>2.351.</t>
  </si>
  <si>
    <t>PLACA LISA DE ⅜" ESP.</t>
  </si>
  <si>
    <t>2.352.</t>
  </si>
  <si>
    <t>PLACA LISA DE ½" ESP.</t>
  </si>
  <si>
    <t>2.353.</t>
  </si>
  <si>
    <t>PLACA LISA DE ⅝" ESP.</t>
  </si>
  <si>
    <t>2.354.</t>
  </si>
  <si>
    <t>PLACA LISA DE ¾" ESP.</t>
  </si>
  <si>
    <t>2.355.</t>
  </si>
  <si>
    <t>PLACA LISA DE 1" ESP.</t>
  </si>
  <si>
    <t>2.356.</t>
  </si>
  <si>
    <t>PLACA LISA DE 1¼" ESP.</t>
  </si>
  <si>
    <t>2.357.</t>
  </si>
  <si>
    <t>PLACA LISA DE 1½" ESP.</t>
  </si>
  <si>
    <t>2.358.</t>
  </si>
  <si>
    <t>PLACA LISA DE 2" ESP.</t>
  </si>
  <si>
    <t>2.359.</t>
  </si>
  <si>
    <t xml:space="preserve">SUMINISTRO,  HABILITACION  E  INSTALACION  DE  PLACA  TROQUELADA  DE  ACERO  AL CARBÓN A-36 DE 6 MM  DE ESPESOR X 49.79 KG/M2, DISEÑO DEL TROQUELADO ES DE 570 MM DE ANCHO Y CRESTA DE 150 MM DE PERALTE DE FORMA TRAPEZOIDAL. </t>
  </si>
  <si>
    <t>SUMINISTRO, HABILITADO, PREFABRICADO  E INSTALACION DE PLACA LISA DE ACERO AL CARBÓN ASTM A-572 GR. INCLUYE: ACARREO, CARGA DESCARGA, MANIOBRAS</t>
  </si>
  <si>
    <t>2.360.</t>
  </si>
  <si>
    <t>PLACA LISA DE 1¾" ESP.</t>
  </si>
  <si>
    <t>SUMINISTRO, HABILITACION E INSTALACION DE REDONDO SOLIDO METÁLICOS (TIPO OS) ESTRUCTURALES DE ACERO AL CARBÓN ASTM A-36, INCLUYE: ACARREO, CARGA DESCARGA, MANIOBRAS</t>
  </si>
  <si>
    <t>2.361.</t>
  </si>
  <si>
    <t>REDONDO SOLIDO LISO (OS)  9.5 mm (⅜ in.) 0.559 kg/m</t>
  </si>
  <si>
    <t>2.362.</t>
  </si>
  <si>
    <t>REDONDO SOLIDO LISO (OS)  12.7 mm (½ in.) 0.994 kg/m</t>
  </si>
  <si>
    <t>2.363.</t>
  </si>
  <si>
    <t>REDONDO SOLIDO LISO (OS)  19.1 mm (¾ in.) 2.235 kg/m</t>
  </si>
  <si>
    <t>2.364.</t>
  </si>
  <si>
    <t>REDONDO SOLIDO LISO (OS)  25.4 mm (1 in.) 3.973 kg/m</t>
  </si>
  <si>
    <t>2.365.</t>
  </si>
  <si>
    <t>REDONDO SOLIDO LISO (OS)  31.8 mm (1¼ in.) 6.208 kg/m</t>
  </si>
  <si>
    <t>2.366.</t>
  </si>
  <si>
    <t>REDONDO SOLIDO LISO (OS)  50.8 mm (2 in.) 15.89 kg/m</t>
  </si>
  <si>
    <t xml:space="preserve">SUMINISTRO, HABILITACION E INSTALACION DE REJILLA </t>
  </si>
  <si>
    <t>2.367.</t>
  </si>
  <si>
    <t>REJILLA ELECTROFORJADA DENTADA DE 1¼" X 3/16" GALVANIZADA</t>
  </si>
  <si>
    <t>2.368.</t>
  </si>
  <si>
    <t>REJILLA ELECTROFORJADA DENTADA DE 1" X 3/16" GALVANIZADA</t>
  </si>
  <si>
    <t>2.369.</t>
  </si>
  <si>
    <t>ESCALON DE BARRA DENTADA DE 4.8 X 31.8 X 762 MM</t>
  </si>
  <si>
    <t>SUMINISTRO, HABILITACION E INSTALACION DE SOLERA METÁLICA DE ACERO AL CARBÓN ASTM A-36</t>
  </si>
  <si>
    <t>2.370.</t>
  </si>
  <si>
    <t xml:space="preserve">SOLERA DE ¼" ESPESOR X 1" DE ANCHO </t>
  </si>
  <si>
    <t>2.371.</t>
  </si>
  <si>
    <t xml:space="preserve">SOLERA DE ¼" ESPESOR X 1½" DE ANCHO </t>
  </si>
  <si>
    <t>2.372.</t>
  </si>
  <si>
    <t xml:space="preserve">SOLERA DE ¼" ESPESOR X 2" DE ANCHO </t>
  </si>
  <si>
    <t>2.373.</t>
  </si>
  <si>
    <t xml:space="preserve">SOLERA DE ¼" ESPESOR X 4" DE ANCHO </t>
  </si>
  <si>
    <t>2.374.</t>
  </si>
  <si>
    <t>SOLERA DE ⅜" MM ESPESOR X 2½" DE ANCHO</t>
  </si>
  <si>
    <t>2.375.</t>
  </si>
  <si>
    <t>SUMINISTRO, HABILITADO E INSTALACION DE PERFIL ESTRUCTURAL TIPO SOLERA DE 16 MM X 5 MM DE ESPESOR , DE ACERO AL CARBON ASTM A36 GALVANIZADO. EN PATIO DE CONSTRUCCIÓN</t>
  </si>
  <si>
    <t>2.376.</t>
  </si>
  <si>
    <t>SUMINISTRO, HABILITADO E INSTALACION DE PERFIL TIPO SOLERA DE 32mm x 6mm (1¼" x ¼") DE ACERO AL CARBON ESPECIFICACIÓN ASTM A36, EN PATIO DE CONSTRUCCION.</t>
  </si>
  <si>
    <t>2.377.</t>
  </si>
  <si>
    <t>SUMINISTRO, HABILITADO E INSTALACION DE PERFIL TIPO SOLERA  64mm  x 10mm  (2½" x ⅜") DE ACERO AL CARBON ESPECIFICACIÓN ASTM A36, EN PATIO DE CONSTRUCCION.</t>
  </si>
  <si>
    <t>SUMINISTRO, CARGA, ACARREO E INSTALACIÓN DE INSTRUMENTOS</t>
  </si>
  <si>
    <t>2.378.</t>
  </si>
  <si>
    <t>SUMINISTRO, CARGA, ACARREO E INSTALACIÓN DE TAPÓN CACHUCHA DE ½" ROSCADO NPT ACERO CARBON ASTM A-105 CLASE 6000#.</t>
  </si>
  <si>
    <t>INSPECCIÓN DE SOLDADURAS</t>
  </si>
  <si>
    <t>2.379.</t>
  </si>
  <si>
    <t>INSPECCIÓN POR PARTÍCULAS MAGNÉTICAS DE SOLDADURAS EN CONEXIONES, TUBERÍA O ESTRUCTURAS EN PATIO DE LA CONTRATISTA.</t>
  </si>
  <si>
    <t>ML</t>
  </si>
  <si>
    <t>2.380.</t>
  </si>
  <si>
    <t>INSPECCIÓN ULTRASÓNICA DE JUNTAS SOLDABLES EN PERFILES ESTRUCTURALES.</t>
  </si>
  <si>
    <t>2.381.</t>
  </si>
  <si>
    <t>INSPECCION ULTRASONICA DE JUNTAS SOLDABLES A TOPE EN CONEXIONES Y TUBERÍAS DE 1" A 4" DIAM.</t>
  </si>
  <si>
    <t>JUNTA</t>
  </si>
  <si>
    <t>2.382.</t>
  </si>
  <si>
    <t>JUNTAS DE 6" A 14" DIAM</t>
  </si>
  <si>
    <t>2.383.</t>
  </si>
  <si>
    <t>JUNTAS DE 16" A 22" DIAM</t>
  </si>
  <si>
    <t>2.384.</t>
  </si>
  <si>
    <t>JUNTAS DE 24" A 30" DIAM.</t>
  </si>
  <si>
    <t>2.385.</t>
  </si>
  <si>
    <t xml:space="preserve">JUNTAS DE 36" A 42" DIAM </t>
  </si>
  <si>
    <t>SERVICIO DE PRUEBAS NO DESTRUCTIVAS</t>
  </si>
  <si>
    <t>2.386.</t>
  </si>
  <si>
    <t>INSPECCION DE SOLDADURA MEDIANTE PRUEBAS NO DESTRUCTIVAS EN PERFILES ESTRUCTURALES.</t>
  </si>
  <si>
    <t>2.387.</t>
  </si>
  <si>
    <t>INSPECCION DE SOLDADURA MEDIANTE PRUEBAS NO DESTRUCTIVAS DE ½" A 2" DE DIAMETRO HASTA 20.00 M DE ALTURA.</t>
  </si>
  <si>
    <t>2.388.</t>
  </si>
  <si>
    <t>IDEM PERO DE 3" A 6" DE DIAMETRO</t>
  </si>
  <si>
    <t>2.389.</t>
  </si>
  <si>
    <t>IDEM PERO DE 8" A 12" DE DIAMETRO</t>
  </si>
  <si>
    <t>2.390.</t>
  </si>
  <si>
    <t>IDEM PERO DE 14" A 20" DE DIAMETRO</t>
  </si>
  <si>
    <t>2.391.</t>
  </si>
  <si>
    <t>IDEM PERO DE 24" A 30" DE DIAMETRO</t>
  </si>
  <si>
    <t>2.392.</t>
  </si>
  <si>
    <t>IDEM PERO DE 36" A 42" DE DIAMETRO</t>
  </si>
  <si>
    <t>2.393.</t>
  </si>
  <si>
    <t>MEDICION DE PRUEBA DE DUREZA EN JUNTA DE 14" A 20" DE DIAMETRO</t>
  </si>
  <si>
    <t>2.394.</t>
  </si>
  <si>
    <t>MEDICION DE PRUEBA DE DUREZA EN JUNTA DE 22" A 30" DE DIAMETRO</t>
  </si>
  <si>
    <t>2.395.</t>
  </si>
  <si>
    <t>MEDICION DE PRUEBA DE DUREZA EN JUNTA DE 32" A 36" DE DIAMETRO.</t>
  </si>
  <si>
    <t>2.396.</t>
  </si>
  <si>
    <t>INSPECCIÓN RADIOGRÁFICA DE JUNTAS SOLDABLES A TOPE EN CONEXIONES Y TUBERÍAS DE 1" A 4" DIAM</t>
  </si>
  <si>
    <t>2.397.</t>
  </si>
  <si>
    <t>2.398.</t>
  </si>
  <si>
    <t>2.399.</t>
  </si>
  <si>
    <t>JUNTAS DE 24" A 30" DIAM</t>
  </si>
  <si>
    <t>2.400.</t>
  </si>
  <si>
    <t>PROTECCION ANTICORROSIVA</t>
  </si>
  <si>
    <t>2.401.</t>
  </si>
  <si>
    <t>LIMPIEZA CON ARENA SILICA (MALLA) 16/35 O 8/35 INCLUYE MATERIALES DE CONSUMO, LIMPIEZA DEL ÁREA DE TRABAJO. DE ACUERDO A LA NORMA NRF-295-PEMEX-2013.</t>
  </si>
  <si>
    <t>2.402.</t>
  </si>
  <si>
    <t>APLICACIÓN DE RECUBRIMIENTO PRIMARIO POLIMERO HIBRIDO DE DOS COMPONENTES NAPKO 4109 (UNA CAPA DE 4 MILESIMAS DE PULGADA POR ESPESOR),  APLICACIÓN POR ASPERSIÓN, INCLUYE: LIMPIEZA DE LA SUPERFICIE MANUAL MECANICA, MATERIALES DE CONSUMO, PINTURA, SOLVENTES, LIMPIEZA DEL ÁREA DE TRABAJO. PARA APLICACION EN TUBERÍAS, CODOS, TEES, REDUCCIONES ETC. DE DIFERENTES DIÁMETROS, ASI COMO EN VIGAS, ANGULOS, SOLERAS ETC.</t>
  </si>
  <si>
    <t>2.403.</t>
  </si>
  <si>
    <t xml:space="preserve">RECUBRIMIENTO DE ACABADO POLIURETANO ACRILICO ALIFATICO DE DOS COMPONENTES RA-28 MODIFICADO COLOR BLANCO CATERPILAR (DOS CAPAS DE 2.5 MILÉSIMAS DE PULGADA). INCLUYE MATERIALES DE CONSUMO, PINTURA, SOLVENTES, ETC., LIMPIEZA DEL ÁREA DE TRABAJO. PARA APLICARLO APLICARLO EN TUBERÍA, CODOS, TEES, REDUCCIONES ETC. </t>
  </si>
  <si>
    <t>2.404.</t>
  </si>
  <si>
    <t>APLICACIÓN EN PATIO DE PREFABRICADOS DE ACABADO POLISILOXANO EPÓXICO O ACRÍLICO DE DOS COMPONENTES ALTOS SÓLIDOS DE ALTA RESISTENCIA RA-35. A UNA CAPA DE 100 MICRAS DE ESPESOR  DE ACUERDO A NORMA DE REFERENCIA NRF-295-PEMEX-2013, INCLUYE MATERIALES DE CONSUMO, PINTURA, SOLVENTES, LIMPIEZA DEL ÁREA DE TRABAJO, PARA APLICARLO EN TUBERÍA, CODOS, TEES, REDUCCIONES ETC. DE DIFERENTES DIÁMETROS, ASI COMO EN VIGAS, ANGULOS, SOLERAS ETC.</t>
  </si>
  <si>
    <t>2.405.</t>
  </si>
  <si>
    <t>RECUBRIMIENTO EPÓXICO 100% SÓLIDOS DE DOS A TRES COMPONENTES RE-36, INCLUYE LA LIMPIEZA A METAL COMERCIAL.</t>
  </si>
  <si>
    <t>2.406.</t>
  </si>
  <si>
    <t>RECUBRIMIENTO DE ENLACE EPOXICO MODIFICADO AUTOIMPRIMANTE DE DOS COMPONENTES ALTOS SOLIDOS RI-41 MODIFICADO COLOR AMARILLO CATERPILAR (DOS CAPAS DE 2.5 MILÉSIMAS DE PULGADA ).</t>
  </si>
  <si>
    <t>2.407.</t>
  </si>
  <si>
    <t>LIMPIEZA DE LA SUPERFICIE POR ASPERSIÓN CON CHORRO ABRASIVO SECO A METAL BLANCO Y RECUBRIMIENTO PRIMARIO EPOXICO-POLIAMIDA DE DOS COMPONENTES RP-6 MODIFICADO (UNA CAPA DE 2 A 3 MILÉSIMAS DE PULGADA DE ESPESOR) , APLICACIÓN POR ASPERSIÓN, INCLUYE MATERIALES DE CONSUMO, PINTURA, SOLVENTES, LIMPIEZA DEL ÁREA DE TRABAJO. PARA APLICARLO EN RESANES DE TUBERÍA, CODOS, TEES, REDUCCIONES ETC. DE DIFERENTES DIÁMETROS, ASI COMO EN VIGAS, ANGULOS, SOLERAS ETC</t>
  </si>
  <si>
    <t>2.408.</t>
  </si>
  <si>
    <t xml:space="preserve">SUMINISTRO DE MATERIALES, PREPARACIÓN Y LIMPIEZA DE LA SUPERFICIE POR ASPERSIÓN CON CHORRO ABRASIVO SECO A METAL BLANCO, APLICACIÓN DE UNA CAPA DE 125 MICRAS DE ESPESOR DE PRIMARIO ORGÁNICO RICO EN ZINC DE DOS COMPONENTES RP-23, APLICACIÓN DE UNA CAPA DE 150 MICRAS DE ESPESOR DE ENLACE EPÓXICO MODIFICADO AUTOIMPRIMANTE DE DOS COMPONENTES RI-41 Y APLICACIÓN DE UNA CAPA DE 100 MICRAS DE ESPESOR DE ACABADO POLISILOXANO EPÓXICO O ACRÍLICO DE DOS COMPONENTES ALTOS SÓLIDOS DE ALTA RESISTENCIA RA-35. DE ACUERDO A NORMA DE REFERENCIA NRF-295-PEMEX-2013, INCLUYE MATERIALES DE CONSUMO, PINTURA, SOLVENTES, LIMPIEZA DEL ÁREA DE TRABAJO., PARA APLICARLO EN TUBERÍA, CODOS, TEES, REDUCCIONES ETC. DE DIFERENTES DIÁMETROS, ASI COMO EN VIGAS, ANGULOS, SOLERAS ETC, </t>
  </si>
  <si>
    <t>2.409.</t>
  </si>
  <si>
    <t>APLICACIÓN DE RECUBRIMIENTO PRIMARIO INORGÁNICO RICO EN ZINC DE DOS COMPONENTES RP-23  (UNA CAPA DE 125 MICRAS DE ESPESOR) , APLICACIÓN POR ASPERSIÓN, INCLUYE MATERIALES DE CONSUMO, PINTURA, SOLVENTES, LIMPIEZA DEL ÁREA DE TRABAJO. PARA APLICARLO EN TUBERÍA, CODOS, TEES, REDUCCIONES ETC. DE DIFERENTES DIÁMETROS, ASI COMO EN VIGAS, ANGULOS, SOLERAS ETC,</t>
  </si>
  <si>
    <t>2.410.</t>
  </si>
  <si>
    <t xml:space="preserve">LIMPIEZA DE LA SUPERFICIE POR ASPERSIÓN CON CHORRO ABRASIVO SECO A METAL BLANCO Y RECUBRIMIENTO PRIMARIO INORGANICO DE ZINC AUTO CURANTE BASE SOLVENTE RP-4B MODIFICADO (UNA CAPA DE 2 A 3 MILÉSIMAS DE PULGADA DE ESPESOR) , APLICACIÓN POR ASPERSIÓN, INCLUYE MATERIALES DE CONSUMO, PINTURA, SOLVENTES,, LIMPIEZA DEL ÁREA DE TRABAJO. PARA APLICARLO EN TUBERÍA, CODOS, TEES, REDUCCIONES ETC. DE DIFERENTES DIÁMETROS, ASI COMO EN VIGAS, ANGULOS, SOLERAS ETC, </t>
  </si>
  <si>
    <t xml:space="preserve">PRUEBA HIDROSTATICA A VALVULAS INCLUYE: MANO DE OBRA Y EQUIPO. </t>
  </si>
  <si>
    <t>2.411.</t>
  </si>
  <si>
    <t xml:space="preserve">PRUEBA HIDROSTATICA A VALVULA DE 8"-12" DE DIAMETRO EN PATIO DE CONSTRUCCION DE LA CONTRATISTA, INCLUYE: MANO DE OBRA Y EQUIPO. A VALVULAS </t>
  </si>
  <si>
    <t>2.412.</t>
  </si>
  <si>
    <t>PRUEBA HIDROSTATICA A VALVULA DE 24"-30" DE DIAMETRO EN PATIO DE CONSTRUCCION DE LA CONTRATISTA, INCLUYE: MANO DE OBRA Y EQUIPO. A VALVULAS</t>
  </si>
  <si>
    <t>CORTE Y BISELADO</t>
  </si>
  <si>
    <t>CORTE Y BISELADO EN TUBERÍAS DE ACERO AL CARBONO CON BISELADOR MECÁNICO Y CORTADOR OXIACETILENO Y/O CORTADOR MECANICO.</t>
  </si>
  <si>
    <t>2.413.</t>
  </si>
  <si>
    <t xml:space="preserve">1" Ø CED. 80. (GALV.) </t>
  </si>
  <si>
    <t>2.414.</t>
  </si>
  <si>
    <t xml:space="preserve">2" Ø CED. 40. </t>
  </si>
  <si>
    <t>2.415.</t>
  </si>
  <si>
    <t xml:space="preserve">2" Ø CED. 80. (GALV.) </t>
  </si>
  <si>
    <t>2.416.</t>
  </si>
  <si>
    <t xml:space="preserve">2" Ø CED. 80. </t>
  </si>
  <si>
    <t>2.417.</t>
  </si>
  <si>
    <t xml:space="preserve">3" Ø CED. 40. </t>
  </si>
  <si>
    <t>2.418.</t>
  </si>
  <si>
    <t xml:space="preserve">4" Ø CED. 40. </t>
  </si>
  <si>
    <t>2.419.</t>
  </si>
  <si>
    <t xml:space="preserve">4" Ø CED. 80. </t>
  </si>
  <si>
    <t>2.420.</t>
  </si>
  <si>
    <t xml:space="preserve">6" Ø CED. 40. </t>
  </si>
  <si>
    <t>2.421.</t>
  </si>
  <si>
    <t xml:space="preserve">6" Ø CED. 80 </t>
  </si>
  <si>
    <t>2.422.</t>
  </si>
  <si>
    <t xml:space="preserve">8" Ø CED. 40 </t>
  </si>
  <si>
    <t>2.423.</t>
  </si>
  <si>
    <t xml:space="preserve">10" Ø CED. 20 </t>
  </si>
  <si>
    <t>2.424.</t>
  </si>
  <si>
    <t xml:space="preserve">10" Ø CED. 40 </t>
  </si>
  <si>
    <t>2.425.</t>
  </si>
  <si>
    <t xml:space="preserve">12" Ø CED. 20 </t>
  </si>
  <si>
    <t>2.426.</t>
  </si>
  <si>
    <t xml:space="preserve">12" Ø CED. 80 </t>
  </si>
  <si>
    <t>2.427.</t>
  </si>
  <si>
    <t xml:space="preserve">14" Ø CED. 20 </t>
  </si>
  <si>
    <t>2.428.</t>
  </si>
  <si>
    <t xml:space="preserve">14" Ø CED. 80 </t>
  </si>
  <si>
    <t>2.429.</t>
  </si>
  <si>
    <t xml:space="preserve">16" Ø CED. 20 </t>
  </si>
  <si>
    <t>2.430.</t>
  </si>
  <si>
    <t xml:space="preserve">18" Ø ESP 0.312 </t>
  </si>
  <si>
    <t>2.431.</t>
  </si>
  <si>
    <t xml:space="preserve">18" Ø ESP 0.375 </t>
  </si>
  <si>
    <t>2.432.</t>
  </si>
  <si>
    <t xml:space="preserve">18" Ø ESP 0.500 </t>
  </si>
  <si>
    <t>2.433.</t>
  </si>
  <si>
    <t xml:space="preserve">18" Ø ESP 0.750 </t>
  </si>
  <si>
    <t>2.434.</t>
  </si>
  <si>
    <t xml:space="preserve">20" Ø ESP 0.375 </t>
  </si>
  <si>
    <t>2.435.</t>
  </si>
  <si>
    <t xml:space="preserve">20" Ø ESP 0.500 </t>
  </si>
  <si>
    <t>2.436.</t>
  </si>
  <si>
    <t xml:space="preserve">20" Ø ESP 0.938 </t>
  </si>
  <si>
    <t>2.437.</t>
  </si>
  <si>
    <t xml:space="preserve">20" Ø ESP 1.000 </t>
  </si>
  <si>
    <t>2.438.</t>
  </si>
  <si>
    <t xml:space="preserve">24" Ø ESP 0.375 </t>
  </si>
  <si>
    <t>2.439.</t>
  </si>
  <si>
    <t xml:space="preserve">24" Ø ESP 0.500 </t>
  </si>
  <si>
    <t>2.440.</t>
  </si>
  <si>
    <t xml:space="preserve">24" Ø ESP 0.938 </t>
  </si>
  <si>
    <t>2.441.</t>
  </si>
  <si>
    <t xml:space="preserve">24" Ø ESP 1.062 </t>
  </si>
  <si>
    <t>2.442.</t>
  </si>
  <si>
    <t xml:space="preserve">30" Ø ESP 0.375 </t>
  </si>
  <si>
    <t>2.443.</t>
  </si>
  <si>
    <t xml:space="preserve">30" Ø ESP 0.500 </t>
  </si>
  <si>
    <t>2.444.</t>
  </si>
  <si>
    <t>30" Ø ESP 0.625</t>
  </si>
  <si>
    <t>2.445.</t>
  </si>
  <si>
    <t xml:space="preserve">30" Ø ESP 0.750 </t>
  </si>
  <si>
    <t>2.446.</t>
  </si>
  <si>
    <t xml:space="preserve">30" Ø ESP 1.125 </t>
  </si>
  <si>
    <t>2.447.</t>
  </si>
  <si>
    <t xml:space="preserve">30" Ø ESP 1.500 </t>
  </si>
  <si>
    <t>2.448.</t>
  </si>
  <si>
    <t xml:space="preserve">36" Ø ESP 0.375 </t>
  </si>
  <si>
    <t>2.449.</t>
  </si>
  <si>
    <t xml:space="preserve">36" Ø ESP 0.500 </t>
  </si>
  <si>
    <t>2.450.</t>
  </si>
  <si>
    <t>36" Ø ESP 0.625</t>
  </si>
  <si>
    <t>2.451.</t>
  </si>
  <si>
    <t xml:space="preserve">36" Ø ESP 0.750 </t>
  </si>
  <si>
    <t>2.452.</t>
  </si>
  <si>
    <t>36" Ø ESP 1.000</t>
  </si>
  <si>
    <t>2.453.</t>
  </si>
  <si>
    <t xml:space="preserve">36" Ø ESP 1.125 </t>
  </si>
  <si>
    <t>2.454.</t>
  </si>
  <si>
    <t>36" Ø ESP 1.500</t>
  </si>
  <si>
    <t>SOLDADURA</t>
  </si>
  <si>
    <t>SUMINISTRO Y APLICACIÓN DE SOLDADURA DE FILETE EN LÍNEAS DE ACERO AL CARBONO Y EN UNIONES DE IGUAL DIÁMETRO QUE LA LÍNEA UTILIZANDO ELECTRODOS TIPO E-6010 Y/O E-7018.</t>
  </si>
  <si>
    <t>2.455.</t>
  </si>
  <si>
    <t xml:space="preserve">¾" Ø </t>
  </si>
  <si>
    <t>2.456.</t>
  </si>
  <si>
    <t xml:space="preserve">1" Ø </t>
  </si>
  <si>
    <t>2.457.</t>
  </si>
  <si>
    <t xml:space="preserve">1½" Ø </t>
  </si>
  <si>
    <t>2.458.</t>
  </si>
  <si>
    <t xml:space="preserve">2" Ø </t>
  </si>
  <si>
    <t>SUMINISTRO Y APLICACIÓN DE SOLDADURA A TOPE EN LÍNEAS DE ACERO AL CARBONO Y EN UNIONES DE IGUAL DIÁMETRO QUE LA LÍNEA UTILIZANDO ELECTRODOS TIPO E-6010 Y/O E-7018.</t>
  </si>
  <si>
    <t>2.459.</t>
  </si>
  <si>
    <t>2.460.</t>
  </si>
  <si>
    <t>2.461.</t>
  </si>
  <si>
    <t>2.462.</t>
  </si>
  <si>
    <t>6" Ø CED. 40.</t>
  </si>
  <si>
    <t>2.463.</t>
  </si>
  <si>
    <t xml:space="preserve">6" Ø CED. 80. </t>
  </si>
  <si>
    <t>2.464.</t>
  </si>
  <si>
    <t>2.465.</t>
  </si>
  <si>
    <t xml:space="preserve">8" Ø CED. 80. </t>
  </si>
  <si>
    <t>2.466.</t>
  </si>
  <si>
    <t>2.467.</t>
  </si>
  <si>
    <t>2.468.</t>
  </si>
  <si>
    <t>2.469.</t>
  </si>
  <si>
    <t>2.470.</t>
  </si>
  <si>
    <t>2.471.</t>
  </si>
  <si>
    <t>2.472.</t>
  </si>
  <si>
    <t>2.473.</t>
  </si>
  <si>
    <t>16" Ø CED-80</t>
  </si>
  <si>
    <t>2.474.</t>
  </si>
  <si>
    <t>2.475.</t>
  </si>
  <si>
    <t>2.476.</t>
  </si>
  <si>
    <t>2.477.</t>
  </si>
  <si>
    <t>2.478.</t>
  </si>
  <si>
    <t>2.479.</t>
  </si>
  <si>
    <t>2.480.</t>
  </si>
  <si>
    <t>2.481.</t>
  </si>
  <si>
    <t>2.482.</t>
  </si>
  <si>
    <t>20" Ø ESP 1.031</t>
  </si>
  <si>
    <t>2.483.</t>
  </si>
  <si>
    <t>2.484.</t>
  </si>
  <si>
    <t>2.485.</t>
  </si>
  <si>
    <t>2.486.</t>
  </si>
  <si>
    <t>2.487.</t>
  </si>
  <si>
    <t>2.488.</t>
  </si>
  <si>
    <t>30" Ø ESP 0.500</t>
  </si>
  <si>
    <t>2.489.</t>
  </si>
  <si>
    <t>2.490.</t>
  </si>
  <si>
    <t>2.491.</t>
  </si>
  <si>
    <t>2.492.</t>
  </si>
  <si>
    <t>2.493.</t>
  </si>
  <si>
    <t>2.494.</t>
  </si>
  <si>
    <t>2.495.</t>
  </si>
  <si>
    <t>2.496.</t>
  </si>
  <si>
    <t>2.497.</t>
  </si>
  <si>
    <t>2.498.</t>
  </si>
  <si>
    <t>2.499.</t>
  </si>
  <si>
    <t xml:space="preserve">DESMANTELAMIENTO DE ESTRUCTURAS METALICAS </t>
  </si>
  <si>
    <t>2.500.</t>
  </si>
  <si>
    <t>DESMANTELAMIENTO DE ESTRUCTURAS METALICAS EN PATIO DE CONSTRUCCIÓN, SIN RECUPERACIÓN. INCLUYE: MANO DE OBRA, HERRAMIENTA, EQUIPOS E INSUMOS NECESARIOS.</t>
  </si>
  <si>
    <t>2.501.</t>
  </si>
  <si>
    <t>DESMANTELAMIENTO DE ESTRUCTURAS METALICAS EN PATIO DE CONSTRUCCIÓN, CON RECUPERACIÓN. INCLUYE: MANO DE OBRA, HERRAMIENTA, EQUIPOS E INSUMOS NECESARIOS.</t>
  </si>
  <si>
    <t>Anexo C-3-CR: Catálogo de conceptos para trabajos de rehabilitación y adecuación optativos Costa Fuera. (Cantidades de referencia).</t>
  </si>
  <si>
    <t xml:space="preserve">Catálogo de conceptos de suministro e instalación de estructuras y Tubos para trabajos de rehabilitación y adecuación Costa afuera. </t>
  </si>
  <si>
    <t>SUMINISTRO, HABILITACION E INSTALACION DE TUBERÍA METÁLICA DE ACERO AL CARBÓN API 5L,  INCLUYE: ACARREO, CARGA, DESCARGA, MANIOBRAS</t>
  </si>
  <si>
    <t>3.1.</t>
  </si>
  <si>
    <t>3.2.</t>
  </si>
  <si>
    <t>3.3.</t>
  </si>
  <si>
    <t>Tubo de acero al carbón de 10"Ø, XS, cédula 60, espesor de pared 0.500</t>
  </si>
  <si>
    <t>3.4.</t>
  </si>
  <si>
    <t>3.5.</t>
  </si>
  <si>
    <t>Tubo de acero al carbón de 14"Ø, XS, espesor de pared 0.500</t>
  </si>
  <si>
    <t>3.6.</t>
  </si>
  <si>
    <t>Tubo de acero al carbón de 16"Ø, XS, cédula 40, espesor de pared 0.500</t>
  </si>
  <si>
    <t>3.7.</t>
  </si>
  <si>
    <t>Tubo de acero al carbón de 16"Ø, XS, cédula 80, espesor de pared 0.844</t>
  </si>
  <si>
    <t>3.8.</t>
  </si>
  <si>
    <t>3.9.</t>
  </si>
  <si>
    <t>3.10.</t>
  </si>
  <si>
    <t>Tubo de acero al carbón de 18"Ø, cédula 80, espesor de pared 0.938</t>
  </si>
  <si>
    <t>3.11.</t>
  </si>
  <si>
    <t>Tubo de acero al carbón de 20"Ø, XS, cédula 30, espesor de pared 0.500</t>
  </si>
  <si>
    <t>3.12.</t>
  </si>
  <si>
    <t>3.13.</t>
  </si>
  <si>
    <t>Tubo de acero al carbón de 20"Ø, espesor de pared 1.000</t>
  </si>
  <si>
    <t>3.14.</t>
  </si>
  <si>
    <t>SUMINISTRO, HABILITACION E INSTALACION DE TUBERÍA METÁLICA DE ACERO AL CARBÓN API SPEC 2H,  INCLUYE: ACARREO, CARGA, DESCARGA, MANIOBRAS</t>
  </si>
  <si>
    <t>3.15.</t>
  </si>
  <si>
    <t>SUMINISTRO, HABILITACION E INSTALACION DE TUBERÍA METÁLICA DE ACERO AL CARBÓN ASTM-53,  INCLUYE: ACARREO, CARGA, DESCARGA, MANIOBRAS</t>
  </si>
  <si>
    <t>3.16.</t>
  </si>
  <si>
    <t>Suministro, habilitación e instalación de tubería metálica de acero al carbón: tubería de 1" ø Ac. al Carbón Ced. 80 Astm A-53 B, tipo "S" S/C</t>
  </si>
  <si>
    <t>3.17.</t>
  </si>
  <si>
    <t>Suministro, habilitado e instalación de tubo de acero al carbón Astm-53, Gr-B, Tipo "S" de 1½" , Ced. 40, con acabado galvanizado por inmersión en caliente, incluye: acarreo, carga, descarga y maniobras</t>
  </si>
  <si>
    <t>3.18.</t>
  </si>
  <si>
    <t>Suministro, habilitación e instalación de tubería metálica de acero al carbón: tubería de 3" ø Ac. al Carbón Ced. 40 Astm A-53 B, Tipo "S" S/C</t>
  </si>
  <si>
    <t>SUMINISTRO, HABILITACION E INSTALACION DE TUBERÍA METÁLICA DE ACERO AL CARBÓN ASTM A-106,  INCLUYE: ACARREO, CARGA, DESCARGA, MANIOBRAS</t>
  </si>
  <si>
    <t>3.19.</t>
  </si>
  <si>
    <t>3.20.</t>
  </si>
  <si>
    <t>Tubo de acero al carbón de 1"Ø, STD, cédula 40, espesor de pared 0.133</t>
  </si>
  <si>
    <t>3.21.</t>
  </si>
  <si>
    <t>3.22.</t>
  </si>
  <si>
    <t>3.23.</t>
  </si>
  <si>
    <t>Tubo de acero al carbón de 2"Ø, estándar, cédula 40, espesor de pared 0.154</t>
  </si>
  <si>
    <t>3.24.</t>
  </si>
  <si>
    <t>Tubo de acero al carbón de 2"Ø, STD, cédula 40, espesor de pared 0.154</t>
  </si>
  <si>
    <t>3.25.</t>
  </si>
  <si>
    <t>3.26.</t>
  </si>
  <si>
    <t>3.27.</t>
  </si>
  <si>
    <t>3.28.</t>
  </si>
  <si>
    <t>3.29.</t>
  </si>
  <si>
    <t>Tubo de acero al carbón de 5"Ø, estándar, cédula 40, espesor de pared 0.258</t>
  </si>
  <si>
    <t>3.30.</t>
  </si>
  <si>
    <t>3.31.</t>
  </si>
  <si>
    <t>3.32.</t>
  </si>
  <si>
    <t>3.33.</t>
  </si>
  <si>
    <t>3.34.</t>
  </si>
  <si>
    <t>3.35.</t>
  </si>
  <si>
    <t>Tubo de acero al carbón de 10"Ø, cédula 80, espesor de pared 0.594</t>
  </si>
  <si>
    <t>3.36.</t>
  </si>
  <si>
    <t>Tubo de acero al carbón de 12"Ø, cédula 20, espesor de pared 0.250</t>
  </si>
  <si>
    <t>3.37.</t>
  </si>
  <si>
    <t>Tubo de acero al carbón de 12"Ø, estándar, espesor de pared 0.375</t>
  </si>
  <si>
    <t>3.38.</t>
  </si>
  <si>
    <t>Tubo de acero al carbón de 12"Ø, cédula 80, espesor de pared 0.688</t>
  </si>
  <si>
    <t>3.39.</t>
  </si>
  <si>
    <t>Tubo de acero al carbón de 12"Ø, cédula 160, espesor de pared 1.312</t>
  </si>
  <si>
    <t>3.40.</t>
  </si>
  <si>
    <t>3.41.</t>
  </si>
  <si>
    <t>Suministro, habilitación e instalación de conexiones metálicas de acero al carbón, incluye: acarreo, carga, descarga, maniobras al sitio de instalación</t>
  </si>
  <si>
    <t>SUMINISTRO E INSTALACIÓN DE CODO DE ACERO AL CARBON FORJADO ASTM A 105, SIN COSTURA EXTREMOS CAJA SOLDAR, ASME B16.11 (DEBE CUMPLIR CON EL ESTANDAR NACE-MR0175 / ISO 15156, ÚLTIMA EDICIÓN).</t>
  </si>
  <si>
    <t>3.42.</t>
  </si>
  <si>
    <t xml:space="preserve">Codo de acero al carbón de ¾"Ø, 45° grados  3,000# CAJA SOLDAR </t>
  </si>
  <si>
    <t>3.43.</t>
  </si>
  <si>
    <t>Codo de acero al carbón de 1"Ø, 45° grados 3,000# CAJA SOLDAR</t>
  </si>
  <si>
    <t>3.44.</t>
  </si>
  <si>
    <t xml:space="preserve">Codo radio corto de acero al carbón de 4"Ø, 45° grados para tubo de acero al carbón de 4"Ø, XS, cédula 80, espesor de pared 0.337. </t>
  </si>
  <si>
    <t>3.45.</t>
  </si>
  <si>
    <t xml:space="preserve">Codo radio corto de acero al carbón de 8"Ø, 45° grados para tubo de acero al carbón de 8"Ø, estándar, cédula 40, espesor de pared 0.322. </t>
  </si>
  <si>
    <t>3.46.</t>
  </si>
  <si>
    <t xml:space="preserve">Codo R.L. de acero al carbón de 12"Ø, 45° grados para tubo de acero al carbón de 12"Ø, cédula 40, espesor de pared 0.406. </t>
  </si>
  <si>
    <t>3.47.</t>
  </si>
  <si>
    <t>3.48.</t>
  </si>
  <si>
    <t>3.49.</t>
  </si>
  <si>
    <t>3.50.</t>
  </si>
  <si>
    <t>SUMINISTRO E INSTALACIÓN COSTA FUERA DE CODO RADIO LARGO DE ACERO AL CARBÓN ASTM-A 234 GR. WPB SIN COSTURA EXTREMOS BISELADOS DEBE CUMPLIR CON EL ESTANDAR NACE MR0175.</t>
  </si>
  <si>
    <t>3.51.</t>
  </si>
  <si>
    <t xml:space="preserve">Codo R.L. de acero al carbón de 2"Ø, 90° grados para tubo de acero al carbón de 2"Ø, estándar, cédula 40, espesor de pared 0.154. </t>
  </si>
  <si>
    <t>3.52.</t>
  </si>
  <si>
    <t>3.53.</t>
  </si>
  <si>
    <t>3.54.</t>
  </si>
  <si>
    <t>3.55.</t>
  </si>
  <si>
    <t>3.56.</t>
  </si>
  <si>
    <t>3.57.</t>
  </si>
  <si>
    <t>3.58.</t>
  </si>
  <si>
    <t>3.59.</t>
  </si>
  <si>
    <t>SUMINISTRO E INSTALACIÓN DE BRIDA, EXTREMOS CAJA PARA SOLDAR (SW) ACERO AL CARBÓN ASTM-A105</t>
  </si>
  <si>
    <t>3.60.</t>
  </si>
  <si>
    <t xml:space="preserve">SUMINISTRO E INSTALACIÓN DE BRIDA DE ACERO AL CARBONO FORJADO, ASTM A105 CAJA SOLDABLE ASME B16.5 CLASE 150# CARA REALZADA (R.F.) BRIDA DE 1" Ø </t>
  </si>
  <si>
    <t>3.61.</t>
  </si>
  <si>
    <t xml:space="preserve">SUMINISTRO E INSTALACIÓN DE BRIDA DE ACERO AL CARBONO FORJADO, ASTM A105 CAJA SOLDABLE ASME B16.5 CLASE 150# CARA REALZADA (R.F.) BRIDA DE 1½" Ø </t>
  </si>
  <si>
    <t>3.62.</t>
  </si>
  <si>
    <t xml:space="preserve">SUMINISTRO E INSTALACIÓN DE BRIDA DE ACERO AL CARBONO FORJADO, ASTM A105 CAJA SOLDABLE ASME B16.5 CLASE 150# CARA REALZADA (R.F.) BRIDA DE 2" Ø </t>
  </si>
  <si>
    <t>SUMINISTRO, HABILITACION E INSTALACION DE BRIDAS ACERO AL CARBÓN ASTM A-105 CUELLO SOLDABLE</t>
  </si>
  <si>
    <t>3.63.</t>
  </si>
  <si>
    <t>BRIDA DE 3"Ø BORE 3.068" CED STD 150#</t>
  </si>
  <si>
    <t>3.64.</t>
  </si>
  <si>
    <t>BRIDA DE 3"Ø CED 80 150#</t>
  </si>
  <si>
    <t>3.65.</t>
  </si>
  <si>
    <t>BRIDA DE 4"Ø BORE 4.026" CED STD 150#</t>
  </si>
  <si>
    <t>3.66.</t>
  </si>
  <si>
    <t>BRIDA DE 4" Ø CED 80 150#</t>
  </si>
  <si>
    <t>3.67.</t>
  </si>
  <si>
    <t>BRIDA DE 6"Ø BORE 6.065" CED STD 150#</t>
  </si>
  <si>
    <t>3.68.</t>
  </si>
  <si>
    <t>BRIDA DE 6"Ø  CED 80 150#</t>
  </si>
  <si>
    <t>3.69.</t>
  </si>
  <si>
    <t>BRIDA DE 6"Ø BORE 6.065" 300#</t>
  </si>
  <si>
    <t>3.70.</t>
  </si>
  <si>
    <t>BRIDA DE 8"Ø BORE 7.981" CED STD 150#</t>
  </si>
  <si>
    <t>3.71.</t>
  </si>
  <si>
    <t>BRIDA DE 8"Ø CED 80 150#</t>
  </si>
  <si>
    <t>3.72.</t>
  </si>
  <si>
    <t>BRIDA DE 10"Ø BORE 10.020" CED STD 150#</t>
  </si>
  <si>
    <t>3.73.</t>
  </si>
  <si>
    <t>BRIDA DE 10"Ø CED 80 150#</t>
  </si>
  <si>
    <t>3.74.</t>
  </si>
  <si>
    <t>BRIDA DE 12"Ø BORE 12.25" CED STD 150#</t>
  </si>
  <si>
    <t xml:space="preserve">SUMINISTRO, E INSTALACION DE TE RECTA DE ACERO AL CARBON ASTM A 234 Gr. WPB, SIN COSTURA EXTREMOS BISELADOS (DEBE CUMPLIR CON EL ESTANDAR NACE-MR0175, ULTIMA EDICION) </t>
  </si>
  <si>
    <t>3.75.</t>
  </si>
  <si>
    <t>3.76.</t>
  </si>
  <si>
    <t>3.77.</t>
  </si>
  <si>
    <t>3.78.</t>
  </si>
  <si>
    <t>3.79.</t>
  </si>
  <si>
    <t>Te de acero al carbón de 10"Ø, estándar, cédula 40, espesor de pared 0.365</t>
  </si>
  <si>
    <t>SUMINISTRO E INSTALACIÓN DE TEE REDUCIDA DE ACERO AL CARBONO ASTM A234 GR. WPB SIN COSTURA ASME B16.9 EXTREMOS BISELADOS</t>
  </si>
  <si>
    <t>3.80.</t>
  </si>
  <si>
    <t>Te reducción de acero al carbón de 8"Ø, x 8"Ø, XS, cédula 80, espesor de pared 0.500 x 4"Ø, estándar, cédula 40, espesor de pared 0.237</t>
  </si>
  <si>
    <t>3.81.</t>
  </si>
  <si>
    <t>Te reducción de acero al carbón de 8"Ø, x 8"Ø, XS, cédula 80, espesor de pared 0.500 x 4"Ø, XS, cédula 80, espesor de pared 0.337</t>
  </si>
  <si>
    <t>3.82.</t>
  </si>
  <si>
    <t>Te reducción de acero al carbón de 8"Ø, x 8"Ø, estándar, cédula 40, espesor de pared 0.322 x 6"Ø, estándar, cédula 40, espesor de pared 0.280</t>
  </si>
  <si>
    <t>3.83.</t>
  </si>
  <si>
    <t>SUMINISTRO E INSTALACION DE REDUCCION CONCENTRICA DE ACERO AL CARBON ASTM-A234 GR. WPB EXTREMOS BISELADOS  (DEBE CUMPLIR CON EL ESTANDAR NACE MR0175)</t>
  </si>
  <si>
    <t>3.84.</t>
  </si>
  <si>
    <t>Reducción Concéntrica de acero al carbón de 3"Ø, XS, cédula 80, espesor de pared 0.300 x 2"Ø, XS, cédula 80, espesor de pared 0.218</t>
  </si>
  <si>
    <t>3.85.</t>
  </si>
  <si>
    <t>Reducción Concéntrica de acero al carbón de 4"Ø, estándar, cédula 40, espesor de pared 0.237 x 3"Ø, estándar, cédula 40, espesor de pared 0.216</t>
  </si>
  <si>
    <t>3.86.</t>
  </si>
  <si>
    <t>Reducción Concéntrica de acero al carbón de 4"Ø, XS, cédula 80, espesor de pared 0.337 x 3"Ø, XS, cédula 80, espesor de pared 0.300</t>
  </si>
  <si>
    <t>3.87.</t>
  </si>
  <si>
    <t>Reducción Concéntrica de acero al carbón de 6"Ø, XS, cédula 80, espesor de pared 0.432 x 3½"Ø, XS, cédula 80, espesor de pared 0.318</t>
  </si>
  <si>
    <t>3.88.</t>
  </si>
  <si>
    <t>3.89.</t>
  </si>
  <si>
    <t>3.90.</t>
  </si>
  <si>
    <t>Reducción Concéntrica de acero al carbón de 8"Ø, XS, cédula 80, espesor de pared 0.500 x 6"Ø, estándar, cédula 40, espesor de pared 0.280</t>
  </si>
  <si>
    <t>3.91.</t>
  </si>
  <si>
    <t>Reducción Concéntrica de acero al carbón de 10"Ø, cédula 80, espesor de pared 0.594 x 4"Ø, XS, cédula 80, espesor de pared 0.337</t>
  </si>
  <si>
    <t xml:space="preserve">SUMINISTRO E INSTALACION DE REDUCCION CONCENTRICA DE ACERO AL CARBON ASTM A-536, Gr. 65-45-12 </t>
  </si>
  <si>
    <t>3.92.</t>
  </si>
  <si>
    <t>SUMINISTRO, CARGA, ACARREO E INSTALACIÓN COSTA FUERA DE REDUCCIÓN CONCENTRICA ACERO AL CARBON ASTM A-536, Gr. 65-45-12 VICTAULIC UN EXTREMO  RANURADO POR OTRO EXTREMO BISELADO  DE 5"x4" DE DIAMETRO</t>
  </si>
  <si>
    <t>SUMINISTRO E INSTALACION DE CONEXION COPLE ASTM-A105 CAJA SOLDABLE</t>
  </si>
  <si>
    <t>3.93.</t>
  </si>
  <si>
    <t>SUMINISTRO E INSTALACION DE CONEXION COPLE 3000# ASTM-A105 CAJA SOLDABLE DE 1"DIAM.</t>
  </si>
  <si>
    <t>3.94.</t>
  </si>
  <si>
    <t>SUMINISTRO E INSTALACIÓN COSTA FUERA DE COPLE REDUCTOR CAJA SOLDAR DE ACERO AL CARBON ASTM A 105, CLASE 3000, DIÁMETRO 1 X ½".</t>
  </si>
  <si>
    <t>SUMINISTRO E INSTALACION DE WELDOLET DE ACERO AL CARBON ASTM A105, EXTREMOS BISELADOS.</t>
  </si>
  <si>
    <t>3.95.</t>
  </si>
  <si>
    <t>Weldolet reducción de acero al carbón de 8”Ø x 4”Ø, XS</t>
  </si>
  <si>
    <t>3.96.</t>
  </si>
  <si>
    <t>SUMINISTRO  E  INSTALACION  COSTA  FUERA DE WELDOLET EN ACERO ALCARBON, ESPECIFICACION ASTM A-105, EXTREMOS BISELADOS, DE A CUERDO AL ASME B16.11 DE 10" - 6" X 4" DE DIAMETRO EN CEDULA 80.</t>
  </si>
  <si>
    <t>SUMINISTRO E INSTALACION DE SOCKOLET DE ACERO AL CARBON FORJADO ASTM A 105, SIN COSTURA  (DEBE CUMPLIR CON EL ESTANDAR NACE-MR0175 / ISO 15156, ULTIMA EDICION)</t>
  </si>
  <si>
    <t>3.97.</t>
  </si>
  <si>
    <t>Sockolet de acero al carbón de 36"Ø a 14”Ø x ¾”Ø, clase 3,000#</t>
  </si>
  <si>
    <t>SUMINISTRO E INSTALACION DE THREADOLET DE ACERO AL CARBON ASTM A 105, MSS SP-97, EXTREMOS BISELADO/ROSCADO.</t>
  </si>
  <si>
    <t>3.98.</t>
  </si>
  <si>
    <t>SUMINISTRO E INSTALACIÓN COSTA FUERA DE THREDOLET DE ACERO AL CARBON FORJADO, ASTM A105, CLASE 3000#, EXTREMOS BISELADO/ROSCADO DE 36"- 1½" x ¾" DIAMETRO</t>
  </si>
  <si>
    <t>SUMINISTRO E INSTALACION DE NIPLE EN ACERO AL CARBÓN, ASTM A-106 GR. B ASME  B36.10 M, SIN COSTURA, EXTREMOS PLANOS.</t>
  </si>
  <si>
    <t>3.99.</t>
  </si>
  <si>
    <t>DE ¾" Ø X 3½" DE LONGITUD, CED. 160 EXT. PLANOS</t>
  </si>
  <si>
    <t>3.100.</t>
  </si>
  <si>
    <t>DE ¾" Ø X 4" DE LONGITUD, CED. 80, EXTREMOS PLANOS</t>
  </si>
  <si>
    <t>3.101.</t>
  </si>
  <si>
    <t>DE ¾" Ø X 4" DE LONGITUD, CED. 160, EXTREMOS PLANOS</t>
  </si>
  <si>
    <t>SUMINISTRO E INSTALACIÓN DE NIPLE DE ACERO AL CARBONO, ASTM A106 GR. B ASME B36.10M EXTREMOS PLANO/ROSCADO</t>
  </si>
  <si>
    <t>3.102.</t>
  </si>
  <si>
    <t>DE ¾" Ø X 3½" DE LONGITUD, CED. 160 EXT. PLANO/ROSCADO</t>
  </si>
  <si>
    <t>3.103.</t>
  </si>
  <si>
    <t>DE ¾" Ø X 4" DE LONGITUD, CED. 80, EXTREMOS PLANO/ROSCADO</t>
  </si>
  <si>
    <t>3.104.</t>
  </si>
  <si>
    <t>DE ¾" Ø X 4" DE LONGITUD, CED. 160, EXTREMOS PLANO/ROSCADO</t>
  </si>
  <si>
    <t>3.105.</t>
  </si>
  <si>
    <t>SUMINISTRO E INSTALACIÓN DE NIPLE DE 1" DE DIAMETRO X 3.5" DE LONGITUD, UN  EXTREMO PLANO OTRO ROSCADO ESPECIFICACIÓN ASTM A-106 GR.B</t>
  </si>
  <si>
    <t>SUMINISTRO E INSTALACION DE NIPOLET DE ACERO AL CARBONO FORJADO, ASTM A105, ASME B31.3</t>
  </si>
  <si>
    <t>3.106.</t>
  </si>
  <si>
    <t>Nipolet de acero al carbón de 2”Ø x ¾”Ø, 4" DE LONG., CLASE 3000#</t>
  </si>
  <si>
    <t xml:space="preserve">SUMINISTRO E INSTALACION DE TUERCA UNION SOCK-WELD ASTM A-105 </t>
  </si>
  <si>
    <t>3.107.</t>
  </si>
  <si>
    <t>SUMINISTRO E INSTALACION DE TUERCA UNION SOCK-WELD ASTM A-105 3000# ACERO AL CARBON DE ¾" DE DIAMETRO</t>
  </si>
  <si>
    <t xml:space="preserve">SUMINISTRO E INSTALACION DE INSERTO REDUCTOR EXT. SOCKET WELD </t>
  </si>
  <si>
    <t>3.108.</t>
  </si>
  <si>
    <t>DE 1" A ¾" Ø CLASE 3000#</t>
  </si>
  <si>
    <t>SUMINISTRO E INSTALACION COSTA FUERA DE VALVULA DE BOLA, EXTREMOS CAJA PARA SOLDAR</t>
  </si>
  <si>
    <t>3.109.</t>
  </si>
  <si>
    <t>SUMINISTRO E INSTALACION COSTA FUERA DE VALVULA DE BOLA DE 2", CLASE 600, CAJA SOLDAR, CUERPO ASTM A105, DE 1 PIEZA, PASO COMPLETO, BOLA Y VASTAGO DE ACERO INOXIDABLE UNS S31600, SELLOS Y ASIENTOS DE RPTFE, BOLA FLOTANTE, DISEÑO A PRIEBA DE FUEGO API STD 607/ISO10497. ISO 17292 O API STD 608</t>
  </si>
  <si>
    <t>3.110.</t>
  </si>
  <si>
    <t>SUMINISTRO, CARGA, ACARREO E INSTALACIÓN COSTA FUERA DE VALVULA ESFERICA EXTREMOS CAJA SOLDADBLE, CLASE 1500 WOG, CUERPO ASTM A-105, DE 2" DE DIAMETRO, PASO COMPLETO, BOLA Y VASTAGO DE ACERO INOXIDABLE 316, ASIENTO DE TEFLON REFORZADO, OPERADA CON PALANCA.</t>
  </si>
  <si>
    <t>SUMINISTRO, E INSTALACION DE VALVULA DE COMPUERTA CAJA SOLDAR</t>
  </si>
  <si>
    <t>3.111.</t>
  </si>
  <si>
    <t>SUMINISTRO, E INSTALACIÓN DE VÁLVULA DE COMPUERTA CAJA SOLDAR, CLASE 800 API, CUERPO ACERO AL CARBÓN ASTM-A-105, DISCO SOLIDO TIPO CUÑA, INTERIORES ACERO INOXIDABLE 316 13% CROMO, VÁSTAGO, DISCO Y ANILLO DE ASIENTO RECUBIERTO DE ESTELITA, ASIENTOS RECAMBIABLES, VÁSTAGO SALIENTE, TORNILLO EXTERIOR Y YUGO; OPERADA CON VOLANTE; BONETE ATORNILLADO ESTA PARTIDA DEBE CUMPLIR CON EL ESTÁNDAR NACE MR-01-75 ULTIMA EDICIÓN, DIÁMETRO ¾".</t>
  </si>
  <si>
    <t>3.112.</t>
  </si>
  <si>
    <t>SUMINISTRO, E INSTALACIÓN DE VÁLVULA DE COMPUERTA BONETE BRIDADO, CLASE 800 API, TRIM-8, CUERPO ACERO AL CARBÓN ASTM-A-105, CAJA SOLDAR, OPERADA CON VOLANTE; BONETE ATORNILLADO CUMPLE CON NACE MR-01-75 ULTIMA EDICIÓN, DIÁMETRO ¾".</t>
  </si>
  <si>
    <t>3.113.</t>
  </si>
  <si>
    <t>SUMINISTRO  E  INSTALACIÓN  COSTA  FUERA  DE  VALVULA DE COMPUERTA CUERPO DE 1" DE DIAMETRO, 800# DE CAJA SOLDABLE CUERPO ASTM A105, TRIM 1, TORNILLO EXTERIOR Y YUGO BONETE ATORNILLADO, CUÑA SOLIDA, ASIENTOS RECAMBIABLES OPERADA CON VOLANTE ISO 15761.</t>
  </si>
  <si>
    <t>3.114.</t>
  </si>
  <si>
    <t>SUMINISTRO E INSTALACIÓN COSTA FUERA DE VÁLVULA DE COMPUERTA CAJA SOLDABLE, CLASE 800# API STD 602, ASTM A-105, INTERIORES DE AC. INOX. UNS S41000, TORNILLO EXTERIOR Y YUGO, BONETE ATORNILLADO, DISCO TIPO CUÑA SOLIDA, ASIENTOS INTERCAMBIABLES, OPERADA CON VOLANTE DE 2"Ø</t>
  </si>
  <si>
    <t xml:space="preserve">SUMINISTRO E INSTALACION DE CODO DE ACERO AL CARBON FORJADO ASTM-105 EXTREMOS ROSCADOS, (DEBE CUMPLIR CON EL ESTANDAR NACE-MR0175 / ISO 15156, ULTIMA EDICION) </t>
  </si>
  <si>
    <t>3.115.</t>
  </si>
  <si>
    <t xml:space="preserve">SUMINISTRO E INSTALACION DE COPLE DE ACERO AL CARBON ASTM-A105 EXTREMOS ROSCADOS (DEBE CUMPLIR CON EL ESTANDAR NACE-MR0175 / ISO 15156, ULTIMA EDICION). </t>
  </si>
  <si>
    <t>3.116.</t>
  </si>
  <si>
    <t xml:space="preserve">SUMINISTRO E INSTALACION DE COPLE DE ACERO AL CARBON ASTM-A105 DE CON ROSCA INTERIOR EN AMBOS EXTREMOS) DE ¾" Ø CLASE 3000# </t>
  </si>
  <si>
    <t>3.117.</t>
  </si>
  <si>
    <t>SUMINISTRO E INSTALACION DE COPLE ROSCADO DE AVCERO AL CARBON ASTM A 105 GALVANIZADO. DE 2" Ø,  CLASE 3000#</t>
  </si>
  <si>
    <t>SUMINISTRO E INSTALACION DE NIPLE DE ACERO AL CARBON GALVANIZADO ASTM A 53 GR. B TIPO "S" ASME B36.10M XTREMOS ROSCADOS.</t>
  </si>
  <si>
    <t>3.118.</t>
  </si>
  <si>
    <t>DE ¾" Ø X 4" DE LONGITUD, CED.80 EXTREMOS ROSCADOS</t>
  </si>
  <si>
    <t>SUMINISTRO E INSTALACION DE TAPÓN CACHUCHA ROSCADO DE ACERO AL CARBÓN ASTM A105 ASME B16.11</t>
  </si>
  <si>
    <t>3.119.</t>
  </si>
  <si>
    <t>3.120.</t>
  </si>
  <si>
    <t>3.121.</t>
  </si>
  <si>
    <t>3.122.</t>
  </si>
  <si>
    <t>Tapon cachucha de acero al carbón roscado de 2"Ø, 3000#</t>
  </si>
  <si>
    <t>SUMINISTRO E INSTALACION DE TAPÓN DE BARRA SOLIDA DE ACERO AL CARBONO FORJADO, ASTM A 105, ASME B16.11 ROSCADO</t>
  </si>
  <si>
    <t>3.123.</t>
  </si>
  <si>
    <t>Tapón Macho de acero al carbón Roscado de 2"Ø, 3000#, Galvanizado</t>
  </si>
  <si>
    <t>SUMINISTRO E INSTALACIÓN DE BRIDA CIEGA  ACERO AL CARBONO ASTM A105, ASME B16.5., INCLUYE: EMPAQUE Y ESPARRAGOS.</t>
  </si>
  <si>
    <t>3.124.</t>
  </si>
  <si>
    <t xml:space="preserve">ESPECIFICACIONES (ÍDEM.) AL ANTERIOR PERO DE 1" 150 LIBRAS  </t>
  </si>
  <si>
    <t>3.125.</t>
  </si>
  <si>
    <t>ESPECIFICACIONES (ÍDEM.) AL ANTERIOR PERO DE 2" 150 LIBRAS</t>
  </si>
  <si>
    <t>3.126.</t>
  </si>
  <si>
    <t>ESPECIFICACIONES (ÍDEM.) AL ANTERIOR PERO DE 4" 150 LIBRAS</t>
  </si>
  <si>
    <t>3.127.</t>
  </si>
  <si>
    <t>ESPECIFICACIONES (ÍDEM.) AL ANTERIOR PERO DE 6" 150 LIBRAS</t>
  </si>
  <si>
    <t>3.128.</t>
  </si>
  <si>
    <t>3.129.</t>
  </si>
  <si>
    <t>3.130.</t>
  </si>
  <si>
    <t xml:space="preserve">ESPECIFICACIONES (ÍDEM.) AL ANTERIOR PERO DE 12" 150 LIBRAS </t>
  </si>
  <si>
    <t>3.131.</t>
  </si>
  <si>
    <t xml:space="preserve">ESPECIFICACIONES (ÍDEM.) AL ANTERIOR PERO DE 16" 150 LIBRAS </t>
  </si>
  <si>
    <t>3.132.</t>
  </si>
  <si>
    <t xml:space="preserve">ESPECIFICACIONES (ÍDEM.) AL ANTERIOR PERO DE 24" 150 LIBRAS </t>
  </si>
  <si>
    <t>3.133.</t>
  </si>
  <si>
    <t>ESPECIFICACIONES (ÍDEM.) AL ANTERIOR PERO DE 6" 300 LIBRAS</t>
  </si>
  <si>
    <t>3.134.</t>
  </si>
  <si>
    <t xml:space="preserve">ESPECIFICACIONES (ÍDEM.) AL ANTERIOR PERO DE 16" 600 LIBRAS  </t>
  </si>
  <si>
    <t>3.135.</t>
  </si>
  <si>
    <t>ESPECIFICACIONES (ÍDEM.) AL ANTERIOR PERO DE 20" 600 LIBRAS</t>
  </si>
  <si>
    <t>3.136.</t>
  </si>
  <si>
    <t>ESPECIFICACIONES (ÍDEM.) AL ANTERIOR PERO DE 24" 600 LIBRAS</t>
  </si>
  <si>
    <t>3.137.</t>
  </si>
  <si>
    <t xml:space="preserve">ESPECIFICACIONES (ÍDEM.) AL ANTERIOR PERO DE 6" 900 LIBRAS  </t>
  </si>
  <si>
    <t>SUMINISTRO E INSTALACIÓN DE EMPAQUES SEMIMETÁLICOS CARA REALZADA DE CINTA DE ACERO INOXIDABLE 316 ENROLLADA EN ESPIRAL SOBRE GRAFITO PURO FLEXIBLE DE ⅛" ESP. DIMENSIONES ANSI-B16.5</t>
  </si>
  <si>
    <t>3.138.</t>
  </si>
  <si>
    <t>EMPAQUE DE 1" CLASE 150</t>
  </si>
  <si>
    <t>3.139.</t>
  </si>
  <si>
    <t>EMPAQUE DE 2" CLASE 150</t>
  </si>
  <si>
    <t>3.140.</t>
  </si>
  <si>
    <t>EMPAQUE DE 4" CLASE 150</t>
  </si>
  <si>
    <t>3.141.</t>
  </si>
  <si>
    <t>EMPAQUE DE 6" CLASE 150</t>
  </si>
  <si>
    <t>3.142.</t>
  </si>
  <si>
    <t>3.143.</t>
  </si>
  <si>
    <t>3.144.</t>
  </si>
  <si>
    <t>EMPAQUE DE 30" CLASE 150</t>
  </si>
  <si>
    <t>3.145.</t>
  </si>
  <si>
    <t>EMPAQUE DE 20" CLASE 300</t>
  </si>
  <si>
    <t>3.146.</t>
  </si>
  <si>
    <t>EMPAQUE DE 16" CLASE 600</t>
  </si>
  <si>
    <t>3.147.</t>
  </si>
  <si>
    <t>EMPAQUE DE 24" CLASE 600</t>
  </si>
  <si>
    <t>SUMINISTRO E INSTALACIÓN DE EMPAQUES DE GRAFITO PURO LAMINADO FLEXIBLE CON INSERTO DE LAMINA PERFORADA DE ACERO INOXIDALBE UNS S31600 DE 1.3 MM (0.005 PULG.) DE ESPESOR, UNIDA MECÁNICAMENTE, DE 1.6 MM (1/16") ESP. ASME B16.20, DE ACUERDO AL ESTÁNDAR NACE MR0175/ISO 15156-1 PARA BRIDA CARA REALZADA DIMENSIONES ANSI-B16.5</t>
  </si>
  <si>
    <t>3.148.</t>
  </si>
  <si>
    <t>EMPAQUE DE 3" CLASE 150</t>
  </si>
  <si>
    <t>3.149.</t>
  </si>
  <si>
    <t>3.150.</t>
  </si>
  <si>
    <t xml:space="preserve">SUMINISTRO  E  INSTALACIÓN  COSTA  FUERA  DE  EMPAQUE  ESPIROMETÁLICO,  CON  ANILLOS  METÁLICOS CENTRADOR (EXTERIOR) Y DE RESPALDO (INTERNO), RELLENO DE GRAFITO FLEXIBLE, ENROLLAMIENTO Y ANILLOS DE ACERO INOXIDABLE TIPO 304, ASME B16.20 PARA BRIDAS ASME 16.5 </t>
  </si>
  <si>
    <t>3.151.</t>
  </si>
  <si>
    <t xml:space="preserve">EMPAQUE DE ¾" CLASE 150 </t>
  </si>
  <si>
    <t>3.152.</t>
  </si>
  <si>
    <t xml:space="preserve">EMPAQUE DE 1½" CLASE 150 </t>
  </si>
  <si>
    <t>3.153.</t>
  </si>
  <si>
    <t xml:space="preserve">EMPAQUE DE 2" CLASE 150 </t>
  </si>
  <si>
    <t>3.154.</t>
  </si>
  <si>
    <t xml:space="preserve">EMPAQUE DE 3" CLASE 150 </t>
  </si>
  <si>
    <t>3.155.</t>
  </si>
  <si>
    <t xml:space="preserve">EMPAQUE DE 4" CLASE 150 </t>
  </si>
  <si>
    <t>3.156.</t>
  </si>
  <si>
    <t>3.157.</t>
  </si>
  <si>
    <t xml:space="preserve">EMPAQUE DE 6" CLASE 150 </t>
  </si>
  <si>
    <t>3.158.</t>
  </si>
  <si>
    <t xml:space="preserve">EMPAQUE DE 8" CLASE 150 </t>
  </si>
  <si>
    <t>3.159.</t>
  </si>
  <si>
    <t xml:space="preserve">EMPAQUE DE 10" CLASE 150 </t>
  </si>
  <si>
    <t>3.160.</t>
  </si>
  <si>
    <t>3.161.</t>
  </si>
  <si>
    <t>3.162.</t>
  </si>
  <si>
    <t xml:space="preserve">EMPAQUE DE 1½" CLASE 600 </t>
  </si>
  <si>
    <t>3.163.</t>
  </si>
  <si>
    <t xml:space="preserve">EMPAQUE DE 16" CLASE 600 </t>
  </si>
  <si>
    <t>3.164.</t>
  </si>
  <si>
    <t xml:space="preserve">EMPAQUE DE 20" CLASE 600 </t>
  </si>
  <si>
    <t>3.165.</t>
  </si>
  <si>
    <t xml:space="preserve">EMPAQUE DE 24" CLASE 600 </t>
  </si>
  <si>
    <t>3.166.</t>
  </si>
  <si>
    <t>SUMINISTRO E INSTALACIÓN COSTA FUERA DE EMPAQUE LAMINADO LIBRE DE ASBESTO TIPO GARLOCK DE ⅛" DE ESPESOR.</t>
  </si>
  <si>
    <t xml:space="preserve">SUMINISTRO E INSTALACION COSTA FUERA DE JUNTA AISLANTE </t>
  </si>
  <si>
    <t>3.167.</t>
  </si>
  <si>
    <t>SUMINISTRO E INSTALACION COSTA FUERA DE JUNTA AISLANTE (MICARTA) CUERPO DE AC. INOX. 316L ATRAPADO ENTRE 2 DISCO DE RESINA EPOXICA PERFORADA CON FIBRA DE VIDRIO, CONTIENE DOS SELLOS DE TEFLON AUTOENERGIZADOS (UNO A CADA LADO),INSERTOS (NO PEGADOS), EN LA RESINA EPÓXICA.  INCLUYE BUJES Y ARANDELAS AISLANTES DE NEMA G-10 Y ARANDELAS PROTECTORAS DE APRIETE, PARA BRIDAS 150# R.F. 1½" DIAMETRO</t>
  </si>
  <si>
    <t>3.168.</t>
  </si>
  <si>
    <t>SUMINISTRO E INSTALACION COSTA FUERA DE JUNTA AISLANTE (MICARTA) CUERPO DE AC. INOX. 316L ATRAPADO ENTRE 2 DISCO DE RESINA EPOXICA PERFORADA CON FIBRA DE VIDRIO, CONTIENE DOS SELLOS DE TEFLON AUTOENERGIZADOS (UNO A CADA LADO),INSERTOS (NO PEGADOS), EN LA RESINA EPÓXICA.  INCLUYE BUJES Y ARANDELAS AISLANTES DE NEMA G-10 Y ARANDELAS PROTECTORAS DE APRIETE, PARA BRIDAS 600# R.F. 1½" DIAMETRO</t>
  </si>
  <si>
    <t>SUMINISTRO E INSTALACIÓN DE ESPÁRRAGOS DE ACERO DE ALEACIÓN ASTM A 193, GR. B7 CON DOS TUERCAS HEXAGONALES CADA UNA DE ACERO DE ALEACIÓN ASTM 194, GR 2H AMBOS CADMINIZADOS CLASE 25 TIPO II, ASTM-B-766 PARA JUNTA BRIDADA</t>
  </si>
  <si>
    <t>3.169.</t>
  </si>
  <si>
    <t>ESPÁRRAGO DE ½"Ø X 2¾ LONG.</t>
  </si>
  <si>
    <t>3.170.</t>
  </si>
  <si>
    <t>ESPARRAGO DE ½"Ø x 3½" LONG.</t>
  </si>
  <si>
    <t>3.171.</t>
  </si>
  <si>
    <t>ESPÁRRAGO DE ⅝"Ø X 3¼ LONG.</t>
  </si>
  <si>
    <t>3.172.</t>
  </si>
  <si>
    <t>ESPÁRRAGO DE ⅝"Ø X 3½ LONG.</t>
  </si>
  <si>
    <t>3.173.</t>
  </si>
  <si>
    <t>ESPÁRRAGO DE ⅝"Ø X 3¾ LONG.</t>
  </si>
  <si>
    <t>3.174.</t>
  </si>
  <si>
    <t>ESPÁRRAGO DE ¾"Ø X 4 LONG.</t>
  </si>
  <si>
    <t>3.175.</t>
  </si>
  <si>
    <t>ESPÁRRAGO DE ¾"Ø x 4½" DE LONG.</t>
  </si>
  <si>
    <t>3.176.</t>
  </si>
  <si>
    <t>ESPÁRRAGO DE ¾"Ø X 5 LONG.</t>
  </si>
  <si>
    <t>3.177.</t>
  </si>
  <si>
    <t>ESPARRAGO DE ¾"Ø x 5½" LONG.</t>
  </si>
  <si>
    <t>3.178.</t>
  </si>
  <si>
    <t>ESPÁRRAGO DE ¾"Ø X 6" LONG.</t>
  </si>
  <si>
    <t>3.179.</t>
  </si>
  <si>
    <t>ESPARRAGO DE 1"Ø x 8" DE LONG.</t>
  </si>
  <si>
    <t>SUMINISTRO E INSTALACION DE ESPÁRRAGOS ASTM A193 GR. B7, CON 2 TUERCAS HEXAGONALES, ASTM A194 GR. 2H , ROSCAS ASME B1.1 CLASE 2A, CON RECUBRIMIENTO RESISTENTE A LA CORROSIÓN A BASE CADMIO (25 M DE ESPESOR, ASTM-B 766)</t>
  </si>
  <si>
    <t>3.180.</t>
  </si>
  <si>
    <t>ESPÁRRAGO DE ½"Ø X 3" LONG.</t>
  </si>
  <si>
    <t>3.181.</t>
  </si>
  <si>
    <t>ESPARRAGO DE ⅝"Ø X 3¾"LONG.</t>
  </si>
  <si>
    <t>3.182.</t>
  </si>
  <si>
    <t>ESPARRAGO DE ⅝"Ø X 4" DE LONG.</t>
  </si>
  <si>
    <t>3.183.</t>
  </si>
  <si>
    <t>ESPÁRRAGO DE ⅝"Ø X 4½ LONG.</t>
  </si>
  <si>
    <t>3.184.</t>
  </si>
  <si>
    <t>ESPÁRRAGO DE ⅝"Ø X 5" LONG.</t>
  </si>
  <si>
    <t>3.185.</t>
  </si>
  <si>
    <t>ESPARRAGO DE ⅝"Ø X 6" DE LONG.</t>
  </si>
  <si>
    <t>3.186.</t>
  </si>
  <si>
    <t>ESPARRAGO DE ¾"Ø X 4¼" LONG.</t>
  </si>
  <si>
    <t>3.187.</t>
  </si>
  <si>
    <t>ESPARRAGO DE ¾"Ø X 4½" DE LONG.</t>
  </si>
  <si>
    <t>3.188.</t>
  </si>
  <si>
    <t>ESPARRAGO DE ¾"Ø X 6½" DE LONG.</t>
  </si>
  <si>
    <t>3.189.</t>
  </si>
  <si>
    <t>ESPARRAGO DE ⅞"Ø X 4¾" LONG.</t>
  </si>
  <si>
    <t>3.190.</t>
  </si>
  <si>
    <t xml:space="preserve">ESPARRAGO DE ⅞"Ø X 5" DE LONG. </t>
  </si>
  <si>
    <t>3.191.</t>
  </si>
  <si>
    <t>ESPARRAGO DE ⅞"Ø x 5¼" DE LONG.</t>
  </si>
  <si>
    <t>3.192.</t>
  </si>
  <si>
    <t>ESPARRAGO DE ⅞"Ø x 8½" LONG.</t>
  </si>
  <si>
    <t>3.193.</t>
  </si>
  <si>
    <t>ESPARRAGO DE 1¼"Ø x 8¼" DE LONG.</t>
  </si>
  <si>
    <t>3.194.</t>
  </si>
  <si>
    <t>ESPARRAGO DE 1¼"Ø X 8½" LONG.</t>
  </si>
  <si>
    <t>3.195.</t>
  </si>
  <si>
    <t>ESPARRAGO DE 1¼"Ø x 9½" DE LONG.</t>
  </si>
  <si>
    <t>3.196.</t>
  </si>
  <si>
    <t>ESPARRAGO DE 1¼"Ø x 10" DE LONG.</t>
  </si>
  <si>
    <t>3.197.</t>
  </si>
  <si>
    <t>ESPARRAGO DE 1¼"Ø x 11" DE LONG.</t>
  </si>
  <si>
    <t>3.198.</t>
  </si>
  <si>
    <t>ESPÁRRAGO DE 1½"Ø X10"LONG.</t>
  </si>
  <si>
    <t>3.199.</t>
  </si>
  <si>
    <t>ESPÁRRAGO DE 1½"Ø  X 10½" LONG.</t>
  </si>
  <si>
    <t>3.200.</t>
  </si>
  <si>
    <t>ESPARRAGO DE 1½"Ø X 19½" LONG.</t>
  </si>
  <si>
    <t>3.201.</t>
  </si>
  <si>
    <t>ESPARRAGO DE ⅜"Ø  X 10 ¼" LONG.</t>
  </si>
  <si>
    <t>3.202.</t>
  </si>
  <si>
    <t>ESPÁRRAGO DE 1⅞"Ø X 13" LONG.</t>
  </si>
  <si>
    <t>3.203.</t>
  </si>
  <si>
    <t>ESPARRAGO DE 2"Ø X 10" DE LONG.</t>
  </si>
  <si>
    <t>3.204.</t>
  </si>
  <si>
    <t>ESPARRAGO DE 2"Ø X 17½" LONG.</t>
  </si>
  <si>
    <t>3.205.</t>
  </si>
  <si>
    <t>ESPARRAGO DE 2"Ø X 22¾" LONG.</t>
  </si>
  <si>
    <t>3.206.</t>
  </si>
  <si>
    <t>ESPARRAGO DE 2 ¼"Ø X 39" LONG.</t>
  </si>
  <si>
    <t xml:space="preserve">SUMINISTRO E INSTALACIÓN DE ESPÁRRAGOS CADMINIZADOS ESPECIFICACIÓN A193M GRB7 Y TUERCAS HEXAGONALES GR2HM, CADMINIZADO ASTM-B-766 CLASE 8 TIPO II, PARA JUNTA BRIDADA </t>
  </si>
  <si>
    <t>3.207.</t>
  </si>
  <si>
    <t>3.208.</t>
  </si>
  <si>
    <t>3.209.</t>
  </si>
  <si>
    <t>3.210.</t>
  </si>
  <si>
    <t>3.211.</t>
  </si>
  <si>
    <t>ESPÁRRAGO DE ¾"Ø X 5 ¼ LONG.</t>
  </si>
  <si>
    <t>3.212.</t>
  </si>
  <si>
    <t>3.213.</t>
  </si>
  <si>
    <t>3.214.</t>
  </si>
  <si>
    <t>3.215.</t>
  </si>
  <si>
    <t>ESPÁRRAGO DE ¾"Ø X 5¾ LONG.</t>
  </si>
  <si>
    <t>3.216.</t>
  </si>
  <si>
    <t>ESPÁRRAGO DE ¾"Ø X 4 ¼ LONG.</t>
  </si>
  <si>
    <t>3.217.</t>
  </si>
  <si>
    <t>ESPÁRRAGO DE ¾"Ø X 4½ LONG.</t>
  </si>
  <si>
    <t>3.218.</t>
  </si>
  <si>
    <t>ESPÁRRAGO DE ⅞"Ø X 4¾ LONG.</t>
  </si>
  <si>
    <t>3.219.</t>
  </si>
  <si>
    <t>ESPÁRRAGO DE 1⅛"Ø X 7 LONG</t>
  </si>
  <si>
    <t>3.220.</t>
  </si>
  <si>
    <t>ESPÁRRAGO DE ⅞"Ø X 5 LONG.</t>
  </si>
  <si>
    <t>3.221.</t>
  </si>
  <si>
    <t>ESPÁRRAGO DE 1½"Ø X 10 ¼ LONG.</t>
  </si>
  <si>
    <t>3.222.</t>
  </si>
  <si>
    <t>ESPÁRRAGO DE 1"Ø X 5½ LONG</t>
  </si>
  <si>
    <t>3.223.</t>
  </si>
  <si>
    <t>ESPÁRRAGO DE 1 ⅝"Ø X 11½ LONG</t>
  </si>
  <si>
    <t>3.224.</t>
  </si>
  <si>
    <t>3.225.</t>
  </si>
  <si>
    <t>SUMINISTRO E INSTALACION DE TORNILLO DE CABEZA HEXAGONAL, DE AC. INOXIDABLE</t>
  </si>
  <si>
    <t>3.226.</t>
  </si>
  <si>
    <t>SUMINISTRO E INSTALACIÓN DE TORNILLO CABEZA HEXAGONAL DE ¼" DE DIAMETRO x 2½" LONGITUD DE ACERO INOXIDABLE CONTUERCA Y ARANDELA PLANA Y DE PRESION</t>
  </si>
  <si>
    <t>3.227.</t>
  </si>
  <si>
    <t>SUMINISTRO E INSTALACIÓN COSTA FUERA DE TORNILLO HEXAGONAL DE ACERO INOX. 304 DE ⅜" DE DIAM. CUERDA ESTANDAR DE 1" (25.4 mm) DE LONG.  INCLUYE TUERCA PLANA Y DE PRESIÓN</t>
  </si>
  <si>
    <t>3.228.</t>
  </si>
  <si>
    <t>SUMINISTRO E INSTALACION COSTA FUERA DE TORNILLO DE ACERO INOXIDABLE 316, DE ½" DE DIAMETRO  x 1½" DE LONGITUD, CON TUERCAS Y ARANDELAS DE PRESIÓN.</t>
  </si>
  <si>
    <t>3.229.</t>
  </si>
  <si>
    <t>SUMINISTRO E INSTALACION COSTA FUERA DE TORNILLO DE CABEZA HEXAGONAL DE ALTA RESISTENCIA ASTM A-325 DE 15.9 mm DE DIAMETRO x 89 mm DE LONGITUD (⅝"  x 3.5" LONGITUD) CON UNA ARANDELA DE PRESION, UNA ARANDELA PLANA F-436 Y TUERCA HEXAGONAL ASTM A 194 GR. 2H.</t>
  </si>
  <si>
    <t>3.230.</t>
  </si>
  <si>
    <t>SUMINISTRO E INSTALACION COSTA FUERA DE TORNILLO DE CABEZA HEXAGONAL DE ALTA RESISTENCIA ASTM A-325 DE 15.9 mm DE DIAMETRO x 102 mm DE LONGITUD (⅝"   x 4" LONG.) CON UNA ARANDELA DE PRESION, UNA ARANDELA PLANA F-436 Y TUERCA HEXAGONAL ASTM A 194 GR. 2H.</t>
  </si>
  <si>
    <t xml:space="preserve">SUMINISTRO, HABILITACION E INSTALACION DE TUBULARES METÁLICOS ESTRUCTURALES DE ACERO AL CARBÓN ASTM A-53, INCLUYE: ACARREO, CARGA DESCARGA, MANIOBRAS. </t>
  </si>
  <si>
    <t>3.231.</t>
  </si>
  <si>
    <t>3.232.</t>
  </si>
  <si>
    <t>3.233.</t>
  </si>
  <si>
    <t>3.234.</t>
  </si>
  <si>
    <t>3.235.</t>
  </si>
  <si>
    <t>3.236.</t>
  </si>
  <si>
    <t>3.237.</t>
  </si>
  <si>
    <t>TUBO CIRCULAR (OC) 114 mm x 8.56 mm (4.5 in. x 0.337 in.) 22.32 kg/m</t>
  </si>
  <si>
    <t>3.238.</t>
  </si>
  <si>
    <t>TUBO CIRCULAR (OC) 141 mm x 6.55 mm (5.56 in. x 0.258 in.) 21.77 kg/m</t>
  </si>
  <si>
    <t>3.239.</t>
  </si>
  <si>
    <t>3.240.</t>
  </si>
  <si>
    <t>3.241.</t>
  </si>
  <si>
    <t>3.242.</t>
  </si>
  <si>
    <t>3.243.</t>
  </si>
  <si>
    <t>3.244.</t>
  </si>
  <si>
    <t>3.245.</t>
  </si>
  <si>
    <t>3.246.</t>
  </si>
  <si>
    <t>3.247.</t>
  </si>
  <si>
    <t>3.248.</t>
  </si>
  <si>
    <t>TUBO CIRCULAR (OC) 356 mm x 9.53 mm (14 in. x 0.375 in.) 81.33 kg/m</t>
  </si>
  <si>
    <t>3.249.</t>
  </si>
  <si>
    <t>TUBO CIRCULAR (OC) 356 mm x 11.13 mm (14 in. x 0.438 in.) 94.55 kg/m</t>
  </si>
  <si>
    <t>3.250.</t>
  </si>
  <si>
    <t>3.251.</t>
  </si>
  <si>
    <t>TUBO CIRCULAR (OC) 406 mm x 21.44 mm (16 in. x 0.844 in.) 203.54 kg/m</t>
  </si>
  <si>
    <t>3.252.</t>
  </si>
  <si>
    <t>3.253.</t>
  </si>
  <si>
    <t>TUBO CIRCULAR (OC) 508 mm x 12.7 mm (20 in. x 0.500 in.) 155.13 kg/m</t>
  </si>
  <si>
    <t xml:space="preserve">SUMINISTRO, HABILITACION E INSTALACION DE TUBULARES METÁLICOS ESTRUCTURALES DE ACERO AL CARBÓN API 5L, INCLUYE: ACARREO, CARGA DESCARGA, MANIOBRAS. </t>
  </si>
  <si>
    <t>3.254.</t>
  </si>
  <si>
    <t>3.255.</t>
  </si>
  <si>
    <t>TUBO CIRCULAR (OC) 219 mm x 9.5 mm (8 in. x 0.375 in.) 49.25 kg/m</t>
  </si>
  <si>
    <t>3.256.</t>
  </si>
  <si>
    <t>TUBO CIRCULAR (OC) 324 mm x 19.05 mm (12 in. x 0.750 in.) 143.19 kg/m</t>
  </si>
  <si>
    <t>3.257.</t>
  </si>
  <si>
    <t>TUBO CIRCULAR (OC) 406 mm x 30.96 mm (16 in. x 1.219 in.) 286.14 kg/m</t>
  </si>
  <si>
    <t>3.258.</t>
  </si>
  <si>
    <t>3.259.</t>
  </si>
  <si>
    <t>TUBO CIRCULAR (OC) 457 mm x 25.4 mm (18 in. x 1.0 in.) 270.36 kg/m</t>
  </si>
  <si>
    <t>3.260.</t>
  </si>
  <si>
    <t>TUBO CIRCULAR (OC) 508 mm x 19.05 mm (20 in. x 0.750 in.) 229.70 kg/m</t>
  </si>
  <si>
    <t>3.261.</t>
  </si>
  <si>
    <t>TUBO CIRCULAR (OC) 610 mm x 14.27 mm (24 in. x 0.562 in.) 209.65 kg/m</t>
  </si>
  <si>
    <t>3.262.</t>
  </si>
  <si>
    <t>3.263.</t>
  </si>
  <si>
    <t>3.264.</t>
  </si>
  <si>
    <t>3.265.</t>
  </si>
  <si>
    <t>3.266.</t>
  </si>
  <si>
    <t>3.267.</t>
  </si>
  <si>
    <t>3.268.</t>
  </si>
  <si>
    <t>SUMINISTRO E INSTALACIÓN DE ANGULO MULTIPERFORADO DE 1½" X 1½" X ⅛" ESPESOR ACERO GALVANIZADO PARA PROTECCIÓN Y FIJACIÓN DE TUBING</t>
  </si>
  <si>
    <t>3.269.</t>
  </si>
  <si>
    <t>SUMINISTRO E INSTALACIÓN DE ANGULO MULTIPERFORADO DE 2" X 2" X ⅛" ESPESOR ACERO GALVANIZADO PARA PROTECCIÓN Y FIJACIÓN DE TUBING</t>
  </si>
  <si>
    <t>SUMINISTRO, HABILITACION E INSTALACION DE VIGAS METÁLICOS (TIPO CE) ESTRUCTURALES DE ACERO AL CARBÓN ASTM A-36, INCLUYE: ACARREO, CARGA DESCARGA, MANIOBRAS</t>
  </si>
  <si>
    <t>3.270.</t>
  </si>
  <si>
    <t xml:space="preserve">PERFIL C ESTANDAR (CE) 76 MM x 6.10 kg/m (3 in. x 4.10 lb./ft.) </t>
  </si>
  <si>
    <t>3.271.</t>
  </si>
  <si>
    <t>3.272.</t>
  </si>
  <si>
    <t>3.273.</t>
  </si>
  <si>
    <t>SUMINISTRO, HABILITACION E INSTALACION DE PLACA LISA METÁLICA ESTRUCTURAL DE ACERO AL CARBÓN ASTM A-36, INCLUYE: ACARREO, CARGA DESCARGA, MANIOBRAS</t>
  </si>
  <si>
    <t>3.274.</t>
  </si>
  <si>
    <t>3.275.</t>
  </si>
  <si>
    <t>3.276.</t>
  </si>
  <si>
    <t>3.277.</t>
  </si>
  <si>
    <t>3.278.</t>
  </si>
  <si>
    <t>3.279.</t>
  </si>
  <si>
    <t>PLACA LISA DE ⅞" ESP.</t>
  </si>
  <si>
    <t>3.280.</t>
  </si>
  <si>
    <t>3.281.</t>
  </si>
  <si>
    <t>3.282.</t>
  </si>
  <si>
    <t>3.283.</t>
  </si>
  <si>
    <t>3.284.</t>
  </si>
  <si>
    <t>PLACA ANTIDERRAPANTE – 6.4 MM X 56.034 KG./M2 EN ACERO ASTM-A36.</t>
  </si>
  <si>
    <t>3.285.</t>
  </si>
  <si>
    <t>REDONDO SOLIDO LISO (OS) 19.1 mm (¾ in.) 2.235 kg/m</t>
  </si>
  <si>
    <t>3.286.</t>
  </si>
  <si>
    <t>REDONDO SOLIDO LISO (OS) 22.2 mm (⅞ in.) 3.045 kg/m</t>
  </si>
  <si>
    <t>3.287.</t>
  </si>
  <si>
    <t>REDONDO SOLIDO LISO (OS) 25.4 mm (1 in.) 3.973 kg/m</t>
  </si>
  <si>
    <t>3.288.</t>
  </si>
  <si>
    <t>REDONDO SOLIDO LISO (OS) 50.8 mm (2 in.) 15.89 kg/m</t>
  </si>
  <si>
    <t xml:space="preserve">SUMINISTRO, HABILITACION E INSTALACION DE REJILLA METÁLICA ELECTROFORJADA DE ACERO AL CARBÓN ASTM A-36, INCLUYE: ACARREO, DESCARGA, MANIOBRAS. </t>
  </si>
  <si>
    <t>3.289.</t>
  </si>
  <si>
    <t>REJILLA METÁLICA ELECTROFORJADA DE ACERO AL CARBÓN TIPO 34N 5 X 25 CON SOLERA DE CARGA DE 3/16" DE ESPESOR POR 1" DE PERALTE.</t>
  </si>
  <si>
    <t>3.290.</t>
  </si>
  <si>
    <t>REJILLA METÁLICA ELECTROFORJADA DE ACERO AL CARBÓN TIPO 34N 5 X 32 CON SOLERA DE CARGA DE 3/16" DE ESPESOR POR 1¼" DE PERALTE.</t>
  </si>
  <si>
    <t xml:space="preserve">SUMINISTRO, HABILITACION E INSTALACION DE SOLERA METÁLICA DE ACERO AL CARBÓN ASTM A-36, INCLUYE: ACARREO, DESCARGA, MANIOBRAS. </t>
  </si>
  <si>
    <t>3.291.</t>
  </si>
  <si>
    <t xml:space="preserve">SOLERA DE 3/16" ESPESOR X 2" DE ANCHO </t>
  </si>
  <si>
    <t>3.292.</t>
  </si>
  <si>
    <t>3.293.</t>
  </si>
  <si>
    <t>3.294.</t>
  </si>
  <si>
    <t>SUMINISTRO, HABILITACION E INSTALACION COSTA FUERA DE SOLERA DE 38.1 mm x 12.7 mm (1½" x ½" DE ESPESOR), EN ACERO AL CARBON ASTM A-36.</t>
  </si>
  <si>
    <t>SUMINISTRO, HABILITADO E INSTALACIÓN DE PERFIL ESTRUCTURAL  TIPO OR, ASTM A-500 Gr. B., INCLUYE: ACARREO, CARGA DESCARGA, MANIOBRAS</t>
  </si>
  <si>
    <t>3.295.</t>
  </si>
  <si>
    <t>TUBO CUADRADO (OR) 76 mm x 6.4 mm ( 3 in. x 0.250 in.) 13.11 kg/m</t>
  </si>
  <si>
    <t>3.296.</t>
  </si>
  <si>
    <t>TUBO RECTANGULAR (OR) 152 mm x 102 mm x 6.40 mm ( 6 in. x 4 in. x 0.25 in.) 23.24 kg/m</t>
  </si>
  <si>
    <t xml:space="preserve">SUMINISTRO, HABILITACION E INSTALACION DE VIGAS METÁLICOS (TIPO IR) ESTRUCTURALES DE ACERO AL CARBÓN ASTM A-36, INCLUYE: ACARREO, CARGA DESCARGA, MANIOBRAS. </t>
  </si>
  <si>
    <t>3.297.</t>
  </si>
  <si>
    <t xml:space="preserve">PERFIL I RECTANGULAR (IR) 102 mm x 19.4 kg/m ( 4 in. x 13 lb./ft.) </t>
  </si>
  <si>
    <t>3.298.</t>
  </si>
  <si>
    <t>3.299.</t>
  </si>
  <si>
    <t>3.300.</t>
  </si>
  <si>
    <t xml:space="preserve">PERFIL I RECTANGULAR (IR) 152 mm x 29.7 kg/m ( 6 in. x 20 lb./ft.) </t>
  </si>
  <si>
    <t>3.301.</t>
  </si>
  <si>
    <t xml:space="preserve">PERFIL I RECTANGULAR (IR) 203 mm x 19.4 kg/m ( 8 in. x 13 lb./ft.) </t>
  </si>
  <si>
    <t>3.302.</t>
  </si>
  <si>
    <t xml:space="preserve">PERFIL I RECTANGULAR (IR) 203 mm x 22.5 kg/m ( 8 in. x 15 lb./ft.) </t>
  </si>
  <si>
    <t>3.303.</t>
  </si>
  <si>
    <t xml:space="preserve">PERFIL I RECTANGULAR (IR) 203 mm x 31.2 kg/m ( 8 in. x 21 lb./ft.) </t>
  </si>
  <si>
    <t>3.304.</t>
  </si>
  <si>
    <t>3.305.</t>
  </si>
  <si>
    <t>3.306.</t>
  </si>
  <si>
    <t>3.307.</t>
  </si>
  <si>
    <t>3.308.</t>
  </si>
  <si>
    <t xml:space="preserve">PERFIL I RECTANGULAR (IR) 305 mm x 32.80 kg/m (12 in. x 22 lb./ft.) </t>
  </si>
  <si>
    <t>3.309.</t>
  </si>
  <si>
    <t>3.310.</t>
  </si>
  <si>
    <t xml:space="preserve">PERFIL I RECTANGULAR (IR) 305 mm x 96.70 kg/m (12 in. x 65 lb./ft.) </t>
  </si>
  <si>
    <t>3.311.</t>
  </si>
  <si>
    <t>3.312.</t>
  </si>
  <si>
    <t xml:space="preserve">PERFIL I RECTANGULAR (IR) 356 mm x 79.0 kg/m (14 in. x 53 lb./ft.) </t>
  </si>
  <si>
    <t>3.313.</t>
  </si>
  <si>
    <t xml:space="preserve">PERFIL I RECTANGULAR (IR) 406 mm x 59.80 kg/m  16 in. x 40 lb./ft.) </t>
  </si>
  <si>
    <t>3.314.</t>
  </si>
  <si>
    <t xml:space="preserve">PERFIL I RECTANGULAR (IR) 406 mm x 67.40 kg/m (16 in. x 45 lb./ft.) </t>
  </si>
  <si>
    <t>3.315.</t>
  </si>
  <si>
    <t>3.316.</t>
  </si>
  <si>
    <t>3.317.</t>
  </si>
  <si>
    <t>3.318.</t>
  </si>
  <si>
    <t xml:space="preserve">PERFIL I RECTANGULAR (IR) 457 mm x 96.70 kg/m (18 in. x 65 lb./ft.) </t>
  </si>
  <si>
    <t>3.319.</t>
  </si>
  <si>
    <t xml:space="preserve">PERFIL I RECTANGULAR (IR) 457 mm x 112.90 kg/m (18 in. x 76 lb./ft.) </t>
  </si>
  <si>
    <t>3.320.</t>
  </si>
  <si>
    <t xml:space="preserve">PERFIL I RECTANGULAR (IR) 610 mm x 101.6 kg/m (24 in. x 68 lb./ft.) </t>
  </si>
  <si>
    <t>3.321.</t>
  </si>
  <si>
    <t xml:space="preserve">PERFIL I RECTANGULAR (IR) 610 mm x 155.0 kg/m (24 in. x 104 lb./ft.) </t>
  </si>
  <si>
    <t>VÁLVULAS</t>
  </si>
  <si>
    <t>SUMINISTRO, MANEJO, PRUEBA HIDROSTÁTICA E INSTALACIÓN  DE  VALVULA  TIPO BOLA, EXTREMOS BRIDADOS R.F.  HASTA 20.00 MTS DE ALTURA INCLUYE: MATERIALES Y EQUIPO CERTIFICADO PARA REALIZAR PRUEBA HIDROSTÁTICA EN BANCO.</t>
  </si>
  <si>
    <t>3.322.</t>
  </si>
  <si>
    <t xml:space="preserve">SUMINISTRO E INSTALACION COSTA FUERA DE VALVULA TIPO BOLA DE 20" DIAMETRO, CLASE 600 LBS,CUERPO INTEGRAL SOLDADO, PASO COMPLETO Y CONTINUADO, EXTREMOS BRIDADOS R.F., BOLA MONTADA SOBRE MUÑONES, TRIM PARA SERVICIO AMARGO, (TRIM-222), TEMPERATURA    -20  F  A  375  F (-29 C A 190 C), MATERIALES DE FABRICACION: CUERPO DE ACERO AL CARBON FORJADO ASTM A516 GR. 70 (M), BOLA DE ACERO AL CARBON FORJADO  ASTM A694 F50 (M) RECUBIERTA CON 0.003" DE NIQUEL ELECTROLESS, VASTAGO DE ACERO AL CARBON AISI  4130,  RECUBIERTO  CON  0.003"  DE NIQUEL ELECTROLESS, BRIDAS DE ACERO AL CARBON FORJADO ASTM A350 GR. LF2  (M), ANILLOS DEL ASIENTO ROTATORIOS DE ACERO INOXIDABLE AISI 410, INSERTOS DE LOS ASIENTOS: PTFE (TEFLON), SELLOS Y EMPAQUETADURA DE VASTAGO: PTFE (TEFLON). NORMAS DE FABRICACION Y PRUEBAS. API 6D, ANSI B16.5, NACE MR-0175, DISEÑO A PRUEBA DE FUEGO API 6FA, CON OPERADOR DE ENGRANES. </t>
  </si>
  <si>
    <t>3.323.</t>
  </si>
  <si>
    <t xml:space="preserve">SUMINISTRO  E  INSTALACIÓN  COSTA  FUERA  DE  VALVULA  DE BOLA MONTADA SOBRE MUÑÓN, DE 16" DE DIÁMETRO, CLASE 600# CONFORME A ASME B16.34, DISEÑO DE ENTRADA LATERAL, DOBLE BLOQUEO Y PURGA, NORMA DE DISEÑO CONFORME A API 6D, CUERPO SOLDADO, ASIENTOS UNIDRECCIONALES EN AMBOS EXTREMOS, PASO COMPLETO Y CONTINUADO, EXTREMOS CARA REALZADA CONFORME A ASME B16.5, CUERPO Y EXTREMOS DE ACERO AL CARBÓN PARA BAJA TEMPERATURA CONFORME A ASTM A350 GR. LF2, BOLA DE ACERO AL CARBÓN CONFORME A ASTM A105N + ENP,  MUÑÓN  DE  ACERO ALEADO CONFORME A AISI 4140 + ENP, VÁSTAGO A PRUEBA DE EXPULSIÓN DE ACERO ALEADO CONFORME A AISI 4140 + ENP, ASIENTOS DE ACERO AL CARBÓN CONFORME A ASTM A105N + ENP, INSERTOS DE ASIENTO DE PEEK, RESORTE DEL ASIENTO DE INCONEL X-750, SELLOS  O  RING  AED,  VALVULA  DE  VENTEO,  DREN  Y  GRASERAS  DE  SS304,  PRUEBAS  CONFORME  A  API-6D, DISEÑO A PRUEBA DE FUEGO DE ACUERDO A API- 6FA, OPERADA CON CAJA DE ENGRANES, CUMPLE CON NACE MR0175/ISO15156 PARA SERVICIO AMARGO. </t>
  </si>
  <si>
    <t>SUMINISTRO, MANEJO, PRUEBA HIDROSTÁTICA E INSTALACIÓN DE VALVULA DE COMPUERTA EXTREMOS BRIDADOS  HASTA 20.00 MTS DE ALTURA INCLUYE: MATERIALES Y EQUIPO CERTIFICADO PARA REALIZAR PRUEBA HIDROSTÁTICA EN BANCO.</t>
  </si>
  <si>
    <t>3.324.</t>
  </si>
  <si>
    <t>SUMINISTRO MANEJO, PRESENTACIÓN Y PRUEBAS DE VÁLVULA DE COMPUERTA CUERPO DE ACERO A CARBÓN FUNDIDO ASTM A-216-GR.WCB. INTERIORES DE ACERO INOXIDABLE 316 (TRIM API 12), SUPERFICIE DE ASIENTOS RECUBIERTOS DE ESTELLITE NO. 6, ASIENTOS RENOVABLES, VÁSTAGO ASCENDENTE, VOLANTE FIJO, BONETE BRIDADO, TORNILLO EXTERIOR YUGO, CUÑA SÓLIDA O FLEXIBLE, EXTREMOS BRIDADOS, CARA REALZADA, CUMPLE CON NACE-MR-01-75 ULT . EDIT. CONTROL DE EMISIONES FUGITIVAS DE 100 PPM MÁXIMO CONFORME A LA EPA, API 598 Y API 600, CLASE 150, DE 6" Ø.</t>
  </si>
  <si>
    <t>3.325.</t>
  </si>
  <si>
    <t xml:space="preserve">SUMINISTRO MANEJO, PRESENTACIÓN Y PRUEBAS DE VÁLVULA DE COMPUERTA CUERPO DE ACERO A CARBÓN FUNDIDO ASTM A-216-GR.WCB. INTERIORES DE ACERO INOXIDABLE 316 (TRIM API 12), SUPERFICIE DE ASIENTOS RECUBIERTOS DE ESTELLITE NO. 6, ASIENTOS RENOVABLES, VÁSTAGO ASCENDENTE, VOLANTE FIJO, BONETE BRIDADO, TORNILLO EXTERIOR YUGO, CUÑA SÓLIDA O FLEXIBLE, EXTREMOS BRIDADOS, CARA REALZADA, CUMPLE CON NACE-MR-01-75 ULT . EDIT. CONTROL DE EMISIONES FUGITIVAS DE 100 PPM MÁXIMO CONFORME A LA EPA, API 598 Y API 600, CLASE 150, DE 8" Ø. </t>
  </si>
  <si>
    <t>3.326.</t>
  </si>
  <si>
    <t>SUMINISTRO E INSTALACIÓN COSTA FUERA DE VÁLVULA DE COMPUERTA BRIDADA CLASE 150 R.F., CUERPO ASTM A 216 GR. WCB (TRIM-8), INTERIORES DE ACERO INOXIDABLE 13% CR., TORNILLO EXTERIOR Y YUGO, BONETE ATORNILLADO DISCO TIPO CUÑA SOLIDA O FLEXIBLE, ASIENTOS RECAMBIABLES, OPERADA CON VOLANTE DE 8" DE DIAMETRO MARCA WALWORTH, FIG. 5202 O EQUIVALENTE.</t>
  </si>
  <si>
    <t>3.327.</t>
  </si>
  <si>
    <t>SUMINISTRO E INSTALACION COSTA FUERA DE VÁLVULA DE COMPUERTA DE 4" DE DIAMETRO, CLASE 150# R.F., MARCA WALWORTH,  FIGURA 5202RF-OTHER-WCB-NACE, CUERPO ASTM A216 GR. WCB, INTERIORES DE BRONCE DE ALUMINIO UNS C 61300, TORNILLO EXTERIOR Y YUGO, BONETE ATORNILLADO, DISCO TIPO CUÑA SÓLIDA O FLEXIBLE, ASIENTOS INTERCAMBIABLES, OPERADA CON VOLANTE, EXTREMOS BRIDADOS, DISEÑO DE ACUERDO CON API 600 O EQUIVALENTE.</t>
  </si>
  <si>
    <t>SUMINISTRO, MANEJO, PRUEBA HIDROSTÁTICA E INSTALACIÓN DE VALVULA DE CONTROL  HASTA 20.00 MTS DE ALTURA INCLUYE: MATERIALES Y EQUIPO CERTIFICADO PARA REALIZAR PRUEBA HIDROSTÁTICA EN BANCO.</t>
  </si>
  <si>
    <t>3.328.</t>
  </si>
  <si>
    <t>SUMINISTRO E INSTALACIÓN COSTA FUERA DE VALVULA DE CONTROL DE APERTURA RAPIDA PARA MONITOR DE 4" DE DIAMETRO CON BRIDAS ANSI 150#RF, APERTURA MANUAL LOCAL, LA VALVULA DEBERA SER TIPO DIAFRAGMA DE CAMARA SIMPLE, CUERPO Y TAPA FABRICADO EN NAB (NIQUEL ALUMINIO BRONCE), INCUYE TRIM DE CONTROL PRE-ENSAMBLADO, CALIBRADO Y PROBADO EN FABRICA. MARCA: DOROT, MODELO: 77-4"-MO-[M]-NAB[SST]-ANSI150-RF O EQUIVALENTE.</t>
  </si>
  <si>
    <t>SUMINISTRO, MANEJO, PRUEBA HIDROSTÁTICA E INSTALACIÓN DE VALVULA ESFERICA EXTREMOS BRIDADOS  HASTA 20.00 MTS DE ALTURA INCLUYE: MATERIALES Y EQUIPO CERTIFICADO PARA REALIZAR PRUEBA HIDROSTÁTICA EN BANCO.</t>
  </si>
  <si>
    <t>3.329.</t>
  </si>
  <si>
    <t xml:space="preserve">SUMINISTRO MANEJO, PRESENTACIÓN Y PRUEBAS, DE VÁLVULA ESFÉRICA DE PASO COMPLETO CLASE 150, DE 6" Ø EXTREMOS BRIDADOS, CARA REALZADA FABRICADA CONFORME A LO ESPECIFICADO EN API-SPEC-6D ULTIMA EDICIÓN CON CUERPO INTEGRAL SOLDADO O ATORNILLADO SEGÚN FABRICANTE (ENSABLADO CON TORNILLO DE ACERO ALEACIÓN ASTM A 193 GR B7M MÍNIMO) CON AUTORIZACIÓN VIGENTE DE AMERICAN PETROLEUM INSTITUTE, PARA UTILIZACIÓN DE MONOGRAMA API-SPEC-6D) DISEÑO A PRUEBA DE FUEGO SEGÚN API-607 O 6FA TODOS LOS MATERIALES EN CONTACTO CON EL FLUIDO DEBEN CUMPLIR CON EL ESTÁNDAR NACE MR-01-75 ULTIMA EDICIÓN, TODAS LAS UNIONES SOLDADAS DE LOS COMPONENTES DE LA VÁLVULA DEBEN DE REALIZARSE CONFORME AL ASME SECCIÓN VIII Y IX ULTIMA EDICIÓN, CON RADIOGRAFIADO AL 100% E INSPECCIÓN DE ULTRASONIDO, CUANDO EL RADIOGRAFIADO SE DIFICULTE POR EL TIPO DE UNIÓN. LA VÁLVULA DEBERÁ SUMINISTRARSE CON PINTURA EXTERIOR ANTICORROSIVA DE ACUERDO AL PROVEEDOR. NO SE ACEPTAN VÁLVULAS CON DIMENSIONES CARA-CARA QUE CORRESPONDAN AL DISEÑO CORTO (SHORT PATTERN) LOS ASIENTOS DE LA VÁLVULA SERÁN PROBADOS CON AIRE DE ACUERDO AL INCISO C3 DEL APÉNDICE C DEL API-SPEC-6D ADEMÁS DE CUMPLIR CON LA PRUEBA HIDROSTÁTICA INDICADA EN LA SECCIÓN 5 DE API-SPEC-6D. MATERIALES DE FABRICACIÓN: CUERPO DE ACERO AL CARBONO ASTM A 105. BRIDAS: MISMO MATERIAL DEL CUERPO. BOLA: BOLA DE ACERO INOXIDABLE 316. VÁSTAGO Y MUÑÓN: SE FABRICARAN EN ACERO AL CARBONO FORJADO DE ACERO INOXIDABLE 316. ANILLO DE ASIENTOS: DE ACERO INOXIDABLE 316 SELLOS DEL ASIENTO DE LA VÁLVULA DE TEFLÓN. TIPO DE OPERADOR: DE PALANCA. LA VÁLVULA DEBE CONTAR CON EL DOBLE DE BLOQUEO Y VENTEO (DOUBLE BLOCK AND BLEED). LA VÁLVULA DEBE TENER EL MONOGRAMA API-SPEC-6D (EN LA PLACA DE IDENTIFICACIÓN). EL RANGO DE PRESIÓN DE TEMPERATURA EN LOS ASIENTOS PARA LOS ELASTÓMEROS Y TERMOPLÁSTICOS UTILIZADAS EN LA FABRICACIÓN DE LA VÁLVULA QUE SE PROPONGA, DEBERÁ CUMPLIR COMO MÍNIMO CON EL RANGO PRESIÓN TEMPERATURA DEL CUERPO DE LA VÁLVULA. </t>
  </si>
  <si>
    <t>SUMINISTRO, MANEJO, PRUEBA HIDROSTÁTICA E INSTALACIÓN DE VALVULA DE RETENCIÓN BRIDADA HASTA 20.00 MTS DE ALTURA INCLUYE: MATERIALES Y EQUIPO CERTIFICADO PARA REALIZAR PRUEBA HIDROSTÁTICA EN BANCO.</t>
  </si>
  <si>
    <t>3.330.</t>
  </si>
  <si>
    <t>SUMINISTRO, CARGA, ACARREO E INSTALACIÓN COSTA FUERA DE VÁLVULA DE RETENCIÓN BRIDADA TIPO COLUMPIO CLASE 150 R.F., CUERPO DE ACERO FUNDIDO ASTM A 216 GR. WCB, INTERIORES EN MONEL EN FLECA Y DISCO, (TRIM API 9) TAPA EMBIRLADA, FABRICADA SEGUN DISEÑO API 594, ASME B16.34, MARCA OMEGA . DIÁMETRO NOMINAL  DE 8" DE DIAMETRO O EQUIVALENTE.</t>
  </si>
  <si>
    <t>SUMINISTRO, MANEJO, PRUEBA HIDROSTÁTICA E INSTALACIÓN DE  VALVULA DE COMPUERTA  EXTREMOS ROSCADA</t>
  </si>
  <si>
    <t>3.331.</t>
  </si>
  <si>
    <t>SUMINISTRO E INSTALACIÓN DE VALVULA DE COMPUERTA DE 2" DE DIAMETRO 800#, ROSCADA, API STD 602, ACERO AL CARBON ASTM A-105, (TRIM API-8).</t>
  </si>
  <si>
    <t>3.332.</t>
  </si>
  <si>
    <t>SUMINISTRO E INSTALACION COSTA FUERA DE VALVULA DE COMPUERTA DE BRONCE DE 2" DE DIAMETRO CLASE 150# CONFORME A MSS-SP80 (300 WOG) CUERPO Y BONETE DE BRONCE ASTM B62 GR. C83600, COMPUERTA SOLIDA, EXT. ROSCADOS ASME B1.20.1,  EMPAQUE DE VASTAGO PTFE,</t>
  </si>
  <si>
    <t>3.333.</t>
  </si>
  <si>
    <t xml:space="preserve">SUMINISTRO E INSTALACIÓN COSTA FUERA DE VALVULA COMPUERTA ¾"  800# EXTREMOS ROSCADOS ASTM A105 TRIM 1, TORNILLO EXTERIOR Y YUGO, BONETE ATORNILLADO, CUÑA SÓLIDA, ASIENTOS RECAMBIABLES, OPERADA CON VOLANTE. ISO 15761. </t>
  </si>
  <si>
    <t>3.334.</t>
  </si>
  <si>
    <t>SUMINISTRO E INSTALACIÓN COSTA FUERA DE VALVULA DE CONTROL DE APERTURA RAPIDA PARA HIDRANTE DE 2½" DE DIAMETRO EXTREMOS ROSCADOS, APERTURA MANUAL LOCAL, LA VALVULA DEBERA SER TIPO DIAFRAGMA DE CAMARA SIMPLE, CUERPO Y TAPA FABRICADO EN NAB (NIQUEL ALUMINIO BRONCE), INCUYE TRIM DE CONTROL PRE-ENSAMBLADO, CALIBRADO Y PROBADO EN FABRICA. MARCA: DOROT, MODELO: 44-2.5"HY-PR1-NAB[SST]-NPT O EQUIVALENTE.</t>
  </si>
  <si>
    <t>ACCESORIOS DE ACERO INOXIDABLE</t>
  </si>
  <si>
    <t>SUMINISTRO E INSTALACIÓN DE VALVULA DE COMPUERTA  EXTREMOS ROSCADA</t>
  </si>
  <si>
    <t>3.335.</t>
  </si>
  <si>
    <t>SUMINISTRO E INSTALACION COSTA FUERA DE VÁLVULA ESFÉRICA DE ½" CLASE 6000# AC. INOX EXT. OD</t>
  </si>
  <si>
    <t>3.336.</t>
  </si>
  <si>
    <t>SUMINISTRO E INSTALACIÓN DE VÁLVULA DE AGUJA DE ACERO INOXIDABLE 316 DE ½" Ø N.P.T.F., 6000 #.</t>
  </si>
  <si>
    <t>3.337.</t>
  </si>
  <si>
    <t>SUMINISTRO E INSTALACIÓN COSTA FUERA DE VALVULA DE AGUJA HEMBRA  DE ½" DE DIAMETRO NPT, CUERPO,VASTAGO Y ASIENTO DE ACERO INOXIDABLE 316L DE 15000#.</t>
  </si>
  <si>
    <t>3.338.</t>
  </si>
  <si>
    <t xml:space="preserve">SUMINISTRO E INSTALACION COSTA FUERA DE VALVULA DE AGUJA HEMBRA DE ACERO INOXIDABLE 316L DE 9/16" OD X 9/16" OD, PARA 20,000 PSI. </t>
  </si>
  <si>
    <t>SUMINISTRO E INSTALACION COSTA FUERA DE FILTRO TIPO "Y" CLASE 150# R.F.,</t>
  </si>
  <si>
    <t>3.339.</t>
  </si>
  <si>
    <t>SUMINISTRO E INSTALACION COSTA FUERA DE FILTRO TIPO "Y" CLASE 150# R.F., CUERPO Y TAPA ASTM A216 GR. WCB, ELEMENTO FILTRANTE DE ACERO INOXIDABLE  A-304 CON PERFORACIONES DE ⅛". Y, DE DREN DE 1½" NPT. EXTREMOS BRIDADOS DE 4"  DE DIAMETRO</t>
  </si>
  <si>
    <t>SUMINISTRO E INSTALACION DE CONECTOR HEMBRA ACERO INOXIDABLE</t>
  </si>
  <si>
    <t>3.340.</t>
  </si>
  <si>
    <t>SUMINISTRO E INSTALACIÓN DE CONECTOR HEMBRA DE ½" Ø O.D. X ½" Ø NPT ACERO INOXIDABLE, ALTO SELLO.</t>
  </si>
  <si>
    <t>3.341.</t>
  </si>
  <si>
    <t>SUMINISTRO E INSTALACIÓN COSTA FUERA DE CONECTOR HEMBRA DE ¾" DE DIAMETRO NPT X ½" O.D. DE ACERO INOXIDABLE 316L, ALTO SELLO Y DOBLE FERULA.</t>
  </si>
  <si>
    <t>3.342.</t>
  </si>
  <si>
    <t>SUMINISTRO E INSTALACIÓN COSTA FUERA DE CONECTOR HEMBRA DE ACERO INOXIDABLE 316, ALTO SELLO, DE ⅜" O.D. X ⅜" DE DIAMETRO NPT.</t>
  </si>
  <si>
    <t>3.343.</t>
  </si>
  <si>
    <t>SUMINISTRO E INSTALACION COSTA FUERA DE CONECTOR HEMBRA DE 9/16" MP X 9/16" OD DE ACERO INOXIDABLE 316L, CON TUERCA/BARRIL. PARA 20,000 PSI.</t>
  </si>
  <si>
    <t>3.344.</t>
  </si>
  <si>
    <t>SUMINISTRO E INSTALACIÓN COSTA FUERA DE CONECTOR HEMBRA DE ½" NPT X 9/16" OD DE ACERO INOXIDABLE 316L, CON TUERCA/BARRIL. PARA 20,000 PSI</t>
  </si>
  <si>
    <t>SUMINISTRO E INSTALACIÓN DE CONECTOR RECTO HEMBRA ACERO INOXIDABLE</t>
  </si>
  <si>
    <t>3.345.</t>
  </si>
  <si>
    <t xml:space="preserve">SUMINISTRO E INSTALACION DE TAPON MACHO CAB. HEXAGONAL DE ½"Ø ROSCADO NPT AC. INOX. 316. </t>
  </si>
  <si>
    <t>SUMINISTRO E INSTALACION DE CONECTOR RECTO MACHO ACERO INOXIDABLE</t>
  </si>
  <si>
    <t>3.346.</t>
  </si>
  <si>
    <t>SUMINISTRO E INSTALACIÓN DE CONECTOR RECTO MACHO DE ½" Ø O.D. X ½" Ø NPT ACERO INOXIDABLE 316, ALTO SELLO.</t>
  </si>
  <si>
    <t>3.347.</t>
  </si>
  <si>
    <t>SUMINISTRO E INSTALACIÓN DE CONECTOR RECTO MACHO DE ½" Ø O.D. X ¼" Ø NPT ACERO INOXIDABLE 316, ALTO SELLO.</t>
  </si>
  <si>
    <t>3.348.</t>
  </si>
  <si>
    <t>SUMINISTRO E INSTALACIÓN DE CONECTOR RECTO MACHO DE ½" Ø O.D. X ¾" Ø NPT ACERO INOXIDABLE 316, ALTO SELLO.</t>
  </si>
  <si>
    <t>3.349.</t>
  </si>
  <si>
    <t>SUMINISTRO E INSTALACIÓN DE CONECTOR RECTO MACHO DE ¼" Ø O.D. X ¼" Ø NPT ACERO INOXIDABLE 316, ALTO SELLO.</t>
  </si>
  <si>
    <t>3.350.</t>
  </si>
  <si>
    <t>SUMINISTRO E INSTALACIÓN DE CONECTOR RECTO MACHO DE ⅜" Ø O.D. X ½" Ø NPT ACERO INOXIDABLE 316, ALTO SELLO</t>
  </si>
  <si>
    <t>3.351.</t>
  </si>
  <si>
    <t>SUMINISTRO E INSTALACIÓN DE CONECTOR RECTO MACHO DE ⅜" Ø O.D. X ⅜" Ø NPT ACERO INOXIDABLE 316, ALTO SELLO</t>
  </si>
  <si>
    <t>SUMINISTRO E INSTALACIÓN COSTA FUERA DE CONECTOR REDUCTOR DE ACERO INOXIDABLE</t>
  </si>
  <si>
    <t>3.352.</t>
  </si>
  <si>
    <t>SUMINISTRO E INSTALACIÓN COSTA FUERA DE CONECTOR REDUCTOR DE ⅜" OD X ¼" OD, DE DIAMETRO DE ACERO INOXIDABLE 316L. ALTO SELLO Y DOBLE FERULA, SOBRE EL NIVEL DE PISO.</t>
  </si>
  <si>
    <t>SUMINISTRO E INSTALACION DE CONECTOR UNION ACERO INOXIDABLE</t>
  </si>
  <si>
    <t>3.353.</t>
  </si>
  <si>
    <t>SUMINISTRO E INSTALACIÓN DE CONECTOR BULKHEAD UNIÓN DE ⅜" Ø O.D. ACERO INOXIDABLE 316 ALTO SELLO</t>
  </si>
  <si>
    <t>3.354.</t>
  </si>
  <si>
    <t>SUMINISTRO E INSTALACIÓN DE CONECTOR UNIÓN DE ¼" Ø O.D. ACERO INOXIDABLE 316, ALTO SELLO</t>
  </si>
  <si>
    <t>3.355.</t>
  </si>
  <si>
    <t>SUMINISTRO E INSTALACIÓN DE CONECTOR UNIÓN DE ⅜" Ø O.D. ACERO INOXIDABLE 316, ALTO SELLO</t>
  </si>
  <si>
    <t>3.356.</t>
  </si>
  <si>
    <t>SUMINISTRO E INSTALACIÓN DE TE CONECTOR UNIÓN DE ½" Ø O.D. ACERO INOXIDABLE 316, ALTO SELLO</t>
  </si>
  <si>
    <t>SUMINISTRO E INSTALACION DE TAPÓN INOXIDABLE</t>
  </si>
  <si>
    <t>3.357.</t>
  </si>
  <si>
    <t>SUMINISTRO E INSTALACION COSTA FUERA DE TÁPON DE ACERO INOXIDABLE 316L DE 9/16" OD, PARA 20,000 PSI. SOBRE EL NIVEL DE PISO.</t>
  </si>
  <si>
    <t>3.358.</t>
  </si>
  <si>
    <t>SUMINISTRO E INSTALACION COSTA FUERA DE TAPÓN MACHO DE ½" DIAMETRO NPT, DE CABEZA HEXAGONAL DE ACERO INOXIDABLE 316L, 15000#.</t>
  </si>
  <si>
    <t>3.359.</t>
  </si>
  <si>
    <t>SUMINISTRO E INSTALACION COSTA FUERA DE TE CONECTOR DE ⅜" OD X ⅜" OD  X ⅜" OD DE ACERO INOXIDABLE 316L,  ALTO SELLO Y DOBLE FERULA.</t>
  </si>
  <si>
    <t>3.360.</t>
  </si>
  <si>
    <t>SUMINISTRO E INSTALACION COSTA FUERA DE TEE CONECTOR DE ACERO INOXIDABLE 316L DE 9/16" OD X 9/16" OD X 9/16", PARA 20,000 PSI.</t>
  </si>
  <si>
    <t>SUMINISTRO E INSTALACIÓN COSTA FUERA DE TE RECTA DE  ACERO INOXIDABLE</t>
  </si>
  <si>
    <t>3.361.</t>
  </si>
  <si>
    <t>SUMINISTRO E INSTALACIÓN COSTA FUERA DE ADAPTADOR MACHO-MACHO NPT X NHT DE 2½" DE DIAMETRO FABRICADO DE BRONCE ASTM B62 ALEACIÓN (UNS C92200)</t>
  </si>
  <si>
    <t>SUMINISTRO E INSTALACIÓN DE TUBING SIN COSTURA DE ACERO INOXIDABLE T-316L</t>
  </si>
  <si>
    <t>3.362.</t>
  </si>
  <si>
    <t>SUMINISTRO E INSTALACIÓN DE TUBING SIN COSTURA DE ½" Ø X 0.049" ESPESOR ACERO INOXIDABLE 316 CON TERMO PLÁSTICO VULCANIZADO DE 0.065" ESPESOR</t>
  </si>
  <si>
    <t>3.363.</t>
  </si>
  <si>
    <t>SUMINISTRO E INSTALACIÓN DE TUBING SIN COSTURA DE ⅜" Ø X 0.049" ESPESOR ACERO INOXIDABLE 316 CON TERMO PLÁSTICO VULCANIZADO DE 0.065" ESPESOR</t>
  </si>
  <si>
    <t>3.364.</t>
  </si>
  <si>
    <t>SUMINISTRO E INSTALACIÓN COSTA FUERA DE TUBING DE ACERO INOXIDABLE 316L SIN COSTURA ½" DE DIAMETRO, ESP. 0.065" Y CAMISA DE PVC., PARA ALTAS TEMPERATURAS (150 C).</t>
  </si>
  <si>
    <t>3.365.</t>
  </si>
  <si>
    <t>SUMINISTRO E INSTALACIÓN COSTA FUERA DE TUBING SIN COSTURA DE ACERO INOXIDABLE T-316L NORMA ASTM A-269 DE ½" DE DIAMETRO, 0.049" DE ESPESOR DE PARED.</t>
  </si>
  <si>
    <t>3.366.</t>
  </si>
  <si>
    <t>SUMINISTRO E INSTALACIÓN COSTA FUERA DE TUBING SIN COSTURA DE ACERO INOXIDABLE T-316L NORMA ASTM A-269 DE ⅜" DE DIAMETRO, 0.049" DE ESPESOR DE PARED.</t>
  </si>
  <si>
    <t>3.367.</t>
  </si>
  <si>
    <t>SUMINISTRO E INSTALACIÓN COSTA FUERA DE TUBING ¼" DE DIAMETRO DE ACERO INOXIDABLE 316 SIN COSTURA, ESP. 0.095" Y CAMISA DE PVC. PARA ALTAS TEMPERATURAS (150 C).</t>
  </si>
  <si>
    <t>3.368.</t>
  </si>
  <si>
    <t>SUMINISTRO E INSTALACION COSTA FUERA DE TUBING 9/16" O.D. 0.312" DIAMETRO INTERIOR DE ACERO INOXIDABLE 316L. SIN COSTURA, PARA 20,000 PSI. SOBRE EL NIVEL DE PISO.</t>
  </si>
  <si>
    <t>SUMINISTRO E INSTALACION DE CODO CONECTOR MACHO DE 90º ACERO INOXIDABLE</t>
  </si>
  <si>
    <t>3.369.</t>
  </si>
  <si>
    <t xml:space="preserve">SUMINISTRO E INSTALACIÓN DE CONECTOR CODO 90º MACHO ⅜"Ø O.D. X ½"Ø NPT ACERO INOXIDABLE 316 ALTO SELLO </t>
  </si>
  <si>
    <t>3.370.</t>
  </si>
  <si>
    <t>SUMINISTRO E INSTALACION COSTA FUERA DE CONECTOR CODO DE 90  DE 9/16" OD X 9/16 OD DE ACERO INOX. 316SS PARA 20000 PSI. SOBRE EL NIVEL DE PISO.</t>
  </si>
  <si>
    <t>SUMINISTRO E INSTALACION DE COPLE ADAPTADOR ACERO INOXIDABLE</t>
  </si>
  <si>
    <t>3.371.</t>
  </si>
  <si>
    <t>SUMINISTRO E INSTALACION COSTA FUERA DE COPLE ADAPTADOR DE 9/16" MP X ½" NPTF, DE ACERO INOXIDABLE 316SS PARA 20000 PSI. SOBRE EL NIVEL DE PISO.</t>
  </si>
  <si>
    <t>SUMINISTRO E INSTALACIÓN COSTA FUERA DE CINTURÓN SIN FIN CON HEBILLA PARA TUBERIA DE ACERO INOXIDABLE</t>
  </si>
  <si>
    <t>3.372.</t>
  </si>
  <si>
    <t>SUMINISTRO E INSTALACIÓN COSTA FUERA DE CINTURÓN SIN FIN CON HEBILLA PARA TUBERIA DE 4" DE DIAMETRO DE FLEJE DE ACERO INOXIDABLE  ASTM 240/A 240M  TP 316 ½" DE ANCHO</t>
  </si>
  <si>
    <t>3.373.</t>
  </si>
  <si>
    <t>SUMINISTRO E INSTALACIÓN COSTA FUERA DE CINTURON ELABORADO CON FLEJE DE ACERO INOXIDABLE 316, DE ½" DE DIAMETRO, ANCHO Y HEBILLA SINFÍN DE ACERO INOXIDABLE 316.</t>
  </si>
  <si>
    <t>3.374.</t>
  </si>
  <si>
    <t>SUMINISTRO E INSTALACION  COSTA  FUERA  DE  INDICADOR DE PRESION CON CARATULA DE 4½" DE DIAMETRO DE COLOR BLANCO CON CARACTERES NEGROS, LENTE DE CRISTAL,INASTILLABLE;ESCALA DUAL (PSI/KG/CM2), MATERIAL DE LA CAJA TIPO FENOL DE ½" NTP ;DEBIDO A LAS CARACTERISTICAS DEL FLUIDO (CORROSIVO; IMPUREZAS Y ALTAS TEMPERATURAS).RANGO(KG/CM2)0-140 ELEMENTO DE PRESION TIPO BOURDON;CONEXION INFERIOR A PROCESO NTP CAJA SECA MATERIAL DE MOVIMIENTO Y ELEMENTO DE ACERO INOXIDABLE 316; PARA UNA EXACTITUD DE +/-0.5%DE LA ESCALA TOTAL EL MATERIAL EN CONTACTO CON EL FLUIDO DE PROCESOS DEBE ESTAR DE ACUERDO AL ESTANDAR NACE MR0175/ISO 15156/ULTIMA EDICION, INCLUYE SELLO QUIMICO DE ½" NTP DEBIDO ALAS CARACTERISTICAS DEL FLUIDO (CORROSIVO, IMPUREZAS Y ALTA TEMPERATURA) RANGO(KG/CM2) MODELO: MARCA: WIKA O EQUIVALENTE.</t>
  </si>
  <si>
    <t>3.375.</t>
  </si>
  <si>
    <t>SUMINISTRO E INSTALACIÓN  COSTA  FUERA  DE  INDICADOR DE PRESION CON CARATULA DE 4½" DE DIAMETRO DE COLOR BLANCO CON CARACTERES NEGROS, LENTE DE CRISTAL, INASTILLABLE; ESCALA DUAL (PSI/KG/CM2), MATERIAL DE LA CAJA TIPO FENOL DE ½" NTP; DEBIDO A LAS CARACTERISTICAS DEL FLUIDO (CORROSIVO; IMPUREZAS Y ALTAS TEMPERATURAS). RANGO(KG/CM2)0-1000 ELEMENTO DE PRESION TIPO BOURDON; CONEXION INFERIOR A  PROCESO NTP CAJA SECA MATERIAL DE MOVIMIENTO Y ELEMENTO DE ACERO INOXIDABLE 316; PARA UNA EXACTITUD DE +/-0.5%  DE  LA  ESCALA  TOTAL  EL MATERIAL EN CONTACTO CON EL FLUIDO DE PROCESOS DEBE ESTAR DE ACUERDO AL ESTANDAR NACE MR0175/ISO 15156/ULTIMA EDICION, INCLUYE SELLO QUIMICO DE ½" NTP DEBIDO ALAS CARACTERISTICAS DEL FLUIDO (CORROSIVO, IMPUREZAS Y ALTA TEMPERATURA) RANGO(KG/CM2) MARCA: WIKA O EQUIVALENTE.</t>
  </si>
  <si>
    <t>3.376.</t>
  </si>
  <si>
    <t>SUMINISTRO E INSTALACIÓN COSTA FUERA DE NIPLE HEXAGONAL LARGO DE ½" DE DIAMETRO DE ACERO INOXIDABLE ASTM A 182/A 182M F 316 (UNS S31600), CON  CONEXIÓN NPT MACHO Y LONGITUD DE 3"</t>
  </si>
  <si>
    <t>SUMINISTRO E INSTALACION COSTA FUERA DE REGISTRADOR DE PRESIÓN ACERO INOXIDABLE</t>
  </si>
  <si>
    <t>3.377.</t>
  </si>
  <si>
    <t>SUMINISTRO E INSTALACION COSTA FUERA DE REGISTRADOR DE PRESIÓN, TIPO BOURDON HELICOIDAL, MATERIAL DE ACERO INOXIDABLE 316, CONEXIÓN A PROCESO DE½" NPT HEMBRA,CAJA ESTANDAR POR FABRICANTE A PRUEBA DE INTEMPERIE (NEMA4X), GRAFICA TIPO CIRCULAR DE 12", MECANISMO DE TIEMPO RELOJ MECANICO,SISTEMADE ENTINTADO CON PLUMIN DESECHABLE, CON ADAPTORES PARA MONTAJE EN YUGO DE 2", DEBE CUMPLIR CON NACE MR-0175/ISO 15 156-2015.  RANGO (kg/cm )  0-140, ITT BARTON MODELO 242 E.</t>
  </si>
  <si>
    <t>SUMINISTRO E INSTALACION DE DREN RESPIRADERO UNIVERSAL DE ACERO INOXIDABLE</t>
  </si>
  <si>
    <t>3.378.</t>
  </si>
  <si>
    <t>SUMINISTRO E INSTALACION COSTA FUERA DE DREN RESPIRADERO UNIVERSAL DE ACERO INOXIDABLE DE 16 MM DE DIAMETRO (½" ) A PRUEBA DE EXPLOSION.</t>
  </si>
  <si>
    <t>SUMINISTRO E INSTALACIÓN COSTA FUERA DE CONECTOR UNION PASAMUROS  ACERO INOXIDABLE</t>
  </si>
  <si>
    <t>3.379.</t>
  </si>
  <si>
    <t>SUMINISTRO E INSTALACION COSTA FUERA DE CONECTOR UNION PASAMUROS PARA 20,000 PSI DE 9/16" OD X 9/16" OD DE ACERO INOXIDABLE 316L, CON TUERCA/BARRIL</t>
  </si>
  <si>
    <t>3.380.</t>
  </si>
  <si>
    <t>SUMINISTRO E INSTALACIÓN COSTA FUERA DE CONECTOR UNION PASAMUROS  DE ½"OD X ½"OD DE AC. INOX. 316L, ALTO SELLO DE DOBLE FERULA.</t>
  </si>
  <si>
    <t>3.381.</t>
  </si>
  <si>
    <t>SUMINISTRO E INSTALACION COSTA FUERA DE PLACA INDIVIDUAL DE INTERCONEXIÓN DE CONECTORES PASA MUROS DE 407X407X6 MM</t>
  </si>
  <si>
    <t>3.382.</t>
  </si>
  <si>
    <t>SUMINISTRO E INSTALACIÓN COSTA FUERA DE CONECTOR UNION PASAMUROS PARAá20,000áPSI DE ¼" O.D. X ¼" O.D. DE ACERO INOXIDABLE 316SS PARA TUBING DE ¼"X0.95.</t>
  </si>
  <si>
    <t>SUMINISTRO E INSTALACION DE TORNILLO DE ACERO INOXIDABLE 304</t>
  </si>
  <si>
    <t>3.383.</t>
  </si>
  <si>
    <t>SUMINISTRO E INSTALACION DE TORNILLO DE ACERO INOXIDABLE 304, CON TUERCAS Y ARANDELAS DE PRESION, DE LAS SIGUIENTES DIMENSIONES: DE 13MM Ø X 38MM DE LONGITUD,</t>
  </si>
  <si>
    <t>MATERIAL ELECTRICO</t>
  </si>
  <si>
    <t>SUMINISTRO E INSTALACION DE ABRAZADERA DE COBRE ESTAÑADA PARA CONDUCTOR</t>
  </si>
  <si>
    <t>3.384.</t>
  </si>
  <si>
    <t>SUMINISTRO E INSTALACION DE ABRAZADERA DE COBRE ESTAÑADA PARA CONDUCTOR CALIBRE DE 2 AWG A 2/0 AWG, INCLUYE UN PERNO DE ACERO ENDURECIDO DE ALTA VELOCIDAD PARA APLICACION EN ACERO CON CABEZA DE ⅜" Y VASTAGO DE 11/32"</t>
  </si>
  <si>
    <t>3.385.</t>
  </si>
  <si>
    <t xml:space="preserve">SUMINISTRO E INSTALACIION COSTA FUERA DE ABRAZADERA TIPO SILBATO PARA CABLE CALIBRE 2 AWG AC. INOXIDABLE FORRADO </t>
  </si>
  <si>
    <t>SUMINISTRO E INSTALACION DE ABRAZADERA TIPO "U" BOLTS ACERO GALVANIZADO</t>
  </si>
  <si>
    <t>3.386.</t>
  </si>
  <si>
    <t>SUMINISTRO E INSTALACION DE ABRAZADERA TIPO "U" PARA TUBO DE 2" Ø DE ACERO INOXIDABLE. CON 02 TUERCAS DE 5/16" Ø</t>
  </si>
  <si>
    <t>3.387.</t>
  </si>
  <si>
    <t>ABRAZADERA DE VARILLA "U", FIG. 137: ANVIL (GRINNELL) O EQUIVALENTE, C/CUATRO TUERCAS HEXAGONALES PARA TUBERÍA DE LAS SIGUIENTES DIMENSIONES: ABRAZADERA DE VARILLA "U", C/CUATRO TUERCAS HEXAGONALES PARA TUBERIA DE 2"</t>
  </si>
  <si>
    <t>3.388.</t>
  </si>
  <si>
    <t>ABRAZADERA DE VARILLA "U", C/CUATRO TUERCAS HEXAGONALES PARA TUBERIA DE 4"</t>
  </si>
  <si>
    <t>3.389.</t>
  </si>
  <si>
    <t>ABRAZADERA DE VARILLA "U", C/CUATRO TUERCAS HEXAGONALES PARA TUBERIA DE 8"</t>
  </si>
  <si>
    <t>3.390.</t>
  </si>
  <si>
    <t>SUMINISTRO E INSTALACION DE ABRAZADERA TIPO "U" BOLTS ACERO GALVANIZADO DE 1" Ø CON RECUBRIMIENTO DE PVC DE 40 MILESIMAS DE PULGADA DE ESPESOR CON 02 TUERCAS ENCAPSULADAS EN PVC</t>
  </si>
  <si>
    <t>3.391.</t>
  </si>
  <si>
    <t>SUMINISTRO E INSTALACION DE ABRAZADERA TIPO "U" BOLTS ACERO GALVANIZADO DE 1½" Ø CON RECUBRIMIENTO DE PVC DE 40 MILESIMAS DE PULGADA DE ESPESOR CON 02 TUERCAS ENCAPSULADAS EN PVC</t>
  </si>
  <si>
    <t>3.392.</t>
  </si>
  <si>
    <t>SUMINISTRO E INSTALACION DE ABRAZADERA TIPO "U" BOLTS ACERO GALVANIZADO DE 2" Ø CON RECUBRIMIENTO DE PVC DE 40 MILESIMAS DE PULGADA DE ESPESOR CON 02 TUERCAS ENCAPSULADAS EN PVC</t>
  </si>
  <si>
    <t>3.393.</t>
  </si>
  <si>
    <t>SUMINISTRO E INSTALACION DE ABRAZADERA TIPO "U" BOLTS ACERO GALVANIZADO DE ¾" Ø CON RECUBRIMIENTO DE PVC DE 40 MILESIMAS DE PULGADA DE ESPESOR CON 02 TUERCAS ENCAPSULADAS EN PVC</t>
  </si>
  <si>
    <t>3.394.</t>
  </si>
  <si>
    <t>SUMINISTRO E INSTALACIÓN COSTA FUERA DE ABRAZADERA DE VARILLA "U" , FIGURA 137: ANVIL (GRINNELL) CON VARILLA DE ¼" DE DIAMETRO CON CUATRO TUERCAS HEXAGONALES PARA TUBERÍA DE 1" DE DIÁMETRO</t>
  </si>
  <si>
    <t>3.395.</t>
  </si>
  <si>
    <t>SUMINISTRO E INSTALACIÓN DE ABRAZADERA TIPO "U" PARA TUBO DE 6" DE DIAMETRO CON VARILLA DE ⅝" DE DIAMETRO DE ACERO GALVANIZADO</t>
  </si>
  <si>
    <t>3.396.</t>
  </si>
  <si>
    <t>SUMINISTRO E INSTALACIÓN COSTA FUERA DE ABRAZADERA TIPO "U" PARA TUBO DE 6" DE DIÁMETRO DE ⅜" DE DIÁMETRO CON 2 TUERCAS Y ARANDELAS DE PRESION ACERO GALVANIZADO FIG TS-137 STANDARD U-BOLT</t>
  </si>
  <si>
    <t>3.397.</t>
  </si>
  <si>
    <t>SUMINISTRO E INSTALACIÓN COSTA FUERA DE ABRAZADERA TIPO "U" PARA TUBO DE 6" DE DIÁMETRO DE ½" DE DIÁMETRO CON CUATRO TUERCAS ACERO GALVANIZADO FIG TS-137 STANDARD U-BOLT</t>
  </si>
  <si>
    <t>3.398.</t>
  </si>
  <si>
    <t>SUMINISTRO E INSTALACIÓN COSTA FUERA DE ABRAZADERA TIPO "U" PARA TUBO DE 10" DE DIÁMETRO DE ⅝" DE DIÁMETRO CON CUATRO TUERCAS ACERO GALVANIZADO FIG TS-137 STANDARD U-BOLT</t>
  </si>
  <si>
    <t>SUMINISTRO E INSTALACION DE CONDUCTOR DE COBRE SUAVE CON AISLAMIENTO TERMOPLASTICO THW-LS/THHW-LS PARA 600 V, 75°C DE TEMPERATURA DE OPERACIÓN</t>
  </si>
  <si>
    <t>3.399.</t>
  </si>
  <si>
    <t>SUMINISTRO E INSTALACION DE CONDUCTOR DE COBRE SUAVE CON AISLAMIENTO TERMOPLASTICO THW-LS/THHW-LS PARA 600 V, 75°C DE TEMPERATURA DE OPERACIÓN: CALIBRE 12 AWG, COLOR VERDE</t>
  </si>
  <si>
    <t>3.400.</t>
  </si>
  <si>
    <t>SUMINISTRO E INSTALACION DE CONDUCTOR DE COBRE SUAVE CON AISLAMIENTO TERMOPLASTICO THW-LS/THHW-LS PARA 600 V, 75°C DE TEMPERATURA DE OPERACIÓN: CALIBRE 12 AWG, COLOR AZUL</t>
  </si>
  <si>
    <t>3.401.</t>
  </si>
  <si>
    <t>SUMINISTRO E INSTALACION DE CONDUCTOR DE COBRE SUAVE CON AISLAMIENTO TERMOPLASTICO THW-LS/THHW-LS PARA 600 V, 75°C DE TEMPERATURA DE OPERACIÓN: CALIBRE 10 AWG, COLOR NEGRO</t>
  </si>
  <si>
    <t>3.402.</t>
  </si>
  <si>
    <t>SUMINISTRO E INSTALACION DE CONDUCTOR DE COBRE SUAVE CON AISLAMIENTO TERMOPLASTICO THW-LS/THHW-LS PARA 600 V, 75°C DE TEMPERATURA DE OPERACIÓN: CALIBRE 10 AWG, COLOR ROJO</t>
  </si>
  <si>
    <t>3.403.</t>
  </si>
  <si>
    <t>SUMINISTRO E INSTALACION DE CONDUCTOR DE COBRE SUAVE CON AISLAMIENTO TERMOPLASTICO THW-LS/THHW-LS PARA 600 V, 75°C DE TEMPERATURA DE OPERACIÓN: CALIBRE 10 AWG, COLOR AZUL</t>
  </si>
  <si>
    <t>3.404.</t>
  </si>
  <si>
    <t>SUMINISTRO E INSTALACION DE CONDUCTOR DE COBRE SUAVE CON AISLAMIENTO TERMOPLASTICO THW-LS/THHW-LS PARA 600 V, 75°C DE TEMPERATURA DE OPERACIÓN: CALIBRE 10 AWG, COLOR BLANCO</t>
  </si>
  <si>
    <t>3.405.</t>
  </si>
  <si>
    <t>SUMINISTRO E INSTALACION DE CONDUCTOR DE COBRE SUAVE CON AISLAMIENTO TERMOPLASTICO THW-LS/THHW-LS PARA 600 V, 75°C DE TEMPERATURA DE OPERACIÓN: CALIBRE 2 AWG, COLOR VERDE</t>
  </si>
  <si>
    <t>3.406.</t>
  </si>
  <si>
    <t>SUMINISTRO E INSTALACION DE CONDUCTOR DE COBRE SUAVE CON AISLAMIENTO TERMOPLASTICO THW-LS/THHW-LS PARA 600 V, 75°C DE TEMPERATURA DE OPERACIÓN: CALIBRE 2/0 AWG, COLOR VERDE</t>
  </si>
  <si>
    <t>3.407.</t>
  </si>
  <si>
    <t>SUMINISTRO E INSTALACIÓN COSTA FUERA DE CABLE ARMADO MULTICONDUCTOR TIPO METAL CLAD (MC), CON CONDUCTORES DE COBRE SUAVE, AISLAMIENTO DE POLIETILENO DE CADENA CRUZADA (XLP), TIPO RHH/RHW-2, 90 C, 600 V, CON TRES (3) CONDUCTORES CALIBRE 3.31mm2 (12 AWG) MÁS UN (1) CONDUCTOR CALIBRE 3.31mm2 (12 AWG) DE PUESTA A TIERRA COLOR VERDE, CINTA REUNIDORA NO HIGROSCÓPICA, ARMADURA ENGARGOLADA DE ALUMINIO, CUBIERTA EXTERIOR DE PVC, PARA ÁREAS CLASIFICADAS CLASE I, DIVISIÓN 2.</t>
  </si>
  <si>
    <t>SUMINISTRO E INSTALACIÓN DE CAJAS TIPO GUAC PARA AREAS PELIGROSAS, FABRICADA EN ALUMINIO LIBRE DE COBRE CON RECUBRIMIENTO EXTERIOR DE PVC E INTERIOR DE URETANO</t>
  </si>
  <si>
    <t>3.408.</t>
  </si>
  <si>
    <t xml:space="preserve">SUMINISTRO E INSTALACIÓN DE CAJAS TIPO GUAL PARA AREAS PELIGROSAS FABRICADA EN ALUMINIO LIBRE DE COBRE CON RECUBRIMIENTO EXTERIOR DE PVC DE 40 MILÉSIMAS DE PULG. E INTERIOR DE URETANO DE 2 MILÉSIMAS DE PULG: CAJA DE REGISTRO TIPO GUAL DE 1"Ø </t>
  </si>
  <si>
    <t>3.409.</t>
  </si>
  <si>
    <t xml:space="preserve">SUMINISTRO E INSTALACIÓN DE CAJAS TIPO GUAL PARA AREAS PELIGROSAS FABRICADA EN ALUMINIO LIBRE DE COBRE CON RECUBRIMIENTO EXTERIOR DE PVC DE 40 MILÉSIMAS DE PULG. E INTERIOR DE URETANO DE 2 MILÉSIMAS DE PULG: CAJA DE REGISTRO TIPO GUAL DE ¾"Ø </t>
  </si>
  <si>
    <t>3.410.</t>
  </si>
  <si>
    <t xml:space="preserve">SUMINISTRO E INSTALACIÓN DE CAJAS TIPO GUAC PARA AREAS PELIGROSAS, FABRICADA EN ALUMINIO LIBRE DE COBRE CON RECUBRIMIENTO EXTERIOR DE PVC E INTERIOR DE URETANO: CAJA DE REGISTRO TIPO GUAC DE ¾"Ø </t>
  </si>
  <si>
    <t>3.411.</t>
  </si>
  <si>
    <t xml:space="preserve">SUMINISTRO E INSTALACIÓN DE CAJAS TIPO GUAT PARA AREAS PELIGROSAS, FABRICADA EN ALUMINIO LIBRE DE COBRE CON RECUBRIMIENTO EXTERIOR DE PVC E INTERIOR DE URETANO: CAJA DE REGISTRO TIPO GUAT DE 1½"Ø </t>
  </si>
  <si>
    <t>3.412.</t>
  </si>
  <si>
    <t xml:space="preserve">SUMINISTRO E INSTALACIÓN DE CAJAS TIPO GUAT PARA AREAS PELIGROSAS, FABRICADA EN ALUMINIO LIBRE DE COBRE CON RECUBRIMIENTO EXTERIOR DE PVC E INTERIOR DE URETANO: CAJA DE REGISTRO TIPO GUAT DE 1"Ø </t>
  </si>
  <si>
    <t>3.413.</t>
  </si>
  <si>
    <t xml:space="preserve">SUMINISTRO E INSTALACIÓN DE CAJAS TIPO GUAT PARA AREAS PELIGROSAS, FABRICADA EN ALUMINIO LIBRE DE COBRE CON RECUBRIMIENTO EXTERIOR DE PVC E INTERIOR DE URETANO: CAJA DE REGISTRO TIPO GUAT DE ¾"Ø </t>
  </si>
  <si>
    <t>3.414.</t>
  </si>
  <si>
    <t>SUMINISTRO E INSTALACIÓN COSTA FUERA DE BARRA DE CONEXIONES A TIERRA, DE COBRE ELECTROLÍTICO DE 25 ⅝" DE LARGO X 3" ANCHO X ¼" ESP, CON BARRIL AISLADOR, SOPORTES Y TORNILLERÍA DE FIJACIÓN</t>
  </si>
  <si>
    <t>SUMINISTRO E INSTALACIÓN COSTA FUERA DE CONECTOR PARA CABLE ARMADO  ALUMINIO LIBRE DE COBRE</t>
  </si>
  <si>
    <t>3.415.</t>
  </si>
  <si>
    <t>SUMINISTRO E INSTALACIÓN COSTA FUERA DE CONECTOR PARA CABLE ARMADO TIPO TMCX, RANGO 15.24 mm A 21.59 mm DE DIÁMETRO, FABRICADO EN ALUMINIO LIBRE DE COBRE, DISEÑO HEXAGONAL, PARA USO EN ÁREAS PELIGROSAS CLASE I, DIV. 2, PARA UN TAMAÑO DE BARRA DE ¾ , NPT, INCLUYE COMPUESTO SELLADOR.</t>
  </si>
  <si>
    <t>SUMINISTRO E INSTALACION DE CONECTOR A COMPRESION DERIVACION</t>
  </si>
  <si>
    <t>3.416.</t>
  </si>
  <si>
    <t>SUMINISTRO E INSTALACION COSTA FUERA DE CONECTOR A COMPRESION DERIVACION DE 2/0 AWG A 1/0 AWG DE ALEACION ALTA EN COBRE TIPO "C".</t>
  </si>
  <si>
    <t>SUMINISTRO E INSTALACIÓN COSTA FUERA DE CONECTOR DERIVADOR TIPO "YGHC-C</t>
  </si>
  <si>
    <t>3.417.</t>
  </si>
  <si>
    <t>SUMINISTRO E INSTALACIÓN COSTA FUERA DE CONECTOR DERIVADOR TIPO "YGHC-C" PARA CABLE CAL. 33.6mm2 (2 AWG) Y DERIVADO CAL. 33.6mm2 (2 AWG), MARCA BURNDY O EQUIVALENTE.</t>
  </si>
  <si>
    <t>SUMINISTRO E INSTALACIÓN DE CONECTOR GLÁNDULA DE ALUMINIO LIBRE DE COBRE TIPO MACHO</t>
  </si>
  <si>
    <t>3.418.</t>
  </si>
  <si>
    <t>SUMINISTRO E INSTALACIÓN DE CONECTOR GLÁNDULA DE ALUMINIO LIBRE DE COBRE TIPO MACHO: DE 21 MM Ø (¾")</t>
  </si>
  <si>
    <t>3.419.</t>
  </si>
  <si>
    <t>SUMINISTRO E INSTALACION DE CONECTOR PARA CABLE ARMADO TIPO GLANDULA DE ALUMINIO LIBRE DE COBRE ADECUADO PARA AREAS CLASE I DIVISION 1, GRUPOS A, B, C Y D. RANGO PARA CABLE DE 0.342 A 4.020" DE DIAMETRO CON CONEXION ROSCADA DE 21 MM (¾").</t>
  </si>
  <si>
    <t>SUMINISTRO E INSTALACIÓN COSTA FUERA DE CONECTOR MECÁNICO</t>
  </si>
  <si>
    <t>3.420.</t>
  </si>
  <si>
    <t>SUMINISTRO E INSTALACIÓN COSTA FUERA DE CONECTOR MECÁNICO A COMPRESIÓN EN FORMA DE "C" TIPO YGHC PARA LÍNEA DE COBRE PRINCIPAL, CALIBRE 2/0 AWG Y DERIVACIÓN CALIBRE 2 AWG.</t>
  </si>
  <si>
    <t>3.421.</t>
  </si>
  <si>
    <t>SUMINISTRO E INSTALACIÓN COSTA FUERA DE CONECTOR MECÁNICO A COMPRESIÓN EN FORMA DE "C" TIPO YGHC PARA LÍNEA DE COBRE PRINCIPAL, CALIBRE 2/0 AWG Y DERIVACIÓN CALIBRE 2/0 AWG.</t>
  </si>
  <si>
    <t>3.422.</t>
  </si>
  <si>
    <t>SUMINISTRO E INSTALACIÓN COSTA FUERA DE CONECTORES RECTOS CON TORNILLERIA DE ACERO INOXIDABLE A-316 PARA CHAROLA DE 6", PARA CHAROLAS EXISTENTES</t>
  </si>
  <si>
    <t xml:space="preserve">SUMINISTRO E INSTALACIÓN DE CUBIERTA DE PROTECCIÓN CONTRA LA CORROSIÓN TMC-K, </t>
  </si>
  <si>
    <t>3.423.</t>
  </si>
  <si>
    <t>SUMINISTRO E INSTALACIÓN COSTA FUERA DE CUBIERTA DE PROTECCIÓN CONTRA LA CORROSIÓN TMC-K, PARA CONECTOR TIPO TMCX, PARA CABLE ARMADO.</t>
  </si>
  <si>
    <t>SUMINISTRO E INSTALACIÓN DE SISTEMA DE SOPORTES (CHAROLA), DE FIBRA DE VIDRIO PARA CABLES. TIPO ESCALERA</t>
  </si>
  <si>
    <t>3.424.</t>
  </si>
  <si>
    <t>SUMINISTRO E INSTALACIÓN DE SISTEMA DE SOPORTES (CHAROLA), DE FIBRA DE VIDRIO PARA CABLES. TIPO ESCALERA, TRAMO RECTO DE 3.66 M. (146") DE LONGITUD, ESPACIAMIENTO ENTRE TRAVESAÑOS 30.48 MM. (12"), 6" DE PERALTE UTIL, INCLUYEN 2 CONECTORES TIPO "Z" CON TORNILLERIA DE ACERO INOXIDABLE A-316, DE 15.24 CM. (6") DE ANCHO</t>
  </si>
  <si>
    <t>3.425.</t>
  </si>
  <si>
    <t>SUMINISTRO E INSTALACION COSTA FUERA DE CHAROLA RECTA TIPO ESCALERA DE POLIESTER REFORZADO CON FIBRA DE VIDRIO AUTOEXTINGUIBLE Y PROTEGIDO CONTRA RAYOS UV DE 36" DE ANCHO, PERALTE DE 102 MM (4"), PERFIL TIPO "C".  INCLUYE 4 GRAPAS DE ACERO INOXIDABLE Y 2 CONECTORES DE 6".</t>
  </si>
  <si>
    <t>3.426.</t>
  </si>
  <si>
    <t>SUMINISTRO E INSTALACION COSTA FUERA DE CURVA HORIZONTAL DE 90  DE FIBRA DE VIDRIO, PARA CHAROLA  PORTA CABLES CON PROTECCION PARA USO EN INTEMPERIE TIPO ESCALERA DE POLIESTER REFORZADO CON FIBRA DE VIDRIO AUTOEXTINGUIBLE Y PROTEGIDO CONTRA RAYOS UV DE 36" DE ANCHO, PERALTE DE 152 MM (6"), PERFIL TIPO "C". INCLUYE 4 GRAPAS DE ACERO INOXIDABLE Y 2 CONECTORES DE 6".</t>
  </si>
  <si>
    <t>3.427.</t>
  </si>
  <si>
    <t>SUMINISTRO E INSTALACION COSTA FUERA DE CHAROLA RECTA TIPO ESCALERA DE POLIESTER REFORZADO CON FIBRA DE VIDRIO AUTOEXTINGUIBLE Y PROTEGIDO CONTRA RAYOS UV DE 36" DE ANCHO, PERALTE DE 6", PERFIL TIPO "C".á INCLUYE 4 GRAPAS DE ACERO INOXIDABLE Y 2 CONECTORES DE 6".</t>
  </si>
  <si>
    <t>3.428.</t>
  </si>
  <si>
    <t>SUMINISTRO E INSTALACION COSTA FUERA DE CHAROLA RECTA TIPO ESCALERA DE POLIESTER REFORZADO CON FIBRA DE VIDRIO AUTOEXTINGUIBLE Y PROTEGIDO CONTRA RAYOS UV DE 24" DE ANCHO, PERALTE DE 6", PERFIL TIPO "C".á INCLUYE 4 GRAPAS DE ACERO INOXIDABLE Y 2 CONECTORES DE 6".</t>
  </si>
  <si>
    <t>SUMINISTRO E INSTALACIÓN COSTA FUERA DE CURVA VERTICAL PARA CHAROLA PORTACABLES</t>
  </si>
  <si>
    <t>3.429.</t>
  </si>
  <si>
    <t>SUMINISTRO E INSTALACIÓN COSTA FUERA DE CURVA VERTICAL INTERIOR A 45°  PARA CHAROLA PORTACABLES CON PROTECCION PARA USO EN INTEMPERIE TIPO ESCALERA DE POLIESTER REFORZADO CONFIBRA DE VIDRIO AUTOEXTINGUIBLE Y PROTEGIDO CONTRA RAYOS UV DE 508 MM (20") DE ANCHO, PERALTE DE 152 MM (6"), PERFIL TIPO "C", PASO DE 152 MM (6"), RADIO 24", INCLUYE 4 GRAPAS DE ACERO INOXIDABLE Y 2 CONECTORES DE 6".</t>
  </si>
  <si>
    <t>3.430.</t>
  </si>
  <si>
    <t>SUMINISTRO E INSTALACIÓN COSTA FUERA DE CURVA VERTICAL EXTERIOR A 45°  PARA CHAROLA PORTA CABLES CON PROTECCION PARA USO EN INTEMPERIE TIPO ESCALERA DE POLIESTER REFORZADO CON FIBRA DE VIDRIO AUTOEXTINGUIBLE Y PROTEGIDO CONTRA RAYOS UV DE 508 MM (20") DE ANCHO, PERALTE DE 152 MM (6"), PERFIL TIPO "C", PASO DE 152 MM (6"), RADIO 24",  INCLUYE 4 GRAPAS DE ACERO INOXIDABLE Y 2 CONECTORES DE 6".</t>
  </si>
  <si>
    <t>3.431.</t>
  </si>
  <si>
    <t>SUMINISTRO E INSTALACIÓN COSTA FUERA DE SOPORTE PARA CABLES TIPO CHAROLA FABRICADO EN ACERO INOXIDABLE TIPO L316, TIPO MALLA ELECTRO SOLDADA, TRAMOS RECTOS DE 3 m, CON UN ANCHO DE 300mm  Y PERALTE DE 105mm.</t>
  </si>
  <si>
    <t>SUMINISTRO E INSTALACIÓN COSTA FUERA DE CHAROLA RECTA TIPO ESCALERA DE POLIESTER REFORZADO CON FIBRA DE VIDRIO AUTOEXTINGUIBLE Y PROTEGIDO CONTRA RAYOS UV</t>
  </si>
  <si>
    <t>3.432.</t>
  </si>
  <si>
    <t>SUMINISTRO E INSTALACIÓN COSTA FUERA DE CHAROLA RECTA TIPO ESCALERA DE POLIESTER REFORZADO CON FIBRA DE VIDRIO AUTOEXTINGUIBLE Y PROTEGIDO CONTRA RAYOS UV DE 508 MM (20") DE ANCHO, PERALTE DE 152 MM (6"), PERFIL TIPO "C", PASO DE 152 MM (6"), DE 3.05 M DE LONGITUD. INCLUYE 4 GRAPAS DE ACERO INOXIDABLE Y 2 CONECTORES DE 6".</t>
  </si>
  <si>
    <t>3.433.</t>
  </si>
  <si>
    <t>SUMINISTRO E INSTALACIÓN COSTA FUERA DE CHAROLA RECTA TIPO ESCALERA DE POLIESTER REFORZADO CON FIBRA DE VIDRIO AUTOEXTINGUIBLE Y PROTEGIDO CONTRA RAYOS UV DE 229 MM (9") DE ANCHO, PERALTE DE 102 MM (4"), PERFIL TIPO "C", PASO DE 229 MM (9"), DE 3.05M DE LONGITUD.  INCLUYE 4 GRAPAS DE ACERO INOXIDABLE Y 2 CONECTORES DE 6".</t>
  </si>
  <si>
    <t>SUMINISTRO  E  INSTALACIÓN  COSTA  FUERA  DE  LUMINARIA CON TECNOLOGÍA LED DE 43 WATTS, PARA OPERAR A 220 V, 60 HZ.</t>
  </si>
  <si>
    <t>3.434.</t>
  </si>
  <si>
    <t>3.435.</t>
  </si>
  <si>
    <t>SUMINISTRO  E  INSTALACIÓN  COSTA  FUERA DE LUMINARIA CON TECNOLOGÍA LED DE 43 WATTS, PARA OPERAR A 220 V, 60 HZ, TEMPERATURA DE COLOR 5000 K (BLANCO FRÍO), ÓPTICA TIPO III. FABRICADO EN ALUMINIO FUNDIDO CON RECUBRIMIENTO EXTERIOR DE PVC, LENTE DE VIDRIO RESISTENTE AL CALOR Y AL IMPACTO. TEMPERATURA DE OPERACIÓN T5. EMPAQUES DE SILICÓN, TORNILLERÍA EXTERNA DE ACERO INOXIDABLE, SELLADA DE FÁBRICA. PARA OPERAR EN AMBIENTE SALINO Y CORROSIVO, Y EN ÁREAS CLASIFICADAS COMO CLASE I, DIVISIÓN 2, GRUPOS C Y D. TIPO DE MONTAJE EMPOTRADO EN MURO. INCLUYE TORNILLOS DE CABEZA HEXAGONAL DE ACERO GALVANIZADO DE ¼"  DIAMETRO x 1½" DE LONGITUD, CON ROLDANA PLANA Y DE PRESIÓN PARA SUJECIÓN.</t>
  </si>
  <si>
    <t>3.436.</t>
  </si>
  <si>
    <t>SUMINISTRO  E  INSTALACIÓN  COSTA  FUERA DE LUMINARIA CON TECNOLOGÍA LED DE 43 WATTS, PARA OPERAR A 220 V, 60 HZ, TEMPERATURA DE COLOR 5000 K (BLANCO FRÍO), ÓPTICA TIPO III. FABRICADO EN ALUMINIO FUNDIDO CON RECUBRIMIENTO EXTERIOR DE PVC, LENTE DE VIDRIO RESISTENTE AL CALOR Y AL IMPACTO. TEMPERATURA DE OPERACIÓN T5. EMPAQUES DE SILICÓN, TORNILLERÍA EXTERNA DE ACERO INOXIDABLE, SELLADA DE FÁBRICA. PARA OPERAR EN AMBIENTE SALINO Y CORROSIVO, Y EN ÁREAS CLASIFICADAS COMO CLASE I, DIVISIÓN 2, GRUPOS C Y D. TIPO DE MONTAJE EN POSTE A 25 , ENTRADA ROSCADA DE 1-½ .</t>
  </si>
  <si>
    <t>3.437.</t>
  </si>
  <si>
    <t>SUMINISTRO E INSTALACIÓN COSTA FUERA DE LUMINARIA TIPO REFLECTOR CON TECNOLOGÍA LED DE 62 WATTS, PARA OPERAR A 220 V c.a., 60 Hz, TEMPERATURA DE COLOR 5000 K (BLANCO FRÍO). FABRICADO EN ALUMINIO LIBRE DE COBRE CON RECUBRIMIENTO EXTERIOR DE PVC, ENTRADA ROSCADA  DE  21mm    DIAMETRO  (¾  )  LENTE DE VIDRIO RESISTENTE AL CALOR Y AL IMPACTO. TEMPERATURA DE OPERACIÓN T4.  EMPAQUES DE SILICÓN, CAJA EXTERNA DE ACERO INOXIDABLE CON SOPORTE TIPO  U , SELLADA DE FÁBRICA, INCLUYE GUARDA. PARA OPERAR EN AMBIENTE SALINO Y CORROSIVO, Y EN ÁREAS CLASIFICADAS COMO CLASE I, DIVISIÓN 2, GRUPOS C Y D EMPOTRADA EN VIGA O COLUMNA. INCLUYE TORNILLOS DE CABEZA HEXAGONAL DE ACERO GALVANIZADO DE ¼"  DIAMETRO x 1½" DE LONGITUD, CON ROLDANA PLANA Y DE PRESIÓN.</t>
  </si>
  <si>
    <t>3.438.</t>
  </si>
  <si>
    <t>SUMINISTRO E INSTALACIÓN COSTA FUERA DE LUMINARIA CON TECNOLOGÍA LED DE 56 WATTS, PARA OPERAR A 127 V, 60 Hz, TEMPERATURA DE COLOR 6500 K (BLANCO FRIO). FABRICADO EN CUERPO LIBRE DE COBRE, CON TAPAS LATERALES, DIFUSOR DE VIDRIO RESISTENTE AL CALOR Y AL IMPACTO. TORNILLERÍA Y HERRAJES DE ACERO INOXIDABLE. TEMPERATURA DE OPERACIÓN T5. PARA OPERAR EN AMBIENTE SALINO Y CORROSIVO, Y EN ÁREAS CLASIFICADAS CLASE I, DIV. 2, GRUPOS A, B, C Y D.  TIPO DE MONTAJE EN TECHO.</t>
  </si>
  <si>
    <t>3.439.</t>
  </si>
  <si>
    <t>SUMINISTRO E INSTALACIÓN COSTA FUERA DE LUMINARIA CON TECNOLOGÍA LED DE 56 WATTS, PARA OPERAR A 127  V, 60 Hz, TEMPERATURA DE COLOR 6500 K (BLANCO FRIO). FABRICADO EN CUERPO LIBRE DE COBRE, CON TAPAS LATERALES, DIFUSOR DE VIDRIO RESISTENTE AL CALOR Y AL IMPACTO.  TORNILLERÍA  Y  HERRAJES  DE  ACERO  INOXIDABLE. TEMPERATURA DE OPERACIÓN T5. PARA OPERAR EN AMBIENTE SALINO Y CORROSIVO, Y EN ÁREAS CLASIFICADAS CLASE I, DIV. 2, GRUPOS A, B, C Y D.  INCLUYE BATERÍA DE RESPALDO DE 90 MINUTOS. TIPO DE MONTAJE EN TECHO.</t>
  </si>
  <si>
    <t>SUMINISTRO E INSTALACIÓN DE REDUCCIÓN BUSHING A PRUEBA DE EXPLOSIÓN, DE ALUMINIO LIBRE DE COBRE.</t>
  </si>
  <si>
    <t>3.440.</t>
  </si>
  <si>
    <t>SUMINISTRO E INSTALACIÓN DE REDUCCIÓN BUSHING A PRUEBA DE EXPLOSIÓN, DE ALUMINIO LIBRE DE COBRE: DE 27 MM. (1") Ø A 15 MM. (½") Ø</t>
  </si>
  <si>
    <t>3.441.</t>
  </si>
  <si>
    <t>SUMINISTRO E INSTALACIÓN DE REDUCCIÓN BUSHING A PRUEBA DE EXPLOSIÓN, DE ALUMINIO LIBRE DE COBRE: DE 41MM (1½") A 21MM (¾") Ø</t>
  </si>
  <si>
    <t>SUMINISTRO E INSTALACION DE REDUCCION CAMPANA DE 19 MM. DE ALUMINIO LIBRE DE COBRE CON RECUBRIMIENTO EXTERIOR DE PVC</t>
  </si>
  <si>
    <t>3.442.</t>
  </si>
  <si>
    <t>SUMINISTRO E INSTALACIÓN COSTA FUERA DE REDUCCIÓN CAMPANA DE ALUMINIO LIBRE DE COBRE CON RECUBRIMIENTO EXTERIOR DE PVC DE 40 MIL. DE PULG.  E INTERIOR DE URETANO DE 2 MIL DE PULG. DE ESPESOR, DEBERÁ CUMPLIR DE ACUERDO A NEMA RN1, DE 41 A 21 mm (1½" A ¾")  DIAMETRO.</t>
  </si>
  <si>
    <t>SUMINISTRO E INSTALACIÓN DE SELLO DE ALUMINIO LIBRE DE COBRE CON RECUBRIMIENTO EXTERIOR DE PVC Y RECUBRIMIENTO INTERIOR DE URETANO, MACHO-HEMBRA TIPO EYS, PARA SELLAR TUBERÍA A CUALQUIER POSICIÓN CLASE I, DIVISIÓN 1 Y 2 GRUPOS A, B, C Y D. A PRUEBA DE EXPLOSIÓN.</t>
  </si>
  <si>
    <t>3.443.</t>
  </si>
  <si>
    <t>SUMINISTRO E INSTALACIÓN DE SELLO DE ALUMINIO LIBRE DE COBRE CON RECUBRIMIENTO EXTERIOR DE PVC Y RECUBRIMIENTO INTERIOR DE URETANO, MACHO-HEMBRA TIPO EYS, A PRUEBA DE EXPLOSIÓN: DE 21 MM. (¾") Ø</t>
  </si>
  <si>
    <t>3.444.</t>
  </si>
  <si>
    <t>SUMINISTRO E INSTALACIÓN DE SELLO DE ALUMINIO LIBRE DE COBRE CON RECUBRIMIENTO EXTERIOR DE PVC Y RECUBRIMIENTO INTERIOR DE URETANO, MACHO-HEMBRA TIPO EYS, A PRUEBA DE EXPLOSIÓN: DE 27 MM. (1") Ø</t>
  </si>
  <si>
    <t>3.445.</t>
  </si>
  <si>
    <t>SUMINISTRO E INSTALACIÓN DE SELLO DE ALUMINIO LIBRE DE COBRE CON RECUBRIMIENTO EXTERIOR DE PVC Y RECUBRIMIENTO INTERIOR DE URETANO, MACHO-HEMBRA TIPO EYS, A PRUEBA DE EXPLOSIÓN: DE 41 MM. (1½") Ø</t>
  </si>
  <si>
    <t>SUMINISTRO E INSTALACIÓN DE TUERCA UNIÓN MACHO-HEMBRA A PRUEBA DE EXPLOSIÓN, DE ALUMINIO LIBRE DE COBRE CON RECUBRIMIENTO EXTERNO DE PVC E INTERNO DE URETANO.</t>
  </si>
  <si>
    <t>3.446.</t>
  </si>
  <si>
    <t>SUMINISTRO E INSTALACIÓN DE TUERCA UNIÓN MACHO-HEMBRA A PRUEBA DE EXPLOSIÓN, DE ALUMINIO LIBRE DE COBRE CON RECUBRIMIENTO EXTERNO DE PVC E INTERNO DE URETANO: DE 21 MM. (¾") Ø</t>
  </si>
  <si>
    <t>3.447.</t>
  </si>
  <si>
    <t xml:space="preserve">SUMINISTRO E INSTALACIÓN DE TUERCA UNIÓN MACHO-HEMBRA A PRUEBA DE EXPLOSIÓN, DE ALUMINIO LIBRE DE COBRE CON RECUBRIMIENTO EXTERNO DE PVC E INTERNO DE URETANO: DE 27MM (1") Ø. </t>
  </si>
  <si>
    <t>3.448.</t>
  </si>
  <si>
    <t>SUMINISTRO E INSTALACIÓN DE TUERCA UNIÓN MACHO-HEMBRA A PRUEBA DE EXPLOSIÓN, DE ALUMINIO LIBRE DE COBRE CON RECUBRIMIENTO EXTERNO DE PVC E INTERNO DE URETANO: DE 41MM (1½") Ø</t>
  </si>
  <si>
    <t>SUMINISTRO E INSTALACION DE CONECTOR A COMPRESIÓN TIPO ZAPATA DE COBRE ELECTROLÍTICO</t>
  </si>
  <si>
    <t>3.449.</t>
  </si>
  <si>
    <t>SUMINISTRO E INSTALACIÓN COSTA FUERA DE CONECTOR A COMPRESIÓN TIPO ZAPATA DE COBRE ELECTROLÍTICO ESTAÑADO DE CAÑÓN CORTO PARA UNA IDENTACIÓN CON UN BARRENO PARA CABLE 33.6MM  (2 AWG), INCLUYE: TORNILLO DE CABEZA HEXAGONAL EN MATERIAL DE BRONCE AL SILICIO DE 7.9 MM (5/16") DE DIÁMETRO POR 25MM (1") DE LONGITUD, TUERCA Y ROLDANAS PLANA Y DE PRESIÓN</t>
  </si>
  <si>
    <t>3.450.</t>
  </si>
  <si>
    <t>SUMINISTRO E INSTALACION COSTA FUERA DE CONECTOR MECANICO A COMPRESION DE COBRE ELECTROLICO ESTAÑADOS, TIPO ZAPATA DE BARRIL LARGO PARA CABLE DE 2 AWG, CON UN BARRENO PARA TORNILLOS DE ⅜" DE DIAMETRO. INCLUYE TORNILLO DE CABEZA HEXAGONAL EN MATERIAL BRONCE DE ⅜"Ø x 1½" LONGITUD CON TUERCA Y ROLDANAS PLANA Y DE PRESIÓN</t>
  </si>
  <si>
    <t>SUMINISTRO E INSTALACION DE TAPON FUSIBLE DE 75°C DE FUNDICION DE AC. INOX. 316</t>
  </si>
  <si>
    <t>3.451.</t>
  </si>
  <si>
    <t>SUMINISTRO E INSTALACION DE TAPON FUSIBLE DE ⅜"OD. DE 75°C DE FUNDICION DE AC. INOX. 316 CON CONEXION A TUBING. NO INCLUYE TRANSPORTE COSTA AFUERA</t>
  </si>
  <si>
    <t xml:space="preserve">SUMINISTRO E INSTALACIÓN DE TUBERÍA CONDUIT DE ALUMINIO CEDULA 40 CON RECUBRIMIENTO EXTERIOR DE PVC DE 40 MILÉSIMAS DE PULG. E INTERIOR DE URETANO DE 2 MILÉSIMAS DE PULG. </t>
  </si>
  <si>
    <t>3.452.</t>
  </si>
  <si>
    <t xml:space="preserve">SUMINISTRO E INSTALACIÓN DE TUBERÍA CONDUIT DE ALUMINIO CEDULA 40 CON RECUBRIMIENTO EXTERIOR DE PVC E INTERIOR DE URETANO: TUBERIA CONDUIT DE 1½"Ø </t>
  </si>
  <si>
    <t>3.453.</t>
  </si>
  <si>
    <t xml:space="preserve">SUMINISTRO E INSTALACIÓN DE TUBERÍA CONDUIT DE ALUMINIO CEDULA 40 CON RECUBRIMIENTO EXTERIOR DE PVC E INTERIOR DE URETANO: TUBERIA CONDUIT DE 1"Ø </t>
  </si>
  <si>
    <t>3.454.</t>
  </si>
  <si>
    <t xml:space="preserve">SUMINISTRO E INSTALACIÓN DE TUBERÍA CONDUIT DE ALUMINIO CEDULA 40 CON RECUBRIMIENTO EXTERIOR DE PVC E INTERIOR DE URETANO: TUBERIA CONDUIT DE ¾"Ø </t>
  </si>
  <si>
    <t>SUMINISTRO E INSTALACION DE MEDIA CAÑA DE ELASTOMERO DE POLIURETANO</t>
  </si>
  <si>
    <t>3.455.</t>
  </si>
  <si>
    <t>SUMINISTRO E INSTALACION DE MEDIA CAÑA DE ELASTOMERO DE POLIURETANO DE 9 MM DE ESPESOR PARA TUBERIA DE 4" DIAM.</t>
  </si>
  <si>
    <t>3.456.</t>
  </si>
  <si>
    <t>SUMINISTRO E INSTALACION DE MEDIA CAÑA DE POLIURETANO DE 120º, 300 MM LONG. Y 10 MM. DE ESPESOR PARA TUBERÍA DE 2" Ø. NO INCLUYE TRANSPORTE COSTA AFUERA.</t>
  </si>
  <si>
    <t>SUMINISTRO E INSTALACION COSTA FUERA DE NEOPRENO</t>
  </si>
  <si>
    <t>3.457.</t>
  </si>
  <si>
    <t>SUMINISTRO E INSTALACIÓN DE NEOPRENO DE ½" DE 1 M X 1 M</t>
  </si>
  <si>
    <t>3.458.</t>
  </si>
  <si>
    <t>SUMINISTRO E INSTALACION COSTA FUERA DE NEOPRENO DE 1" DE ESPESOR.</t>
  </si>
  <si>
    <t>3.459.</t>
  </si>
  <si>
    <t>SUMINISTRO E INSTALACION COSTA FUERA DE NEOPRENO DE ¼" DE ESPESOR.</t>
  </si>
  <si>
    <t>SUMINISTRO E INSTALACION DE MATERIALES ARQUITECTONICOS</t>
  </si>
  <si>
    <t>3.460.</t>
  </si>
  <si>
    <t>SUMINISTRO Y COLOCACION DE PISO FALSO A BASE DE PANELES O PLACAS REMOVIBLES E INTERCAMBIABLES, SOPORTADOS POR PEDESTALES AJUSTABLES Y TRAVESAÑOS QUE PERMITAN FORMAR UNA ESTRUCTURA QUE SE INTERCONECTA TOTALMENTE. LOS PANELES SERAN DE 61 X 61 CM. APROXIMADAMENTE X 2.8 CM. DE ESPESOR, CON UN NUCLEO DE AGLOMERADO DE MADERA ALTA RESISTENCIA, PRENSADO DENTRO DE UNA CHAROLA TROQUELADA EN LAMINA DE ACERO GALVANIZADO CALIBRE NO.22, CON CANALES PERIMETRALES DE ACERO GALVANIZADO CALIBRE NO. 24</t>
  </si>
  <si>
    <t>3.461.</t>
  </si>
  <si>
    <t>SUMINISTRO Y COLOCACION DE MURO INTERIOR, A BASE DE PANELES SIN CARGA CON UN ESPESOR DE 4", CON NUCLEO DE LANA MINERAL CON UNA DENSIDAD DE 100 A 200 KG. /M3, Y CHAPA DE ACERO GALVANIZADO CALIBRE 22, CLASIFICACION A60 (PANEL CON RESISTENCIA AL FUEGO DE 1 HORA) CON ACABADO EXTERIOR EN PELICULA DE PVC DE 150 MICRAS DE ESPESOR EN AMBAS CARAS</t>
  </si>
  <si>
    <t>3.462.</t>
  </si>
  <si>
    <t>SUMINISTRO Y COLOCACION DE AISLANTE TERMOACUSTICO, SE DEBERA SUMINISTRAR E INSTALAR POR LA CARA INTERIOR DE LA PLACA UNA CAPA DE AISLAMIENTO DE 4" DE ESPESOR DE LANA MINERAL INCOMBUSTIBLE DE 100 KG. /M3 CON FORRO DE ALUMINIO REFORZADO. LAS CRESTAS INTERIORES DE LA PLACA DEBERAN SER RELLENADAS DEL MISMO MATERIAL DE LANA MINERAL, PARA POSTERIORMENTE APLICAR LA CAPA DE 4". TODAS LAS UNIONES DEBEN SER ESCALONADAS Y SE DEBE APLICAR CINTA DE ALUMINIO DE 75 MM EN LAS UNIONES</t>
  </si>
  <si>
    <t>3.463.</t>
  </si>
  <si>
    <t>SUMINISTRO E INSTALACION DE FALSO PLAFON A BASE DE PLACAS REMOVIBLES DE FIBRA MINERAL DE 61 X 61 CM. Y 1.9 CM. APROXIMADAMENTE CON TEXTURA MEDIANA, PARA LINEA DE SOMBRA EN BASTIDOR VISIBLE, CLASIFICADA CON RESISTENCIA AL FUEGO PARA UNA HORA Y RESISTENCIA A LA HUMEDAD, INCLUYENDO SUSPENSION VISIBLE, COLGANTES, CORREDERAS, T PRINCIPALES, ETC</t>
  </si>
  <si>
    <t>SUMINISTRO Y APLICACIÓN COSTA FUERA DE SISTEMA IMPERMEABILIZANTE PREFABRICADO "FESTERMIP APP PS 3.0mm LISO"</t>
  </si>
  <si>
    <t>3.464.</t>
  </si>
  <si>
    <t>SUMINISTRO Y APLICACIÓN COSTA FUERA DE SISTEMA IMPERMEABILIZANTE PREFABRICADO "FESTERMIP APP PS 3.0mm LISO", CON MANTO IMPERMEABLE (MIP) CON REFUERZO DE POLIESTER DE  ACABADO LISO, DE RÁPIDA APLICACIÓN, MANUFACTURADO CON ASFALTO MODIFICADO CON POLIPROPILENO ATACTICO (APP) REFORZADO INTERNAMENTE CON UNA MEMBRANA DE POLIÉSTER. AL COLOCARSE CON FLAMA DIRECTA FORMA UN MANTO HERMÉTICO DE ALTA DURABILIDAD, INCLUYE PRIMER Y COLOCACION DE ACUERDO A LAS INSTRUCCIONES DEL FABRICANTE.</t>
  </si>
  <si>
    <t>APLICACIÓN DE RECUBRIMIENTO PRIMARIO EPOXICO-POLIAMIDA DE DOS COMPONENTES RP-6 MODIFICADO (UNA CAPA DE 2 A 3 MILÉSIMAS DE PULGADA DE ESPESOR) , APLICACIÓN POR ASPERSIÓN, INCLUYE: LIMPIEZA DE LA SUPERFICIE MANUAL MECANICA, MATERIALES DE CONSUMO, PINTURA, SOLVENTES, LIMPIEZA DEL ÁREA DE TRABAJO. PARA APLICARLO EN RESANES DE TUBERÍA, CODOS, TEES, REDUCCIONES ETC. DE DIFERENTES DIÁMETROS, ASI COMO EN VIGAS, ANGULOS, SOLERAS ETC.</t>
  </si>
  <si>
    <t>3.465.</t>
  </si>
  <si>
    <t>3.466.</t>
  </si>
  <si>
    <t>APLICACIÓN DE ACABADO POLISILOXANO EPÓXICO O ACRÍLICO DE DOS COMPONENTES ALTOS SÓLIDOS DE ALTA RESISTENCIA RA-35. A UNA CAPA DE 100 MICRAS DE ESPESOR  DE ACUERDO A NORMA DE REFERENCIA NRF-295-PEMEX-2013, INCLUYE MATERIALES DE CONSUMO, PINTURA, SOLVENTES, LIMPIEZA DEL ÁREA DE TRABAJO, PARA APLICARLO EN TUBERÍA, CODOS, TEES, REDUCCIONES ETC. DE DIFERENTES DIÁMETROS, ASI COMO EN VIGAS, ANGULOS, SOLERAS ETC.</t>
  </si>
  <si>
    <t>3.467.</t>
  </si>
  <si>
    <t>APLICACIÓN COSTA FUERA DE RECUBRIMIENTO ESPECIFICACION PEMEX RA-35 ACABADO POLISILOXANO O ACRÍLICO DE DOS COMPONENTES ALTOS SÓLIDOS DE ALTA RESISTENCIA DOS CAPAS DE 75-100 MICRÓMETROS POR CAPA SECA. PARA ROTULACIÓN POR ASPERSIÓN</t>
  </si>
  <si>
    <t>SUMINISTRO E INSTALACIÓN COSTA FUERA DE ZOCLO VINILICO</t>
  </si>
  <si>
    <t>3.468.</t>
  </si>
  <si>
    <t>SUMINISTRO E INSTALACIÓN COSTA FUERA DE ZOCLO VINILICO DE 102mm DE ALTURA EN COLOR  CAFE OBSCURO, INCLUYE FIJACIÓN CON ADHESIVO.</t>
  </si>
  <si>
    <t xml:space="preserve">LEVANTAMIENTO DE CAMPO </t>
  </si>
  <si>
    <t>3.469.</t>
  </si>
  <si>
    <t>LEVANTAMIENTO EN CAMPO CON EQUIPO DE ESCANEO LÁSER (GENERACION DE NUBES DE PUNTOS), DEBE INCLUIR EQUIPO Y PERSONAL PARA SU OPERACIÓN, ASI COMO PERSONAL DE SEGURIDAD. (INCLUYE PERSONAL, EQUIPO Y SOFTWARE)</t>
  </si>
  <si>
    <t>H-H</t>
  </si>
  <si>
    <t>3.470.</t>
  </si>
  <si>
    <t>LEVANTAMIENTO EN CAMPO CON PERSONAL ESPECIALISTA, INCLUYE HERRAMIENTA MENOR Y EQUIPO DE PROTECCION PERSONAL. (INCLUYE PERSONAL, EQUIPO (LAPTOP) Y SOFTWARE).</t>
  </si>
  <si>
    <t>3.471.</t>
  </si>
  <si>
    <t>INTEGRACIÓN DE LA NUBE DE PUNTOS OBTENIDA DURANTE LOS LEVANTAMIENTOS EN CAMPO CON EL EQUIPO DEL EQUIPO DE ESCANEO LÁSER. (INCLUYE PERSONAL, EQUIPO (WS) Y SOFTWARE)</t>
  </si>
  <si>
    <t>3.472.</t>
  </si>
  <si>
    <t>PROCESAMIENTO DE LA NUBE DE PUNTOS INTEGRADA (ELABORACIÓN DE PRIMITIVO) PARA LA OBTENCIÓN DE INFORMACIÓN. (INCLUYE PERSONAL, EQUIPO (WS) Y SOFTWARE)</t>
  </si>
  <si>
    <t>3.473.</t>
  </si>
  <si>
    <t>MODELADO TRIDIMENSIONAL INTELIGENTE UTILIZANDO EL SOFTWARE DE "PDMS". (INCLUYE PERSONAL, EQUIPO Y SOFTWARE)</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</si>
  <si>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</si>
  <si>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</si>
  <si>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</si>
  <si>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</si>
  <si>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</si>
  <si>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</si>
  <si>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</si>
  <si>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</si>
  <si>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</si>
  <si>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</si>
  <si>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</si>
  <si>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</si>
  <si>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</si>
  <si>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</si>
  <si>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</si>
  <si>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</si>
  <si>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</si>
  <si>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</si>
  <si>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</si>
  <si>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</si>
  <si>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</si>
  <si>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</si>
  <si>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</si>
  <si>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</si>
  <si>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</si>
  <si>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</si>
  <si>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</si>
  <si>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</si>
  <si>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</si>
  <si>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</si>
  <si>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</si>
  <si>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</si>
  <si>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</si>
  <si>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</si>
  <si>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</si>
  <si>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</si>
  <si>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</si>
  <si>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</si>
  <si>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</si>
  <si>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</si>
  <si>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</si>
  <si>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</si>
  <si>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CORTE EN FRIO DE TUBERÍAS DE ACERO AL CARBONO CON UNIDAD DE PIEZA DE BAJA PRODUCCIÓN DE CHISPAS.</t>
  </si>
  <si>
    <t>3.516.</t>
  </si>
  <si>
    <t xml:space="preserve">1" Ø CED. 80 (GALV.) </t>
  </si>
  <si>
    <t>3.517.</t>
  </si>
  <si>
    <t>3.518.</t>
  </si>
  <si>
    <t xml:space="preserve">2" Ø CED. 80 (GALV.) </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</si>
  <si>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</si>
  <si>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</si>
  <si>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</si>
  <si>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</si>
  <si>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</si>
  <si>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</si>
  <si>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</si>
  <si>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</si>
  <si>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</si>
  <si>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</si>
  <si>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</si>
  <si>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</si>
  <si>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</si>
  <si>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</si>
  <si>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</si>
  <si>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</si>
  <si>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</si>
  <si>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</si>
  <si>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</si>
  <si>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</si>
  <si>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</si>
  <si>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</si>
  <si>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</si>
  <si>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</si>
  <si>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</si>
  <si>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</si>
  <si>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</si>
  <si>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</si>
  <si>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</si>
  <si>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</si>
  <si>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</si>
  <si>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</si>
  <si>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</si>
  <si>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</si>
  <si>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</si>
  <si>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</si>
  <si>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</si>
  <si>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</si>
  <si>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</si>
  <si>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</si>
  <si>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</si>
  <si>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</si>
  <si>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</si>
  <si>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</si>
  <si>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</si>
  <si>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</si>
  <si>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</si>
  <si>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</si>
  <si>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</si>
  <si>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</si>
  <si>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</si>
  <si>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</si>
  <si>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</si>
  <si>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</si>
  <si>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</si>
  <si>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</si>
  <si>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</si>
  <si>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</si>
  <si>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</si>
  <si>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</si>
  <si>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</si>
  <si>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</si>
  <si>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</si>
  <si>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</si>
  <si>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</si>
  <si>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</si>
  <si>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</si>
  <si>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</si>
  <si>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</si>
  <si>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</si>
  <si>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</si>
  <si>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</si>
  <si>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</si>
  <si>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</si>
  <si>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</si>
  <si>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</si>
  <si>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</si>
  <si>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</si>
  <si>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</si>
  <si>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</si>
  <si>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</si>
  <si>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LIQUIDOS PENETRANTES</t>
  </si>
  <si>
    <t>INSPECCION DE SOLDADURA MEDIANTE PRUEBAS NO DESTRUCTIVAS</t>
  </si>
  <si>
    <t>3.600.</t>
  </si>
  <si>
    <t>INSPECCION DE SOLDADURA MEDIANTE PRUEBAS NO DESTRUCTIVAS DE ½" A 2" DE DIAMETRO</t>
  </si>
  <si>
    <t>3.601.</t>
  </si>
  <si>
    <t>3.602.</t>
  </si>
  <si>
    <t>3.603.</t>
  </si>
  <si>
    <t>3.604.</t>
  </si>
  <si>
    <t>3.605.</t>
  </si>
  <si>
    <t>RADIOGRAFIADO DE JUNTAS SOLDADAS</t>
  </si>
  <si>
    <t>INSPECCIÓN RADIOGRÁFICA DE JUNTAS SOLDABLES A TOPE EN CONEXIONES Y TUBERÍAS</t>
  </si>
  <si>
    <t>3.606.</t>
  </si>
  <si>
    <t>INSPECCIÓN RADIOGRÁFICA DE JUNTAS SOLDABLES A TOPE DE 1" A 4" DIAM</t>
  </si>
  <si>
    <t>3.607.</t>
  </si>
  <si>
    <t>3.608.</t>
  </si>
  <si>
    <t>3.609.</t>
  </si>
  <si>
    <t>3.610.</t>
  </si>
  <si>
    <t>3.611.</t>
  </si>
  <si>
    <t>3.612.</t>
  </si>
  <si>
    <t>3.613.</t>
  </si>
  <si>
    <t>3.614.</t>
  </si>
  <si>
    <t>3.615.</t>
  </si>
  <si>
    <t>3.616.</t>
  </si>
  <si>
    <t>INSPECCION ULTRASONICA DE JUNTAS SOLDABLES A TOPE EN CONEXIONES Y TUBERÍAS DE 48" DIAM</t>
  </si>
  <si>
    <t>3.617.</t>
  </si>
  <si>
    <t>INSPECCIÓN ULTRASÓNICA COSTA FUERA DE JUNTAS SOLDABLES EN PERFILES ESTRUCTURALES</t>
  </si>
  <si>
    <t>3.618.</t>
  </si>
  <si>
    <t>INSPECCION DE ESPESORES POR ULTRASÓNIDO EN TUBERIAS O RECIPIENTES</t>
  </si>
  <si>
    <t>3.619.</t>
  </si>
  <si>
    <t>INSPECCION DE SOLDADURA MEDIANTE PRUEBAS NO DESTRUCTIVAS (LIQUIDOS PENETRANTES) EN PERFILES ESTRUCTURALES COSTA FUERA.</t>
  </si>
  <si>
    <t>3.620.</t>
  </si>
  <si>
    <t>MEDICION DE PRUEBA DE DUREZA EN JUNTA DE 20" A 30" DE DIAMETRO.</t>
  </si>
  <si>
    <t>3.621.</t>
  </si>
  <si>
    <t>MEDICION DE PRUEBA DE DUREZA EN JUNTA DE 14" A 18" DE DIAMETRO.</t>
  </si>
  <si>
    <t>SUMINISTRO, CARGA, ACARREO E INSTALACIÓN COSTA FUERA DE ANODO DE SACRIFICIO</t>
  </si>
  <si>
    <t>3.622.</t>
  </si>
  <si>
    <t>SUMINISTRO, CARGA, ACARREO E INSTALACIÓN COSTA FUERA DE ANODO DE SACRIFICIO EN ALUMINIO TRAPEZOIDAL TIPO "A" DE 90°, CON NUCLEO DE ACERO DE 4" DE DIAMETRO CEDULA 80  DE 725 LBS (328.86 KG) X 2.438 M LONGITUD.</t>
  </si>
  <si>
    <t>SUMINISTRO E INSTALACION DE BOQUILLAS ASPERSORAS DE AGUA CONTRAINCENDIO</t>
  </si>
  <si>
    <t>3.623.</t>
  </si>
  <si>
    <t>SUMINISTRO E INSTALACIÓN DE BOQUILLAS ASPERSORAS DE AGUA CONTRAINCENDIO CONO DE 120º, GASTO MÍNIMO DE 20 GPM DE 1" Ø, LAS BOQUILLAS ASPERSORAS DE AGUA CONTRA INCENDIO SE DEBEN INSTALAR DE ACUERDO CON LO INDICADO EN LOS PLANOS DE LOCALIZACIÓN DE EQUIPOS, SEGÚN LAS ESPECIFICACIONES Y DETALLES CONSTRUCTIVOS CORRESPONDIENTES.</t>
  </si>
  <si>
    <t>3.624.</t>
  </si>
  <si>
    <t>SUMINISTRO E INSTALACION DE BOQUILLA ASPERSORA DE FLUJO CONSTANTE TIPO CONO LLENO DE 38 MM (1½") DE DIÁMETRO NOMINAL DE CONEXIÓN, CONSTRUIDAS EN BRONCE ASTM B-62, CONEXIÓN ROSCADA CUERDA MACHO NPT, CON UN GASTO A MANEJAR 473 LPM @ 6.9BAR (125GPM @100PSI), ÁNGULO DE CONO DE APERTURA 120°, ADECUADAS PARA MANEJAR AGUA DE MAR. LAS BOQUILLAS DEBEN ESTAR APROBADAS PARA UN SERVICIO DE AGUA CONTRAINCENDIO POR UL Y/O FM, NO INCLUYE TRANSPORTE COSTA AFUERA, NI PROTECCION ANTICORROSIVA.</t>
  </si>
  <si>
    <t>SUMINISTRO E INSTALACIÓN COSTA FUERA DE EXTINTOR PORTÁTIL DE POLVO QUÍMICO SECO A BASE DE BICARBONATO DE POTASIO</t>
  </si>
  <si>
    <t>3.625.</t>
  </si>
  <si>
    <t>SUMINISTRO E INSTALACIÓN COSTA FUERA DE EXTINTOR PORTÁTIL DE POLVO QUÍMICO SECO A BASE DE BICARBONATO DE POTASIO (PURPLE  K ), CLASIFICACIÓN UL 120: BC, TIPO PRESIÓN CONTENIDA A BASE DE NITRÓGENO GRADO INDUSTRIAL, DE LARGO ALCANCE,  CAPACIDAD NOMINAL DE 20 LB (9 Kg.), TIEMPO DE DESCARGA DE 8 A 25 SEG. DE ACUERDO A LO INDICADO EN LA TABLA H.2 DEL ESTÁNDAR NFPA 10 EDICIÓN 2012. ALCANCE DE DESCARGA 2.43   3.65 m (8-12 PIES). INCLUYE SOPORTE DE LÍNEA FABRICADO EN ACERO CON RECUBRIMIENTO EPOXICO.</t>
  </si>
  <si>
    <t>3.626.</t>
  </si>
  <si>
    <t>SUMINISTRO  E INSTALACIÓN COSTA FUERA DE EXTINTOR PORTATIL CLASIFICACIÓN UL 10 B:C, TIPO DE AGENTE EXTINGUIDOR BIÓXIDO DE CARBONO, MÉTODO DE OPERACIÓN PRESIÓN CONTENIDA, CAPACIDAD DEL AGENTE EXTINGUIDOR 6.8 KG. (15 LB.), SUPERFICIE MÍNIMA A EXTINGUIR 3 M2 (32 PIES 2), EL TIEMPO DE DESCARGA PARA LOS EXTINTORES DE CO2 SERÁ EN EL RANGO DE 8 A 30 SEG., DE ACUERDO A LO INDICADO EN LA TABLA H.2 DEL ESTÁNDAR NFPA 10 EDICIÓN 2012. ALCANCE DE DESCARGA DE 0.3  A 2.5 M (3-8 FT). INCLUYE SOPORTE DE LINEA FABRICADO EN ACERO CON RECUBRIMIENTO EPOXICO.</t>
  </si>
  <si>
    <t>SU MINISTRO  E  INSTALACIÓN  COSTA FUERA DE AROS SALVAVIDAS DE  MATERIAL DE ESPUMA PLÁSTICA DE POLIESTIRENO</t>
  </si>
  <si>
    <t>3.627.</t>
  </si>
  <si>
    <t>SUMINISTRO  E  INSTALACIÓN  COSTA FUERA DE AROS SALVAVIDAS DE  MATERIAL DE ESPUMA PLÁSTICA DE POLIESTIRENO, CON CUBIERTA DE POLIETILENO DE ALTA RESISTENCIA, CON DIÁMETRO EXTERIOR NO MAYOR A 31.5 PULGADAS (800 MM) E INTERIOR NO MENOR DE 15.75 PULGADAS (400 MM), CON CABLE DE VIDA DE 30  METROS TIPO MONOFILAMENTO DE POLIPROPILENO DE ⅜ IN. DE DIÁMETRO Y RESISTENCIA A LA ROTURA DE 5 KN, DE COLOR NARANJA INTERNACIONAL, CON GUIRNALDAS EXTERIORES, CINTAS REFLECTIVAS. Y SEÑAL FUMÍGENA DE NCENDIDO AUTOMÁTICO, LOS AROS SALVAVIDAS ASÍ COMO SUS ACCESORIOS DEBERÁN CONTAR  CON APROBACIÓN Y CERTIFICADOS DE LA GUARDIA COSTERA DE ESTADOS UNIDOS (U.S.C.G.) Y BAJO LAS ÚLTIMAS ESPECIFICACIONES DE SOLAS 74 (SAFETY OF LIFE AT SEA).</t>
  </si>
  <si>
    <t>SUMINISTRO E INSTALACIÓN COSTA FUERA DE LETRERO DE SEGURIDAD FABRICADO A BASE DE ALUMINIO</t>
  </si>
  <si>
    <t>3.628.</t>
  </si>
  <si>
    <t>SUMINISTRO E INSTALACIÓN COSTA FUERA DE LETRERO DE SEGURIDAD FABRICADO A BASE DE ALUMINIO DE 3 mm DE ESPESOR FUSIONADO CON TERMOPLASTICO ACABADO LUMINISCENTE O REFLEJANTE. LARGO 30 cm ALTO 25 cm, CON FLECHA HACIA LA DERECHA DE UNA VISTA (SII-1-1-2)</t>
  </si>
  <si>
    <t>3.629.</t>
  </si>
  <si>
    <t>SUMINISTRO E INSTALACIÓN COSTA FUERA DE LETRERO DE SEGURIDAD FABRICADO A BASE DE ALUMINIO DE 3 mm DE ESPESOR FUSIONADO CON TERMOPLASTICO ACABADO LUMINISCENTE O REFLEJANTE. LARGO 30 cm ALTO 25 cm, CON PUNTO Y 4 FLECHA HACIA EL PUNTO Y TEXTO QUE DIGA PUNTO DE REUNION (SII-1-1-6) (UNA VISTA)</t>
  </si>
  <si>
    <t>3.630.</t>
  </si>
  <si>
    <t>SUMINISTRO E INSTALACIÓN COSTA FUERA DE LETRERO DE SEGURIDAD FABRICADO A BASE DE ALUMINIO DE 3 mm DE ESPESOR FUSIONADO CON TERMOPLASTICO ACABADO LUMINISCENTE O REFLEJANTE. LARGO 30 cm ALTO 25 cm, CON FIGURA DE ARO Y TEXTO DE ARO SALVAVIDAS DE UNA VISTA: 4 (SS-E-1-3), 1 (SS-1-1-3)</t>
  </si>
  <si>
    <t>3.631.</t>
  </si>
  <si>
    <t>SUMINISTRO E INSTALACIÓN COSTA FUERA DE LETRERO DE SEGURIDAD FABRICADO A BASE DE ALUMINIO DE 3 mm DE ESPESOR CON ACABADO FOTO-LUMINISCENTE. LARGO 25 cm ALTO 30 cm, CON FIGURA DE CILINDRO Y CARETA Y TEXTO DE EQUIPO DE RESPIRACION AUTONOMA DE UNA VISTA (SS-1-1-4)</t>
  </si>
  <si>
    <t>3.632.</t>
  </si>
  <si>
    <t>SUMINISTRO E INSTALACIÓN COSTA FUERA DE LETRERO DE SEGURIDAD FABRICADO A BASE DE ALUMINIO DE 3 mm DE ESPESOR CON ACABADO FOTO-LUMINISCENTE. LARGO 30 cm ALTO 25 cm, CON FIGURA DE EXTINTOR Y TEXTO DE EXTINTOR DE UNA VISTA (SCI-1-1-1)</t>
  </si>
  <si>
    <t>3.633.</t>
  </si>
  <si>
    <t>SUMINISTRO E INSTALACIÓN COSTA FUERA DE LETRERO DE SEGURIDAD FABRICADO A BASE DE ALUMINIO DE 3 mm DE ESPESOR FUSIONADO CON TERMOPLASTICO ACABADO LUMINISCENTE O REFLEJANTE. LARGO 25 cm ALTO 30 cm, CON FIGURA DE HIDRANTE MONITOR Y TEXTO DE HIDRANTE-MONITOR, DE DOS VISTAS (SCI-1-2-3)</t>
  </si>
  <si>
    <t>3.634.</t>
  </si>
  <si>
    <t>SUMINISTRO E INSTALACIÓN COSTA FUERA DE LETRERO DE SEGURIDAD FABRICADO A BASE DE  ALUMINIO DE 3 MM DE ESPESOR FUSIONADO CON TERMOPLÁSTICO ACABADO LUMINISCENTE O REFLEJANTE. LARGO 30 CM ALTO 25 CM, CON FLECHA HACIA LA IZQUIERDA  DE UNA VISTA (SII-1-1-1).</t>
  </si>
  <si>
    <t>3.635.</t>
  </si>
  <si>
    <t>SUMINISTRO E INSTALACIÓN COSTA FUERA DE MONITOR PARA AGUA DE MAR DE BRONCE ASTM-B-62 RESISTENTE A LA CORROSIÓN TIPO CORAZÓN CON ENTRADA BRIDADA DE 4" DE DIÁMETRO 150 # R.F., PARA MANEJAR  DE 350 1250  GPM A UNA PRESIÓN DE OPERACIÓN DE 100 PSIG  CON DOS VOLANTES  TIPO  SIN FIN UNO PARA GIRO HORIZONTAL Y OTRO PARA GIRO VERTICAL Y BASE GIRATORIA. GIRO HORIZONTAL DE 360° Y VERTICAL DE 120°, MECANISMO DE BRONCE Y ACERO, CON PASADOR  PARA EL AJUSTE HORIZONTAL. CON CONEXIÓN PARA BOQUILLA DE 2½" DE DIÁMETRO. SE INCLUYE  BOQUILLA  DE  2½" ØDE DIAMETRO PARA UN FLUJO DE 500 GPM A 100 PSI. PREFABRICADA DE BRONCE ASTM-B-61 CON CAPUCHÓN DE HULE O MATERIAL SIMILAR EN LA PUNTA PARA PROTECCIÓN CONTRA GOLPES, PATRÓN DE OPERACIÓN: CHORRO DIRECTO CON ALCANCE DE 173 PIES, NIEBLA  EN  30 GRADOS CON ALCANCE DE 97 PIES, Y NIEBLA CON CONO DE DIFUSIÓN A 90 GRADOS CON ALCANCE DE  60 PIES; ENTRADA HEMBRA CON CUERDA DE 7½ HILOS POR PULGADA. APROBACIÓN DE ACUERDO AL CERTIFICADO DE UL O EQUIVALENTE, PARA SERVICIO DE AGUA CONTRAINCENDIO. ACABADO ROJO RAL 3001.</t>
  </si>
  <si>
    <t>3.636.</t>
  </si>
  <si>
    <t>SUMINISTRO,  HABILITADO  E  INSTALACION  COSTA  FUERA DE PUERTA CONTRA FUEGO Y SALIDA DE EMERGENCIA, CONSTRUIDA A BASE DE LAMINA DE ACERO INOXIDABLE 316 CLASE "A" A PRUEBA DE FUEGO, CON ESPESOR DE 68mm, DE DOS HOJAS ABATIBLES DE 2.10m DE ALTURA Y 1.07m DE ANCHO  CADA  UNA,  RESISTENCIA  AL  FUEGO  DE  1  HORA  (A-60)  AISLAMIENTO  INTERIOR  DE LANA MINERAL DE 100 A 200 KG/M3, SISTEMA AUTOSELLANTE HECHO DE FIBRA DE CERAMICA, CON REFUERZO DE MALLA DE ALAMBRE, MIRILLA EMPOTRADA DE 0.30x0.30m CON DOBLE CRISTAL INASTILLABLE DE  6mm DE ESPESOR Y MARCO DE ACERO INOXIDABLE, CON MANIJA EXTERNA, BOTON DE APERTURA Y BARRA ANTI-PANICO, CON DISPOSITIVO DE APERTURA AUTOMÁTICA, TERMINADA EN ACERO INOXIDABLE CON CERTIFICACION UL, CERRADURA DE EMBUTIR, CHAPA A PRUEBA DE FUEGO  CON CILINDRO PATENTADO, CIERRA PUERTAS AMBIDIESTRO DE BRAZO (TIPO JALAR) PARALELO A LA PUERTA, PUNTO DE CIERRES, ANCLAS PARA FIJACION DE LA PUERTA AL MURO, BISAGRAS CUADRADA DE PERNO SUELTO Y MARCO DE ACERO CALIBRE 14 Y DEBERÁN SER RESISTENTES AL FUEGO Y AL PASO DEL HUMO.</t>
  </si>
  <si>
    <t>3.637.</t>
  </si>
  <si>
    <t>SUMINISTRO,  HABILITADO  E  INSTALACION  COSTA  FUERA DE PUERTA CONTRA FUEGO Y SALIDA DE EMERGENCIA, CONSTRUIDA A BASE DE LAMINA DE ACERO INOXIDABLE 316 CLASE "A" A PRUEBA DE FUEGO, CON ESPESOR DE 68mm, DE DOS HOJAS ABATIBLES DE 2.10m DE ALTURA Y 0.97m DE ANCHO  CADA  UNA,  RESISTENCIA  AL  FUEGO  DE  1  HORA  (A-60)  AISLAMIENTO  INTERIOR  DE LANA MINERAL DE 100 A 200 KG/M3, SISTEMA AUTOSELLANTE HECHO DE FIBRA DE CERAMICA, CON REFUERZO DE MALLA DE ALAMBRE, MIRILLA EMPOTRADA DE 0.30x0.30m CON DOBLE CRISTAL INASTILLABLE DE  6mm DE ESPESOR Y MARCO DE ACERO INOXIDABLE, CON MANIJA EXTERNA, BOTON DE APERTURA Y BARRA ANTI-PANICO, CON DISPOSITIVO DE APERTURA AUTOMÁTICA, TERMINADA EN ACERO INOXIDABLE CON CERTIFICACION UL, CERRADURA DE EMBUTIR, CHAPA A PRUEBA DE FUEGO  CON CILINDRO PATENTADO, CIERRA PUERTAS AMBIDIESTRO DE BRAZO (TIPO JALAR) PARALELO A LA PUERTA, PUNTO DE CIERRES, ANCLAS PARA FIJACION DE LA PUERTA AL MURO, BISAGRAS CUADRADA DE PERNO SUELTO Y MARCO DE ACERO CALIBRE 14 Y DEBERÁN SER RESISTENTES AL FUEGO Y AL PASO DEL HUMO.</t>
  </si>
  <si>
    <t>3.638.</t>
  </si>
  <si>
    <t>SUMINISTRO,  HABILITADO  E  INSTALACION  COSTA  FUERA DE PUERTA CONTRA FUEGO Y SALIDA DE EMERGENCIA, CONSTRUIDA A BASE DE LAMINA DE ACERO INOXIDABLE 316 CLASE "A" A PRUEBA DE FUEGO, CON ESPESOR DE 68mm, DE UNA HOJA ABATIBLE DE 2.10 M DE ALTURA Y 1.00 M DE ANCHO  CADA  UNA,  RESISTENCIA  AL  FUEGO  DE  1  HORA  (A-60)  AISLAMIENTO  INTERIOR  DE LANA MINERAL DE 100 A 200 KG/M3, SISTEMA AUTOSELLANTE HECHO DE FIBRA DE CERAMICA, CON REFUERZO DE MALLA DE ALAMBRE, MIRILLA EMPOTRADA DE 0.30x0.30m CON DOBLE CRISTAL INASTILLABLE DE  6mm DE ESPESOR Y MARCO DE ACERO INOXIDABLE, CON MANIJA EXTERNA, BOTON DE APERTURA Y BARRA ANTI-PANICO, CON DISPOSITIVO DE APERTURA AUTOMÁTICA, TERMINADA EN ACERO INOXIDABLE CON CERTIFICACION UL, CERRADURA DE EMBUTIR, CHAPA A PRUEBA DE FUEGO  CON CILINDRO PATENTADO, CIERRA PUERTAS AMBIDIESTRO DE BRAZO (TIPO JALAR) PARALELO A LA PUERTA, PUNTO DE CIERRES, ANCLAS PARA FIJACION DE LA PUERTA AL MURO, BISAGRAS CUADRADA DE PERNO SUELTO Y MARCO DE ACERO CALIBRE 14 Y DEBERÁN SER RESISTENTES AL FUEGO Y AL PASO DEL HUMO.</t>
  </si>
  <si>
    <t>3.639.</t>
  </si>
  <si>
    <t>SUMINISTRO,  HABILITADO  E  INSTALACION  COSTA  FUERA DE PUERTA CONTRA FUEGO Y SALIDA DE EMERGENCIA, CONSTRUIDA A BASE DE LAMINA DE ACERO INOXIDABLE 316 CLASE "A" A PRUEBA DE FUEGO, CON ESPESOR DE 68mm, DE UNA HOJA ABATIBLE DE 2.10 M DE ALTURA Y 0.90 M DE ANCHO  CADA  UNA,  RESISTENCIA  AL  FUEGO  DE  1  HORA  (A-60)  AISLAMIENTO  INTERIOR  DE LANA MINERAL DE 100 A 200 KG/M3, SISTEMA AUTOSELLANTE HECHO DE FIBRA DE CERAMICA, CON REFUERZO DE MALLA DE ALAMBRE, MIRILLA EMPOTRADA DE 0.30x0.30m CON DOBLE CRISTAL INASTILLABLE DE  6mm DE ESPESOR Y MARCO DE ACERO INOXIDABLE, CON MANIJA EXTERNA, BOTON DE APERTURA Y BARRA ANTI-PANICO, CON DISPOSITIVO DE APERTURA AUTOMÁTICA, TERMINADA EN ACERO INOXIDABLE CON CERTIFICACION UL, CERRADURA DE EMBUTIR, CHAPA A PRUEBA DE FUEGO  CON CILINDRO PATENTADO, CIERRA PUERTAS AMBIDIESTRO DE BRAZO (TIPO JALAR) PARALELO A LA PUERTA, PUNTO DE CIERRES, ANCLAS PARA FIJACION DE LA PUERTA AL MURO, BISAGRAS CUADRADA DE PERNO SUELTO Y MARCO DE ACERO CALIBRE 14 Y DEBERÁN SER RESISTENTES AL FUEGO Y AL PASO DEL HUMO.</t>
  </si>
  <si>
    <t>SUMINISTRO E INSTALACIÓN DE TUBERIA LASTRADA (DUCTOS SUB-MARINO)</t>
  </si>
  <si>
    <t>3.640.</t>
  </si>
  <si>
    <t>TUBERIA DE 24" DE DIAM. X 0.812" DE ESP. DE PARED, DE ACUERDO A P.2.0722.03:2015 E ISO-3183:2012, GR, X-65 PSL-2 ACERO AL CARBONO DE ALTA RESISTENCIA PARA SERVICIO AMARGO CON COSTURA, PARA UNA TEMPERATURA DE DISEÑO DE 100 GR. C Y Y PRESION DE DISEÑO DE 60.5 kg/cm2, ESPECIFICACIONES, ESTANDARES, CODIGOS DE REFERENCIA, ULTIMAS EDICIONES :_ CODIGOD ASME SECCIONES I, V, VIII Y IX._ ESTANDARES ASTM E-3, E-4, E-8M, E-23, E-29, E-45, E-112, A-370, E-340, E-384, A-435:_ PRACTICAS RECOMENDADAS  API:5L1, 5L3, 5LW,  _ISO-3183:2012_P.2.0722.03:2015_DNVGL-ST-F101_DNVGL-RP-F111_ISO 21809-2:2014_ PEMEX-EST-TD-001-2008_ ESTANDARES NACE: MR-0174, MR-0175/ISO 15156, API SPEC Q1, TM-0284, TM-0177</t>
  </si>
  <si>
    <t>3.641.</t>
  </si>
  <si>
    <t>TUBERIA DE 20" DE DIAM. X 0.938" DE ESP. DE ACERO AL CARBON, PARA SERVICIO AMARGO, ESPECIFICACIÓN PSL-2 SA EN CA, GRADO L-450, X-65, CONFORME A PEMEX-EST-TD-001-2018</t>
  </si>
  <si>
    <t>3.642.</t>
  </si>
  <si>
    <t>SERVICIO DE APLICACION DE LASTRADO DE 3" ESP. PARA TUBERIA DE 20" DE DIAMETRO.</t>
  </si>
  <si>
    <t>3.643.</t>
  </si>
  <si>
    <t>MATRICES DE CONCRETO F'C= 280 KG/CM2 (DENSIDAD 2,300 KG/M3) PARA ACOLCHONAMIENTO DE DIMENSIONES 20'-0'' X 8'-0'' X 0'-9'' (6.096 M X 2.438 M X 0.228 M).</t>
  </si>
  <si>
    <t>3.644.</t>
  </si>
  <si>
    <t>TEE ENVOLVENTE MECANICA PARA HOT-TAPPING SUBMARINO DE 20"X 20" X 20" DE DIAMETRO X 0.938 ESP., CON BRIDA DE CLASE 900 RTJ BORE DE 18.124",  EXTREMO DE 20" BRIDADO, DESIGNACIÓN DE MATERIAL ASTM A266 GR. 2, CON COMPENSADOR DE TEMPERATURA, QUE CUMPLA CON EL ESTÁNDAR NACE MR0175 / ISO 15156 Y ASME B16.9 PARA SERVICIO AMARGO. TEMPERATURA DE DISEÑO 140 C Y PRESEION DE DISEÑO DE 77 KG/CM2.</t>
  </si>
  <si>
    <t>3.645.</t>
  </si>
  <si>
    <t>SERVICIO DE HOT-TAPPING SUBMARINO DE 20" X 20" EN LINEA EXISTENTE EN EL OLEOGASODUCTO DE 20" DE DIAM. INCLUYE: MOVILIZACIÓN Y DESMOVILIZACIÓN DE PERSONAL Y EQUIPO, CUADRILLA DE PERSONAL (1 TÉCNICO, 1 AYUDANTE, 1 SUPERVISOR), PARA LA EJECUCION DEL SERVICIO DE HOT TAPPING SUBMARINO.</t>
  </si>
  <si>
    <t>SERVICIO</t>
  </si>
  <si>
    <t xml:space="preserve">BUCEO DE SUPERFICIE Y UNA CAMARA DE DESCOMPRESION </t>
  </si>
  <si>
    <t>3.646.</t>
  </si>
  <si>
    <t xml:space="preserve">BUCEO DE SUPERFICIE DE 4 BUZOS Y UNA CAMARA DE DESCOMPRESION </t>
  </si>
  <si>
    <t>DÍA</t>
  </si>
  <si>
    <t>3.647.</t>
  </si>
  <si>
    <t>BUCEO DE SUPERFICIE DE 8 BUZOS Y DOS CAMARA DE DESCOMPRESION</t>
  </si>
  <si>
    <t>3.648.</t>
  </si>
  <si>
    <t>BUCEO DE SUPERFICIE DE 4 BUZOS, 1 SUPERVISOR DE BUCEO Y 1 SUPERINTENDENTE DE BUCEO</t>
  </si>
  <si>
    <t>DESMANTELAMIENTO</t>
  </si>
  <si>
    <t>3.649.</t>
  </si>
  <si>
    <t>DESMANTELAMIENTO DE ESTRUCTURA METALICA SIN RECUPERACION</t>
  </si>
  <si>
    <t>Anexo C-4-CR: Catálogo de conceptos de personal optativo para trabajos de rehabilitación y adecuación en tierra, mar, y seguridad (Cantidades de referencia).</t>
  </si>
  <si>
    <t>CATÁLOGO DE CONCEPTOS DE PERSONAL OPTATIVO PARA TRABAJOS DE REHABILITACION, ADECUACIÓN E INGENIERIA  EN TIERRA, MAR Y SEGURIDAD.</t>
  </si>
  <si>
    <t xml:space="preserve">PERSONAL TÉCNICO Y DE INGENIERÍA </t>
  </si>
  <si>
    <t>4.1.</t>
  </si>
  <si>
    <t>REVISIÓN DE INGENIERÍA BASICA Y/O  DETALLE</t>
  </si>
  <si>
    <t>4.2.</t>
  </si>
  <si>
    <t xml:space="preserve">ELABORACIÓN DE INGENIERÍA BÁSICA Y DE DETALLE </t>
  </si>
  <si>
    <t>PERSONAL (MAR)</t>
  </si>
  <si>
    <t>4.3.</t>
  </si>
  <si>
    <t>AYUDANTE OPERARIO PRIMERA</t>
  </si>
  <si>
    <t>JORNADA</t>
  </si>
  <si>
    <t>4.4.</t>
  </si>
  <si>
    <t>AYUDANTE DE OPERARIO ESPTA.</t>
  </si>
  <si>
    <t>4.5.</t>
  </si>
  <si>
    <t>MANIOBRISTA</t>
  </si>
  <si>
    <t>4.6.</t>
  </si>
  <si>
    <t>OPERARIO DE PRIMERA.</t>
  </si>
  <si>
    <t>4.7.</t>
  </si>
  <si>
    <t>OPERARIO ESPECIALISTA.</t>
  </si>
  <si>
    <t>4.8.</t>
  </si>
  <si>
    <t>OPERARIO ESPECIALISTA CERTIFICADO</t>
  </si>
  <si>
    <t>4.9.</t>
  </si>
  <si>
    <t>CABO DE OFICIOS.</t>
  </si>
  <si>
    <t>4.10.</t>
  </si>
  <si>
    <t>CABO DE MANIOBRAS</t>
  </si>
  <si>
    <t>4.11.</t>
  </si>
  <si>
    <t>SOBRESTANTE</t>
  </si>
  <si>
    <t>4.12.</t>
  </si>
  <si>
    <t>TÉCNICO ESPECIALISTA SISTEMA AUTOCAD.</t>
  </si>
  <si>
    <t>4.13.</t>
  </si>
  <si>
    <t>INGENIERO ESPECIALISTA DE CAMPO (MAR)</t>
  </si>
  <si>
    <t>4.14.</t>
  </si>
  <si>
    <t>SUPERVISOR ESPECIALISTA TIPO (A- MAR)</t>
  </si>
  <si>
    <t>4.15.</t>
  </si>
  <si>
    <t>SUPERVISOR ESPECIALISTA TIPO (B- MAR)</t>
  </si>
  <si>
    <t>PERSONAL DE SEGURIDAD</t>
  </si>
  <si>
    <t>4.16.</t>
  </si>
  <si>
    <t>ENCARGADO DE SEGURIDAD Y PROTECCIÓN AMBIENTAL</t>
  </si>
  <si>
    <t>4.17.</t>
  </si>
  <si>
    <t>AYUDANTE DE SEGURIDAD INDUSTRIAL Y CONTRA INCENDIO</t>
  </si>
  <si>
    <t>PERSONAL (TIERRA)</t>
  </si>
  <si>
    <t>4.18.</t>
  </si>
  <si>
    <t>TÉCNICO ESPECIALISTA SISTEMA AUTOCAD</t>
  </si>
  <si>
    <t>4.19.</t>
  </si>
  <si>
    <t>TIEMPO EXTRA</t>
  </si>
  <si>
    <t>HORA</t>
  </si>
  <si>
    <t>4.20.</t>
  </si>
  <si>
    <t xml:space="preserve">OPERARIO ESPECIALISTA </t>
  </si>
  <si>
    <t>4.21.</t>
  </si>
  <si>
    <t>4.22.</t>
  </si>
  <si>
    <t xml:space="preserve">AYUDANTE DE OPERARIO ESPECIALISTA </t>
  </si>
  <si>
    <t>4.23.</t>
  </si>
  <si>
    <t>4.24.</t>
  </si>
  <si>
    <t xml:space="preserve">CABO DE OFICIOS </t>
  </si>
  <si>
    <t>4.25.</t>
  </si>
  <si>
    <t>4.26.</t>
  </si>
  <si>
    <t>INGENIERO ESPECIALISTA DE CAMPO (TIERRA)</t>
  </si>
  <si>
    <t>4.27.</t>
  </si>
  <si>
    <t>4.28.</t>
  </si>
  <si>
    <t>4.29.</t>
  </si>
  <si>
    <t>4.30.</t>
  </si>
  <si>
    <t>4.31.</t>
  </si>
  <si>
    <t>4.32.</t>
  </si>
  <si>
    <t>OPERARIO DE PRIMERA</t>
  </si>
  <si>
    <t>4.33.</t>
  </si>
  <si>
    <t>4.34.</t>
  </si>
  <si>
    <t>COORDINADOR TÉCNICO-ADMINISTRATIVO (TIERRA)</t>
  </si>
  <si>
    <t>4.35.</t>
  </si>
  <si>
    <t>4.36.</t>
  </si>
  <si>
    <t>SUPERVISOR ESPECIALISTA "A" (TIERRA)</t>
  </si>
  <si>
    <t>4.37.</t>
  </si>
  <si>
    <t>4.38.</t>
  </si>
  <si>
    <t>SUPERVISOR ESPECIALISTA "B" (TIERRA)</t>
  </si>
  <si>
    <t>4.39.</t>
  </si>
  <si>
    <t>Anexo C-4-1: Plantilla base de personal.</t>
  </si>
  <si>
    <t>C-4-1</t>
  </si>
  <si>
    <t>Plantilla base de personal.</t>
  </si>
  <si>
    <t> PERSONAL (MAR)</t>
  </si>
  <si>
    <t>INGENIERO ESPECIALISTA DE CAMPO (MAR).</t>
  </si>
  <si>
    <t>PERSONAL DE SEGURIDAD (MAR)</t>
  </si>
  <si>
    <t>Anexo C-5-CR: Catálogo de conceptos de equipo optativo para trabajos de rehabilitación y adecuación en mar y seguridad (cantidades de referencia).</t>
  </si>
  <si>
    <t>CATALOGO DE CONCEPTOS DE EQUIPO OPTATIVO PARA TRABAJOS DE REHABILITACIÓN Y ADECUACION EN MAR Y SEGURIDAD. (SE SOLICITARÁN DE ACUERDO A LOS REQUERIMIENTOS OPERATIVOS, INCLUYE TODOS LOS INSUMOS NECESARIOS PARA SU OPTIMA OPERACIÓN).</t>
  </si>
  <si>
    <t>EQUIPO OPTATIVO PARA TRABAJOS DE REHABILITACIÓN Y ADECUACIÓN COSTA AFUERA</t>
  </si>
  <si>
    <t>5.1.</t>
  </si>
  <si>
    <t>MÁQUINAS DE SOLDAR DIESEL RANGO DE SALIDA DE 30 A 550 AMPS. DE REGULACIÓN MANUAL, EQUIPADA CON AMPERÍMETROS Y VOLTÍMETROS VISIBLES, CABLES PORTA ELECTRODO, TOMA CORRIENTE DE 110 Y 220 VOLTS.</t>
  </si>
  <si>
    <t>5.2.</t>
  </si>
  <si>
    <t>MÁQUINA DE SOLDAR ELÉCTRICA, VOLTAJE DE ALIMENTACIÓN 440 VOLT/60/HZ/3 FASES, RANGO DE SALIDA DE 30 A 550 AMPS. DE REGULACIÓN MANUAL, EQUIPADA CON AMPERÍMETROS Y VOLTÍMETROS VISIBLES, CABLES, PORTA ELECTRODO.</t>
  </si>
  <si>
    <t>5.3.</t>
  </si>
  <si>
    <t>HORNOS ELÉCTRICOS CON CONTROL DE TEMPERATURA PARA LA CONSERVACIÓN DE LA SOLDADURA.</t>
  </si>
  <si>
    <t>5.4.</t>
  </si>
  <si>
    <t>EQUIPO COMPLETO DE OXIACETILENO PARA CALENTAMIENTO Y CORTE.</t>
  </si>
  <si>
    <t>5.5.</t>
  </si>
  <si>
    <t>EQUIPO MULTIFLAMA PARA PRECALENTAR LA SOLDADURA DE LAS JUNTAS DE CAMPO</t>
  </si>
  <si>
    <t>5.6.</t>
  </si>
  <si>
    <t>EQUIPO ESPECIALIZADO PARA RELEVADO DE ESFUERZO  INCLUYE EQUIPO DE GENERACIÓN ELÉCTRICA A BASE DE MOTOR DE COMBUSTIÓN INTERNA CON RANGO DE 120 A 150 KVA CON SALIDA DE 220/440 VOLTS EQUIPADO CON AMPERÍMETROS Y VOLTÍMETROS VISIBLES Y CABLES. (INCLUYE  PERSONAL TÉCNICO).</t>
  </si>
  <si>
    <t>5.7.</t>
  </si>
  <si>
    <t>LOTES DE LLAVES DE GOLPE. DE ESTRÍAS, EN PULGADAS, MEDIDAS DE BOCA DE 1 1/16", 1 ¼", 1 7/16", 1 ½", 1⅝", 1 13/16", 2", 2 3/16", 2⅜", 2 ½" 2 9/16", 2¾", 2 15/16", 3", 3⅛", 3⅝", Y 3⅞". MARROS ANTICHISPA DE BRONCE DE 12LB, 14LB 16LB Y 18LB; (DOS DE CADA UNA DE LAS MEDIDAS DE LAS LLAVES Y DOS MARROS DE CADA LIBRAJE.)</t>
  </si>
  <si>
    <t>5.8.</t>
  </si>
  <si>
    <t>MÁQUINA CORTADORA EN FRIO Y BISELADORA BIPARTIDA PARA TUBERÍAS DE 6 A 48 Y HASTA 2 ½" DE  ESPESOR</t>
  </si>
  <si>
    <t>5.9.</t>
  </si>
  <si>
    <t xml:space="preserve">ALINEADOR MANUAL DE EXTERIORES, PARA TUBERÍA DE 1"Ø-6"Ø </t>
  </si>
  <si>
    <t>5.10.</t>
  </si>
  <si>
    <t>ALINEADOR MANUAL DE EXTERIORES, PARA TUBERÍA DE 8"Ø-16"Ø</t>
  </si>
  <si>
    <t>5.11.</t>
  </si>
  <si>
    <t>ALINEADOR HIDRÁULICO DE EXTERIORES, PARA TUBERÍA DE 18"Ø-30"Ø</t>
  </si>
  <si>
    <t>5.12.</t>
  </si>
  <si>
    <t>ALINEADOR DE EXTERIORES, PARA TUBERÍA DE 32"Ø-MAYORES.</t>
  </si>
  <si>
    <t>LEVANTADORA MONTACARGA DE CADENA</t>
  </si>
  <si>
    <t>5.13.</t>
  </si>
  <si>
    <t>LEVANTADORA MONTACARGA DE CADENA DE 1½ TONELADAS</t>
  </si>
  <si>
    <t>5.14.</t>
  </si>
  <si>
    <t>LEVANTADORA MONTACARGA DE CADENA DE 3 TONELADAS</t>
  </si>
  <si>
    <t>5.15.</t>
  </si>
  <si>
    <t>LEVANTADORA MONTACARGA DE CADENA DE 6 TONELADAS</t>
  </si>
  <si>
    <t>DIFERENCIAL DE CADENA</t>
  </si>
  <si>
    <t>5.16.</t>
  </si>
  <si>
    <t>DIFERENCIAL DE CADENA DE 1½ TONELADAS</t>
  </si>
  <si>
    <t>5.17.</t>
  </si>
  <si>
    <t>DIFERENCIAL DE CADENA DE 3 TONELADAS</t>
  </si>
  <si>
    <t>5.18.</t>
  </si>
  <si>
    <t>DIFERENCIAL DE CADENA DE 5 TONELADAS</t>
  </si>
  <si>
    <t>5.19.</t>
  </si>
  <si>
    <t>DIFERENCIAL DE CADENA DE 10 TONELADAS</t>
  </si>
  <si>
    <t>GARRUCHAS DE BISAGRA</t>
  </si>
  <si>
    <t>5.20.</t>
  </si>
  <si>
    <t>GARRUCHAS DE BISAGRA DE 2-8 TON</t>
  </si>
  <si>
    <t>5.21.</t>
  </si>
  <si>
    <t>GARRUCHAS DE BISAGRA DE 10-15 TON</t>
  </si>
  <si>
    <t xml:space="preserve">GRILLETES DE ACERO PARA </t>
  </si>
  <si>
    <t>5.22.</t>
  </si>
  <si>
    <t>GRILLETES DE ACERO PARA 10 TON</t>
  </si>
  <si>
    <t>5.23.</t>
  </si>
  <si>
    <t>GRILLETES DE ACERO PARA 15 TON</t>
  </si>
  <si>
    <t>5.24.</t>
  </si>
  <si>
    <t>GRILLETES DE ACERO PARA 25 TON</t>
  </si>
  <si>
    <t>MALACATE DE AIRE (INCLUYE POLEAS, CABLES, GRILLETES Y MANGUERAS).</t>
  </si>
  <si>
    <t>5.25.</t>
  </si>
  <si>
    <t>MALACATE DE AIRE DE 3 TONELADAS</t>
  </si>
  <si>
    <t>5.26.</t>
  </si>
  <si>
    <t>MALACATE DE AIRE DE 6 TONELADAS</t>
  </si>
  <si>
    <t>5.27.</t>
  </si>
  <si>
    <t>MALACATE DE AIRE DE 12 TONELADAS</t>
  </si>
  <si>
    <t>5.28.</t>
  </si>
  <si>
    <t>UNIDAD DE ARCO AIRE (ARC-AIR). CON MANGUERA Y ACCESORIOS INCLUYE CARBONES</t>
  </si>
  <si>
    <t>5.29.</t>
  </si>
  <si>
    <t>BISELADORAS PARA TUBERÍA DE 8" A 36"Ø INCLUYENDO ACCESORIOS COMPLETOS.</t>
  </si>
  <si>
    <t>5.30.</t>
  </si>
  <si>
    <t xml:space="preserve">ALINEADORES EXTERIORES DE CANASTA PARA TUBERÍA DE 4" A 36"Ø </t>
  </si>
  <si>
    <t>5.31.</t>
  </si>
  <si>
    <t>EQUIPO PARA PRUEBAS HIDROSTÁTICAS CON BOMBA NEUMÁTICA MCA. HASKEL DE 5000 PSI Y MANÓGRAFO MCA. BARTON CON RANGOS DE 0-1500 PSI Y 0º-150º C  O EQUIVALENTE.</t>
  </si>
  <si>
    <t>5.32.</t>
  </si>
  <si>
    <t>COMPRESORES DE AIRE DE 600 PCM. MÍNIMO:</t>
  </si>
  <si>
    <t>5.33.</t>
  </si>
  <si>
    <t>COMPRESORES DE AIRE LUBRICADO CON ACEITE VEGETAL PARA CONSUMO HUMANO CON CAPACIDAD DE SUMINISTRAR AIRE PARA 10 PERSONAS</t>
  </si>
  <si>
    <t>5.34.</t>
  </si>
  <si>
    <t>EQUIPO DE GENERACION ELECTRICA A BASE DE MOTOR DE COMBUSTION INTERNA CON RANGO DE 120 A 150 KVA CON SALIDA DE 220/440 VOLTS EQUIPADO CON AMPERIMETROS Y VOLTIMETROS VISIBLES Y CABLES..</t>
  </si>
  <si>
    <t>5.35.</t>
  </si>
  <si>
    <t>EQUIPO DE CHORRO DE ARENA PORTÁTIL) INCLUYE MANGUERAS, BOQUILLAS, OLLAS, Y EQUIPOS DE PROTECCIÓN.</t>
  </si>
  <si>
    <t>5.36.</t>
  </si>
  <si>
    <t>EQUIPO PINTURA CONVENCIONAL (INCLUYE MANGUERAS DE ½"Ø PARA AIRE DE ALTA PRESIÓN 50 MTS. Y DE ⅜"Ø ALTA PRESIÓN PARA RECUBRIMIENTOS 50 MTS., OLLAS PARA PINTURA CON CAPACIDAD DE 20 Y 4 LITROS, PISTOLAS DE VILBISS CON AGUJAS EX Y FX PARA APLICACIÓN DE RECUBRIMIENTO PRIMARIO Y ACABADOS ETC.)</t>
  </si>
  <si>
    <t>5.37.</t>
  </si>
  <si>
    <t>TALADRO NEUMÁTICO INDUSTRIAL DE ½" MCA. BLACK&amp;DECKER O EQUIVALENTE.</t>
  </si>
  <si>
    <t>5.38.</t>
  </si>
  <si>
    <t>DOBLA TUBING DE ⅝" Ø MCA. SWAGELOK O EQUIVALENTE.</t>
  </si>
  <si>
    <t>5.39.</t>
  </si>
  <si>
    <t xml:space="preserve">MULTÍMETRO DIGITAL CON LAS SIGUIENTES CAPACIDADES DE LECTURA: 0-750VAC,   0-1000 VDC, 0-10 ADC, 0-500MAAC, 0-50 MEGOHMS.  MCA. FLUKE O EQUIVALENTE,  QUE CUENTE CON CERTIFICACIÓN DE LA EMA  </t>
  </si>
  <si>
    <t>5.40.</t>
  </si>
  <si>
    <t xml:space="preserve">AMPERÍMETRO DE GANCHO DIGITAL CON LAS SIGUIENTES CAPACIDADES DE LECTURA: 0-750VAC, 0-1000 VDC, 0-1000AAC,   0-400 OHMS. MCA. FLUKE O EQUIVALENTE, QUE CUENTE CON CERTIFICACIÓN DE LA EMA   </t>
  </si>
  <si>
    <t>5.41.</t>
  </si>
  <si>
    <t>ANALIZADOR DE AISLAMIENTO 500 V.D.C. (MEGGER)</t>
  </si>
  <si>
    <t>5.42.</t>
  </si>
  <si>
    <t>ANALIZADOR DIGITAL 1000 V/AC.DC. MCA. FLUKE O EQUIVALENTE.</t>
  </si>
  <si>
    <t>5.43.</t>
  </si>
  <si>
    <t>AUTOKLET DE 3/16" Ø A ½" Ø MCA. URREA. O EQUIVALENTE.</t>
  </si>
  <si>
    <t>5.44.</t>
  </si>
  <si>
    <t>TARRAJA ELÉCTRICA TIPO RELOJ CON JUEGO DE DADOS DE ½" Ø A 2"Ø N.P.T. MCA. RID-GID O EQUIVALENTE.</t>
  </si>
  <si>
    <t>5.45.</t>
  </si>
  <si>
    <t>DOBLADOR HIDRÁULICO CON SOAJES DE MEDIA LUNA RECUBIERTOS DE P.V.C. DE ¾"Ø A 3"Ø.</t>
  </si>
  <si>
    <t>5.46.</t>
  </si>
  <si>
    <t xml:space="preserve">DOBLADOR  MANUAL PARA TUBO R / P.V.C. DE ¾"Ø A 1 ½"Ø </t>
  </si>
  <si>
    <t>5.47.</t>
  </si>
  <si>
    <t>TRIPIÉ Y PRENSA DE CADENA MCA. RID-GID O EQUIVALENTE.</t>
  </si>
  <si>
    <t>5.48.</t>
  </si>
  <si>
    <t>CALDERA PORTÁTIL (GENERADOR DE VAPOR) PORTÁTIL PARA UNA ÁREA DE 300 M3</t>
  </si>
  <si>
    <t>5.49.</t>
  </si>
  <si>
    <t xml:space="preserve">EQUIPO DE ROMPETUERCAS NEUMÁTICO PARA TUERCA DE ESPÁRRAGOS DE 1" A 2 ½" 3 </t>
  </si>
  <si>
    <t>5.50.</t>
  </si>
  <si>
    <t>MARROS DE BRONCE DE 12 LIBRAS</t>
  </si>
  <si>
    <t>5.51.</t>
  </si>
  <si>
    <t>PONCHADORA PARA CONECTORES DE TIERRA FÍSICA MCA. BURNDY O EQUIVALENTE</t>
  </si>
  <si>
    <t>5.52.</t>
  </si>
  <si>
    <t>EQUIPO DE LIMPIEZA DE ALTA PRESIÓN (AGUA FRÍA).</t>
  </si>
  <si>
    <t>5.53.</t>
  </si>
  <si>
    <t>EQUIPO DE LIMPIEZA CON CHORRO DE AGUA A ALTA PRESIÓN. (LIQUA BLASTER) CON FUENTE DE PODER.</t>
  </si>
  <si>
    <t>5.54.</t>
  </si>
  <si>
    <t>TALADRO HIDRÁULICO PARA USO SUBMARINO (INCLUYE PERSONAL TECNICO)</t>
  </si>
  <si>
    <t>5.55.</t>
  </si>
  <si>
    <t>CEPILLO HIDRÁULICO PARA USO SUBMARINO (INCLUYE PERSONAL TECNICO)</t>
  </si>
  <si>
    <t>5.56.</t>
  </si>
  <si>
    <t>CINCELADOR HIDRÁULICO PARA USO SUBMARINO (INCLUYE PERSONAL TECNICO)</t>
  </si>
  <si>
    <t>EQUIPO DE TORQUE CONTROLADO SIMULTÁNEO PARA BRIDAS DE 2", 2 ½", 3", 4", 6", 8", 10", 12", 14", 16", 18", 20", 22", 24", 26", 30", 34", 36" Y 48" CON CAPACIDADES DE 150, 300, 400, 600 Y 900 LBS O EQUIVALENTE CON MANIFULL PARA 04 LLAVES SIMULTANEAS.</t>
  </si>
  <si>
    <t>5.57.</t>
  </si>
  <si>
    <t>EQUIPO DE TORQUE CONTROLADO SIMULTÁNEO PARA ESPÁRRAGOS DE 1" A 1⅞"Ø</t>
  </si>
  <si>
    <t>5.58.</t>
  </si>
  <si>
    <t>EQUIPO DE TORQUE CONTROLADO SIMULTÁNEO PARA ESPÁRRAGOS DE 2" A 3 ½"Ø</t>
  </si>
  <si>
    <t>5.59.</t>
  </si>
  <si>
    <t>ALINEADOR DE BRIDAS HIDRÁULICO MCA. THE EQUALIZER MOD. 3T(E) II TIPO AM, CON CAPACIDAD DE 3 TONS. DE EMPUJE Y 50 MM. DE DESPLAZAMIENTO O EQUIVALENTE</t>
  </si>
  <si>
    <t>5.60.</t>
  </si>
  <si>
    <t>ALINEADOR DE BRIDA MANUAL MCA. THE EQUALIZER MOD. HAND TOOL TIPO AM, CON CAPACIDAD DE CARGA EN LA PALANCA DE 65 KILOGRAMOS CON 3 REDUCTORES Y CON SISTEMA DE APOYO A BASE DE RUEDAS PARA BRIDAS DE 2 A 12" DE DIÁMETRO 150 PSI DE ¾" A 8" DIAM 300 PSI; DESDE ¾ HASTA 4" DE DIAM. 600 PSI DESDE ½  HASTA 2" DE DIAM. 1500 PSI, DESDE ½ A 1", 2500 PSI O EQUIVALENTE.</t>
  </si>
  <si>
    <t>5.61.</t>
  </si>
  <si>
    <t>SEPARADOR DE BRIDAS HIDRÁULICO MODELO 10 T (E) MAXI – KIT TIPO AM MCA. THE EQUALIZER O EQUIVALENTE, CON CAPACIDAD DE APERTURA DE 12 TONS. A 10,000 PSI. O EQUIVALENTE.</t>
  </si>
  <si>
    <t>5.62.</t>
  </si>
  <si>
    <t>FUENTE DE PODER HIDRÁULICA DE 12000 PSI, GASTO DE 15 GPM PARA LA UTILIZACIÓN DE LAS HERRAMIENTAS HIDRÁULICAS.</t>
  </si>
  <si>
    <t>5.63.</t>
  </si>
  <si>
    <t>ALINEADOR Y ROTADOR DE BRIDAS MECÁNICO MOD. 3T (M) TIPO AM, MCA. THE EQUALIZER CON CAPACIDAD DE 50 FT/LBS DE TORQUE PARA DESARROLLAR 3 TON DE EMPUJE CON MANERAL REVERSIBLE DE 22 MM. (⅞") O EQUIVALENTE</t>
  </si>
  <si>
    <t>5.64.</t>
  </si>
  <si>
    <t>SEPARADORES DE BRIDAS HIDRÁULICOS INTEGRADOS MOD. 10T (I) TIPO AM MARCA THE EQUALIZER CON CAPACIDAD DE APERTURA DE 12 TONS A 10,000 PSI O EQUIVALENTE.</t>
  </si>
  <si>
    <t>5.65.</t>
  </si>
  <si>
    <t>SEPARADOR DE BRIDAS MECÁNICO MOD. 8 T (M) TIPO AM MCA. THE EQUALIZER CON CAPACIDAD DE APERTURA DE 8 TON. O EQUIVALENTE</t>
  </si>
  <si>
    <t>5.66.</t>
  </si>
  <si>
    <t xml:space="preserve">WINCH NEUMÁTICOS, PARA MANIOBRAS EN CUBIERTAS: DE PLATAFORMAS CON CAPACIDAD DE CARGA DE 3.TON MÉTRICAS.  </t>
  </si>
  <si>
    <t>5.67.</t>
  </si>
  <si>
    <t xml:space="preserve">WINCH NEUMÁTICOS, PARA MANIOBRAS EN CUBIERTAS: DE PLATAFORMAS CON CAPACIDAD DE CARGA DE 6 TON MÉTRICAS.  </t>
  </si>
  <si>
    <t>5.68.</t>
  </si>
  <si>
    <t xml:space="preserve">WINCH NEUMÁTICOS, PARA MANIOBRAS EN CUBIERTAS: DE PLATAFORMAS CON CAPACIDAD DE CARGA DE 12 TON MÉTRICAS.  </t>
  </si>
  <si>
    <t>5.69.</t>
  </si>
  <si>
    <t>EQUIPO DE ILUMINACIÓN MEDIANTE LUMINARIA CON MOTOR DE COMBUSTIÓN INTERNA CON GENERADOR CON 4 LÁMPARAS INTEGRADAS (COSTA AFUERA)</t>
  </si>
  <si>
    <t>GATO HIDRÁULICO CON OPERACIÓN MANUAL</t>
  </si>
  <si>
    <t>5.70.</t>
  </si>
  <si>
    <t>GATO HIDRÁULICO CON OPERACIÓN MANUAL DE 50 TON.</t>
  </si>
  <si>
    <t>5.71.</t>
  </si>
  <si>
    <t>GATO HIDRÁULICO CON OPERACIÓN MANUAL DE 100 TON.</t>
  </si>
  <si>
    <t>5.72.</t>
  </si>
  <si>
    <t>GATO HIDRÁULICO CON OPERACIÓN MANUAL DE 200 TON.</t>
  </si>
  <si>
    <t>5.73.</t>
  </si>
  <si>
    <t xml:space="preserve">SIERRA CALADORA ELÉCTRICA </t>
  </si>
  <si>
    <t>5.74.</t>
  </si>
  <si>
    <t>LIJADORA ELÉCTRICA</t>
  </si>
  <si>
    <t>5.75.</t>
  </si>
  <si>
    <t>SIERRA CIRCULAR ELÉCTRICA</t>
  </si>
  <si>
    <t>5.76.</t>
  </si>
  <si>
    <t>ROUTER ELÉCTRICO</t>
  </si>
  <si>
    <t>5.77.</t>
  </si>
  <si>
    <t>CEPILLO ELÉCTRICO</t>
  </si>
  <si>
    <t>5.78.</t>
  </si>
  <si>
    <t>EQUIPO DE SOLDADURA PORTÁTIL PARA PLOMERO</t>
  </si>
  <si>
    <t>5.79.</t>
  </si>
  <si>
    <t>LUMINARIO INDUSTRIAL PARA ALUMBRADO EXTERIOR A PRUEBA DE EXPLOSIÓN.</t>
  </si>
  <si>
    <t>EQUIPOS DE ASPERSIÓN DE AGUA A ALTA PRESIÓN (MARCA KARCHER O EQUIVALENTE)</t>
  </si>
  <si>
    <t>5.80.</t>
  </si>
  <si>
    <t>EQUIPOS DE ASPERSIÓN DE AGUA A ALTA PRESIÓN HASTA 5,000 PSI</t>
  </si>
  <si>
    <t>5.81.</t>
  </si>
  <si>
    <t>EQUIPOS DE ASPERSIÓN DE AGUA A ALTA PRESIÓN HASTA 10,000 PSI</t>
  </si>
  <si>
    <t>5.82.</t>
  </si>
  <si>
    <t>EQUIPO COMPLETO PARA PRUEBA HIDROSTÁTICA DE TUBERÍA SUBMARINA Y TUBERÍA SOBRE CUBIERTA DE PLATAFORMA.</t>
  </si>
  <si>
    <t>5.83.</t>
  </si>
  <si>
    <t>MANÓMETRO CON RANGO DE 0 A 2000 PBS/PG2.</t>
  </si>
  <si>
    <t>5.84.</t>
  </si>
  <si>
    <t>MANOGRAFOS CON RANGO DE 0 A 2000 LBS/PG2 DE LECTURA DIRECTA.</t>
  </si>
  <si>
    <t>5.85.</t>
  </si>
  <si>
    <t>MEGGER DIGITAL CON LAS SIGUIENTES CAPACIDADES DE LECTURA: 0-1000 VDC, 0-600 VAC, 0-400 MEGOHMS. MCA. FLUKE O EQUIVALENTE, QUE CUENTE CON CERTIFICACIÓN DE LA EMA</t>
  </si>
  <si>
    <t>5.86.</t>
  </si>
  <si>
    <t>BALANZA DE PESOS MUERTOS CON MANÓMETROS PATRONES, QUE CUENTE CON CERTIFICACIÓN DE LA EMA</t>
  </si>
  <si>
    <t>5.87.</t>
  </si>
  <si>
    <t>TARRAJA DE RELOJ MANUAL DE ½" – 2" Ø CON TRIPIÉ.</t>
  </si>
  <si>
    <t>EQUIPO DE SEGURIDAD</t>
  </si>
  <si>
    <t>5.88.</t>
  </si>
  <si>
    <t>BOMBA HIDROSUB CON CAPACIDAD  DE DESCARGA DE 1450 GPM DE 6" DE DIÁMETRO,  CARGA DINÁMICA DE HASTA 85 METROS, CON TABLERO BASADO EN MICROPROCESADOR PARA ARRANQUE Y CONTROL DE PRESIÓN, MONTADO EN RACK PROPIO; CON CHAROLA COLECTORA Y SIN RUEDAS. INCLUYE MANIFOLD DE 6" DIAMETRO CON 4 SALIDAS DE 1-½ NSH Y OPERADOR.</t>
  </si>
  <si>
    <t>5.89.</t>
  </si>
  <si>
    <t>CALDERA PORTATIL DE 100 HP (GENERADOR DE VAPOR) DE UN RANGO DE PRESIÓN DE 0-10 KG/CM2.</t>
  </si>
  <si>
    <t xml:space="preserve">EQUIPO DE SALVAMENTO </t>
  </si>
  <si>
    <t>5.90.</t>
  </si>
  <si>
    <t>RESUCITADOR PARA PRIMEROS AUXILIOS.</t>
  </si>
  <si>
    <t>5.91.</t>
  </si>
  <si>
    <t>DETECTOR DE GAS COMBUSTIBLE (EXPLOSIMETRO) CON ESCALA ANALÓGICA DE 0 - 100% LEL O LEI, CLASE 1, DIVISION Y 1 Y 2</t>
  </si>
  <si>
    <t>5.92.</t>
  </si>
  <si>
    <t>TRAJE PARA PENETRACIÓN A INCENDIOS.</t>
  </si>
  <si>
    <t>5.93.</t>
  </si>
  <si>
    <t>UNIDAD COMPLETA DE BOMBEO PARA AGUA DE MAR (SIST. CONTRA INCENDIO) TIPO HIDROSUB O HIDROPUMP O EQUIVALENTE, INCLUYE ACCESORIOS.</t>
  </si>
  <si>
    <t>5.94.</t>
  </si>
  <si>
    <t>COMPRESOR Y EQUIPO DE CASCADA GRADO "D" ‘O ‘’E’ MAYOR DE 10 PIES CÚBICOS POR MINUTO Y UNA PRESIÓN DE 5000 PSI.</t>
  </si>
  <si>
    <t>EQUIPO PARA LEVANTAMIENTOS.</t>
  </si>
  <si>
    <t>5.95.</t>
  </si>
  <si>
    <t>EQUIPO LASER SCANER INCLUYE PERSONAL TÉCNICO.</t>
  </si>
  <si>
    <t>5.96.</t>
  </si>
  <si>
    <t>EQUIPO PARA USO Y EXPLOTACIÓN DE MODELOS ELECTRÓNICOS TRIDIMENSIONALES INTELIGENTES QUE INCLUYA EL SOFTWARE DE "PDMS", INCLUYE PERSONAL TÉCNICO.</t>
  </si>
  <si>
    <t>5.97.</t>
  </si>
  <si>
    <t>EQUIPO ESPECIALIZADO PARA MODELADO TRIDIMENSIONAL INTELIGENTE QUE INCLUYA EL SOFTWARE DE "PDMS"</t>
  </si>
  <si>
    <t>EQUIPO PARA REALIZAR HOT-TAPPING</t>
  </si>
  <si>
    <t>5.98.</t>
  </si>
  <si>
    <t>MAQUINA TAPINADORA CON RANGO DE PERFORACIÓN DE ½" - 6", PARA VÁLVULAS CLASE 150#, 300# Y 600#.</t>
  </si>
  <si>
    <t>5.99.</t>
  </si>
  <si>
    <t>MAQUINA TAPINADORA CON RANGO DE PERFORACIÓN DE 3" - 16", PARA VÁLVULAS CLASE 150#, 300# Y 600#.</t>
  </si>
  <si>
    <t>5.100.</t>
  </si>
  <si>
    <t>MAQUINA TAPINADORA CON RANGO DE PERFORACIÓN DE 14"-36", PARA VÁLVULAS CLASE 150#, 300# Y 600#.</t>
  </si>
  <si>
    <t>5.101.</t>
  </si>
  <si>
    <t>MARTILLO DIESEL O HIDRÁULICO DE 180,000 LB/FT</t>
  </si>
  <si>
    <t>5.102.</t>
  </si>
  <si>
    <t>MARTILLO DIESEL O HIDRÁULICO DE 240,000 LB/FT</t>
  </si>
  <si>
    <t>5.103.</t>
  </si>
  <si>
    <t>MARTILLO DIESEL O HIDRÁULICO DE 300,000 LB/FT</t>
  </si>
  <si>
    <t>5.104.</t>
  </si>
  <si>
    <t xml:space="preserve">MARTILLO DIESEL O HIDRÁULICO DE 500,000 LB/FT </t>
  </si>
  <si>
    <t>EQUIPOS DE TRANSPORTE MARÍTIMO</t>
  </si>
  <si>
    <t>5.105.</t>
  </si>
  <si>
    <t>EMBARCACIÓN PARA  TRANSPORTE DE  PERSONAL CON CAPACIDAD  DE 60 PASAJEROS.</t>
  </si>
  <si>
    <t>5.106.</t>
  </si>
  <si>
    <t>ABASTECEDOR PARA TRANSPORTE DE MATERIALES Y EQUIPOS.</t>
  </si>
  <si>
    <t>5.107.</t>
  </si>
  <si>
    <t>PAREJA BARCAZA DE CARGA (CHALAN) DE 250 X 72 X 16 PIES/ REMOLCADOR DE 60 BOLLARD PULL.</t>
  </si>
  <si>
    <t>5.108.</t>
  </si>
  <si>
    <t>PAREJA BARCAZA DE CARGA (CHALAN) DE 300 X 90 X 20 PIES/ REMOLCADOR DE 70 BOLLARD PULL.</t>
  </si>
  <si>
    <t>5.109.</t>
  </si>
  <si>
    <t>PAREJA BARCAZA DE CARGA (CHALAN) DE 365 X 92 X 22.9 PIES/ REMOLCADOR DE 80 BOLLARD PULL.</t>
  </si>
  <si>
    <t>EQUIPO OPTATIVO PARA TRABAJOS DE REHABILITACIÓN Y ADECUACIÓN EN TIERRA</t>
  </si>
  <si>
    <t>EQUIPOS DE TRANSPORTE EN TIERRA</t>
  </si>
  <si>
    <t>5.110.</t>
  </si>
  <si>
    <t>CAMIÓN CON PLATAFORMA DE 30 TON Y GRÚA ARTICULADA CAP. 10 TON (INCLUYE OPERADOR, ESTROBOS, GRILLETES Y GROMET´S)</t>
  </si>
  <si>
    <t>5.111.</t>
  </si>
  <si>
    <t>CAMIÓN CON PLATAFORMA DE 30 TON TIPO PLANA (INCLUYE OPERADOR, ESTROBOS, GRILLETES Y GROMET´S)</t>
  </si>
  <si>
    <t>5.112.</t>
  </si>
  <si>
    <t>CAMIÓN CON PLATAFORMA DE 60 TON TIPO PLANA (INCLUYE OPERADOR, ESTROBOS, GRILLETES Y GROMET´S)</t>
  </si>
  <si>
    <t>5.113.</t>
  </si>
  <si>
    <t>CAMIÓN DE 3 TON. (INCLUYE OPERADOR, ESTROBOS, GRILLETES Y GROMET´S)</t>
  </si>
  <si>
    <t>5.114.</t>
  </si>
  <si>
    <t>LOW BOY CON CAPACIDAD DE CARGA DE 90 TONELADAS (INCLUYE TRACTOCAMION, OPERADOR, ESTROBOS, GRILLETES Y GROMET´S)</t>
  </si>
  <si>
    <t>GRÚAS</t>
  </si>
  <si>
    <t>5.115.</t>
  </si>
  <si>
    <t>GRÚA DE 60 TON (INCLUYE OPERADOR, ESTROBOS, GRILLETES Y GROMET´S)</t>
  </si>
  <si>
    <t>5.116.</t>
  </si>
  <si>
    <t>GRUA DE 150 TONELADAS (INCLUYE OPERADOR, ESTROBOS, GRILLETES) (EN TIERRA)</t>
  </si>
  <si>
    <t>5.117.</t>
  </si>
  <si>
    <t>GRUA DE 250 TONELADAS (INCLUYE OPERADOR, ESTROBOS, GRILLETES) (EN TIERRA)</t>
  </si>
  <si>
    <t>5.118.</t>
  </si>
  <si>
    <t>GRUA DE 350 TONELADAS (INCLUYE OPERADOR, ESTROBOS, GRILLETES) (EN TIERRA)</t>
  </si>
  <si>
    <t>EQUIPO OPTATIVO PARA TRABAJOS DE REHABILITACIÓN Y ADECUACIÓN</t>
  </si>
  <si>
    <t>5.119.</t>
  </si>
  <si>
    <t>ESTROBOS GRILLETES Y GROMET´S</t>
  </si>
  <si>
    <t>5.120.</t>
  </si>
  <si>
    <t>5.121.</t>
  </si>
  <si>
    <t>5.122.</t>
  </si>
  <si>
    <t>LEVANTADORA MONTACARGA DE CADENA DE:</t>
  </si>
  <si>
    <t>5.123.</t>
  </si>
  <si>
    <t>5.124.</t>
  </si>
  <si>
    <t>5.125.</t>
  </si>
  <si>
    <t>DIFERENCIAL DE CADENA DE:</t>
  </si>
  <si>
    <t>5.126.</t>
  </si>
  <si>
    <t>5.127.</t>
  </si>
  <si>
    <t>5.128.</t>
  </si>
  <si>
    <t>5.129.</t>
  </si>
  <si>
    <t>GARRUCHAS DE BISAGRA DE:</t>
  </si>
  <si>
    <t>5.130.</t>
  </si>
  <si>
    <t>5.131.</t>
  </si>
  <si>
    <t>5.132.</t>
  </si>
  <si>
    <t>5.133.</t>
  </si>
  <si>
    <t>5.134.</t>
  </si>
  <si>
    <t>5.135.</t>
  </si>
  <si>
    <t>5.136.</t>
  </si>
  <si>
    <t>5.137.</t>
  </si>
  <si>
    <t>5.138.</t>
  </si>
  <si>
    <t>5.139.</t>
  </si>
  <si>
    <t>5.140.</t>
  </si>
  <si>
    <t>5.141.</t>
  </si>
  <si>
    <t>5.142.</t>
  </si>
  <si>
    <t>5.143.</t>
  </si>
  <si>
    <t>MÁQUINA CORTADORA EN FRIO Y BISELADORA BIPARTIDA PARA TUBERÍAS DE 6 A 48 Y HASTA 2 ½" DE ESPESOR</t>
  </si>
  <si>
    <t>5.144.</t>
  </si>
  <si>
    <t>5.145.</t>
  </si>
  <si>
    <t>5.146.</t>
  </si>
  <si>
    <t>5.147.</t>
  </si>
  <si>
    <t>ANALIZADOR DIGITAL 1000 V/AC DC. MCA. FLUKE O EQUIVALENTE.</t>
  </si>
  <si>
    <t>5.148.</t>
  </si>
  <si>
    <t>5.149.</t>
  </si>
  <si>
    <t>5.150.</t>
  </si>
  <si>
    <t>HIDRÁULICO CON SOAJES DE MEDIA LUNA RECUBIERTOS DE P.V.C. DE ¾"Ø A 3"Ø.</t>
  </si>
  <si>
    <t>5.151.</t>
  </si>
  <si>
    <t xml:space="preserve">DOBLADOR PARA TUBO R / P.V.C. DE ¾"Ø A 1½"Ø </t>
  </si>
  <si>
    <t>5.152.</t>
  </si>
  <si>
    <t>5.153.</t>
  </si>
  <si>
    <t>5.154.</t>
  </si>
  <si>
    <t>5.155.</t>
  </si>
  <si>
    <t>5.156.</t>
  </si>
  <si>
    <t>5.157.</t>
  </si>
  <si>
    <t>5.158.</t>
  </si>
  <si>
    <t>5.159.</t>
  </si>
  <si>
    <t>5.160.</t>
  </si>
  <si>
    <t>5.161.</t>
  </si>
  <si>
    <t>5.162.</t>
  </si>
  <si>
    <t>5.163.</t>
  </si>
  <si>
    <t>5.164.</t>
  </si>
  <si>
    <t>5.165.</t>
  </si>
  <si>
    <t>5.166.</t>
  </si>
  <si>
    <t>5.167.</t>
  </si>
  <si>
    <t>5.168.</t>
  </si>
  <si>
    <t>5.169.</t>
  </si>
  <si>
    <t>5.170.</t>
  </si>
  <si>
    <t>EQUIPO ESPECIALIZADO PARA RELEVADO DE ESFUERZO  INCLUYE EQUIPO DE GENERACIÓN ELÉCTRICA A BASE DE MOTOR DE COMBUSTIÓN INTERNA CON RANGO DE 120 A 150 KVA CON SALIDA DE 220/440 VOLTS EQUIPADO CON AMPERÍMETROS Y VOLTÍMETROS VISIBLES Y CABLES. (INCLUYE  PERSONAL TECNICO).</t>
  </si>
  <si>
    <t>5.171.</t>
  </si>
  <si>
    <t>EQUIPO LASER SCANER INCLUYE PERSONAL TÉCNICO</t>
  </si>
  <si>
    <t>5.172.</t>
  </si>
  <si>
    <t>EQUIPO PARA USO Y EXPLOTACIÓN DE MODELOS ELECTRÓNICOS TRIDIMENSIONALES INTELIGENTES QUE INCLUYA EL SOFTWARE DE "PDMS", INCLUYE PERSONAL TÉCNICO</t>
  </si>
  <si>
    <t>5.173.</t>
  </si>
  <si>
    <t>5.174.</t>
  </si>
  <si>
    <t>SIERRA HIDRÁULICA PARA USO SUBMARINO (INCLUYE PERSONAL TÉCNICO)</t>
  </si>
  <si>
    <t>5.175.</t>
  </si>
  <si>
    <t>EQUIPO COMPLETO DE CORTE SUBMARINO (INCLUYE PERSONAL TÉCNICO)</t>
  </si>
  <si>
    <t>5.176.</t>
  </si>
  <si>
    <t>LLAVES DE IMPACTO HIDRÁULICAS CON LLAVE DE CUBO DE DIFERENTES MEDIDAS, IW-24 DE 1300-2000 PSI DE 15 GPM (INCLUYE PERSONAL TECNICO)</t>
  </si>
  <si>
    <t>5.177.</t>
  </si>
  <si>
    <t>LLAVES DE IMPACTO HIDRÁULICAS CON LLAVE DE CUBO DE DIFERENTES MEDIDAS, IW-16 DE 500-2500 PSI DE 12 GPM (INCLUYE PERSONAL TECNICO)</t>
  </si>
  <si>
    <t>5.178.</t>
  </si>
  <si>
    <t>MANGUERAS (DE MÍNIMO 30 M C/U) CONTRAINCENDIO CON SUS RESPECTIVAS BOQUILLAS DE ACUERDO A NFPA-1961 Y 1963.</t>
  </si>
  <si>
    <t>5.179.</t>
  </si>
  <si>
    <t>BOMBA CENTRIFUGA DE COMBUSTION INTERNA, FLUJO MASIVO. PARA SERVICIO DE LASTRADO Y/O DESLASTRADO.</t>
  </si>
  <si>
    <t>5.180.</t>
  </si>
  <si>
    <t>EQUIPO DE ILUMINACIÓN MEDIANTE LUMINARIA CON MOTOR DE COMBUSTIÓN INTERNA CON GENERADOR CON 4 LÁMPARAS INTEGRADAS (EN TIERRA)</t>
  </si>
  <si>
    <t>5.181.</t>
  </si>
  <si>
    <t>MALACATE DE AIRE DE 15 TON. INCLUYE CABLES, POLEAS, MANGUERAS Y CONEXIONES. (EN TIERRA)</t>
  </si>
  <si>
    <t>5.182.</t>
  </si>
  <si>
    <t>HORNO ELECTRICO PORTATIL DE ALMACENAMIENTO DE ELECTRODOS (EN TIERRA)</t>
  </si>
  <si>
    <t>5.183.</t>
  </si>
  <si>
    <t>ESMERILADORA ELECTRICA DE 1 HP. (EN TIERRA)</t>
  </si>
  <si>
    <t>5.184.</t>
  </si>
  <si>
    <t>LUMINARIO INDUSTRIAL PARA ALUMBRADO EXTERIOR A PRUEBA DE EXPLOSION. PARA USO EN TIERRA</t>
  </si>
  <si>
    <t>5.185.</t>
  </si>
  <si>
    <t>EQUIPO DE GENERACION ELECTRICA A BASE DE MOTOR DE COMBUSTION INTERNA CON RANGO DE 120 A 150 KVA CON SALIDA DE 220/440 VOLTS EQUIPADO CON AMPERIMETROS Y VOLTIMETROS VISIBLES Y CABLES. PARA USO EN TIERRA.</t>
  </si>
  <si>
    <t>Anexo C-5-1: Plantilla base de equipos</t>
  </si>
  <si>
    <t>C-5-1</t>
  </si>
  <si>
    <t>Plantilla base de equipos</t>
  </si>
  <si>
    <t>Anexo C-6-CR: Catálogo de conceptos de hospedaje y alimentación Optativos (cantidades de referencia).</t>
  </si>
  <si>
    <t>CATÁLOGO DE CONCEPTOS DE HOSPEDAJE Y ALIMENTACIÓN OPTATIVOS</t>
  </si>
  <si>
    <t>6.1.</t>
  </si>
  <si>
    <t>SERVICIO DE HOSPEDAJE, ALIMENTACIÓN DE TRES COMIDAS Y SERVICIO DE CAFÉ.</t>
  </si>
  <si>
    <t>HOM/DÍA</t>
  </si>
  <si>
    <t>6.2.</t>
  </si>
  <si>
    <t>SERVICIO DE HOSPEDAJE Y ALIMENTACIÓN DE DOS COMIDAS.</t>
  </si>
  <si>
    <t>6.3.</t>
  </si>
  <si>
    <t>SERVICIO DE HOSPEDAJE Y ALIMENTACIÓN DE UNA COMIDA</t>
  </si>
  <si>
    <t>6.4.</t>
  </si>
  <si>
    <t>ALIMENTACIÓN DE UNA COMIDA</t>
  </si>
  <si>
    <t>COMIDA</t>
  </si>
  <si>
    <t xml:space="preserve">TOTAL </t>
  </si>
  <si>
    <t>PARTIDA</t>
  </si>
  <si>
    <t>CONCEPTO</t>
  </si>
  <si>
    <t>P.U. MN</t>
  </si>
  <si>
    <t>P.U. USD</t>
  </si>
  <si>
    <t>ANEXO</t>
  </si>
  <si>
    <t>C-2</t>
  </si>
  <si>
    <t>ID PADRE</t>
  </si>
  <si>
    <t>ID MADRE</t>
  </si>
  <si>
    <t>ID HIJO</t>
  </si>
  <si>
    <t>SUMINISTRO E INSTALACION DE TORNILLO DE CABEZA HEXAGONAL DE ALTA RESISTENCIA ASTM A-327</t>
  </si>
  <si>
    <t>C-3</t>
  </si>
  <si>
    <t>C-4</t>
  </si>
  <si>
    <t>C-5</t>
  </si>
  <si>
    <t>C-6</t>
  </si>
  <si>
    <t>Pernocta</t>
  </si>
  <si>
    <t>MAR</t>
  </si>
  <si>
    <t>TIERRA</t>
  </si>
  <si>
    <t>Plantilla optativa de equipos</t>
  </si>
  <si>
    <t>Plantilla base de personal</t>
  </si>
  <si>
    <t>Plantilla optativa de personal</t>
  </si>
  <si>
    <t>EQUIPO BASE PARA TRABAJOS DE REHABILITACIÓN Y ADECUACIÓN</t>
  </si>
  <si>
    <t>HOSPEDAJE Y ALIMENTACIÓN OPTATIVOS</t>
  </si>
  <si>
    <t>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</si>
</sst>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42" formatCode="_-&quot;$&quot;* #,##0_-;\-&quot;$&quot;* #,##0_-;_-&quot;$&quot;* &quot;-&quot;_-;_-@_-"/>
    <numFmt numFmtId="44" formatCode="_-&quot;$&quot;* #,##0.00_-;\-&quot;$&quot;* #,##0.00_-;_-&quot;$&quot;* &quot;-&quot;??_-;_-@_-"/>
    <numFmt numFmtId="43" formatCode="_-* #,##0.00_-;\-* #,##0.00_-;_-* &quot;-&quot;??_-;_-@_-"/>
    <numFmt numFmtId="164" formatCode="_-[$$-80A]* #,##0.00_-;\-[$$-80A]* #,##0.00_-;_-[$$-80A]* &quot;-&quot;??_-;_-@_-"/>
    <numFmt numFmtId="165" formatCode="0.000"/>
    <numFmt numFmtId="166" formatCode="0.0000"/>
  </numFmts>
  <fonts count="80"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1"/>
      <color indexed="8"/>
      <name val="Calibri"/>
      <family val="2"/>
    </font>
    <font>
      <sz val="8"/>
      <color theme="1"/>
      <name val="Arial"/>
      <family val="2"/>
    </font>
    <font>
      <b/>
      <sz val="12"/>
      <name val="Verdana"/>
      <family val="2"/>
    </font>
    <font>
      <sz val="10"/>
      <name val="Verdana"/>
      <family val="2"/>
    </font>
    <font>
      <sz val="10"/>
      <name val="MS Sans Serif"/>
      <family val="2"/>
    </font>
    <font>
      <sz val="11"/>
      <color indexed="9"/>
      <name val="Calibri"/>
      <family val="2"/>
    </font>
    <font>
      <sz val="8"/>
      <name val="Times New Roman"/>
      <family val="1"/>
    </font>
    <font>
      <sz val="11"/>
      <color indexed="20"/>
      <name val="Calibri"/>
      <family val="2"/>
    </font>
    <font>
      <sz val="10"/>
      <color theme="0"/>
      <name val="Verdana"/>
      <family val="2"/>
    </font>
    <font>
      <b/>
      <sz val="11"/>
      <color theme="0"/>
      <name val="Verdana"/>
      <family val="2"/>
    </font>
    <font>
      <sz val="12"/>
      <name val="Tms Rmn"/>
    </font>
    <font>
      <b/>
      <sz val="11"/>
      <color indexed="10"/>
      <name val="Calibri"/>
      <family val="2"/>
    </font>
    <font>
      <b/>
      <sz val="11"/>
      <color indexed="9"/>
      <name val="Calibri"/>
      <family val="2"/>
    </font>
    <font>
      <sz val="11"/>
      <name val="Tms Rmn"/>
    </font>
    <font>
      <sz val="10"/>
      <color indexed="24"/>
      <name val="Arial"/>
      <family val="2"/>
    </font>
    <font>
      <sz val="10"/>
      <name val="MS Serif"/>
      <family val="1"/>
    </font>
    <font>
      <b/>
      <sz val="10"/>
      <name val="Times New Roman"/>
      <family val="1"/>
    </font>
    <font>
      <sz val="10"/>
      <color indexed="16"/>
      <name val="MS Serif"/>
      <family val="1"/>
    </font>
    <font>
      <i/>
      <sz val="11"/>
      <color indexed="23"/>
      <name val="Calibri"/>
      <family val="2"/>
    </font>
    <font>
      <sz val="11"/>
      <color indexed="17"/>
      <name val="Calibri"/>
      <family val="2"/>
    </font>
    <font>
      <b/>
      <sz val="12"/>
      <color indexed="9"/>
      <name val="Tms Rmn"/>
    </font>
    <font>
      <b/>
      <sz val="12"/>
      <name val="Arial"/>
      <family val="2"/>
    </font>
    <font>
      <b/>
      <sz val="15"/>
      <color indexed="62"/>
      <name val="Calibri"/>
      <family val="2"/>
    </font>
    <font>
      <b/>
      <sz val="13"/>
      <color indexed="62"/>
      <name val="Calibri"/>
      <family val="2"/>
    </font>
    <font>
      <b/>
      <sz val="11"/>
      <color indexed="62"/>
      <name val="Calibri"/>
      <family val="2"/>
    </font>
    <font>
      <b/>
      <sz val="8"/>
      <name val="MS Sans Serif"/>
      <family val="2"/>
    </font>
    <font>
      <u/>
      <sz val="10"/>
      <color indexed="12"/>
      <name val="Arial"/>
      <family val="2"/>
    </font>
    <font>
      <sz val="11"/>
      <color indexed="62"/>
      <name val="Calibri"/>
      <family val="2"/>
    </font>
    <font>
      <sz val="11"/>
      <color indexed="10"/>
      <name val="Calibri"/>
      <family val="2"/>
    </font>
    <font>
      <sz val="11"/>
      <color indexed="60"/>
      <name val="Calibri"/>
      <family val="2"/>
    </font>
    <font>
      <sz val="11"/>
      <color indexed="19"/>
      <name val="Calibri"/>
      <family val="2"/>
    </font>
    <font>
      <b/>
      <i/>
      <sz val="16"/>
      <name val="Helv"/>
    </font>
    <font>
      <sz val="10"/>
      <name val="Times New Roman"/>
      <family val="1"/>
    </font>
    <font>
      <sz val="12"/>
      <name val="Arial"/>
      <family val="2"/>
    </font>
    <font>
      <sz val="9"/>
      <name val="Verdana"/>
      <family val="2"/>
    </font>
    <font>
      <b/>
      <sz val="11"/>
      <color indexed="63"/>
      <name val="Calibri"/>
      <family val="2"/>
    </font>
    <font>
      <sz val="8"/>
      <name val="Wingdings"/>
      <charset val="2"/>
    </font>
    <font>
      <sz val="8"/>
      <name val="Helv"/>
    </font>
    <font>
      <sz val="8"/>
      <name val="MS Sans Serif"/>
      <family val="2"/>
    </font>
    <font>
      <b/>
      <sz val="8"/>
      <color indexed="8"/>
      <name val="Helv"/>
    </font>
    <font>
      <b/>
      <sz val="18"/>
      <color indexed="62"/>
      <name val="Cambria"/>
      <family val="2"/>
    </font>
    <font>
      <b/>
      <sz val="11"/>
      <color indexed="8"/>
      <name val="Calibri"/>
      <family val="2"/>
    </font>
    <font>
      <sz val="10"/>
      <color theme="1"/>
      <name val="Arial"/>
      <family val="2"/>
    </font>
    <font>
      <sz val="10"/>
      <color theme="1"/>
      <name val="Verdana"/>
      <family val="2"/>
    </font>
    <font>
      <sz val="10"/>
      <color rgb="FF000000"/>
      <name val="Times New Roman"/>
      <family val="1"/>
    </font>
    <font>
      <sz val="10"/>
      <color rgb="FF000000"/>
      <name val="Times New Roman"/>
      <family val="1"/>
    </font>
    <font>
      <sz val="9"/>
      <color rgb="FF000000"/>
      <name val="Arial Narrow"/>
      <family val="2"/>
    </font>
    <font>
      <b/>
      <sz val="9"/>
      <color rgb="FF000000"/>
      <name val="Arial Narrow"/>
      <family val="2"/>
    </font>
    <font>
      <sz val="9"/>
      <color theme="1"/>
      <name val="Arial Narrow"/>
      <family val="2"/>
    </font>
    <font>
      <b/>
      <sz val="9"/>
      <color theme="1"/>
      <name val="Arial Narrow"/>
      <family val="2"/>
    </font>
    <font>
      <b/>
      <sz val="11"/>
      <color theme="1"/>
      <name val="Arial Narrow"/>
      <family val="2"/>
    </font>
    <font>
      <sz val="8"/>
      <color theme="1"/>
      <name val="Arial Narrow"/>
      <family val="2"/>
    </font>
    <font>
      <b/>
      <sz val="9"/>
      <color theme="8" tint="-0.249977111117893"/>
      <name val="Arial Narrow"/>
      <family val="2"/>
    </font>
    <font>
      <sz val="11"/>
      <color theme="1"/>
      <name val="Arial Narrow"/>
      <family val="2"/>
    </font>
    <font>
      <sz val="11"/>
      <color rgb="FFFF0000"/>
      <name val="Arial Narrow"/>
      <family val="2"/>
    </font>
    <font>
      <sz val="9"/>
      <name val="Arial Narrow"/>
      <family val="2"/>
    </font>
    <font>
      <b/>
      <sz val="9"/>
      <name val="Arial Narrow"/>
      <family val="2"/>
    </font>
    <font>
      <b/>
      <sz val="11"/>
      <name val="Arial Narrow"/>
      <family val="2"/>
    </font>
    <font>
      <b/>
      <sz val="8"/>
      <color rgb="FF0000FF"/>
      <name val="Calibri"/>
      <family val="2"/>
      <scheme val="minor"/>
    </font>
    <font>
      <b/>
      <sz val="8"/>
      <name val="Arial Narrow"/>
      <family val="2"/>
    </font>
  </fonts>
  <fills count="26">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22"/>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theme="3" tint="-0.249977111117893"/>
        <bgColor indexed="64"/>
      </patternFill>
    </fill>
    <fill>
      <patternFill patternType="solid">
        <fgColor indexed="9"/>
      </patternFill>
    </fill>
    <fill>
      <patternFill patternType="solid">
        <fgColor indexed="55"/>
      </patternFill>
    </fill>
    <fill>
      <patternFill patternType="solid">
        <fgColor indexed="22"/>
        <bgColor indexed="64"/>
      </patternFill>
    </fill>
    <fill>
      <patternFill patternType="solid">
        <fgColor indexed="65"/>
        <bgColor indexed="64"/>
      </patternFill>
    </fill>
    <fill>
      <patternFill patternType="solid">
        <fgColor indexed="26"/>
        <bgColor indexed="64"/>
      </patternFill>
    </fill>
    <fill>
      <patternFill patternType="darkVertical"/>
    </fill>
    <fill>
      <patternFill patternType="solid">
        <fgColor theme="8" tint="0.59999389629810485"/>
        <bgColor indexed="64"/>
      </patternFill>
    </fill>
    <fill>
      <patternFill patternType="solid">
        <fgColor rgb="FFFFFF00"/>
        <bgColor indexed="64"/>
      </patternFill>
    </fill>
    <fill>
      <patternFill patternType="solid">
        <fgColor theme="4"/>
        <bgColor theme="4"/>
      </patternFill>
    </fill>
  </fills>
  <borders count="4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8"/>
      </bottom>
      <diagonal/>
    </border>
    <border>
      <left/>
      <right/>
      <top style="medium">
        <color indexed="64"/>
      </top>
      <bottom style="medium">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medium">
        <color indexed="64"/>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double">
        <color indexed="64"/>
      </top>
      <bottom/>
      <diagonal/>
    </border>
    <border>
      <left/>
      <right/>
      <top style="medium">
        <color auto="1"/>
      </top>
      <bottom/>
      <diagonal/>
    </border>
    <border>
      <left/>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theme="4"/>
      </top>
      <bottom/>
      <diagonal/>
    </border>
    <border>
      <left style="thin">
        <color indexed="64"/>
      </left>
      <right style="thin">
        <color indexed="64"/>
      </right>
      <top style="thin">
        <color theme="4"/>
      </top>
      <bottom/>
      <diagonal/>
    </border>
    <border>
      <left style="thin">
        <color indexed="64"/>
      </left>
      <right style="medium">
        <color indexed="64"/>
      </right>
      <top style="thin">
        <color theme="4"/>
      </top>
      <bottom/>
      <diagonal/>
    </border>
  </borders>
  <cellStyleXfs count="832">
    <xf numFmtId="0" fontId="0" fillId="0" borderId="0"/>
    <xf numFmtId="0" fontId="17" fillId="0" borderId="0"/>
    <xf numFmtId="0" fontId="18" fillId="0" borderId="0" applyFont="0" applyFill="0" applyBorder="0" applyAlignment="0" applyProtection="0"/>
    <xf numFmtId="43" fontId="20" fillId="0" borderId="0" applyFont="0" applyFill="0" applyBorder="0" applyAlignment="0" applyProtection="0"/>
    <xf numFmtId="0" fontId="18" fillId="0" borderId="0" applyFont="0" applyFill="0" applyBorder="0" applyAlignment="0" applyProtection="0"/>
    <xf numFmtId="44" fontId="18" fillId="0" borderId="0" applyFont="0" applyFill="0" applyBorder="0" applyAlignment="0" applyProtection="0"/>
    <xf numFmtId="0" fontId="18" fillId="0" borderId="0"/>
    <xf numFmtId="9" fontId="20"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7" fillId="0" borderId="0"/>
    <xf numFmtId="0" fontId="23" fillId="0" borderId="0">
      <alignment vertical="top"/>
    </xf>
    <xf numFmtId="0" fontId="20" fillId="2" borderId="0" applyNumberFormat="0" applyBorder="0" applyAlignment="0" applyProtection="0"/>
    <xf numFmtId="0" fontId="20" fillId="2" borderId="0" applyNumberFormat="0" applyBorder="0" applyAlignment="0" applyProtection="0"/>
    <xf numFmtId="0" fontId="20" fillId="2" borderId="0" applyNumberFormat="0" applyBorder="0" applyAlignment="0" applyProtection="0"/>
    <xf numFmtId="0" fontId="20" fillId="2" borderId="0" applyNumberFormat="0" applyBorder="0" applyAlignment="0" applyProtection="0"/>
    <xf numFmtId="0" fontId="20" fillId="2"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5" borderId="0" applyNumberFormat="0" applyBorder="0" applyAlignment="0" applyProtection="0"/>
    <xf numFmtId="0" fontId="20" fillId="5" borderId="0" applyNumberFormat="0" applyBorder="0" applyAlignment="0" applyProtection="0"/>
    <xf numFmtId="0" fontId="20" fillId="5"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4" fillId="0" borderId="0" applyProtection="0">
      <protection locked="0"/>
    </xf>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0" fillId="3"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8" borderId="0" applyNumberFormat="0" applyBorder="0" applyAlignment="0" applyProtection="0"/>
    <xf numFmtId="0" fontId="20" fillId="8" borderId="0" applyNumberFormat="0" applyBorder="0" applyAlignment="0" applyProtection="0"/>
    <xf numFmtId="0" fontId="20" fillId="8" borderId="0" applyNumberFormat="0" applyBorder="0" applyAlignment="0" applyProtection="0"/>
    <xf numFmtId="0" fontId="20" fillId="8"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0" fillId="4"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6" fillId="0" borderId="0">
      <alignment horizontal="center" wrapText="1"/>
      <protection locked="0"/>
    </xf>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8" fillId="16" borderId="0">
      <alignment horizontal="left" vertical="center"/>
    </xf>
    <xf numFmtId="0" fontId="29" fillId="16" borderId="0">
      <alignment horizontal="left" vertical="center"/>
    </xf>
    <xf numFmtId="0" fontId="30" fillId="0" borderId="0" applyNumberFormat="0" applyFill="0" applyBorder="0" applyAlignment="0" applyProtection="0"/>
    <xf numFmtId="0" fontId="24" fillId="0" borderId="0" applyFill="0" applyBorder="0" applyAlignment="0"/>
    <xf numFmtId="0" fontId="31" fillId="17" borderId="4" applyNumberFormat="0" applyAlignment="0" applyProtection="0"/>
    <xf numFmtId="0" fontId="31" fillId="17" borderId="4" applyNumberFormat="0" applyAlignment="0" applyProtection="0"/>
    <xf numFmtId="0" fontId="31" fillId="17" borderId="4" applyNumberFormat="0" applyAlignment="0" applyProtection="0"/>
    <xf numFmtId="0" fontId="31" fillId="17" borderId="4" applyNumberFormat="0" applyAlignment="0" applyProtection="0"/>
    <xf numFmtId="0" fontId="31" fillId="17" borderId="4" applyNumberFormat="0" applyAlignment="0" applyProtection="0"/>
    <xf numFmtId="0" fontId="32" fillId="18" borderId="5" applyNumberFormat="0" applyAlignment="0" applyProtection="0"/>
    <xf numFmtId="0" fontId="32" fillId="18" borderId="5" applyNumberFormat="0" applyAlignment="0" applyProtection="0"/>
    <xf numFmtId="0" fontId="32" fillId="18" borderId="5" applyNumberFormat="0" applyAlignment="0" applyProtection="0"/>
    <xf numFmtId="0" fontId="32" fillId="18" borderId="5" applyNumberFormat="0" applyAlignment="0" applyProtection="0"/>
    <xf numFmtId="0" fontId="32" fillId="18" borderId="5" applyNumberFormat="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3" fontId="34" fillId="0" borderId="0" applyFont="0" applyFill="0" applyBorder="0" applyAlignment="0" applyProtection="0"/>
    <xf numFmtId="0" fontId="35" fillId="0" borderId="0" applyNumberFormat="0" applyAlignment="0">
      <alignment horizontal="left"/>
    </xf>
    <xf numFmtId="42" fontId="36" fillId="0" borderId="6" applyBorder="0"/>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24" fillId="0" borderId="0">
      <protection locked="0"/>
    </xf>
    <xf numFmtId="0" fontId="34" fillId="0" borderId="0" applyFont="0" applyFill="0" applyBorder="0" applyAlignment="0" applyProtection="0"/>
    <xf numFmtId="0" fontId="3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37" fillId="0" borderId="0" applyNumberFormat="0" applyAlignment="0">
      <alignment horizontal="left"/>
    </xf>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2" fontId="34" fillId="0" borderId="0" applyFont="0" applyFill="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38" fontId="19" fillId="19" borderId="0" applyNumberFormat="0" applyBorder="0" applyAlignment="0" applyProtection="0"/>
    <xf numFmtId="0" fontId="40" fillId="20" borderId="0"/>
    <xf numFmtId="0" fontId="41" fillId="0" borderId="7" applyNumberFormat="0" applyAlignment="0" applyProtection="0">
      <alignment horizontal="left" vertical="center"/>
    </xf>
    <xf numFmtId="0" fontId="41" fillId="0" borderId="2">
      <alignment horizontal="left" vertical="center"/>
    </xf>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2" fillId="0" borderId="8"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10"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5" fillId="0" borderId="11">
      <alignment horizontal="center"/>
    </xf>
    <xf numFmtId="0" fontId="45" fillId="0" borderId="0">
      <alignment horizontal="center"/>
    </xf>
    <xf numFmtId="0" fontId="46" fillId="0" borderId="0" applyNumberFormat="0" applyFill="0" applyBorder="0" applyAlignment="0" applyProtection="0">
      <alignment vertical="top"/>
      <protection locked="0"/>
    </xf>
    <xf numFmtId="10" fontId="19" fillId="21" borderId="1" applyNumberFormat="0" applyBorder="0" applyAlignment="0" applyProtection="0"/>
    <xf numFmtId="0" fontId="47" fillId="7" borderId="4" applyNumberFormat="0" applyAlignment="0" applyProtection="0"/>
    <xf numFmtId="0" fontId="47" fillId="7" borderId="4" applyNumberFormat="0" applyAlignment="0" applyProtection="0"/>
    <xf numFmtId="0" fontId="47" fillId="7" borderId="4" applyNumberFormat="0" applyAlignment="0" applyProtection="0"/>
    <xf numFmtId="0" fontId="47" fillId="7" borderId="4" applyNumberFormat="0" applyAlignment="0" applyProtection="0"/>
    <xf numFmtId="0" fontId="47" fillId="7" borderId="4" applyNumberFormat="0" applyAlignment="0" applyProtection="0"/>
    <xf numFmtId="0" fontId="47" fillId="7" borderId="4" applyNumberFormat="0" applyAlignment="0" applyProtection="0"/>
    <xf numFmtId="0" fontId="48" fillId="0" borderId="12" applyNumberFormat="0" applyFill="0" applyAlignment="0" applyProtection="0"/>
    <xf numFmtId="0" fontId="48" fillId="0" borderId="12" applyNumberFormat="0" applyFill="0" applyAlignment="0" applyProtection="0"/>
    <xf numFmtId="0" fontId="48" fillId="0" borderId="12" applyNumberFormat="0" applyFill="0" applyAlignment="0" applyProtection="0"/>
    <xf numFmtId="0" fontId="48" fillId="0" borderId="12" applyNumberFormat="0" applyFill="0" applyAlignment="0" applyProtection="0"/>
    <xf numFmtId="0" fontId="48" fillId="0" borderId="12" applyNumberFormat="0" applyFill="0" applyAlignment="0" applyProtection="0"/>
    <xf numFmtId="0" fontId="49"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0" fillId="7" borderId="0" applyNumberFormat="0" applyBorder="0" applyAlignment="0" applyProtection="0"/>
    <xf numFmtId="0" fontId="5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8" fillId="0" borderId="0"/>
    <xf numFmtId="0" fontId="17" fillId="0" borderId="0"/>
    <xf numFmtId="0" fontId="18" fillId="0" borderId="0"/>
    <xf numFmtId="0" fontId="18" fillId="0" borderId="0"/>
    <xf numFmtId="0" fontId="17" fillId="0" borderId="0"/>
    <xf numFmtId="0" fontId="18" fillId="0" borderId="0"/>
    <xf numFmtId="0" fontId="18" fillId="0" borderId="0"/>
    <xf numFmtId="0" fontId="18" fillId="0" borderId="0"/>
    <xf numFmtId="0" fontId="23" fillId="0" borderId="0">
      <alignment vertical="top"/>
    </xf>
    <xf numFmtId="0" fontId="18" fillId="0" borderId="0"/>
    <xf numFmtId="0" fontId="52" fillId="0" borderId="0"/>
    <xf numFmtId="0" fontId="17" fillId="0" borderId="0"/>
    <xf numFmtId="0" fontId="53"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18"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18" fillId="0" borderId="0"/>
    <xf numFmtId="0" fontId="17" fillId="0" borderId="0"/>
    <xf numFmtId="0" fontId="17"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1" fillId="0" borderId="0"/>
    <xf numFmtId="0" fontId="17" fillId="0" borderId="0"/>
    <xf numFmtId="0" fontId="5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52" fillId="0" borderId="0"/>
    <xf numFmtId="0" fontId="52" fillId="0" borderId="0"/>
    <xf numFmtId="0" fontId="52" fillId="0" borderId="0"/>
    <xf numFmtId="0" fontId="17" fillId="0" borderId="0"/>
    <xf numFmtId="0" fontId="52" fillId="0" borderId="0"/>
    <xf numFmtId="0" fontId="54" fillId="0" borderId="0"/>
    <xf numFmtId="0" fontId="17" fillId="0" borderId="0"/>
    <xf numFmtId="0" fontId="17" fillId="0" borderId="0"/>
    <xf numFmtId="0" fontId="17" fillId="0" borderId="0"/>
    <xf numFmtId="0" fontId="17" fillId="0" borderId="0"/>
    <xf numFmtId="0" fontId="2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2" fillId="0" borderId="0"/>
    <xf numFmtId="0" fontId="52" fillId="0" borderId="0"/>
    <xf numFmtId="0" fontId="52" fillId="0" borderId="0"/>
    <xf numFmtId="0" fontId="17" fillId="0" borderId="0"/>
    <xf numFmtId="0" fontId="17" fillId="0" borderId="0"/>
    <xf numFmtId="0" fontId="17" fillId="0" borderId="0"/>
    <xf numFmtId="0" fontId="17" fillId="0" borderId="0"/>
    <xf numFmtId="0" fontId="17" fillId="0" borderId="0"/>
    <xf numFmtId="0" fontId="18" fillId="0" borderId="0"/>
    <xf numFmtId="0" fontId="17" fillId="0" borderId="0"/>
    <xf numFmtId="0" fontId="17" fillId="0" borderId="0"/>
    <xf numFmtId="0" fontId="21" fillId="0" borderId="0"/>
    <xf numFmtId="0" fontId="52" fillId="0" borderId="0"/>
    <xf numFmtId="0" fontId="52" fillId="0" borderId="0"/>
    <xf numFmtId="0" fontId="52" fillId="0" borderId="0"/>
    <xf numFmtId="0" fontId="52" fillId="0" borderId="0"/>
    <xf numFmtId="0" fontId="52" fillId="0" borderId="0"/>
    <xf numFmtId="0" fontId="5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8" fillId="0" borderId="0"/>
    <xf numFmtId="0" fontId="18" fillId="0" borderId="0"/>
    <xf numFmtId="0" fontId="18" fillId="4" borderId="13" applyNumberFormat="0" applyFont="0" applyAlignment="0" applyProtection="0"/>
    <xf numFmtId="0" fontId="18" fillId="4" borderId="13" applyNumberFormat="0" applyFont="0" applyAlignment="0" applyProtection="0"/>
    <xf numFmtId="0" fontId="18" fillId="4" borderId="13" applyNumberFormat="0" applyFont="0" applyAlignment="0" applyProtection="0"/>
    <xf numFmtId="0" fontId="18" fillId="4" borderId="13" applyNumberFormat="0" applyFont="0" applyAlignment="0" applyProtection="0"/>
    <xf numFmtId="0" fontId="18" fillId="4" borderId="13" applyNumberFormat="0" applyFont="0" applyAlignment="0" applyProtection="0"/>
    <xf numFmtId="0" fontId="55" fillId="17" borderId="14" applyNumberFormat="0" applyAlignment="0" applyProtection="0"/>
    <xf numFmtId="0" fontId="55" fillId="17" borderId="14" applyNumberFormat="0" applyAlignment="0" applyProtection="0"/>
    <xf numFmtId="0" fontId="55" fillId="17" borderId="14" applyNumberFormat="0" applyAlignment="0" applyProtection="0"/>
    <xf numFmtId="0" fontId="55" fillId="17" borderId="14" applyNumberFormat="0" applyAlignment="0" applyProtection="0"/>
    <xf numFmtId="0" fontId="55" fillId="17" borderId="14" applyNumberFormat="0" applyAlignment="0" applyProtection="0"/>
    <xf numFmtId="14" fontId="26" fillId="0" borderId="0">
      <alignment horizontal="center" wrapText="1"/>
      <protection locked="0"/>
    </xf>
    <xf numFmtId="10"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54" fillId="0" borderId="0" applyFont="0" applyFill="0" applyBorder="0" applyAlignment="0" applyProtection="0"/>
    <xf numFmtId="9" fontId="18" fillId="0" borderId="0" applyFont="0" applyFill="0" applyBorder="0" applyAlignment="0" applyProtection="0"/>
    <xf numFmtId="0" fontId="52" fillId="0" borderId="0" applyNumberFormat="0" applyFill="0" applyBorder="0" applyAlignment="0" applyProtection="0">
      <alignment horizontal="left"/>
    </xf>
    <xf numFmtId="0" fontId="36" fillId="0" borderId="11" applyBorder="0">
      <alignment horizontal="center"/>
    </xf>
    <xf numFmtId="0" fontId="56" fillId="22" borderId="0" applyNumberFormat="0" applyFont="0" applyBorder="0" applyAlignment="0">
      <alignment horizontal="center"/>
    </xf>
    <xf numFmtId="14" fontId="57" fillId="0" borderId="0" applyNumberFormat="0" applyFill="0" applyBorder="0" applyAlignment="0" applyProtection="0">
      <alignment horizontal="left"/>
    </xf>
    <xf numFmtId="0" fontId="56" fillId="1" borderId="2" applyNumberFormat="0" applyFont="0" applyAlignment="0">
      <alignment horizontal="center"/>
    </xf>
    <xf numFmtId="0" fontId="58" fillId="0" borderId="0" applyNumberFormat="0" applyFill="0" applyBorder="0" applyAlignment="0">
      <alignment horizontal="center"/>
    </xf>
    <xf numFmtId="0" fontId="18" fillId="0" borderId="0"/>
    <xf numFmtId="40" fontId="59" fillId="0" borderId="0" applyBorder="0">
      <alignment horizontal="right"/>
    </xf>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22" fillId="0" borderId="0">
      <alignment vertical="center"/>
    </xf>
    <xf numFmtId="0" fontId="61" fillId="0" borderId="15" applyNumberFormat="0" applyFill="0" applyAlignment="0" applyProtection="0"/>
    <xf numFmtId="0" fontId="34" fillId="0" borderId="16" applyNumberFormat="0" applyFont="0" applyFill="0" applyAlignment="0" applyProtection="0"/>
    <xf numFmtId="0" fontId="34" fillId="0" borderId="16" applyNumberFormat="0" applyFont="0" applyFill="0" applyAlignment="0" applyProtection="0"/>
    <xf numFmtId="0" fontId="34" fillId="0" borderId="16" applyNumberFormat="0" applyFont="0" applyFill="0" applyAlignment="0" applyProtection="0"/>
    <xf numFmtId="0" fontId="34" fillId="0" borderId="16" applyNumberFormat="0" applyFont="0" applyFill="0" applyAlignment="0" applyProtection="0"/>
    <xf numFmtId="0" fontId="34" fillId="0" borderId="16" applyNumberFormat="0" applyFont="0" applyFill="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63" fillId="0" borderId="0"/>
    <xf numFmtId="0" fontId="16" fillId="0" borderId="0"/>
    <xf numFmtId="43" fontId="62" fillId="0" borderId="0" applyFont="0" applyFill="0" applyBorder="0" applyAlignment="0" applyProtection="0"/>
    <xf numFmtId="0" fontId="64" fillId="0" borderId="0"/>
    <xf numFmtId="0" fontId="64" fillId="0" borderId="0"/>
    <xf numFmtId="0" fontId="18" fillId="0" borderId="0"/>
    <xf numFmtId="0" fontId="65" fillId="0" borderId="0"/>
    <xf numFmtId="0" fontId="15" fillId="0" borderId="0"/>
    <xf numFmtId="0" fontId="14" fillId="0" borderId="0"/>
    <xf numFmtId="0" fontId="13" fillId="0" borderId="0"/>
    <xf numFmtId="0" fontId="12" fillId="0" borderId="0"/>
    <xf numFmtId="0" fontId="11" fillId="0" borderId="0"/>
    <xf numFmtId="0" fontId="64" fillId="0" borderId="0"/>
    <xf numFmtId="0" fontId="10" fillId="0" borderId="0"/>
    <xf numFmtId="0" fontId="9" fillId="0" borderId="0"/>
    <xf numFmtId="0" fontId="52" fillId="0" borderId="0"/>
    <xf numFmtId="9" fontId="18" fillId="0" borderId="0" applyFont="0" applyFill="0" applyBorder="0" applyAlignment="0" applyProtection="0"/>
    <xf numFmtId="0" fontId="52" fillId="0" borderId="0" applyFont="0" applyFill="0" applyBorder="0" applyAlignment="0" applyProtection="0"/>
    <xf numFmtId="0" fontId="18" fillId="0" borderId="0"/>
    <xf numFmtId="0" fontId="8" fillId="0" borderId="0"/>
    <xf numFmtId="43" fontId="8" fillId="0" borderId="0" applyFont="0" applyFill="0" applyBorder="0" applyAlignment="0" applyProtection="0"/>
    <xf numFmtId="0" fontId="62" fillId="0" borderId="0"/>
    <xf numFmtId="0" fontId="7" fillId="0" borderId="0"/>
    <xf numFmtId="0" fontId="6" fillId="0" borderId="0"/>
    <xf numFmtId="0" fontId="5" fillId="0" borderId="0"/>
    <xf numFmtId="43" fontId="18" fillId="0" borderId="0" applyFont="0" applyFill="0" applyBorder="0" applyAlignment="0" applyProtection="0"/>
    <xf numFmtId="9" fontId="18" fillId="0" borderId="0" applyFont="0" applyFill="0" applyBorder="0" applyAlignment="0" applyProtection="0"/>
    <xf numFmtId="0" fontId="4" fillId="0" borderId="0"/>
    <xf numFmtId="44" fontId="4" fillId="0" borderId="0" applyFont="0" applyFill="0" applyBorder="0" applyAlignment="0" applyProtection="0"/>
    <xf numFmtId="43" fontId="4" fillId="0" borderId="0" applyFont="0" applyFill="0" applyBorder="0" applyAlignment="0" applyProtection="0"/>
    <xf numFmtId="0" fontId="3" fillId="0" borderId="0"/>
    <xf numFmtId="0" fontId="2" fillId="0" borderId="0"/>
    <xf numFmtId="0" fontId="1" fillId="0" borderId="0"/>
    <xf numFmtId="43" fontId="62" fillId="0" borderId="0" applyFont="0" applyFill="0" applyBorder="0" applyAlignment="0" applyProtection="0"/>
    <xf numFmtId="44" fontId="62" fillId="0" borderId="0" applyFont="0" applyFill="0" applyBorder="0" applyAlignment="0" applyProtection="0"/>
  </cellStyleXfs>
  <cellXfs count="187">
    <xf numFmtId="0" fontId="0" fillId="0" borderId="0" xfId="0"/>
    <xf numFmtId="0" fontId="68" fillId="0" borderId="0" xfId="824" applyFont="1" applyAlignment="1">
      <alignment vertical="center"/>
    </xf>
    <xf numFmtId="0" fontId="68" fillId="0" borderId="0" xfId="824" applyFont="1" applyAlignment="1">
      <alignment horizontal="justify" vertical="center"/>
    </xf>
    <xf numFmtId="0" fontId="69" fillId="0" borderId="0" xfId="824" applyFont="1" applyAlignment="1">
      <alignment vertical="center"/>
    </xf>
    <xf numFmtId="43" fontId="68" fillId="0" borderId="20" xfId="824" applyNumberFormat="1" applyFont="1" applyBorder="1" applyAlignment="1">
      <alignment horizontal="center" vertical="center" wrapText="1"/>
    </xf>
    <xf numFmtId="43" fontId="68" fillId="0" borderId="19" xfId="824" applyNumberFormat="1" applyFont="1" applyBorder="1" applyAlignment="1">
      <alignment horizontal="center" vertical="center" wrapText="1"/>
    </xf>
    <xf numFmtId="43" fontId="68" fillId="0" borderId="19" xfId="826" applyFont="1" applyBorder="1" applyAlignment="1">
      <alignment horizontal="center" vertical="center" wrapText="1"/>
    </xf>
    <xf numFmtId="0" fontId="68" fillId="0" borderId="19" xfId="824" applyFont="1" applyBorder="1" applyAlignment="1">
      <alignment horizontal="center" vertical="center" wrapText="1"/>
    </xf>
    <xf numFmtId="0" fontId="68" fillId="0" borderId="21" xfId="824" applyFont="1" applyBorder="1" applyAlignment="1">
      <alignment horizontal="center" vertical="center" wrapText="1"/>
    </xf>
    <xf numFmtId="0" fontId="67" fillId="23" borderId="22" xfId="824" applyFont="1" applyFill="1" applyBorder="1" applyAlignment="1">
      <alignment horizontal="centerContinuous" vertical="center"/>
    </xf>
    <xf numFmtId="0" fontId="67" fillId="23" borderId="23" xfId="824" applyFont="1" applyFill="1" applyBorder="1" applyAlignment="1">
      <alignment horizontal="centerContinuous" vertical="center"/>
    </xf>
    <xf numFmtId="0" fontId="67" fillId="23" borderId="24" xfId="824" applyFont="1" applyFill="1" applyBorder="1" applyAlignment="1">
      <alignment horizontal="centerContinuous" vertical="center"/>
    </xf>
    <xf numFmtId="0" fontId="68" fillId="0" borderId="0" xfId="824" applyFont="1" applyAlignment="1">
      <alignment horizontal="centerContinuous" vertical="center" wrapText="1"/>
    </xf>
    <xf numFmtId="0" fontId="70" fillId="0" borderId="0" xfId="824" applyFont="1" applyAlignment="1">
      <alignment horizontal="centerContinuous" vertical="center" wrapText="1"/>
    </xf>
    <xf numFmtId="43" fontId="68" fillId="0" borderId="0" xfId="826" applyFont="1" applyAlignment="1">
      <alignment horizontal="justify" vertical="top"/>
    </xf>
    <xf numFmtId="0" fontId="68" fillId="0" borderId="0" xfId="824" applyFont="1" applyAlignment="1">
      <alignment horizontal="justify" vertical="top"/>
    </xf>
    <xf numFmtId="0" fontId="69" fillId="0" borderId="0" xfId="824" applyFont="1" applyAlignment="1">
      <alignment horizontal="centerContinuous" vertical="center" wrapText="1"/>
    </xf>
    <xf numFmtId="43" fontId="68" fillId="0" borderId="0" xfId="826" applyFont="1" applyAlignment="1">
      <alignment horizontal="justify" vertical="center"/>
    </xf>
    <xf numFmtId="0" fontId="68" fillId="0" borderId="0" xfId="824" applyFont="1" applyAlignment="1">
      <alignment horizontal="centerContinuous" vertical="center"/>
    </xf>
    <xf numFmtId="0" fontId="68" fillId="0" borderId="0" xfId="824" applyFont="1" applyAlignment="1">
      <alignment horizontal="left" vertical="center" indent="1"/>
    </xf>
    <xf numFmtId="0" fontId="72" fillId="0" borderId="0" xfId="824" applyFont="1" applyAlignment="1">
      <alignment horizontal="left" vertical="center" indent="1"/>
    </xf>
    <xf numFmtId="0" fontId="68" fillId="0" borderId="27" xfId="824" applyFont="1" applyBorder="1" applyAlignment="1">
      <alignment horizontal="center" vertical="center" wrapText="1"/>
    </xf>
    <xf numFmtId="0" fontId="68" fillId="0" borderId="0" xfId="824" applyFont="1"/>
    <xf numFmtId="0" fontId="72" fillId="0" borderId="0" xfId="824" applyFont="1" applyAlignment="1">
      <alignment horizontal="centerContinuous" vertical="center" wrapText="1"/>
    </xf>
    <xf numFmtId="43" fontId="68" fillId="0" borderId="0" xfId="826" applyFont="1" applyAlignment="1">
      <alignment vertical="center"/>
    </xf>
    <xf numFmtId="0" fontId="68" fillId="0" borderId="0" xfId="824" applyFont="1" applyAlignment="1">
      <alignment horizontal="center" vertical="center"/>
    </xf>
    <xf numFmtId="0" fontId="71" fillId="0" borderId="0" xfId="824" applyFont="1" applyAlignment="1">
      <alignment horizontal="center" vertical="center"/>
    </xf>
    <xf numFmtId="0" fontId="68" fillId="0" borderId="28" xfId="824" applyFont="1" applyBorder="1" applyAlignment="1">
      <alignment horizontal="center" vertical="center" wrapText="1"/>
    </xf>
    <xf numFmtId="43" fontId="68" fillId="0" borderId="0" xfId="826" applyFont="1" applyAlignment="1">
      <alignment horizontal="centerContinuous" vertical="center"/>
    </xf>
    <xf numFmtId="0" fontId="70" fillId="0" borderId="0" xfId="824" applyFont="1" applyAlignment="1">
      <alignment horizontal="centerContinuous" vertical="center"/>
    </xf>
    <xf numFmtId="0" fontId="68" fillId="0" borderId="0" xfId="824" applyFont="1" applyAlignment="1">
      <alignment horizontal="center"/>
    </xf>
    <xf numFmtId="0" fontId="73" fillId="0" borderId="0" xfId="824" applyFont="1" applyAlignment="1">
      <alignment horizontal="centerContinuous" vertical="center"/>
    </xf>
    <xf numFmtId="0" fontId="68" fillId="0" borderId="19" xfId="824" applyFont="1" applyBorder="1" applyAlignment="1">
      <alignment horizontal="justify" vertical="center" wrapText="1"/>
    </xf>
    <xf numFmtId="0" fontId="68" fillId="0" borderId="19" xfId="824" applyFont="1" applyBorder="1" applyAlignment="1">
      <alignment vertical="center" wrapText="1"/>
    </xf>
    <xf numFmtId="0" fontId="69" fillId="0" borderId="19" xfId="824" applyFont="1" applyBorder="1" applyAlignment="1">
      <alignment horizontal="justify" vertical="center" wrapText="1"/>
    </xf>
    <xf numFmtId="44" fontId="68" fillId="0" borderId="0" xfId="825" applyFont="1" applyAlignment="1">
      <alignment vertical="center"/>
    </xf>
    <xf numFmtId="0" fontId="68" fillId="0" borderId="18" xfId="824" applyFont="1" applyBorder="1" applyAlignment="1">
      <alignment horizontal="center" vertical="center"/>
    </xf>
    <xf numFmtId="0" fontId="69" fillId="0" borderId="18" xfId="824" applyFont="1" applyBorder="1" applyAlignment="1">
      <alignment horizontal="center" vertical="center"/>
    </xf>
    <xf numFmtId="0" fontId="68" fillId="0" borderId="18" xfId="824" applyFont="1" applyBorder="1" applyAlignment="1">
      <alignment vertical="center"/>
    </xf>
    <xf numFmtId="44" fontId="69" fillId="0" borderId="17" xfId="825" applyFont="1" applyBorder="1" applyAlignment="1">
      <alignment vertical="center"/>
    </xf>
    <xf numFmtId="0" fontId="68" fillId="0" borderId="19" xfId="824" applyFont="1" applyBorder="1" applyAlignment="1">
      <alignment horizontal="left" vertical="center" wrapText="1" indent="1"/>
    </xf>
    <xf numFmtId="43" fontId="68" fillId="0" borderId="19" xfId="826" applyFont="1" applyFill="1" applyBorder="1" applyAlignment="1">
      <alignment horizontal="center" vertical="center" wrapText="1"/>
    </xf>
    <xf numFmtId="0" fontId="68" fillId="0" borderId="25" xfId="824" applyFont="1" applyBorder="1" applyAlignment="1">
      <alignment horizontal="center" vertical="center" wrapText="1"/>
    </xf>
    <xf numFmtId="43" fontId="68" fillId="0" borderId="25" xfId="826" applyFont="1" applyFill="1" applyBorder="1" applyAlignment="1">
      <alignment horizontal="center" vertical="center" wrapText="1"/>
    </xf>
    <xf numFmtId="44" fontId="68" fillId="0" borderId="25" xfId="825" applyFont="1" applyFill="1" applyBorder="1" applyAlignment="1">
      <alignment horizontal="center" vertical="center" wrapText="1"/>
    </xf>
    <xf numFmtId="0" fontId="68" fillId="0" borderId="21" xfId="824" quotePrefix="1" applyFont="1" applyBorder="1" applyAlignment="1">
      <alignment horizontal="center" vertical="center" wrapText="1"/>
    </xf>
    <xf numFmtId="3" fontId="68" fillId="0" borderId="0" xfId="824" applyNumberFormat="1" applyFont="1" applyAlignment="1">
      <alignment vertical="center"/>
    </xf>
    <xf numFmtId="4" fontId="68" fillId="0" borderId="0" xfId="824" applyNumberFormat="1" applyFont="1" applyAlignment="1">
      <alignment vertical="center"/>
    </xf>
    <xf numFmtId="4" fontId="68" fillId="0" borderId="0" xfId="824" applyNumberFormat="1" applyFont="1" applyAlignment="1">
      <alignment horizontal="justify" vertical="center"/>
    </xf>
    <xf numFmtId="4" fontId="68" fillId="0" borderId="0" xfId="824" applyNumberFormat="1" applyFont="1" applyAlignment="1">
      <alignment horizontal="right" vertical="center"/>
    </xf>
    <xf numFmtId="0" fontId="68" fillId="0" borderId="3" xfId="824" applyFont="1" applyBorder="1" applyAlignment="1">
      <alignment horizontal="center" vertical="center" wrapText="1"/>
    </xf>
    <xf numFmtId="0" fontId="74" fillId="0" borderId="0" xfId="824" applyFont="1" applyAlignment="1">
      <alignment horizontal="centerContinuous" vertical="center"/>
    </xf>
    <xf numFmtId="0" fontId="76" fillId="0" borderId="25" xfId="824" applyFont="1" applyBorder="1" applyAlignment="1">
      <alignment horizontal="justify" vertical="center" wrapText="1"/>
    </xf>
    <xf numFmtId="0" fontId="77" fillId="0" borderId="0" xfId="824" applyFont="1" applyAlignment="1">
      <alignment horizontal="centerContinuous" vertical="center"/>
    </xf>
    <xf numFmtId="43" fontId="68" fillId="0" borderId="27" xfId="826" applyFont="1" applyFill="1" applyBorder="1" applyAlignment="1">
      <alignment horizontal="center" vertical="center" wrapText="1"/>
    </xf>
    <xf numFmtId="164" fontId="68" fillId="0" borderId="0" xfId="824" applyNumberFormat="1" applyFont="1" applyAlignment="1">
      <alignment vertical="center"/>
    </xf>
    <xf numFmtId="0" fontId="68" fillId="0" borderId="30" xfId="824" applyFont="1" applyBorder="1" applyAlignment="1">
      <alignment horizontal="center" vertical="center" wrapText="1"/>
    </xf>
    <xf numFmtId="0" fontId="68" fillId="0" borderId="3" xfId="824" applyFont="1" applyBorder="1" applyAlignment="1">
      <alignment horizontal="left" vertical="center" wrapText="1" indent="1"/>
    </xf>
    <xf numFmtId="43" fontId="68" fillId="0" borderId="3" xfId="824" applyNumberFormat="1" applyFont="1" applyBorder="1" applyAlignment="1">
      <alignment horizontal="center" vertical="center" wrapText="1"/>
    </xf>
    <xf numFmtId="0" fontId="67" fillId="23" borderId="27" xfId="824" applyFont="1" applyFill="1" applyBorder="1" applyAlignment="1">
      <alignment horizontal="center" vertical="center" wrapText="1"/>
    </xf>
    <xf numFmtId="0" fontId="67" fillId="23" borderId="26" xfId="824" applyFont="1" applyFill="1" applyBorder="1" applyAlignment="1">
      <alignment horizontal="center" vertical="center" wrapText="1"/>
    </xf>
    <xf numFmtId="0" fontId="68" fillId="0" borderId="0" xfId="824" applyFont="1" applyAlignment="1">
      <alignment horizontal="center" vertical="center" wrapText="1"/>
    </xf>
    <xf numFmtId="0" fontId="69" fillId="0" borderId="0" xfId="824" applyFont="1" applyAlignment="1">
      <alignment horizontal="right" vertical="center" wrapText="1"/>
    </xf>
    <xf numFmtId="164" fontId="68" fillId="0" borderId="0" xfId="824" applyNumberFormat="1" applyFont="1" applyAlignment="1">
      <alignment horizontal="center" vertical="center" wrapText="1"/>
    </xf>
    <xf numFmtId="164" fontId="69" fillId="0" borderId="0" xfId="824" applyNumberFormat="1" applyFont="1" applyAlignment="1">
      <alignment horizontal="center" vertical="center" wrapText="1"/>
    </xf>
    <xf numFmtId="0" fontId="68" fillId="0" borderId="27" xfId="824" applyFont="1" applyBorder="1" applyAlignment="1">
      <alignment horizontal="left" vertical="center" wrapText="1" indent="1"/>
    </xf>
    <xf numFmtId="43" fontId="68" fillId="0" borderId="27" xfId="824" applyNumberFormat="1" applyFont="1" applyBorder="1" applyAlignment="1">
      <alignment horizontal="center" vertical="center" wrapText="1"/>
    </xf>
    <xf numFmtId="43" fontId="68" fillId="0" borderId="26" xfId="824" applyNumberFormat="1" applyFont="1" applyBorder="1" applyAlignment="1">
      <alignment horizontal="center" vertical="center" wrapText="1"/>
    </xf>
    <xf numFmtId="40" fontId="68" fillId="0" borderId="0" xfId="824" applyNumberFormat="1" applyFont="1" applyAlignment="1">
      <alignment horizontal="centerContinuous" vertical="center"/>
    </xf>
    <xf numFmtId="0" fontId="72" fillId="0" borderId="0" xfId="824" applyFont="1" applyAlignment="1">
      <alignment horizontal="centerContinuous" vertical="center"/>
    </xf>
    <xf numFmtId="44" fontId="68" fillId="0" borderId="0" xfId="825" applyFont="1" applyAlignment="1">
      <alignment horizontal="centerContinuous" vertical="center"/>
    </xf>
    <xf numFmtId="44" fontId="68" fillId="0" borderId="19" xfId="825" applyFont="1" applyFill="1" applyBorder="1" applyAlignment="1">
      <alignment horizontal="center" vertical="center" wrapText="1"/>
    </xf>
    <xf numFmtId="0" fontId="79" fillId="0" borderId="0" xfId="0" applyFont="1" applyAlignment="1">
      <alignment horizontal="left" vertical="center" indent="1"/>
    </xf>
    <xf numFmtId="0" fontId="78" fillId="0" borderId="0" xfId="0" applyFont="1" applyAlignment="1">
      <alignment horizontal="center" vertical="center"/>
    </xf>
    <xf numFmtId="44" fontId="68" fillId="0" borderId="19" xfId="825" applyFont="1" applyFill="1" applyBorder="1" applyAlignment="1">
      <alignment horizontal="left" vertical="center"/>
    </xf>
    <xf numFmtId="0" fontId="72" fillId="0" borderId="0" xfId="824" applyFont="1" applyAlignment="1">
      <alignment horizontal="left" vertical="center"/>
    </xf>
    <xf numFmtId="44" fontId="68" fillId="0" borderId="3" xfId="825" applyFont="1" applyFill="1" applyBorder="1" applyAlignment="1">
      <alignment horizontal="left" vertical="center"/>
    </xf>
    <xf numFmtId="0" fontId="69" fillId="0" borderId="0" xfId="824" applyFont="1" applyAlignment="1">
      <alignment horizontal="right" vertical="center"/>
    </xf>
    <xf numFmtId="44" fontId="69" fillId="0" borderId="0" xfId="825" applyFont="1" applyBorder="1" applyAlignment="1">
      <alignment horizontal="center" vertical="center"/>
    </xf>
    <xf numFmtId="43" fontId="75" fillId="0" borderId="19" xfId="824" applyNumberFormat="1" applyFont="1" applyBorder="1" applyAlignment="1">
      <alignment horizontal="center" vertical="center" wrapText="1"/>
    </xf>
    <xf numFmtId="43" fontId="68" fillId="0" borderId="3" xfId="826" applyFont="1" applyFill="1" applyBorder="1" applyAlignment="1">
      <alignment horizontal="center" vertical="center" wrapText="1"/>
    </xf>
    <xf numFmtId="8" fontId="68" fillId="0" borderId="0" xfId="824" applyNumberFormat="1" applyFont="1" applyAlignment="1">
      <alignment horizontal="justify" vertical="center"/>
    </xf>
    <xf numFmtId="0" fontId="69" fillId="0" borderId="19" xfId="824" applyFont="1" applyBorder="1" applyAlignment="1">
      <alignment vertical="center" wrapText="1"/>
    </xf>
    <xf numFmtId="0" fontId="79" fillId="0" borderId="0" xfId="0" applyFont="1" applyAlignment="1">
      <alignment horizontal="centerContinuous" vertical="center" wrapText="1"/>
    </xf>
    <xf numFmtId="43" fontId="68" fillId="0" borderId="0" xfId="830" applyFont="1" applyAlignment="1">
      <alignment horizontal="justify" vertical="top"/>
    </xf>
    <xf numFmtId="43" fontId="68" fillId="0" borderId="0" xfId="826" applyFont="1" applyFill="1" applyAlignment="1">
      <alignment vertical="center"/>
    </xf>
    <xf numFmtId="44" fontId="68" fillId="0" borderId="0" xfId="825" applyFont="1" applyFill="1" applyAlignment="1">
      <alignment vertical="center"/>
    </xf>
    <xf numFmtId="44" fontId="68" fillId="0" borderId="0" xfId="825" applyFont="1" applyFill="1" applyAlignment="1">
      <alignment horizontal="centerContinuous" vertical="center"/>
    </xf>
    <xf numFmtId="0" fontId="68" fillId="24" borderId="21" xfId="824" applyFont="1" applyFill="1" applyBorder="1" applyAlignment="1">
      <alignment horizontal="center" vertical="center" wrapText="1"/>
    </xf>
    <xf numFmtId="0" fontId="68" fillId="24" borderId="19" xfId="824" applyFont="1" applyFill="1" applyBorder="1" applyAlignment="1">
      <alignment horizontal="left" vertical="center" wrapText="1" indent="1"/>
    </xf>
    <xf numFmtId="0" fontId="68" fillId="24" borderId="19" xfId="824" applyFont="1" applyFill="1" applyBorder="1" applyAlignment="1">
      <alignment horizontal="center" vertical="center" wrapText="1"/>
    </xf>
    <xf numFmtId="43" fontId="68" fillId="24" borderId="19" xfId="826" applyFont="1" applyFill="1" applyBorder="1" applyAlignment="1">
      <alignment horizontal="center" vertical="center" wrapText="1"/>
    </xf>
    <xf numFmtId="43" fontId="68" fillId="24" borderId="19" xfId="824" applyNumberFormat="1" applyFont="1" applyFill="1" applyBorder="1" applyAlignment="1">
      <alignment horizontal="center" vertical="center" wrapText="1"/>
    </xf>
    <xf numFmtId="43" fontId="68" fillId="24" borderId="20" xfId="824" applyNumberFormat="1" applyFont="1" applyFill="1" applyBorder="1" applyAlignment="1">
      <alignment horizontal="center" vertical="center" wrapText="1"/>
    </xf>
    <xf numFmtId="0" fontId="68" fillId="24" borderId="0" xfId="824" applyFont="1" applyFill="1" applyAlignment="1">
      <alignment vertical="center"/>
    </xf>
    <xf numFmtId="0" fontId="75" fillId="0" borderId="24" xfId="824" applyFont="1" applyBorder="1" applyAlignment="1">
      <alignment horizontal="center" vertical="center" wrapText="1"/>
    </xf>
    <xf numFmtId="0" fontId="68" fillId="0" borderId="35" xfId="824" applyFont="1" applyBorder="1" applyAlignment="1">
      <alignment horizontal="center" vertical="center" wrapText="1"/>
    </xf>
    <xf numFmtId="2" fontId="68" fillId="0" borderId="35" xfId="824" applyNumberFormat="1" applyFont="1" applyBorder="1" applyAlignment="1">
      <alignment horizontal="center" vertical="center" wrapText="1"/>
    </xf>
    <xf numFmtId="0" fontId="68" fillId="0" borderId="35" xfId="824" quotePrefix="1" applyFont="1" applyBorder="1" applyAlignment="1">
      <alignment horizontal="center" vertical="center" wrapText="1"/>
    </xf>
    <xf numFmtId="2" fontId="68" fillId="0" borderId="35" xfId="824" quotePrefix="1" applyNumberFormat="1" applyFont="1" applyBorder="1" applyAlignment="1">
      <alignment horizontal="center" vertical="center" wrapText="1"/>
    </xf>
    <xf numFmtId="165" fontId="68" fillId="0" borderId="35" xfId="824" applyNumberFormat="1" applyFont="1" applyBorder="1" applyAlignment="1">
      <alignment horizontal="center" vertical="center" wrapText="1"/>
    </xf>
    <xf numFmtId="44" fontId="69" fillId="0" borderId="23" xfId="825" applyFont="1" applyFill="1" applyBorder="1" applyAlignment="1">
      <alignment horizontal="center" vertical="center" wrapText="1"/>
    </xf>
    <xf numFmtId="44" fontId="68" fillId="0" borderId="36" xfId="825" applyFont="1" applyFill="1" applyBorder="1" applyAlignment="1">
      <alignment horizontal="center" vertical="center" wrapText="1"/>
    </xf>
    <xf numFmtId="0" fontId="68" fillId="0" borderId="37" xfId="824" quotePrefix="1" applyFont="1" applyBorder="1" applyAlignment="1">
      <alignment horizontal="center" vertical="center" wrapText="1"/>
    </xf>
    <xf numFmtId="0" fontId="68" fillId="0" borderId="38" xfId="824" applyFont="1" applyBorder="1" applyAlignment="1">
      <alignment horizontal="justify" vertical="center" wrapText="1"/>
    </xf>
    <xf numFmtId="0" fontId="68" fillId="0" borderId="38" xfId="824" applyFont="1" applyBorder="1" applyAlignment="1">
      <alignment horizontal="center" vertical="center" wrapText="1"/>
    </xf>
    <xf numFmtId="43" fontId="68" fillId="0" borderId="38" xfId="826" applyFont="1" applyFill="1" applyBorder="1" applyAlignment="1">
      <alignment horizontal="center" vertical="center" wrapText="1"/>
    </xf>
    <xf numFmtId="44" fontId="68" fillId="0" borderId="38" xfId="825" applyFont="1" applyFill="1" applyBorder="1" applyAlignment="1">
      <alignment horizontal="center" vertical="center" wrapText="1"/>
    </xf>
    <xf numFmtId="44" fontId="68" fillId="0" borderId="39" xfId="825" applyFont="1" applyFill="1" applyBorder="1" applyAlignment="1">
      <alignment horizontal="center" vertical="center" wrapText="1"/>
    </xf>
    <xf numFmtId="44" fontId="68" fillId="0" borderId="3" xfId="825" applyFont="1" applyFill="1" applyBorder="1" applyAlignment="1">
      <alignment horizontal="center" vertical="center" wrapText="1"/>
    </xf>
    <xf numFmtId="44" fontId="68" fillId="0" borderId="19" xfId="825" applyFont="1" applyFill="1" applyBorder="1" applyAlignment="1">
      <alignment horizontal="left" vertical="center" wrapText="1"/>
    </xf>
    <xf numFmtId="0" fontId="69" fillId="0" borderId="19" xfId="824" applyFont="1" applyBorder="1" applyAlignment="1">
      <alignment horizontal="left" vertical="center"/>
    </xf>
    <xf numFmtId="44" fontId="68" fillId="0" borderId="0" xfId="825" applyFont="1" applyFill="1" applyAlignment="1">
      <alignment horizontal="center" vertical="center" wrapText="1"/>
    </xf>
    <xf numFmtId="0" fontId="67" fillId="0" borderId="40" xfId="824" applyFont="1" applyBorder="1" applyAlignment="1">
      <alignment horizontal="center" vertical="center" wrapText="1"/>
    </xf>
    <xf numFmtId="0" fontId="67" fillId="0" borderId="34" xfId="824" applyFont="1" applyBorder="1" applyAlignment="1">
      <alignment vertical="center" wrapText="1"/>
    </xf>
    <xf numFmtId="0" fontId="67" fillId="0" borderId="31" xfId="824" applyFont="1" applyBorder="1" applyAlignment="1">
      <alignment vertical="center" wrapText="1"/>
    </xf>
    <xf numFmtId="43" fontId="67" fillId="0" borderId="31" xfId="826" applyFont="1" applyFill="1" applyBorder="1" applyAlignment="1">
      <alignment vertical="center" wrapText="1"/>
    </xf>
    <xf numFmtId="0" fontId="67" fillId="0" borderId="19" xfId="824" applyFont="1" applyBorder="1" applyAlignment="1">
      <alignment horizontal="center" vertical="center" wrapText="1"/>
    </xf>
    <xf numFmtId="0" fontId="67" fillId="0" borderId="36" xfId="824" applyFont="1" applyBorder="1" applyAlignment="1">
      <alignment horizontal="center" vertical="center" wrapText="1"/>
    </xf>
    <xf numFmtId="0" fontId="69" fillId="0" borderId="19" xfId="824" applyFont="1" applyBorder="1" applyAlignment="1">
      <alignment horizontal="left" vertical="center" wrapText="1"/>
    </xf>
    <xf numFmtId="0" fontId="67" fillId="0" borderId="41" xfId="824" applyFont="1" applyBorder="1" applyAlignment="1">
      <alignment horizontal="center" vertical="center" wrapText="1"/>
    </xf>
    <xf numFmtId="0" fontId="67" fillId="0" borderId="42" xfId="824" applyFont="1" applyBorder="1" applyAlignment="1">
      <alignment horizontal="center" vertical="center" wrapText="1"/>
    </xf>
    <xf numFmtId="0" fontId="67" fillId="0" borderId="43" xfId="824" applyFont="1" applyBorder="1" applyAlignment="1">
      <alignment horizontal="center" vertical="center" wrapText="1"/>
    </xf>
    <xf numFmtId="0" fontId="67" fillId="0" borderId="38" xfId="824" applyFont="1" applyBorder="1" applyAlignment="1">
      <alignment horizontal="center" vertical="center" wrapText="1"/>
    </xf>
    <xf numFmtId="0" fontId="67" fillId="0" borderId="39" xfId="824" applyFont="1" applyBorder="1" applyAlignment="1">
      <alignment horizontal="center" vertical="center" wrapText="1"/>
    </xf>
    <xf numFmtId="44" fontId="69" fillId="0" borderId="0" xfId="825" applyFont="1" applyFill="1" applyBorder="1" applyAlignment="1">
      <alignment vertical="center"/>
    </xf>
    <xf numFmtId="0" fontId="68" fillId="0" borderId="0" xfId="824" applyFont="1" applyAlignment="1">
      <alignment horizontal="left"/>
    </xf>
    <xf numFmtId="43" fontId="68" fillId="0" borderId="0" xfId="826" applyFont="1" applyFill="1" applyBorder="1" applyAlignment="1">
      <alignment horizontal="left" vertical="center"/>
    </xf>
    <xf numFmtId="44" fontId="68" fillId="0" borderId="0" xfId="825" applyFont="1" applyFill="1" applyBorder="1" applyAlignment="1">
      <alignment horizontal="left" vertical="center"/>
    </xf>
    <xf numFmtId="44" fontId="68" fillId="0" borderId="0" xfId="825" applyFont="1" applyFill="1" applyBorder="1" applyAlignment="1">
      <alignment horizontal="center" vertical="center" wrapText="1"/>
    </xf>
    <xf numFmtId="0" fontId="0" fillId="0" borderId="0" xfId="0" applyAlignment="1">
      <alignment horizontal="left"/>
    </xf>
    <xf numFmtId="0" fontId="69" fillId="0" borderId="0" xfId="824" applyFont="1" applyAlignment="1">
      <alignment horizontal="left"/>
    </xf>
    <xf numFmtId="43" fontId="68" fillId="0" borderId="0" xfId="826" applyFont="1" applyFill="1" applyBorder="1" applyAlignment="1">
      <alignment horizontal="left"/>
    </xf>
    <xf numFmtId="44" fontId="68" fillId="0" borderId="0" xfId="825" applyFont="1" applyFill="1" applyBorder="1" applyAlignment="1">
      <alignment horizontal="left"/>
    </xf>
    <xf numFmtId="44" fontId="69" fillId="0" borderId="0" xfId="825" applyFont="1" applyFill="1" applyBorder="1" applyAlignment="1">
      <alignment horizontal="left"/>
    </xf>
    <xf numFmtId="0" fontId="18" fillId="0" borderId="0" xfId="0" applyFont="1" applyAlignment="1">
      <alignment horizontal="left"/>
    </xf>
    <xf numFmtId="0" fontId="76" fillId="0" borderId="0" xfId="824" applyFont="1" applyAlignment="1">
      <alignment horizontal="left" wrapText="1"/>
    </xf>
    <xf numFmtId="0" fontId="75" fillId="0" borderId="0" xfId="824" applyFont="1" applyAlignment="1">
      <alignment horizontal="left"/>
    </xf>
    <xf numFmtId="43" fontId="75" fillId="0" borderId="0" xfId="826" applyFont="1" applyFill="1" applyBorder="1" applyAlignment="1">
      <alignment horizontal="left"/>
    </xf>
    <xf numFmtId="44" fontId="75" fillId="0" borderId="0" xfId="825" applyFont="1" applyFill="1" applyBorder="1" applyAlignment="1">
      <alignment horizontal="left"/>
    </xf>
    <xf numFmtId="0" fontId="75" fillId="0" borderId="0" xfId="824" applyFont="1" applyAlignment="1">
      <alignment horizontal="left" wrapText="1"/>
    </xf>
    <xf numFmtId="44" fontId="68" fillId="0" borderId="0" xfId="825" applyFont="1" applyFill="1" applyBorder="1" applyAlignment="1">
      <alignment horizontal="left" wrapText="1"/>
    </xf>
    <xf numFmtId="2" fontId="18" fillId="0" borderId="0" xfId="0" applyNumberFormat="1" applyFont="1" applyAlignment="1">
      <alignment horizontal="left"/>
    </xf>
    <xf numFmtId="165" fontId="18" fillId="0" borderId="0" xfId="0" applyNumberFormat="1" applyFont="1" applyAlignment="1">
      <alignment horizontal="left"/>
    </xf>
    <xf numFmtId="166" fontId="18" fillId="0" borderId="0" xfId="0" applyNumberFormat="1" applyFont="1" applyAlignment="1">
      <alignment horizontal="left"/>
    </xf>
    <xf numFmtId="0" fontId="69" fillId="0" borderId="0" xfId="824" applyFont="1" applyAlignment="1">
      <alignment horizontal="justify" vertical="top" wrapText="1"/>
    </xf>
    <xf numFmtId="43" fontId="69" fillId="0" borderId="0" xfId="826" applyFont="1" applyFill="1" applyBorder="1" applyAlignment="1">
      <alignment horizontal="justify" vertical="top" wrapText="1"/>
    </xf>
    <xf numFmtId="164" fontId="69" fillId="0" borderId="0" xfId="824" applyNumberFormat="1" applyFont="1" applyAlignment="1">
      <alignment horizontal="justify" vertical="center" wrapText="1"/>
    </xf>
    <xf numFmtId="0" fontId="69" fillId="0" borderId="0" xfId="824" applyFont="1" applyAlignment="1">
      <alignment horizontal="center" vertical="center" wrapText="1"/>
    </xf>
    <xf numFmtId="0" fontId="69" fillId="0" borderId="0" xfId="824" applyFont="1" applyAlignment="1">
      <alignment horizontal="justify" vertical="top"/>
    </xf>
    <xf numFmtId="0" fontId="68" fillId="0" borderId="0" xfId="824" applyFont="1" applyAlignment="1">
      <alignment horizontal="justify" vertical="top" wrapText="1"/>
    </xf>
    <xf numFmtId="43" fontId="68" fillId="0" borderId="0" xfId="826" applyFont="1" applyFill="1" applyBorder="1" applyAlignment="1">
      <alignment horizontal="justify" vertical="center" wrapText="1"/>
    </xf>
    <xf numFmtId="0" fontId="68" fillId="0" borderId="0" xfId="824" applyFont="1" applyAlignment="1">
      <alignment horizontal="justify" vertical="center" wrapText="1"/>
    </xf>
    <xf numFmtId="164" fontId="68" fillId="0" borderId="0" xfId="824" applyNumberFormat="1" applyFont="1" applyAlignment="1">
      <alignment horizontal="justify" vertical="center" wrapText="1"/>
    </xf>
    <xf numFmtId="0" fontId="68" fillId="0" borderId="0" xfId="824" quotePrefix="1" applyFont="1" applyAlignment="1">
      <alignment horizontal="center" vertical="center" wrapText="1"/>
    </xf>
    <xf numFmtId="0" fontId="67" fillId="0" borderId="0" xfId="824" applyFont="1" applyAlignment="1">
      <alignment horizontal="center" vertical="center" wrapText="1"/>
    </xf>
    <xf numFmtId="0" fontId="67" fillId="0" borderId="0" xfId="824" applyFont="1" applyAlignment="1">
      <alignment vertical="center" wrapText="1"/>
    </xf>
    <xf numFmtId="43" fontId="67" fillId="0" borderId="0" xfId="826" applyFont="1" applyFill="1" applyBorder="1" applyAlignment="1">
      <alignment vertical="center" wrapText="1"/>
    </xf>
    <xf numFmtId="0" fontId="66" fillId="0" borderId="0" xfId="824" applyFont="1" applyAlignment="1">
      <alignment horizontal="justify" vertical="center" wrapText="1"/>
    </xf>
    <xf numFmtId="0" fontId="67" fillId="0" borderId="0" xfId="824" applyFont="1" applyAlignment="1">
      <alignment horizontal="justify" vertical="center" wrapText="1"/>
    </xf>
    <xf numFmtId="0" fontId="66" fillId="0" borderId="0" xfId="824" applyFont="1" applyAlignment="1">
      <alignment horizontal="center" vertical="center" wrapText="1"/>
    </xf>
    <xf numFmtId="0" fontId="66" fillId="0" borderId="0" xfId="824" quotePrefix="1" applyFont="1" applyAlignment="1">
      <alignment horizontal="justify" vertical="center" wrapText="1"/>
    </xf>
    <xf numFmtId="0" fontId="67" fillId="0" borderId="0" xfId="824" applyFont="1" applyAlignment="1">
      <alignment horizontal="justify" vertical="center"/>
    </xf>
    <xf numFmtId="0" fontId="67" fillId="25" borderId="0" xfId="824" applyFont="1" applyFill="1" applyAlignment="1">
      <alignment vertical="center" wrapText="1"/>
    </xf>
    <xf numFmtId="43" fontId="67" fillId="25" borderId="0" xfId="826" applyFont="1" applyFill="1" applyBorder="1" applyAlignment="1">
      <alignment vertical="center" wrapText="1"/>
    </xf>
    <xf numFmtId="0" fontId="67" fillId="25" borderId="0" xfId="824" applyFont="1" applyFill="1" applyAlignment="1">
      <alignment horizontal="center" vertical="center" wrapText="1"/>
    </xf>
    <xf numFmtId="164" fontId="68" fillId="0" borderId="0" xfId="824" applyNumberFormat="1" applyFont="1" applyAlignment="1">
      <alignment horizontal="center" vertical="center"/>
    </xf>
    <xf numFmtId="0" fontId="69" fillId="0" borderId="0" xfId="824" applyFont="1" applyAlignment="1">
      <alignment horizontal="justify" vertical="center" wrapText="1"/>
    </xf>
    <xf numFmtId="0" fontId="69" fillId="0" borderId="0" xfId="824" applyFont="1" applyAlignment="1">
      <alignment horizontal="center" vertical="center"/>
    </xf>
    <xf numFmtId="0" fontId="69" fillId="0" borderId="0" xfId="824" applyFont="1" applyAlignment="1">
      <alignment horizontal="justify" vertical="center"/>
    </xf>
    <xf numFmtId="0" fontId="69" fillId="0" borderId="0" xfId="824" applyFont="1" applyAlignment="1">
      <alignment horizontal="left" vertical="top"/>
    </xf>
    <xf numFmtId="43" fontId="68" fillId="0" borderId="0" xfId="826" applyFont="1" applyFill="1" applyBorder="1" applyAlignment="1">
      <alignment horizontal="center" vertical="center"/>
    </xf>
    <xf numFmtId="0" fontId="68" fillId="0" borderId="0" xfId="824" quotePrefix="1" applyFont="1" applyAlignment="1">
      <alignment horizontal="center" vertical="center"/>
    </xf>
    <xf numFmtId="49" fontId="68" fillId="0" borderId="0" xfId="824" applyNumberFormat="1" applyFont="1" applyAlignment="1">
      <alignment horizontal="center" vertical="center"/>
    </xf>
    <xf numFmtId="0" fontId="68" fillId="0" borderId="0" xfId="824" applyFont="1" applyAlignment="1">
      <alignment horizontal="left" vertical="center"/>
    </xf>
    <xf numFmtId="0" fontId="69" fillId="0" borderId="0" xfId="824" applyFont="1" applyAlignment="1">
      <alignment horizontal="left" vertical="top" wrapText="1"/>
    </xf>
    <xf numFmtId="43" fontId="66" fillId="0" borderId="0" xfId="826" applyFont="1" applyFill="1" applyBorder="1" applyAlignment="1">
      <alignment horizontal="center" vertical="center" wrapText="1"/>
    </xf>
    <xf numFmtId="44" fontId="69" fillId="0" borderId="0" xfId="824" applyNumberFormat="1" applyFont="1" applyAlignment="1">
      <alignment horizontal="center" vertical="center" wrapText="1"/>
    </xf>
    <xf numFmtId="0" fontId="68" fillId="0" borderId="0" xfId="824" applyFont="1" applyAlignment="1">
      <alignment vertical="center" wrapText="1"/>
    </xf>
    <xf numFmtId="3" fontId="68" fillId="0" borderId="0" xfId="824" applyNumberFormat="1" applyFont="1" applyAlignment="1">
      <alignment horizontal="center" vertical="center" wrapText="1"/>
    </xf>
    <xf numFmtId="44" fontId="68" fillId="0" borderId="0" xfId="825" applyFont="1" applyBorder="1" applyAlignment="1">
      <alignment vertical="center" wrapText="1"/>
    </xf>
    <xf numFmtId="44" fontId="69" fillId="0" borderId="0" xfId="831" applyFont="1" applyAlignment="1">
      <alignment horizontal="center" vertical="center" wrapText="1"/>
    </xf>
    <xf numFmtId="0" fontId="67" fillId="23" borderId="29" xfId="824" applyFont="1" applyFill="1" applyBorder="1" applyAlignment="1">
      <alignment horizontal="center" vertical="center" wrapText="1"/>
    </xf>
    <xf numFmtId="0" fontId="67" fillId="23" borderId="33" xfId="824" applyFont="1" applyFill="1" applyBorder="1" applyAlignment="1">
      <alignment horizontal="center" vertical="center" wrapText="1"/>
    </xf>
    <xf numFmtId="0" fontId="67" fillId="23" borderId="31" xfId="824" applyFont="1" applyFill="1" applyBorder="1" applyAlignment="1">
      <alignment horizontal="center" vertical="center" wrapText="1"/>
    </xf>
    <xf numFmtId="0" fontId="67" fillId="23" borderId="32" xfId="824" applyFont="1" applyFill="1" applyBorder="1" applyAlignment="1">
      <alignment horizontal="center" vertical="center" wrapText="1"/>
    </xf>
    <xf numFmtId="0" fontId="68" fillId="0" borderId="3" xfId="825" applyNumberFormat="1" applyFont="1" applyFill="1" applyBorder="1" applyAlignment="1">
      <alignment horizontal="center" vertical="center" wrapText="1"/>
    </xf>
  </cellXfs>
  <cellStyles count="832">
    <cellStyle name="1Decimal" xfId="12" xr:uid="{00000000-0005-0000-0000-000000000000}"/>
    <cellStyle name="20% - Accent1 2" xfId="13" xr:uid="{00000000-0005-0000-0000-000001000000}"/>
    <cellStyle name="20% - Accent1 3" xfId="14" xr:uid="{00000000-0005-0000-0000-000002000000}"/>
    <cellStyle name="20% - Accent1 4" xfId="15" xr:uid="{00000000-0005-0000-0000-000003000000}"/>
    <cellStyle name="20% - Accent1 5" xfId="16" xr:uid="{00000000-0005-0000-0000-000004000000}"/>
    <cellStyle name="20% - Accent1 6" xfId="17" xr:uid="{00000000-0005-0000-0000-000005000000}"/>
    <cellStyle name="20% - Accent2 2" xfId="18" xr:uid="{00000000-0005-0000-0000-000006000000}"/>
    <cellStyle name="20% - Accent2 3" xfId="19" xr:uid="{00000000-0005-0000-0000-000007000000}"/>
    <cellStyle name="20% - Accent2 4" xfId="20" xr:uid="{00000000-0005-0000-0000-000008000000}"/>
    <cellStyle name="20% - Accent2 5" xfId="21" xr:uid="{00000000-0005-0000-0000-000009000000}"/>
    <cellStyle name="20% - Accent2 6" xfId="22" xr:uid="{00000000-0005-0000-0000-00000A000000}"/>
    <cellStyle name="20% - Accent3 2" xfId="23" xr:uid="{00000000-0005-0000-0000-00000B000000}"/>
    <cellStyle name="20% - Accent3 3" xfId="24" xr:uid="{00000000-0005-0000-0000-00000C000000}"/>
    <cellStyle name="20% - Accent3 4" xfId="25" xr:uid="{00000000-0005-0000-0000-00000D000000}"/>
    <cellStyle name="20% - Accent3 5" xfId="26" xr:uid="{00000000-0005-0000-0000-00000E000000}"/>
    <cellStyle name="20% - Accent3 6" xfId="27" xr:uid="{00000000-0005-0000-0000-00000F000000}"/>
    <cellStyle name="20% - Accent4 2" xfId="28" xr:uid="{00000000-0005-0000-0000-000010000000}"/>
    <cellStyle name="20% - Accent4 3" xfId="29" xr:uid="{00000000-0005-0000-0000-000011000000}"/>
    <cellStyle name="20% - Accent4 4" xfId="30" xr:uid="{00000000-0005-0000-0000-000012000000}"/>
    <cellStyle name="20% - Accent4 5" xfId="31" xr:uid="{00000000-0005-0000-0000-000013000000}"/>
    <cellStyle name="20% - Accent4 6" xfId="32" xr:uid="{00000000-0005-0000-0000-000014000000}"/>
    <cellStyle name="20% - Accent5 2" xfId="33" xr:uid="{00000000-0005-0000-0000-000015000000}"/>
    <cellStyle name="20% - Accent5 3" xfId="34" xr:uid="{00000000-0005-0000-0000-000016000000}"/>
    <cellStyle name="20% - Accent5 4" xfId="35" xr:uid="{00000000-0005-0000-0000-000017000000}"/>
    <cellStyle name="20% - Accent5 5" xfId="36" xr:uid="{00000000-0005-0000-0000-000018000000}"/>
    <cellStyle name="20% - Accent5 6" xfId="37" xr:uid="{00000000-0005-0000-0000-000019000000}"/>
    <cellStyle name="20% - Accent6 2" xfId="38" xr:uid="{00000000-0005-0000-0000-00001A000000}"/>
    <cellStyle name="20% - Accent6 3" xfId="39" xr:uid="{00000000-0005-0000-0000-00001B000000}"/>
    <cellStyle name="20% - Accent6 4" xfId="40" xr:uid="{00000000-0005-0000-0000-00001C000000}"/>
    <cellStyle name="20% - Accent6 5" xfId="41" xr:uid="{00000000-0005-0000-0000-00001D000000}"/>
    <cellStyle name="20% - Accent6 6" xfId="42" xr:uid="{00000000-0005-0000-0000-00001E000000}"/>
    <cellStyle name="2decimal" xfId="43" xr:uid="{00000000-0005-0000-0000-00001F000000}"/>
    <cellStyle name="40% - Accent1 2" xfId="44" xr:uid="{00000000-0005-0000-0000-000020000000}"/>
    <cellStyle name="40% - Accent1 3" xfId="45" xr:uid="{00000000-0005-0000-0000-000021000000}"/>
    <cellStyle name="40% - Accent1 4" xfId="46" xr:uid="{00000000-0005-0000-0000-000022000000}"/>
    <cellStyle name="40% - Accent1 5" xfId="47" xr:uid="{00000000-0005-0000-0000-000023000000}"/>
    <cellStyle name="40% - Accent1 6" xfId="48" xr:uid="{00000000-0005-0000-0000-000024000000}"/>
    <cellStyle name="40% - Accent2 2" xfId="49" xr:uid="{00000000-0005-0000-0000-000025000000}"/>
    <cellStyle name="40% - Accent2 3" xfId="50" xr:uid="{00000000-0005-0000-0000-000026000000}"/>
    <cellStyle name="40% - Accent2 4" xfId="51" xr:uid="{00000000-0005-0000-0000-000027000000}"/>
    <cellStyle name="40% - Accent2 5" xfId="52" xr:uid="{00000000-0005-0000-0000-000028000000}"/>
    <cellStyle name="40% - Accent2 6" xfId="53" xr:uid="{00000000-0005-0000-0000-000029000000}"/>
    <cellStyle name="40% - Accent3 2" xfId="54" xr:uid="{00000000-0005-0000-0000-00002A000000}"/>
    <cellStyle name="40% - Accent3 3" xfId="55" xr:uid="{00000000-0005-0000-0000-00002B000000}"/>
    <cellStyle name="40% - Accent3 4" xfId="56" xr:uid="{00000000-0005-0000-0000-00002C000000}"/>
    <cellStyle name="40% - Accent3 5" xfId="57" xr:uid="{00000000-0005-0000-0000-00002D000000}"/>
    <cellStyle name="40% - Accent3 6" xfId="58" xr:uid="{00000000-0005-0000-0000-00002E000000}"/>
    <cellStyle name="40% - Accent4 2" xfId="59" xr:uid="{00000000-0005-0000-0000-00002F000000}"/>
    <cellStyle name="40% - Accent4 3" xfId="60" xr:uid="{00000000-0005-0000-0000-000030000000}"/>
    <cellStyle name="40% - Accent4 4" xfId="61" xr:uid="{00000000-0005-0000-0000-000031000000}"/>
    <cellStyle name="40% - Accent4 5" xfId="62" xr:uid="{00000000-0005-0000-0000-000032000000}"/>
    <cellStyle name="40% - Accent4 6" xfId="63" xr:uid="{00000000-0005-0000-0000-000033000000}"/>
    <cellStyle name="40% - Accent5 2" xfId="64" xr:uid="{00000000-0005-0000-0000-000034000000}"/>
    <cellStyle name="40% - Accent5 3" xfId="65" xr:uid="{00000000-0005-0000-0000-000035000000}"/>
    <cellStyle name="40% - Accent5 4" xfId="66" xr:uid="{00000000-0005-0000-0000-000036000000}"/>
    <cellStyle name="40% - Accent5 5" xfId="67" xr:uid="{00000000-0005-0000-0000-000037000000}"/>
    <cellStyle name="40% - Accent5 6" xfId="68" xr:uid="{00000000-0005-0000-0000-000038000000}"/>
    <cellStyle name="40% - Accent6 2" xfId="69" xr:uid="{00000000-0005-0000-0000-000039000000}"/>
    <cellStyle name="40% - Accent6 3" xfId="70" xr:uid="{00000000-0005-0000-0000-00003A000000}"/>
    <cellStyle name="40% - Accent6 4" xfId="71" xr:uid="{00000000-0005-0000-0000-00003B000000}"/>
    <cellStyle name="40% - Accent6 5" xfId="72" xr:uid="{00000000-0005-0000-0000-00003C000000}"/>
    <cellStyle name="40% - Accent6 6" xfId="73" xr:uid="{00000000-0005-0000-0000-00003D000000}"/>
    <cellStyle name="60% - Accent1 2" xfId="74" xr:uid="{00000000-0005-0000-0000-00003E000000}"/>
    <cellStyle name="60% - Accent1 3" xfId="75" xr:uid="{00000000-0005-0000-0000-00003F000000}"/>
    <cellStyle name="60% - Accent1 4" xfId="76" xr:uid="{00000000-0005-0000-0000-000040000000}"/>
    <cellStyle name="60% - Accent1 5" xfId="77" xr:uid="{00000000-0005-0000-0000-000041000000}"/>
    <cellStyle name="60% - Accent1 6" xfId="78" xr:uid="{00000000-0005-0000-0000-000042000000}"/>
    <cellStyle name="60% - Accent2 2" xfId="79" xr:uid="{00000000-0005-0000-0000-000043000000}"/>
    <cellStyle name="60% - Accent2 3" xfId="80" xr:uid="{00000000-0005-0000-0000-000044000000}"/>
    <cellStyle name="60% - Accent2 4" xfId="81" xr:uid="{00000000-0005-0000-0000-000045000000}"/>
    <cellStyle name="60% - Accent2 5" xfId="82" xr:uid="{00000000-0005-0000-0000-000046000000}"/>
    <cellStyle name="60% - Accent2 6" xfId="83" xr:uid="{00000000-0005-0000-0000-000047000000}"/>
    <cellStyle name="60% - Accent3 2" xfId="84" xr:uid="{00000000-0005-0000-0000-000048000000}"/>
    <cellStyle name="60% - Accent3 3" xfId="85" xr:uid="{00000000-0005-0000-0000-000049000000}"/>
    <cellStyle name="60% - Accent3 4" xfId="86" xr:uid="{00000000-0005-0000-0000-00004A000000}"/>
    <cellStyle name="60% - Accent3 5" xfId="87" xr:uid="{00000000-0005-0000-0000-00004B000000}"/>
    <cellStyle name="60% - Accent3 6" xfId="88" xr:uid="{00000000-0005-0000-0000-00004C000000}"/>
    <cellStyle name="60% - Accent4 2" xfId="89" xr:uid="{00000000-0005-0000-0000-00004D000000}"/>
    <cellStyle name="60% - Accent4 3" xfId="90" xr:uid="{00000000-0005-0000-0000-00004E000000}"/>
    <cellStyle name="60% - Accent4 4" xfId="91" xr:uid="{00000000-0005-0000-0000-00004F000000}"/>
    <cellStyle name="60% - Accent4 5" xfId="92" xr:uid="{00000000-0005-0000-0000-000050000000}"/>
    <cellStyle name="60% - Accent4 6" xfId="93" xr:uid="{00000000-0005-0000-0000-000051000000}"/>
    <cellStyle name="60% - Accent5 2" xfId="94" xr:uid="{00000000-0005-0000-0000-000052000000}"/>
    <cellStyle name="60% - Accent5 3" xfId="95" xr:uid="{00000000-0005-0000-0000-000053000000}"/>
    <cellStyle name="60% - Accent5 4" xfId="96" xr:uid="{00000000-0005-0000-0000-000054000000}"/>
    <cellStyle name="60% - Accent5 5" xfId="97" xr:uid="{00000000-0005-0000-0000-000055000000}"/>
    <cellStyle name="60% - Accent5 6" xfId="98" xr:uid="{00000000-0005-0000-0000-000056000000}"/>
    <cellStyle name="60% - Accent6 2" xfId="99" xr:uid="{00000000-0005-0000-0000-000057000000}"/>
    <cellStyle name="60% - Accent6 3" xfId="100" xr:uid="{00000000-0005-0000-0000-000058000000}"/>
    <cellStyle name="60% - Accent6 4" xfId="101" xr:uid="{00000000-0005-0000-0000-000059000000}"/>
    <cellStyle name="60% - Accent6 5" xfId="102" xr:uid="{00000000-0005-0000-0000-00005A000000}"/>
    <cellStyle name="60% - Accent6 6" xfId="103" xr:uid="{00000000-0005-0000-0000-00005B000000}"/>
    <cellStyle name="Accent1 2" xfId="104" xr:uid="{00000000-0005-0000-0000-00005C000000}"/>
    <cellStyle name="Accent1 3" xfId="105" xr:uid="{00000000-0005-0000-0000-00005D000000}"/>
    <cellStyle name="Accent1 4" xfId="106" xr:uid="{00000000-0005-0000-0000-00005E000000}"/>
    <cellStyle name="Accent1 5" xfId="107" xr:uid="{00000000-0005-0000-0000-00005F000000}"/>
    <cellStyle name="Accent1 6" xfId="108" xr:uid="{00000000-0005-0000-0000-000060000000}"/>
    <cellStyle name="Accent2 2" xfId="109" xr:uid="{00000000-0005-0000-0000-000061000000}"/>
    <cellStyle name="Accent2 3" xfId="110" xr:uid="{00000000-0005-0000-0000-000062000000}"/>
    <cellStyle name="Accent2 4" xfId="111" xr:uid="{00000000-0005-0000-0000-000063000000}"/>
    <cellStyle name="Accent2 5" xfId="112" xr:uid="{00000000-0005-0000-0000-000064000000}"/>
    <cellStyle name="Accent2 6" xfId="113" xr:uid="{00000000-0005-0000-0000-000065000000}"/>
    <cellStyle name="Accent3 2" xfId="114" xr:uid="{00000000-0005-0000-0000-000066000000}"/>
    <cellStyle name="Accent3 3" xfId="115" xr:uid="{00000000-0005-0000-0000-000067000000}"/>
    <cellStyle name="Accent3 4" xfId="116" xr:uid="{00000000-0005-0000-0000-000068000000}"/>
    <cellStyle name="Accent3 5" xfId="117" xr:uid="{00000000-0005-0000-0000-000069000000}"/>
    <cellStyle name="Accent3 6" xfId="118" xr:uid="{00000000-0005-0000-0000-00006A000000}"/>
    <cellStyle name="Accent4 2" xfId="119" xr:uid="{00000000-0005-0000-0000-00006B000000}"/>
    <cellStyle name="Accent4 3" xfId="120" xr:uid="{00000000-0005-0000-0000-00006C000000}"/>
    <cellStyle name="Accent4 4" xfId="121" xr:uid="{00000000-0005-0000-0000-00006D000000}"/>
    <cellStyle name="Accent4 5" xfId="122" xr:uid="{00000000-0005-0000-0000-00006E000000}"/>
    <cellStyle name="Accent4 6" xfId="123" xr:uid="{00000000-0005-0000-0000-00006F000000}"/>
    <cellStyle name="Accent5 2" xfId="124" xr:uid="{00000000-0005-0000-0000-000070000000}"/>
    <cellStyle name="Accent5 3" xfId="125" xr:uid="{00000000-0005-0000-0000-000071000000}"/>
    <cellStyle name="Accent5 4" xfId="126" xr:uid="{00000000-0005-0000-0000-000072000000}"/>
    <cellStyle name="Accent5 5" xfId="127" xr:uid="{00000000-0005-0000-0000-000073000000}"/>
    <cellStyle name="Accent5 6" xfId="128" xr:uid="{00000000-0005-0000-0000-000074000000}"/>
    <cellStyle name="Accent6 2" xfId="129" xr:uid="{00000000-0005-0000-0000-000075000000}"/>
    <cellStyle name="Accent6 3" xfId="130" xr:uid="{00000000-0005-0000-0000-000076000000}"/>
    <cellStyle name="Accent6 4" xfId="131" xr:uid="{00000000-0005-0000-0000-000077000000}"/>
    <cellStyle name="Accent6 5" xfId="132" xr:uid="{00000000-0005-0000-0000-000078000000}"/>
    <cellStyle name="Accent6 6" xfId="133" xr:uid="{00000000-0005-0000-0000-000079000000}"/>
    <cellStyle name="args.style" xfId="134" xr:uid="{00000000-0005-0000-0000-00007A000000}"/>
    <cellStyle name="Bad 2" xfId="135" xr:uid="{00000000-0005-0000-0000-00007B000000}"/>
    <cellStyle name="Bad 3" xfId="136" xr:uid="{00000000-0005-0000-0000-00007C000000}"/>
    <cellStyle name="Bad 4" xfId="137" xr:uid="{00000000-0005-0000-0000-00007D000000}"/>
    <cellStyle name="Bad 5" xfId="138" xr:uid="{00000000-0005-0000-0000-00007E000000}"/>
    <cellStyle name="Bad 6" xfId="139" xr:uid="{00000000-0005-0000-0000-00007F000000}"/>
    <cellStyle name="BMS-Encabezado" xfId="140" xr:uid="{00000000-0005-0000-0000-000080000000}"/>
    <cellStyle name="BMS-Seccion" xfId="141" xr:uid="{00000000-0005-0000-0000-000081000000}"/>
    <cellStyle name="Body" xfId="142" xr:uid="{00000000-0005-0000-0000-000082000000}"/>
    <cellStyle name="Calc Currency (0)" xfId="143" xr:uid="{00000000-0005-0000-0000-000083000000}"/>
    <cellStyle name="Calculation 2" xfId="144" xr:uid="{00000000-0005-0000-0000-000084000000}"/>
    <cellStyle name="Calculation 3" xfId="145" xr:uid="{00000000-0005-0000-0000-000085000000}"/>
    <cellStyle name="Calculation 4" xfId="146" xr:uid="{00000000-0005-0000-0000-000086000000}"/>
    <cellStyle name="Calculation 5" xfId="147" xr:uid="{00000000-0005-0000-0000-000087000000}"/>
    <cellStyle name="Calculation 6" xfId="148" xr:uid="{00000000-0005-0000-0000-000088000000}"/>
    <cellStyle name="Check Cell 2" xfId="149" xr:uid="{00000000-0005-0000-0000-000089000000}"/>
    <cellStyle name="Check Cell 3" xfId="150" xr:uid="{00000000-0005-0000-0000-00008A000000}"/>
    <cellStyle name="Check Cell 4" xfId="151" xr:uid="{00000000-0005-0000-0000-00008B000000}"/>
    <cellStyle name="Check Cell 5" xfId="152" xr:uid="{00000000-0005-0000-0000-00008C000000}"/>
    <cellStyle name="Check Cell 6" xfId="153" xr:uid="{00000000-0005-0000-0000-00008D000000}"/>
    <cellStyle name="Comma  - Style1" xfId="154" xr:uid="{00000000-0005-0000-0000-00008E000000}"/>
    <cellStyle name="Comma  - Style2" xfId="155" xr:uid="{00000000-0005-0000-0000-00008F000000}"/>
    <cellStyle name="Comma  - Style3" xfId="156" xr:uid="{00000000-0005-0000-0000-000090000000}"/>
    <cellStyle name="Comma  - Style4" xfId="157" xr:uid="{00000000-0005-0000-0000-000091000000}"/>
    <cellStyle name="Comma  - Style5" xfId="158" xr:uid="{00000000-0005-0000-0000-000092000000}"/>
    <cellStyle name="Comma  - Style6" xfId="159" xr:uid="{00000000-0005-0000-0000-000093000000}"/>
    <cellStyle name="Comma  - Style7" xfId="160" xr:uid="{00000000-0005-0000-0000-000094000000}"/>
    <cellStyle name="Comma  - Style8" xfId="161" xr:uid="{00000000-0005-0000-0000-000095000000}"/>
    <cellStyle name="Comma 2" xfId="162" xr:uid="{00000000-0005-0000-0000-000096000000}"/>
    <cellStyle name="Comma 3" xfId="163" xr:uid="{00000000-0005-0000-0000-000097000000}"/>
    <cellStyle name="Comma 4" xfId="164" xr:uid="{00000000-0005-0000-0000-000098000000}"/>
    <cellStyle name="Comma 5" xfId="165" xr:uid="{00000000-0005-0000-0000-000099000000}"/>
    <cellStyle name="Comma 6" xfId="166" xr:uid="{00000000-0005-0000-0000-00009A000000}"/>
    <cellStyle name="Comma 7" xfId="167" xr:uid="{00000000-0005-0000-0000-00009B000000}"/>
    <cellStyle name="Comma 8" xfId="799" xr:uid="{00000000-0005-0000-0000-00009C000000}"/>
    <cellStyle name="Comma0" xfId="168" xr:uid="{00000000-0005-0000-0000-00009D000000}"/>
    <cellStyle name="Copied" xfId="169" xr:uid="{00000000-0005-0000-0000-00009E000000}"/>
    <cellStyle name="Currency [0]b" xfId="170" xr:uid="{00000000-0005-0000-0000-00009F000000}"/>
    <cellStyle name="Currency 2" xfId="171" xr:uid="{00000000-0005-0000-0000-0000A0000000}"/>
    <cellStyle name="Currency 3" xfId="172" xr:uid="{00000000-0005-0000-0000-0000A1000000}"/>
    <cellStyle name="Currency 4" xfId="173" xr:uid="{00000000-0005-0000-0000-0000A2000000}"/>
    <cellStyle name="Currency 5" xfId="174" xr:uid="{00000000-0005-0000-0000-0000A3000000}"/>
    <cellStyle name="Currency 6" xfId="175" xr:uid="{00000000-0005-0000-0000-0000A4000000}"/>
    <cellStyle name="Currency 7" xfId="176" xr:uid="{00000000-0005-0000-0000-0000A5000000}"/>
    <cellStyle name="currency(2)" xfId="177" xr:uid="{00000000-0005-0000-0000-0000A6000000}"/>
    <cellStyle name="Currency0" xfId="178" xr:uid="{00000000-0005-0000-0000-0000A7000000}"/>
    <cellStyle name="Date" xfId="179" xr:uid="{00000000-0005-0000-0000-0000A8000000}"/>
    <cellStyle name="Dezimal [0]_NEGS" xfId="180" xr:uid="{00000000-0005-0000-0000-0000A9000000}"/>
    <cellStyle name="Dezimal_NEGS" xfId="181" xr:uid="{00000000-0005-0000-0000-0000AA000000}"/>
    <cellStyle name="Entered" xfId="182" xr:uid="{00000000-0005-0000-0000-0000AB000000}"/>
    <cellStyle name="Euro" xfId="2" xr:uid="{00000000-0005-0000-0000-0000AC000000}"/>
    <cellStyle name="Explanatory Text 2" xfId="183" xr:uid="{00000000-0005-0000-0000-0000AD000000}"/>
    <cellStyle name="Explanatory Text 3" xfId="184" xr:uid="{00000000-0005-0000-0000-0000AE000000}"/>
    <cellStyle name="Explanatory Text 4" xfId="185" xr:uid="{00000000-0005-0000-0000-0000AF000000}"/>
    <cellStyle name="Explanatory Text 5" xfId="186" xr:uid="{00000000-0005-0000-0000-0000B0000000}"/>
    <cellStyle name="Explanatory Text 6" xfId="187" xr:uid="{00000000-0005-0000-0000-0000B1000000}"/>
    <cellStyle name="Fixed" xfId="188" xr:uid="{00000000-0005-0000-0000-0000B2000000}"/>
    <cellStyle name="Good 2" xfId="189" xr:uid="{00000000-0005-0000-0000-0000B3000000}"/>
    <cellStyle name="Good 3" xfId="190" xr:uid="{00000000-0005-0000-0000-0000B4000000}"/>
    <cellStyle name="Good 4" xfId="191" xr:uid="{00000000-0005-0000-0000-0000B5000000}"/>
    <cellStyle name="Good 5" xfId="192" xr:uid="{00000000-0005-0000-0000-0000B6000000}"/>
    <cellStyle name="Good 6" xfId="193" xr:uid="{00000000-0005-0000-0000-0000B7000000}"/>
    <cellStyle name="Grey" xfId="194" xr:uid="{00000000-0005-0000-0000-0000B8000000}"/>
    <cellStyle name="Head 1" xfId="195" xr:uid="{00000000-0005-0000-0000-0000B9000000}"/>
    <cellStyle name="Header1" xfId="196" xr:uid="{00000000-0005-0000-0000-0000BA000000}"/>
    <cellStyle name="Header2" xfId="197" xr:uid="{00000000-0005-0000-0000-0000BB000000}"/>
    <cellStyle name="Heading 1 2" xfId="198" xr:uid="{00000000-0005-0000-0000-0000BC000000}"/>
    <cellStyle name="Heading 1 3" xfId="199" xr:uid="{00000000-0005-0000-0000-0000BD000000}"/>
    <cellStyle name="Heading 1 4" xfId="200" xr:uid="{00000000-0005-0000-0000-0000BE000000}"/>
    <cellStyle name="Heading 1 5" xfId="201" xr:uid="{00000000-0005-0000-0000-0000BF000000}"/>
    <cellStyle name="Heading 1 6" xfId="202" xr:uid="{00000000-0005-0000-0000-0000C0000000}"/>
    <cellStyle name="Heading 2 2" xfId="203" xr:uid="{00000000-0005-0000-0000-0000C1000000}"/>
    <cellStyle name="Heading 2 3" xfId="204" xr:uid="{00000000-0005-0000-0000-0000C2000000}"/>
    <cellStyle name="Heading 2 4" xfId="205" xr:uid="{00000000-0005-0000-0000-0000C3000000}"/>
    <cellStyle name="Heading 2 5" xfId="206" xr:uid="{00000000-0005-0000-0000-0000C4000000}"/>
    <cellStyle name="Heading 2 6" xfId="207" xr:uid="{00000000-0005-0000-0000-0000C5000000}"/>
    <cellStyle name="Heading 3 2" xfId="208" xr:uid="{00000000-0005-0000-0000-0000C6000000}"/>
    <cellStyle name="Heading 3 3" xfId="209" xr:uid="{00000000-0005-0000-0000-0000C7000000}"/>
    <cellStyle name="Heading 3 4" xfId="210" xr:uid="{00000000-0005-0000-0000-0000C8000000}"/>
    <cellStyle name="Heading 3 5" xfId="211" xr:uid="{00000000-0005-0000-0000-0000C9000000}"/>
    <cellStyle name="Heading 3 6" xfId="212" xr:uid="{00000000-0005-0000-0000-0000CA000000}"/>
    <cellStyle name="Heading 4 2" xfId="213" xr:uid="{00000000-0005-0000-0000-0000CB000000}"/>
    <cellStyle name="Heading 4 3" xfId="214" xr:uid="{00000000-0005-0000-0000-0000CC000000}"/>
    <cellStyle name="Heading 4 4" xfId="215" xr:uid="{00000000-0005-0000-0000-0000CD000000}"/>
    <cellStyle name="Heading 4 5" xfId="216" xr:uid="{00000000-0005-0000-0000-0000CE000000}"/>
    <cellStyle name="Heading 4 6" xfId="217" xr:uid="{00000000-0005-0000-0000-0000CF000000}"/>
    <cellStyle name="HEADINGS" xfId="218" xr:uid="{00000000-0005-0000-0000-0000D0000000}"/>
    <cellStyle name="HEADINGSTOP" xfId="219" xr:uid="{00000000-0005-0000-0000-0000D1000000}"/>
    <cellStyle name="Hyperlink 2" xfId="220" xr:uid="{00000000-0005-0000-0000-0000D2000000}"/>
    <cellStyle name="Input [yellow]" xfId="221" xr:uid="{00000000-0005-0000-0000-0000D3000000}"/>
    <cellStyle name="Input 2" xfId="222" xr:uid="{00000000-0005-0000-0000-0000D4000000}"/>
    <cellStyle name="Input 3" xfId="223" xr:uid="{00000000-0005-0000-0000-0000D5000000}"/>
    <cellStyle name="Input 4" xfId="224" xr:uid="{00000000-0005-0000-0000-0000D6000000}"/>
    <cellStyle name="Input 5" xfId="225" xr:uid="{00000000-0005-0000-0000-0000D7000000}"/>
    <cellStyle name="Input 6" xfId="226" xr:uid="{00000000-0005-0000-0000-0000D8000000}"/>
    <cellStyle name="Input 7" xfId="227" xr:uid="{00000000-0005-0000-0000-0000D9000000}"/>
    <cellStyle name="Linked Cell 2" xfId="228" xr:uid="{00000000-0005-0000-0000-0000DA000000}"/>
    <cellStyle name="Linked Cell 3" xfId="229" xr:uid="{00000000-0005-0000-0000-0000DB000000}"/>
    <cellStyle name="Linked Cell 4" xfId="230" xr:uid="{00000000-0005-0000-0000-0000DC000000}"/>
    <cellStyle name="Linked Cell 5" xfId="231" xr:uid="{00000000-0005-0000-0000-0000DD000000}"/>
    <cellStyle name="Linked Cell 6" xfId="232" xr:uid="{00000000-0005-0000-0000-0000DE000000}"/>
    <cellStyle name="Millares" xfId="830" builtinId="3"/>
    <cellStyle name="Millares 2" xfId="4" xr:uid="{00000000-0005-0000-0000-0000DF000000}"/>
    <cellStyle name="Millares 2 2" xfId="822" xr:uid="{E479A196-F774-4887-9E92-1034396920D4}"/>
    <cellStyle name="Millares 2 3" xfId="814" xr:uid="{62E8F8BF-3D0E-4F33-8A25-34C3BDF50A5E}"/>
    <cellStyle name="Millares 3" xfId="3" xr:uid="{00000000-0005-0000-0000-0000E0000000}"/>
    <cellStyle name="Millares 4" xfId="817" xr:uid="{B7C93F67-7159-4095-B171-C52AE7287C2D}"/>
    <cellStyle name="Millares 5" xfId="826" xr:uid="{FA7B1DF3-0A59-4290-B12E-997DBAAA6C79}"/>
    <cellStyle name="Moneda" xfId="831" builtinId="4"/>
    <cellStyle name="Moneda 2" xfId="5" xr:uid="{00000000-0005-0000-0000-0000E1000000}"/>
    <cellStyle name="Moneda 3" xfId="825" xr:uid="{C5AF6E4E-10E1-44AC-BB34-C8D989E78132}"/>
    <cellStyle name="Neutral 2" xfId="233" xr:uid="{00000000-0005-0000-0000-0000E2000000}"/>
    <cellStyle name="Neutral 3" xfId="234" xr:uid="{00000000-0005-0000-0000-0000E3000000}"/>
    <cellStyle name="Neutral 4" xfId="235" xr:uid="{00000000-0005-0000-0000-0000E4000000}"/>
    <cellStyle name="Neutral 5" xfId="236" xr:uid="{00000000-0005-0000-0000-0000E5000000}"/>
    <cellStyle name="Neutral 6" xfId="237" xr:uid="{00000000-0005-0000-0000-0000E6000000}"/>
    <cellStyle name="Neutral 7" xfId="238" xr:uid="{00000000-0005-0000-0000-0000E7000000}"/>
    <cellStyle name="Normal" xfId="0" builtinId="0"/>
    <cellStyle name="Normal - Style1" xfId="239" xr:uid="{00000000-0005-0000-0000-0000E9000000}"/>
    <cellStyle name="Normal 10" xfId="11" xr:uid="{00000000-0005-0000-0000-0000EA000000}"/>
    <cellStyle name="Normal 10 2" xfId="240" xr:uid="{00000000-0005-0000-0000-0000EB000000}"/>
    <cellStyle name="Normal 10 2 2" xfId="241" xr:uid="{00000000-0005-0000-0000-0000EC000000}"/>
    <cellStyle name="Normal 10 2 2 2" xfId="242" xr:uid="{00000000-0005-0000-0000-0000ED000000}"/>
    <cellStyle name="Normal 10 2 2 2 2" xfId="243" xr:uid="{00000000-0005-0000-0000-0000EE000000}"/>
    <cellStyle name="Normal 10 2 2 2 2 2" xfId="244" xr:uid="{00000000-0005-0000-0000-0000EF000000}"/>
    <cellStyle name="Normal 10 2 2 2 3" xfId="245" xr:uid="{00000000-0005-0000-0000-0000F0000000}"/>
    <cellStyle name="Normal 10 2 2 2 4" xfId="246" xr:uid="{00000000-0005-0000-0000-0000F1000000}"/>
    <cellStyle name="Normal 10 2 2 3" xfId="247" xr:uid="{00000000-0005-0000-0000-0000F2000000}"/>
    <cellStyle name="Normal 10 2 2 3 2" xfId="248" xr:uid="{00000000-0005-0000-0000-0000F3000000}"/>
    <cellStyle name="Normal 10 2 2 3 3" xfId="249" xr:uid="{00000000-0005-0000-0000-0000F4000000}"/>
    <cellStyle name="Normal 10 2 2 4" xfId="250" xr:uid="{00000000-0005-0000-0000-0000F5000000}"/>
    <cellStyle name="Normal 10 2 2 5" xfId="251" xr:uid="{00000000-0005-0000-0000-0000F6000000}"/>
    <cellStyle name="Normal 10 2 3" xfId="252" xr:uid="{00000000-0005-0000-0000-0000F7000000}"/>
    <cellStyle name="Normal 10 2 3 2" xfId="253" xr:uid="{00000000-0005-0000-0000-0000F8000000}"/>
    <cellStyle name="Normal 10 2 3 2 2" xfId="254" xr:uid="{00000000-0005-0000-0000-0000F9000000}"/>
    <cellStyle name="Normal 10 2 3 3" xfId="255" xr:uid="{00000000-0005-0000-0000-0000FA000000}"/>
    <cellStyle name="Normal 10 2 3 4" xfId="256" xr:uid="{00000000-0005-0000-0000-0000FB000000}"/>
    <cellStyle name="Normal 10 2 4" xfId="257" xr:uid="{00000000-0005-0000-0000-0000FC000000}"/>
    <cellStyle name="Normal 10 2 4 2" xfId="258" xr:uid="{00000000-0005-0000-0000-0000FD000000}"/>
    <cellStyle name="Normal 10 2 4 3" xfId="259" xr:uid="{00000000-0005-0000-0000-0000FE000000}"/>
    <cellStyle name="Normal 10 2 5" xfId="260" xr:uid="{00000000-0005-0000-0000-0000FF000000}"/>
    <cellStyle name="Normal 10 2 6" xfId="261" xr:uid="{00000000-0005-0000-0000-000000010000}"/>
    <cellStyle name="Normal 10 3" xfId="262" xr:uid="{00000000-0005-0000-0000-000001010000}"/>
    <cellStyle name="Normal 10 3 2" xfId="263" xr:uid="{00000000-0005-0000-0000-000002010000}"/>
    <cellStyle name="Normal 10 3 2 2" xfId="264" xr:uid="{00000000-0005-0000-0000-000003010000}"/>
    <cellStyle name="Normal 10 3 2 2 2" xfId="265" xr:uid="{00000000-0005-0000-0000-000004010000}"/>
    <cellStyle name="Normal 10 3 2 3" xfId="266" xr:uid="{00000000-0005-0000-0000-000005010000}"/>
    <cellStyle name="Normal 10 3 2 4" xfId="267" xr:uid="{00000000-0005-0000-0000-000006010000}"/>
    <cellStyle name="Normal 10 3 3" xfId="268" xr:uid="{00000000-0005-0000-0000-000007010000}"/>
    <cellStyle name="Normal 10 3 3 2" xfId="269" xr:uid="{00000000-0005-0000-0000-000008010000}"/>
    <cellStyle name="Normal 10 3 3 3" xfId="270" xr:uid="{00000000-0005-0000-0000-000009010000}"/>
    <cellStyle name="Normal 10 3 4" xfId="271" xr:uid="{00000000-0005-0000-0000-00000A010000}"/>
    <cellStyle name="Normal 10 3 5" xfId="272" xr:uid="{00000000-0005-0000-0000-00000B010000}"/>
    <cellStyle name="Normal 10 4" xfId="273" xr:uid="{00000000-0005-0000-0000-00000C010000}"/>
    <cellStyle name="Normal 10 4 2" xfId="274" xr:uid="{00000000-0005-0000-0000-00000D010000}"/>
    <cellStyle name="Normal 10 4 2 2" xfId="275" xr:uid="{00000000-0005-0000-0000-00000E010000}"/>
    <cellStyle name="Normal 10 4 3" xfId="276" xr:uid="{00000000-0005-0000-0000-00000F010000}"/>
    <cellStyle name="Normal 10 4 4" xfId="277" xr:uid="{00000000-0005-0000-0000-000010010000}"/>
    <cellStyle name="Normal 10 5" xfId="278" xr:uid="{00000000-0005-0000-0000-000011010000}"/>
    <cellStyle name="Normal 10 5 2" xfId="279" xr:uid="{00000000-0005-0000-0000-000012010000}"/>
    <cellStyle name="Normal 10 5 3" xfId="280" xr:uid="{00000000-0005-0000-0000-000013010000}"/>
    <cellStyle name="Normal 10 6" xfId="281" xr:uid="{00000000-0005-0000-0000-000014010000}"/>
    <cellStyle name="Normal 10 7" xfId="282" xr:uid="{00000000-0005-0000-0000-000015010000}"/>
    <cellStyle name="Normal 10 8" xfId="798" xr:uid="{00000000-0005-0000-0000-000016010000}"/>
    <cellStyle name="Normal 103" xfId="797" xr:uid="{00000000-0005-0000-0000-000017010000}"/>
    <cellStyle name="Normal 11" xfId="283" xr:uid="{00000000-0005-0000-0000-000018010000}"/>
    <cellStyle name="Normal 12" xfId="284" xr:uid="{00000000-0005-0000-0000-000019010000}"/>
    <cellStyle name="Normal 12 2" xfId="285" xr:uid="{00000000-0005-0000-0000-00001A010000}"/>
    <cellStyle name="Normal 12 2 2" xfId="286" xr:uid="{00000000-0005-0000-0000-00001B010000}"/>
    <cellStyle name="Normal 12 2 2 2" xfId="287" xr:uid="{00000000-0005-0000-0000-00001C010000}"/>
    <cellStyle name="Normal 12 2 2 2 2" xfId="288" xr:uid="{00000000-0005-0000-0000-00001D010000}"/>
    <cellStyle name="Normal 12 2 2 3" xfId="289" xr:uid="{00000000-0005-0000-0000-00001E010000}"/>
    <cellStyle name="Normal 12 2 2 4" xfId="290" xr:uid="{00000000-0005-0000-0000-00001F010000}"/>
    <cellStyle name="Normal 12 2 3" xfId="291" xr:uid="{00000000-0005-0000-0000-000020010000}"/>
    <cellStyle name="Normal 12 2 3 2" xfId="292" xr:uid="{00000000-0005-0000-0000-000021010000}"/>
    <cellStyle name="Normal 12 2 3 3" xfId="293" xr:uid="{00000000-0005-0000-0000-000022010000}"/>
    <cellStyle name="Normal 12 2 4" xfId="294" xr:uid="{00000000-0005-0000-0000-000023010000}"/>
    <cellStyle name="Normal 12 2 5" xfId="295" xr:uid="{00000000-0005-0000-0000-000024010000}"/>
    <cellStyle name="Normal 12 3" xfId="296" xr:uid="{00000000-0005-0000-0000-000025010000}"/>
    <cellStyle name="Normal 12 3 2" xfId="297" xr:uid="{00000000-0005-0000-0000-000026010000}"/>
    <cellStyle name="Normal 12 3 2 2" xfId="298" xr:uid="{00000000-0005-0000-0000-000027010000}"/>
    <cellStyle name="Normal 12 3 3" xfId="299" xr:uid="{00000000-0005-0000-0000-000028010000}"/>
    <cellStyle name="Normal 12 3 4" xfId="300" xr:uid="{00000000-0005-0000-0000-000029010000}"/>
    <cellStyle name="Normal 12 4" xfId="301" xr:uid="{00000000-0005-0000-0000-00002A010000}"/>
    <cellStyle name="Normal 12 4 2" xfId="302" xr:uid="{00000000-0005-0000-0000-00002B010000}"/>
    <cellStyle name="Normal 12 4 3" xfId="303" xr:uid="{00000000-0005-0000-0000-00002C010000}"/>
    <cellStyle name="Normal 12 5" xfId="304" xr:uid="{00000000-0005-0000-0000-00002D010000}"/>
    <cellStyle name="Normal 12 6" xfId="305" xr:uid="{00000000-0005-0000-0000-00002E010000}"/>
    <cellStyle name="Normal 13" xfId="306" xr:uid="{00000000-0005-0000-0000-00002F010000}"/>
    <cellStyle name="Normal 13 2" xfId="307" xr:uid="{00000000-0005-0000-0000-000030010000}"/>
    <cellStyle name="Normal 14" xfId="308" xr:uid="{00000000-0005-0000-0000-000031010000}"/>
    <cellStyle name="Normal 14 2" xfId="309" xr:uid="{00000000-0005-0000-0000-000032010000}"/>
    <cellStyle name="Normal 14 2 2" xfId="310" xr:uid="{00000000-0005-0000-0000-000033010000}"/>
    <cellStyle name="Normal 14 2 2 2" xfId="311" xr:uid="{00000000-0005-0000-0000-000034010000}"/>
    <cellStyle name="Normal 14 2 3" xfId="312" xr:uid="{00000000-0005-0000-0000-000035010000}"/>
    <cellStyle name="Normal 14 2 4" xfId="313" xr:uid="{00000000-0005-0000-0000-000036010000}"/>
    <cellStyle name="Normal 14 3" xfId="314" xr:uid="{00000000-0005-0000-0000-000037010000}"/>
    <cellStyle name="Normal 14 3 2" xfId="315" xr:uid="{00000000-0005-0000-0000-000038010000}"/>
    <cellStyle name="Normal 14 3 3" xfId="316" xr:uid="{00000000-0005-0000-0000-000039010000}"/>
    <cellStyle name="Normal 14 4" xfId="317" xr:uid="{00000000-0005-0000-0000-00003A010000}"/>
    <cellStyle name="Normal 14 5" xfId="318" xr:uid="{00000000-0005-0000-0000-00003B010000}"/>
    <cellStyle name="Normal 15" xfId="319" xr:uid="{00000000-0005-0000-0000-00003C010000}"/>
    <cellStyle name="Normal 15 2" xfId="320" xr:uid="{00000000-0005-0000-0000-00003D010000}"/>
    <cellStyle name="Normal 15 2 2" xfId="321" xr:uid="{00000000-0005-0000-0000-00003E010000}"/>
    <cellStyle name="Normal 15 2 3" xfId="322" xr:uid="{00000000-0005-0000-0000-00003F010000}"/>
    <cellStyle name="Normal 15 2 4" xfId="323" xr:uid="{00000000-0005-0000-0000-000040010000}"/>
    <cellStyle name="Normal 15 3" xfId="324" xr:uid="{00000000-0005-0000-0000-000041010000}"/>
    <cellStyle name="Normal 15 4" xfId="325" xr:uid="{00000000-0005-0000-0000-000042010000}"/>
    <cellStyle name="Normal 15 5" xfId="326" xr:uid="{00000000-0005-0000-0000-000043010000}"/>
    <cellStyle name="Normal 16" xfId="327" xr:uid="{00000000-0005-0000-0000-000044010000}"/>
    <cellStyle name="Normal 16 2" xfId="328" xr:uid="{00000000-0005-0000-0000-000045010000}"/>
    <cellStyle name="Normal 17" xfId="329" xr:uid="{00000000-0005-0000-0000-000046010000}"/>
    <cellStyle name="Normal 18" xfId="330" xr:uid="{00000000-0005-0000-0000-000047010000}"/>
    <cellStyle name="Normal 19" xfId="331" xr:uid="{00000000-0005-0000-0000-000048010000}"/>
    <cellStyle name="Normal 2" xfId="6" xr:uid="{00000000-0005-0000-0000-000049010000}"/>
    <cellStyle name="Normal 2 2" xfId="9" xr:uid="{00000000-0005-0000-0000-00004A010000}"/>
    <cellStyle name="Normal 2 2 2" xfId="332" xr:uid="{00000000-0005-0000-0000-00004B010000}"/>
    <cellStyle name="Normal 2 3" xfId="333" xr:uid="{00000000-0005-0000-0000-00004C010000}"/>
    <cellStyle name="Normal 2 3 2" xfId="812" xr:uid="{8193429C-28C4-46AC-A83E-776FEEA6F74E}"/>
    <cellStyle name="Normal 2 4" xfId="10" xr:uid="{00000000-0005-0000-0000-00004D010000}"/>
    <cellStyle name="Normal 2 5" xfId="818" xr:uid="{ED7AB209-F016-4B5C-BC15-A23DF4EF7F31}"/>
    <cellStyle name="Normal 20" xfId="334" xr:uid="{00000000-0005-0000-0000-00004E010000}"/>
    <cellStyle name="Normal 21" xfId="335" xr:uid="{00000000-0005-0000-0000-00004F010000}"/>
    <cellStyle name="Normal 22" xfId="336" xr:uid="{00000000-0005-0000-0000-000050010000}"/>
    <cellStyle name="Normal 23" xfId="337" xr:uid="{00000000-0005-0000-0000-000051010000}"/>
    <cellStyle name="Normal 24" xfId="338" xr:uid="{00000000-0005-0000-0000-000052010000}"/>
    <cellStyle name="Normal 25" xfId="339" xr:uid="{00000000-0005-0000-0000-000053010000}"/>
    <cellStyle name="Normal 26" xfId="340" xr:uid="{00000000-0005-0000-0000-000054010000}"/>
    <cellStyle name="Normal 27" xfId="341" xr:uid="{00000000-0005-0000-0000-000055010000}"/>
    <cellStyle name="Normal 28" xfId="342" xr:uid="{00000000-0005-0000-0000-000056010000}"/>
    <cellStyle name="Normal 29" xfId="343" xr:uid="{00000000-0005-0000-0000-000057010000}"/>
    <cellStyle name="Normal 3" xfId="1" xr:uid="{00000000-0005-0000-0000-000058010000}"/>
    <cellStyle name="Normal 3 2" xfId="344" xr:uid="{00000000-0005-0000-0000-000059010000}"/>
    <cellStyle name="Normal 3 3 3" xfId="805" xr:uid="{00000000-0005-0000-0000-00005A010000}"/>
    <cellStyle name="Normal 30" xfId="345" xr:uid="{00000000-0005-0000-0000-00005B010000}"/>
    <cellStyle name="Normal 31" xfId="346" xr:uid="{00000000-0005-0000-0000-00005C010000}"/>
    <cellStyle name="Normal 32" xfId="347" xr:uid="{00000000-0005-0000-0000-00005D010000}"/>
    <cellStyle name="Normal 33" xfId="348" xr:uid="{00000000-0005-0000-0000-00005E010000}"/>
    <cellStyle name="Normal 34" xfId="349" xr:uid="{00000000-0005-0000-0000-00005F010000}"/>
    <cellStyle name="Normal 35" xfId="350" xr:uid="{00000000-0005-0000-0000-000060010000}"/>
    <cellStyle name="Normal 36" xfId="351" xr:uid="{00000000-0005-0000-0000-000061010000}"/>
    <cellStyle name="Normal 37" xfId="352" xr:uid="{00000000-0005-0000-0000-000062010000}"/>
    <cellStyle name="Normal 38" xfId="353" xr:uid="{00000000-0005-0000-0000-000063010000}"/>
    <cellStyle name="Normal 39" xfId="354" xr:uid="{00000000-0005-0000-0000-000064010000}"/>
    <cellStyle name="Normal 4" xfId="355" xr:uid="{00000000-0005-0000-0000-000065010000}"/>
    <cellStyle name="Normal 4 2" xfId="356" xr:uid="{00000000-0005-0000-0000-000066010000}"/>
    <cellStyle name="Normal 4 2 2" xfId="357" xr:uid="{00000000-0005-0000-0000-000067010000}"/>
    <cellStyle name="Normal 4 2 3" xfId="801" xr:uid="{00000000-0005-0000-0000-000068010000}"/>
    <cellStyle name="Normal 4 3" xfId="800" xr:uid="{00000000-0005-0000-0000-000069010000}"/>
    <cellStyle name="Normal 40" xfId="358" xr:uid="{00000000-0005-0000-0000-00006A010000}"/>
    <cellStyle name="Normal 41" xfId="359" xr:uid="{00000000-0005-0000-0000-00006B010000}"/>
    <cellStyle name="Normal 42" xfId="360" xr:uid="{00000000-0005-0000-0000-00006C010000}"/>
    <cellStyle name="Normal 43" xfId="361" xr:uid="{00000000-0005-0000-0000-00006D010000}"/>
    <cellStyle name="Normal 44" xfId="362" xr:uid="{00000000-0005-0000-0000-00006E010000}"/>
    <cellStyle name="Normal 45" xfId="363" xr:uid="{00000000-0005-0000-0000-00006F010000}"/>
    <cellStyle name="Normal 46" xfId="364" xr:uid="{00000000-0005-0000-0000-000070010000}"/>
    <cellStyle name="Normal 47" xfId="365" xr:uid="{00000000-0005-0000-0000-000071010000}"/>
    <cellStyle name="Normal 48" xfId="366" xr:uid="{00000000-0005-0000-0000-000072010000}"/>
    <cellStyle name="Normal 49" xfId="367" xr:uid="{00000000-0005-0000-0000-000073010000}"/>
    <cellStyle name="Normal 5" xfId="368" xr:uid="{00000000-0005-0000-0000-000074010000}"/>
    <cellStyle name="Normal 5 10" xfId="369" xr:uid="{00000000-0005-0000-0000-000075010000}"/>
    <cellStyle name="Normal 5 11" xfId="370" xr:uid="{00000000-0005-0000-0000-000076010000}"/>
    <cellStyle name="Normal 5 2" xfId="371" xr:uid="{00000000-0005-0000-0000-000077010000}"/>
    <cellStyle name="Normal 5 2 2" xfId="372" xr:uid="{00000000-0005-0000-0000-000078010000}"/>
    <cellStyle name="Normal 5 2 2 2" xfId="373" xr:uid="{00000000-0005-0000-0000-000079010000}"/>
    <cellStyle name="Normal 5 2 2 2 2" xfId="374" xr:uid="{00000000-0005-0000-0000-00007A010000}"/>
    <cellStyle name="Normal 5 2 2 2 2 2" xfId="375" xr:uid="{00000000-0005-0000-0000-00007B010000}"/>
    <cellStyle name="Normal 5 2 2 2 2 2 2" xfId="376" xr:uid="{00000000-0005-0000-0000-00007C010000}"/>
    <cellStyle name="Normal 5 2 2 2 2 2 2 2" xfId="377" xr:uid="{00000000-0005-0000-0000-00007D010000}"/>
    <cellStyle name="Normal 5 2 2 2 2 2 3" xfId="378" xr:uid="{00000000-0005-0000-0000-00007E010000}"/>
    <cellStyle name="Normal 5 2 2 2 2 2 4" xfId="379" xr:uid="{00000000-0005-0000-0000-00007F010000}"/>
    <cellStyle name="Normal 5 2 2 2 2 3" xfId="380" xr:uid="{00000000-0005-0000-0000-000080010000}"/>
    <cellStyle name="Normal 5 2 2 2 2 3 2" xfId="381" xr:uid="{00000000-0005-0000-0000-000081010000}"/>
    <cellStyle name="Normal 5 2 2 2 2 3 3" xfId="382" xr:uid="{00000000-0005-0000-0000-000082010000}"/>
    <cellStyle name="Normal 5 2 2 2 2 4" xfId="383" xr:uid="{00000000-0005-0000-0000-000083010000}"/>
    <cellStyle name="Normal 5 2 2 2 2 5" xfId="384" xr:uid="{00000000-0005-0000-0000-000084010000}"/>
    <cellStyle name="Normal 5 2 2 2 3" xfId="385" xr:uid="{00000000-0005-0000-0000-000085010000}"/>
    <cellStyle name="Normal 5 2 2 2 3 2" xfId="386" xr:uid="{00000000-0005-0000-0000-000086010000}"/>
    <cellStyle name="Normal 5 2 2 2 3 2 2" xfId="387" xr:uid="{00000000-0005-0000-0000-000087010000}"/>
    <cellStyle name="Normal 5 2 2 2 3 3" xfId="388" xr:uid="{00000000-0005-0000-0000-000088010000}"/>
    <cellStyle name="Normal 5 2 2 2 3 4" xfId="389" xr:uid="{00000000-0005-0000-0000-000089010000}"/>
    <cellStyle name="Normal 5 2 2 2 4" xfId="390" xr:uid="{00000000-0005-0000-0000-00008A010000}"/>
    <cellStyle name="Normal 5 2 2 2 4 2" xfId="391" xr:uid="{00000000-0005-0000-0000-00008B010000}"/>
    <cellStyle name="Normal 5 2 2 2 4 3" xfId="392" xr:uid="{00000000-0005-0000-0000-00008C010000}"/>
    <cellStyle name="Normal 5 2 2 2 5" xfId="393" xr:uid="{00000000-0005-0000-0000-00008D010000}"/>
    <cellStyle name="Normal 5 2 2 2 6" xfId="394" xr:uid="{00000000-0005-0000-0000-00008E010000}"/>
    <cellStyle name="Normal 5 2 2 3" xfId="395" xr:uid="{00000000-0005-0000-0000-00008F010000}"/>
    <cellStyle name="Normal 5 2 2 3 2" xfId="396" xr:uid="{00000000-0005-0000-0000-000090010000}"/>
    <cellStyle name="Normal 5 2 2 3 2 2" xfId="397" xr:uid="{00000000-0005-0000-0000-000091010000}"/>
    <cellStyle name="Normal 5 2 2 3 2 2 2" xfId="398" xr:uid="{00000000-0005-0000-0000-000092010000}"/>
    <cellStyle name="Normal 5 2 2 3 2 3" xfId="399" xr:uid="{00000000-0005-0000-0000-000093010000}"/>
    <cellStyle name="Normal 5 2 2 3 2 4" xfId="400" xr:uid="{00000000-0005-0000-0000-000094010000}"/>
    <cellStyle name="Normal 5 2 2 3 3" xfId="401" xr:uid="{00000000-0005-0000-0000-000095010000}"/>
    <cellStyle name="Normal 5 2 2 3 3 2" xfId="402" xr:uid="{00000000-0005-0000-0000-000096010000}"/>
    <cellStyle name="Normal 5 2 2 3 3 3" xfId="403" xr:uid="{00000000-0005-0000-0000-000097010000}"/>
    <cellStyle name="Normal 5 2 2 3 4" xfId="404" xr:uid="{00000000-0005-0000-0000-000098010000}"/>
    <cellStyle name="Normal 5 2 2 3 5" xfId="405" xr:uid="{00000000-0005-0000-0000-000099010000}"/>
    <cellStyle name="Normal 5 2 2 4" xfId="406" xr:uid="{00000000-0005-0000-0000-00009A010000}"/>
    <cellStyle name="Normal 5 2 2 4 2" xfId="407" xr:uid="{00000000-0005-0000-0000-00009B010000}"/>
    <cellStyle name="Normal 5 2 2 4 2 2" xfId="408" xr:uid="{00000000-0005-0000-0000-00009C010000}"/>
    <cellStyle name="Normal 5 2 2 4 3" xfId="409" xr:uid="{00000000-0005-0000-0000-00009D010000}"/>
    <cellStyle name="Normal 5 2 2 4 4" xfId="410" xr:uid="{00000000-0005-0000-0000-00009E010000}"/>
    <cellStyle name="Normal 5 2 2 5" xfId="411" xr:uid="{00000000-0005-0000-0000-00009F010000}"/>
    <cellStyle name="Normal 5 2 2 5 2" xfId="412" xr:uid="{00000000-0005-0000-0000-0000A0010000}"/>
    <cellStyle name="Normal 5 2 2 5 3" xfId="413" xr:uid="{00000000-0005-0000-0000-0000A1010000}"/>
    <cellStyle name="Normal 5 2 2 6" xfId="414" xr:uid="{00000000-0005-0000-0000-0000A2010000}"/>
    <cellStyle name="Normal 5 2 2 7" xfId="415" xr:uid="{00000000-0005-0000-0000-0000A3010000}"/>
    <cellStyle name="Normal 5 2 3" xfId="416" xr:uid="{00000000-0005-0000-0000-0000A4010000}"/>
    <cellStyle name="Normal 5 2 3 2" xfId="417" xr:uid="{00000000-0005-0000-0000-0000A5010000}"/>
    <cellStyle name="Normal 5 2 3 2 2" xfId="418" xr:uid="{00000000-0005-0000-0000-0000A6010000}"/>
    <cellStyle name="Normal 5 2 3 2 2 2" xfId="419" xr:uid="{00000000-0005-0000-0000-0000A7010000}"/>
    <cellStyle name="Normal 5 2 3 2 2 2 2" xfId="420" xr:uid="{00000000-0005-0000-0000-0000A8010000}"/>
    <cellStyle name="Normal 5 2 3 2 2 3" xfId="421" xr:uid="{00000000-0005-0000-0000-0000A9010000}"/>
    <cellStyle name="Normal 5 2 3 2 2 4" xfId="422" xr:uid="{00000000-0005-0000-0000-0000AA010000}"/>
    <cellStyle name="Normal 5 2 3 2 3" xfId="423" xr:uid="{00000000-0005-0000-0000-0000AB010000}"/>
    <cellStyle name="Normal 5 2 3 2 3 2" xfId="424" xr:uid="{00000000-0005-0000-0000-0000AC010000}"/>
    <cellStyle name="Normal 5 2 3 2 3 3" xfId="425" xr:uid="{00000000-0005-0000-0000-0000AD010000}"/>
    <cellStyle name="Normal 5 2 3 2 4" xfId="426" xr:uid="{00000000-0005-0000-0000-0000AE010000}"/>
    <cellStyle name="Normal 5 2 3 2 5" xfId="427" xr:uid="{00000000-0005-0000-0000-0000AF010000}"/>
    <cellStyle name="Normal 5 2 3 3" xfId="428" xr:uid="{00000000-0005-0000-0000-0000B0010000}"/>
    <cellStyle name="Normal 5 2 3 3 2" xfId="429" xr:uid="{00000000-0005-0000-0000-0000B1010000}"/>
    <cellStyle name="Normal 5 2 3 3 2 2" xfId="430" xr:uid="{00000000-0005-0000-0000-0000B2010000}"/>
    <cellStyle name="Normal 5 2 3 3 3" xfId="431" xr:uid="{00000000-0005-0000-0000-0000B3010000}"/>
    <cellStyle name="Normal 5 2 3 3 4" xfId="432" xr:uid="{00000000-0005-0000-0000-0000B4010000}"/>
    <cellStyle name="Normal 5 2 3 4" xfId="433" xr:uid="{00000000-0005-0000-0000-0000B5010000}"/>
    <cellStyle name="Normal 5 2 3 4 2" xfId="434" xr:uid="{00000000-0005-0000-0000-0000B6010000}"/>
    <cellStyle name="Normal 5 2 3 4 3" xfId="435" xr:uid="{00000000-0005-0000-0000-0000B7010000}"/>
    <cellStyle name="Normal 5 2 3 5" xfId="436" xr:uid="{00000000-0005-0000-0000-0000B8010000}"/>
    <cellStyle name="Normal 5 2 3 6" xfId="437" xr:uid="{00000000-0005-0000-0000-0000B9010000}"/>
    <cellStyle name="Normal 5 2 4" xfId="438" xr:uid="{00000000-0005-0000-0000-0000BA010000}"/>
    <cellStyle name="Normal 5 2 4 2" xfId="439" xr:uid="{00000000-0005-0000-0000-0000BB010000}"/>
    <cellStyle name="Normal 5 2 4 2 2" xfId="440" xr:uid="{00000000-0005-0000-0000-0000BC010000}"/>
    <cellStyle name="Normal 5 2 4 2 2 2" xfId="441" xr:uid="{00000000-0005-0000-0000-0000BD010000}"/>
    <cellStyle name="Normal 5 2 4 2 3" xfId="442" xr:uid="{00000000-0005-0000-0000-0000BE010000}"/>
    <cellStyle name="Normal 5 2 4 2 4" xfId="443" xr:uid="{00000000-0005-0000-0000-0000BF010000}"/>
    <cellStyle name="Normal 5 2 4 3" xfId="444" xr:uid="{00000000-0005-0000-0000-0000C0010000}"/>
    <cellStyle name="Normal 5 2 4 3 2" xfId="445" xr:uid="{00000000-0005-0000-0000-0000C1010000}"/>
    <cellStyle name="Normal 5 2 4 3 3" xfId="446" xr:uid="{00000000-0005-0000-0000-0000C2010000}"/>
    <cellStyle name="Normal 5 2 4 4" xfId="447" xr:uid="{00000000-0005-0000-0000-0000C3010000}"/>
    <cellStyle name="Normal 5 2 4 5" xfId="448" xr:uid="{00000000-0005-0000-0000-0000C4010000}"/>
    <cellStyle name="Normal 5 2 5" xfId="449" xr:uid="{00000000-0005-0000-0000-0000C5010000}"/>
    <cellStyle name="Normal 5 2 5 2" xfId="450" xr:uid="{00000000-0005-0000-0000-0000C6010000}"/>
    <cellStyle name="Normal 5 2 5 2 2" xfId="451" xr:uid="{00000000-0005-0000-0000-0000C7010000}"/>
    <cellStyle name="Normal 5 2 5 3" xfId="452" xr:uid="{00000000-0005-0000-0000-0000C8010000}"/>
    <cellStyle name="Normal 5 2 5 4" xfId="453" xr:uid="{00000000-0005-0000-0000-0000C9010000}"/>
    <cellStyle name="Normal 5 2 6" xfId="454" xr:uid="{00000000-0005-0000-0000-0000CA010000}"/>
    <cellStyle name="Normal 5 2 6 2" xfId="455" xr:uid="{00000000-0005-0000-0000-0000CB010000}"/>
    <cellStyle name="Normal 5 2 6 3" xfId="456" xr:uid="{00000000-0005-0000-0000-0000CC010000}"/>
    <cellStyle name="Normal 5 2 7" xfId="457" xr:uid="{00000000-0005-0000-0000-0000CD010000}"/>
    <cellStyle name="Normal 5 2 8" xfId="458" xr:uid="{00000000-0005-0000-0000-0000CE010000}"/>
    <cellStyle name="Normal 5 3" xfId="459" xr:uid="{00000000-0005-0000-0000-0000CF010000}"/>
    <cellStyle name="Normal 5 3 2" xfId="460" xr:uid="{00000000-0005-0000-0000-0000D0010000}"/>
    <cellStyle name="Normal 5 3 2 2" xfId="461" xr:uid="{00000000-0005-0000-0000-0000D1010000}"/>
    <cellStyle name="Normal 5 3 2 2 2" xfId="462" xr:uid="{00000000-0005-0000-0000-0000D2010000}"/>
    <cellStyle name="Normal 5 3 2 2 2 2" xfId="463" xr:uid="{00000000-0005-0000-0000-0000D3010000}"/>
    <cellStyle name="Normal 5 3 2 2 2 2 2" xfId="464" xr:uid="{00000000-0005-0000-0000-0000D4010000}"/>
    <cellStyle name="Normal 5 3 2 2 2 3" xfId="465" xr:uid="{00000000-0005-0000-0000-0000D5010000}"/>
    <cellStyle name="Normal 5 3 2 2 2 4" xfId="466" xr:uid="{00000000-0005-0000-0000-0000D6010000}"/>
    <cellStyle name="Normal 5 3 2 2 3" xfId="467" xr:uid="{00000000-0005-0000-0000-0000D7010000}"/>
    <cellStyle name="Normal 5 3 2 2 3 2" xfId="468" xr:uid="{00000000-0005-0000-0000-0000D8010000}"/>
    <cellStyle name="Normal 5 3 2 2 3 3" xfId="469" xr:uid="{00000000-0005-0000-0000-0000D9010000}"/>
    <cellStyle name="Normal 5 3 2 2 4" xfId="470" xr:uid="{00000000-0005-0000-0000-0000DA010000}"/>
    <cellStyle name="Normal 5 3 2 2 5" xfId="471" xr:uid="{00000000-0005-0000-0000-0000DB010000}"/>
    <cellStyle name="Normal 5 3 2 3" xfId="472" xr:uid="{00000000-0005-0000-0000-0000DC010000}"/>
    <cellStyle name="Normal 5 3 2 3 2" xfId="473" xr:uid="{00000000-0005-0000-0000-0000DD010000}"/>
    <cellStyle name="Normal 5 3 2 3 2 2" xfId="474" xr:uid="{00000000-0005-0000-0000-0000DE010000}"/>
    <cellStyle name="Normal 5 3 2 3 3" xfId="475" xr:uid="{00000000-0005-0000-0000-0000DF010000}"/>
    <cellStyle name="Normal 5 3 2 3 4" xfId="476" xr:uid="{00000000-0005-0000-0000-0000E0010000}"/>
    <cellStyle name="Normal 5 3 2 4" xfId="477" xr:uid="{00000000-0005-0000-0000-0000E1010000}"/>
    <cellStyle name="Normal 5 3 2 4 2" xfId="478" xr:uid="{00000000-0005-0000-0000-0000E2010000}"/>
    <cellStyle name="Normal 5 3 2 4 3" xfId="479" xr:uid="{00000000-0005-0000-0000-0000E3010000}"/>
    <cellStyle name="Normal 5 3 2 5" xfId="480" xr:uid="{00000000-0005-0000-0000-0000E4010000}"/>
    <cellStyle name="Normal 5 3 2 6" xfId="481" xr:uid="{00000000-0005-0000-0000-0000E5010000}"/>
    <cellStyle name="Normal 5 3 3" xfId="482" xr:uid="{00000000-0005-0000-0000-0000E6010000}"/>
    <cellStyle name="Normal 5 3 3 2" xfId="483" xr:uid="{00000000-0005-0000-0000-0000E7010000}"/>
    <cellStyle name="Normal 5 3 3 2 2" xfId="484" xr:uid="{00000000-0005-0000-0000-0000E8010000}"/>
    <cellStyle name="Normal 5 3 3 2 2 2" xfId="485" xr:uid="{00000000-0005-0000-0000-0000E9010000}"/>
    <cellStyle name="Normal 5 3 3 2 3" xfId="486" xr:uid="{00000000-0005-0000-0000-0000EA010000}"/>
    <cellStyle name="Normal 5 3 3 2 4" xfId="487" xr:uid="{00000000-0005-0000-0000-0000EB010000}"/>
    <cellStyle name="Normal 5 3 3 3" xfId="488" xr:uid="{00000000-0005-0000-0000-0000EC010000}"/>
    <cellStyle name="Normal 5 3 3 3 2" xfId="489" xr:uid="{00000000-0005-0000-0000-0000ED010000}"/>
    <cellStyle name="Normal 5 3 3 3 3" xfId="490" xr:uid="{00000000-0005-0000-0000-0000EE010000}"/>
    <cellStyle name="Normal 5 3 3 4" xfId="491" xr:uid="{00000000-0005-0000-0000-0000EF010000}"/>
    <cellStyle name="Normal 5 3 3 5" xfId="492" xr:uid="{00000000-0005-0000-0000-0000F0010000}"/>
    <cellStyle name="Normal 5 3 4" xfId="493" xr:uid="{00000000-0005-0000-0000-0000F1010000}"/>
    <cellStyle name="Normal 5 3 4 2" xfId="494" xr:uid="{00000000-0005-0000-0000-0000F2010000}"/>
    <cellStyle name="Normal 5 3 4 2 2" xfId="495" xr:uid="{00000000-0005-0000-0000-0000F3010000}"/>
    <cellStyle name="Normal 5 3 4 3" xfId="496" xr:uid="{00000000-0005-0000-0000-0000F4010000}"/>
    <cellStyle name="Normal 5 3 4 4" xfId="497" xr:uid="{00000000-0005-0000-0000-0000F5010000}"/>
    <cellStyle name="Normal 5 3 5" xfId="498" xr:uid="{00000000-0005-0000-0000-0000F6010000}"/>
    <cellStyle name="Normal 5 3 5 2" xfId="499" xr:uid="{00000000-0005-0000-0000-0000F7010000}"/>
    <cellStyle name="Normal 5 3 5 3" xfId="500" xr:uid="{00000000-0005-0000-0000-0000F8010000}"/>
    <cellStyle name="Normal 5 3 6" xfId="501" xr:uid="{00000000-0005-0000-0000-0000F9010000}"/>
    <cellStyle name="Normal 5 3 7" xfId="502" xr:uid="{00000000-0005-0000-0000-0000FA010000}"/>
    <cellStyle name="Normal 5 4" xfId="503" xr:uid="{00000000-0005-0000-0000-0000FB010000}"/>
    <cellStyle name="Normal 5 4 2" xfId="504" xr:uid="{00000000-0005-0000-0000-0000FC010000}"/>
    <cellStyle name="Normal 5 4 2 2" xfId="505" xr:uid="{00000000-0005-0000-0000-0000FD010000}"/>
    <cellStyle name="Normal 5 4 2 2 2" xfId="506" xr:uid="{00000000-0005-0000-0000-0000FE010000}"/>
    <cellStyle name="Normal 5 4 2 2 2 2" xfId="507" xr:uid="{00000000-0005-0000-0000-0000FF010000}"/>
    <cellStyle name="Normal 5 4 2 2 3" xfId="508" xr:uid="{00000000-0005-0000-0000-000000020000}"/>
    <cellStyle name="Normal 5 4 2 2 4" xfId="509" xr:uid="{00000000-0005-0000-0000-000001020000}"/>
    <cellStyle name="Normal 5 4 2 3" xfId="510" xr:uid="{00000000-0005-0000-0000-000002020000}"/>
    <cellStyle name="Normal 5 4 2 3 2" xfId="511" xr:uid="{00000000-0005-0000-0000-000003020000}"/>
    <cellStyle name="Normal 5 4 2 3 3" xfId="512" xr:uid="{00000000-0005-0000-0000-000004020000}"/>
    <cellStyle name="Normal 5 4 2 4" xfId="513" xr:uid="{00000000-0005-0000-0000-000005020000}"/>
    <cellStyle name="Normal 5 4 2 5" xfId="514" xr:uid="{00000000-0005-0000-0000-000006020000}"/>
    <cellStyle name="Normal 5 4 3" xfId="515" xr:uid="{00000000-0005-0000-0000-000007020000}"/>
    <cellStyle name="Normal 5 4 3 2" xfId="516" xr:uid="{00000000-0005-0000-0000-000008020000}"/>
    <cellStyle name="Normal 5 4 3 2 2" xfId="517" xr:uid="{00000000-0005-0000-0000-000009020000}"/>
    <cellStyle name="Normal 5 4 3 3" xfId="518" xr:uid="{00000000-0005-0000-0000-00000A020000}"/>
    <cellStyle name="Normal 5 4 3 4" xfId="519" xr:uid="{00000000-0005-0000-0000-00000B020000}"/>
    <cellStyle name="Normal 5 4 4" xfId="520" xr:uid="{00000000-0005-0000-0000-00000C020000}"/>
    <cellStyle name="Normal 5 4 4 2" xfId="521" xr:uid="{00000000-0005-0000-0000-00000D020000}"/>
    <cellStyle name="Normal 5 4 4 3" xfId="522" xr:uid="{00000000-0005-0000-0000-00000E020000}"/>
    <cellStyle name="Normal 5 4 5" xfId="523" xr:uid="{00000000-0005-0000-0000-00000F020000}"/>
    <cellStyle name="Normal 5 4 6" xfId="524" xr:uid="{00000000-0005-0000-0000-000010020000}"/>
    <cellStyle name="Normal 5 5" xfId="525" xr:uid="{00000000-0005-0000-0000-000011020000}"/>
    <cellStyle name="Normal 5 5 2" xfId="526" xr:uid="{00000000-0005-0000-0000-000012020000}"/>
    <cellStyle name="Normal 5 5 2 2" xfId="527" xr:uid="{00000000-0005-0000-0000-000013020000}"/>
    <cellStyle name="Normal 5 5 2 2 2" xfId="528" xr:uid="{00000000-0005-0000-0000-000014020000}"/>
    <cellStyle name="Normal 5 5 2 3" xfId="529" xr:uid="{00000000-0005-0000-0000-000015020000}"/>
    <cellStyle name="Normal 5 5 2 4" xfId="530" xr:uid="{00000000-0005-0000-0000-000016020000}"/>
    <cellStyle name="Normal 5 5 3" xfId="531" xr:uid="{00000000-0005-0000-0000-000017020000}"/>
    <cellStyle name="Normal 5 5 3 2" xfId="532" xr:uid="{00000000-0005-0000-0000-000018020000}"/>
    <cellStyle name="Normal 5 5 3 3" xfId="533" xr:uid="{00000000-0005-0000-0000-000019020000}"/>
    <cellStyle name="Normal 5 5 4" xfId="534" xr:uid="{00000000-0005-0000-0000-00001A020000}"/>
    <cellStyle name="Normal 5 5 5" xfId="535" xr:uid="{00000000-0005-0000-0000-00001B020000}"/>
    <cellStyle name="Normal 5 6" xfId="536" xr:uid="{00000000-0005-0000-0000-00001C020000}"/>
    <cellStyle name="Normal 5 6 2" xfId="537" xr:uid="{00000000-0005-0000-0000-00001D020000}"/>
    <cellStyle name="Normal 5 6 2 2" xfId="538" xr:uid="{00000000-0005-0000-0000-00001E020000}"/>
    <cellStyle name="Normal 5 6 2 3" xfId="539" xr:uid="{00000000-0005-0000-0000-00001F020000}"/>
    <cellStyle name="Normal 5 6 3" xfId="540" xr:uid="{00000000-0005-0000-0000-000020020000}"/>
    <cellStyle name="Normal 5 6 4" xfId="541" xr:uid="{00000000-0005-0000-0000-000021020000}"/>
    <cellStyle name="Normal 5 7" xfId="542" xr:uid="{00000000-0005-0000-0000-000022020000}"/>
    <cellStyle name="Normal 5 7 2" xfId="543" xr:uid="{00000000-0005-0000-0000-000023020000}"/>
    <cellStyle name="Normal 5 7 3" xfId="544" xr:uid="{00000000-0005-0000-0000-000024020000}"/>
    <cellStyle name="Normal 5 8" xfId="545" xr:uid="{00000000-0005-0000-0000-000025020000}"/>
    <cellStyle name="Normal 5 8 2" xfId="546" xr:uid="{00000000-0005-0000-0000-000026020000}"/>
    <cellStyle name="Normal 5 8 3" xfId="547" xr:uid="{00000000-0005-0000-0000-000027020000}"/>
    <cellStyle name="Normal 5 9" xfId="548" xr:uid="{00000000-0005-0000-0000-000028020000}"/>
    <cellStyle name="Normal 50" xfId="549" xr:uid="{00000000-0005-0000-0000-000029020000}"/>
    <cellStyle name="Normal 51" xfId="550" xr:uid="{00000000-0005-0000-0000-00002A020000}"/>
    <cellStyle name="Normal 52" xfId="551" xr:uid="{00000000-0005-0000-0000-00002B020000}"/>
    <cellStyle name="Normal 53" xfId="552" xr:uid="{00000000-0005-0000-0000-00002C020000}"/>
    <cellStyle name="Normal 54" xfId="553" xr:uid="{00000000-0005-0000-0000-00002D020000}"/>
    <cellStyle name="Normal 55" xfId="554" xr:uid="{00000000-0005-0000-0000-00002E020000}"/>
    <cellStyle name="Normal 56" xfId="555" xr:uid="{00000000-0005-0000-0000-00002F020000}"/>
    <cellStyle name="Normal 57" xfId="556" xr:uid="{00000000-0005-0000-0000-000030020000}"/>
    <cellStyle name="Normal 58" xfId="557" xr:uid="{00000000-0005-0000-0000-000031020000}"/>
    <cellStyle name="Normal 59" xfId="558" xr:uid="{00000000-0005-0000-0000-000032020000}"/>
    <cellStyle name="Normal 6" xfId="559" xr:uid="{00000000-0005-0000-0000-000033020000}"/>
    <cellStyle name="Normal 6 2" xfId="560" xr:uid="{00000000-0005-0000-0000-000034020000}"/>
    <cellStyle name="Normal 6 2 2" xfId="561" xr:uid="{00000000-0005-0000-0000-000035020000}"/>
    <cellStyle name="Normal 6 2 2 2" xfId="562" xr:uid="{00000000-0005-0000-0000-000036020000}"/>
    <cellStyle name="Normal 6 2 2 2 2" xfId="563" xr:uid="{00000000-0005-0000-0000-000037020000}"/>
    <cellStyle name="Normal 6 2 2 2 2 2" xfId="564" xr:uid="{00000000-0005-0000-0000-000038020000}"/>
    <cellStyle name="Normal 6 2 2 2 2 2 2" xfId="565" xr:uid="{00000000-0005-0000-0000-000039020000}"/>
    <cellStyle name="Normal 6 2 2 2 2 2 2 2" xfId="566" xr:uid="{00000000-0005-0000-0000-00003A020000}"/>
    <cellStyle name="Normal 6 2 2 2 2 2 3" xfId="567" xr:uid="{00000000-0005-0000-0000-00003B020000}"/>
    <cellStyle name="Normal 6 2 2 2 2 2 4" xfId="568" xr:uid="{00000000-0005-0000-0000-00003C020000}"/>
    <cellStyle name="Normal 6 2 2 2 2 3" xfId="569" xr:uid="{00000000-0005-0000-0000-00003D020000}"/>
    <cellStyle name="Normal 6 2 2 2 2 3 2" xfId="570" xr:uid="{00000000-0005-0000-0000-00003E020000}"/>
    <cellStyle name="Normal 6 2 2 2 2 3 3" xfId="571" xr:uid="{00000000-0005-0000-0000-00003F020000}"/>
    <cellStyle name="Normal 6 2 2 2 2 4" xfId="572" xr:uid="{00000000-0005-0000-0000-000040020000}"/>
    <cellStyle name="Normal 6 2 2 2 2 5" xfId="573" xr:uid="{00000000-0005-0000-0000-000041020000}"/>
    <cellStyle name="Normal 6 2 2 2 3" xfId="574" xr:uid="{00000000-0005-0000-0000-000042020000}"/>
    <cellStyle name="Normal 6 2 2 2 3 2" xfId="575" xr:uid="{00000000-0005-0000-0000-000043020000}"/>
    <cellStyle name="Normal 6 2 2 2 3 2 2" xfId="576" xr:uid="{00000000-0005-0000-0000-000044020000}"/>
    <cellStyle name="Normal 6 2 2 2 3 3" xfId="577" xr:uid="{00000000-0005-0000-0000-000045020000}"/>
    <cellStyle name="Normal 6 2 2 2 3 4" xfId="578" xr:uid="{00000000-0005-0000-0000-000046020000}"/>
    <cellStyle name="Normal 6 2 2 2 4" xfId="579" xr:uid="{00000000-0005-0000-0000-000047020000}"/>
    <cellStyle name="Normal 6 2 2 2 4 2" xfId="580" xr:uid="{00000000-0005-0000-0000-000048020000}"/>
    <cellStyle name="Normal 6 2 2 2 4 3" xfId="581" xr:uid="{00000000-0005-0000-0000-000049020000}"/>
    <cellStyle name="Normal 6 2 2 2 5" xfId="582" xr:uid="{00000000-0005-0000-0000-00004A020000}"/>
    <cellStyle name="Normal 6 2 2 2 6" xfId="583" xr:uid="{00000000-0005-0000-0000-00004B020000}"/>
    <cellStyle name="Normal 6 2 2 3" xfId="584" xr:uid="{00000000-0005-0000-0000-00004C020000}"/>
    <cellStyle name="Normal 6 2 2 3 2" xfId="585" xr:uid="{00000000-0005-0000-0000-00004D020000}"/>
    <cellStyle name="Normal 6 2 2 3 2 2" xfId="586" xr:uid="{00000000-0005-0000-0000-00004E020000}"/>
    <cellStyle name="Normal 6 2 2 3 2 2 2" xfId="587" xr:uid="{00000000-0005-0000-0000-00004F020000}"/>
    <cellStyle name="Normal 6 2 2 3 2 3" xfId="588" xr:uid="{00000000-0005-0000-0000-000050020000}"/>
    <cellStyle name="Normal 6 2 2 3 2 4" xfId="589" xr:uid="{00000000-0005-0000-0000-000051020000}"/>
    <cellStyle name="Normal 6 2 2 3 3" xfId="590" xr:uid="{00000000-0005-0000-0000-000052020000}"/>
    <cellStyle name="Normal 6 2 2 3 3 2" xfId="591" xr:uid="{00000000-0005-0000-0000-000053020000}"/>
    <cellStyle name="Normal 6 2 2 3 3 3" xfId="592" xr:uid="{00000000-0005-0000-0000-000054020000}"/>
    <cellStyle name="Normal 6 2 2 3 4" xfId="593" xr:uid="{00000000-0005-0000-0000-000055020000}"/>
    <cellStyle name="Normal 6 2 2 3 5" xfId="594" xr:uid="{00000000-0005-0000-0000-000056020000}"/>
    <cellStyle name="Normal 6 2 2 4" xfId="595" xr:uid="{00000000-0005-0000-0000-000057020000}"/>
    <cellStyle name="Normal 6 2 2 4 2" xfId="596" xr:uid="{00000000-0005-0000-0000-000058020000}"/>
    <cellStyle name="Normal 6 2 2 4 2 2" xfId="597" xr:uid="{00000000-0005-0000-0000-000059020000}"/>
    <cellStyle name="Normal 6 2 2 4 3" xfId="598" xr:uid="{00000000-0005-0000-0000-00005A020000}"/>
    <cellStyle name="Normal 6 2 2 4 4" xfId="599" xr:uid="{00000000-0005-0000-0000-00005B020000}"/>
    <cellStyle name="Normal 6 2 2 5" xfId="600" xr:uid="{00000000-0005-0000-0000-00005C020000}"/>
    <cellStyle name="Normal 6 2 2 5 2" xfId="601" xr:uid="{00000000-0005-0000-0000-00005D020000}"/>
    <cellStyle name="Normal 6 2 2 5 3" xfId="602" xr:uid="{00000000-0005-0000-0000-00005E020000}"/>
    <cellStyle name="Normal 6 2 2 6" xfId="603" xr:uid="{00000000-0005-0000-0000-00005F020000}"/>
    <cellStyle name="Normal 6 2 2 7" xfId="604" xr:uid="{00000000-0005-0000-0000-000060020000}"/>
    <cellStyle name="Normal 6 2 3" xfId="605" xr:uid="{00000000-0005-0000-0000-000061020000}"/>
    <cellStyle name="Normal 6 2 3 2" xfId="606" xr:uid="{00000000-0005-0000-0000-000062020000}"/>
    <cellStyle name="Normal 6 2 3 2 2" xfId="607" xr:uid="{00000000-0005-0000-0000-000063020000}"/>
    <cellStyle name="Normal 6 2 3 2 2 2" xfId="608" xr:uid="{00000000-0005-0000-0000-000064020000}"/>
    <cellStyle name="Normal 6 2 3 2 2 2 2" xfId="609" xr:uid="{00000000-0005-0000-0000-000065020000}"/>
    <cellStyle name="Normal 6 2 3 2 2 3" xfId="610" xr:uid="{00000000-0005-0000-0000-000066020000}"/>
    <cellStyle name="Normal 6 2 3 2 2 4" xfId="611" xr:uid="{00000000-0005-0000-0000-000067020000}"/>
    <cellStyle name="Normal 6 2 3 2 3" xfId="612" xr:uid="{00000000-0005-0000-0000-000068020000}"/>
    <cellStyle name="Normal 6 2 3 2 3 2" xfId="613" xr:uid="{00000000-0005-0000-0000-000069020000}"/>
    <cellStyle name="Normal 6 2 3 2 3 3" xfId="614" xr:uid="{00000000-0005-0000-0000-00006A020000}"/>
    <cellStyle name="Normal 6 2 3 2 4" xfId="615" xr:uid="{00000000-0005-0000-0000-00006B020000}"/>
    <cellStyle name="Normal 6 2 3 2 5" xfId="616" xr:uid="{00000000-0005-0000-0000-00006C020000}"/>
    <cellStyle name="Normal 6 2 3 3" xfId="617" xr:uid="{00000000-0005-0000-0000-00006D020000}"/>
    <cellStyle name="Normal 6 2 3 3 2" xfId="618" xr:uid="{00000000-0005-0000-0000-00006E020000}"/>
    <cellStyle name="Normal 6 2 3 3 2 2" xfId="619" xr:uid="{00000000-0005-0000-0000-00006F020000}"/>
    <cellStyle name="Normal 6 2 3 3 3" xfId="620" xr:uid="{00000000-0005-0000-0000-000070020000}"/>
    <cellStyle name="Normal 6 2 3 3 4" xfId="621" xr:uid="{00000000-0005-0000-0000-000071020000}"/>
    <cellStyle name="Normal 6 2 3 4" xfId="622" xr:uid="{00000000-0005-0000-0000-000072020000}"/>
    <cellStyle name="Normal 6 2 3 4 2" xfId="623" xr:uid="{00000000-0005-0000-0000-000073020000}"/>
    <cellStyle name="Normal 6 2 3 4 3" xfId="624" xr:uid="{00000000-0005-0000-0000-000074020000}"/>
    <cellStyle name="Normal 6 2 3 5" xfId="625" xr:uid="{00000000-0005-0000-0000-000075020000}"/>
    <cellStyle name="Normal 6 2 3 6" xfId="626" xr:uid="{00000000-0005-0000-0000-000076020000}"/>
    <cellStyle name="Normal 6 2 4" xfId="627" xr:uid="{00000000-0005-0000-0000-000077020000}"/>
    <cellStyle name="Normal 6 2 4 2" xfId="628" xr:uid="{00000000-0005-0000-0000-000078020000}"/>
    <cellStyle name="Normal 6 2 4 2 2" xfId="629" xr:uid="{00000000-0005-0000-0000-000079020000}"/>
    <cellStyle name="Normal 6 2 4 2 2 2" xfId="630" xr:uid="{00000000-0005-0000-0000-00007A020000}"/>
    <cellStyle name="Normal 6 2 4 2 3" xfId="631" xr:uid="{00000000-0005-0000-0000-00007B020000}"/>
    <cellStyle name="Normal 6 2 4 2 4" xfId="632" xr:uid="{00000000-0005-0000-0000-00007C020000}"/>
    <cellStyle name="Normal 6 2 4 3" xfId="633" xr:uid="{00000000-0005-0000-0000-00007D020000}"/>
    <cellStyle name="Normal 6 2 4 3 2" xfId="634" xr:uid="{00000000-0005-0000-0000-00007E020000}"/>
    <cellStyle name="Normal 6 2 4 3 3" xfId="635" xr:uid="{00000000-0005-0000-0000-00007F020000}"/>
    <cellStyle name="Normal 6 2 4 4" xfId="636" xr:uid="{00000000-0005-0000-0000-000080020000}"/>
    <cellStyle name="Normal 6 2 4 5" xfId="637" xr:uid="{00000000-0005-0000-0000-000081020000}"/>
    <cellStyle name="Normal 6 2 5" xfId="638" xr:uid="{00000000-0005-0000-0000-000082020000}"/>
    <cellStyle name="Normal 6 2 5 2" xfId="639" xr:uid="{00000000-0005-0000-0000-000083020000}"/>
    <cellStyle name="Normal 6 2 5 2 2" xfId="640" xr:uid="{00000000-0005-0000-0000-000084020000}"/>
    <cellStyle name="Normal 6 2 5 3" xfId="641" xr:uid="{00000000-0005-0000-0000-000085020000}"/>
    <cellStyle name="Normal 6 2 5 4" xfId="642" xr:uid="{00000000-0005-0000-0000-000086020000}"/>
    <cellStyle name="Normal 6 2 6" xfId="643" xr:uid="{00000000-0005-0000-0000-000087020000}"/>
    <cellStyle name="Normal 6 2 6 2" xfId="644" xr:uid="{00000000-0005-0000-0000-000088020000}"/>
    <cellStyle name="Normal 6 2 6 3" xfId="645" xr:uid="{00000000-0005-0000-0000-000089020000}"/>
    <cellStyle name="Normal 6 2 6 4" xfId="646" xr:uid="{00000000-0005-0000-0000-00008A020000}"/>
    <cellStyle name="Normal 6 2 7" xfId="647" xr:uid="{00000000-0005-0000-0000-00008B020000}"/>
    <cellStyle name="Normal 6 2 7 2" xfId="648" xr:uid="{00000000-0005-0000-0000-00008C020000}"/>
    <cellStyle name="Normal 6 2 8" xfId="649" xr:uid="{00000000-0005-0000-0000-00008D020000}"/>
    <cellStyle name="Normal 6 2 9" xfId="650" xr:uid="{00000000-0005-0000-0000-00008E020000}"/>
    <cellStyle name="Normal 6 3" xfId="651" xr:uid="{00000000-0005-0000-0000-00008F020000}"/>
    <cellStyle name="Normal 6 4" xfId="652" xr:uid="{00000000-0005-0000-0000-000090020000}"/>
    <cellStyle name="Normal 60" xfId="653" xr:uid="{00000000-0005-0000-0000-000091020000}"/>
    <cellStyle name="Normal 61" xfId="803" xr:uid="{00000000-0005-0000-0000-000092020000}"/>
    <cellStyle name="Normal 61 2" xfId="809" xr:uid="{00000000-0005-0000-0000-000093020000}"/>
    <cellStyle name="Normal 62" xfId="804" xr:uid="{00000000-0005-0000-0000-000094020000}"/>
    <cellStyle name="Normal 63" xfId="806" xr:uid="{00000000-0005-0000-0000-000095020000}"/>
    <cellStyle name="Normal 64" xfId="807" xr:uid="{00000000-0005-0000-0000-000096020000}"/>
    <cellStyle name="Normal 65" xfId="808" xr:uid="{00000000-0005-0000-0000-000097020000}"/>
    <cellStyle name="Normal 66" xfId="810" xr:uid="{00000000-0005-0000-0000-000098020000}"/>
    <cellStyle name="Normal 67" xfId="811" xr:uid="{00000000-0005-0000-0000-000099020000}"/>
    <cellStyle name="Normal 68" xfId="815" xr:uid="{26F7BDD8-EB34-4791-A897-F0DF7F4F3D93}"/>
    <cellStyle name="Normal 69" xfId="816" xr:uid="{99AFE4EE-2A3E-44F8-87B9-9F479DBE1298}"/>
    <cellStyle name="Normal 7" xfId="654" xr:uid="{00000000-0005-0000-0000-00009A020000}"/>
    <cellStyle name="Normal 7 2" xfId="655" xr:uid="{00000000-0005-0000-0000-00009B020000}"/>
    <cellStyle name="Normal 7 3" xfId="656" xr:uid="{00000000-0005-0000-0000-00009C020000}"/>
    <cellStyle name="Normal 7 3 2" xfId="657" xr:uid="{00000000-0005-0000-0000-00009D020000}"/>
    <cellStyle name="Normal 7 4" xfId="658" xr:uid="{00000000-0005-0000-0000-00009E020000}"/>
    <cellStyle name="Normal 7 5" xfId="659" xr:uid="{00000000-0005-0000-0000-00009F020000}"/>
    <cellStyle name="Normal 7 5 2" xfId="660" xr:uid="{00000000-0005-0000-0000-0000A0020000}"/>
    <cellStyle name="Normal 70" xfId="819" xr:uid="{6B3DA488-C099-4E9B-85CB-5FB115A7C375}"/>
    <cellStyle name="Normal 71" xfId="820" xr:uid="{38A666CE-ED35-4934-9CC4-1B90A766DB3C}"/>
    <cellStyle name="Normal 72" xfId="821" xr:uid="{33412204-C6E6-4CD7-8153-80D122EC76C8}"/>
    <cellStyle name="Normal 73" xfId="824" xr:uid="{485DBA52-DBD0-4DAB-9E3A-1701C587CCDE}"/>
    <cellStyle name="Normal 73 3" xfId="829" xr:uid="{503F819E-DAFB-4FF8-8EE1-2986F42C0A1E}"/>
    <cellStyle name="Normal 74" xfId="827" xr:uid="{864C8A86-4FDC-4388-A366-C1E06562C7FE}"/>
    <cellStyle name="Normal 75" xfId="802" xr:uid="{00000000-0005-0000-0000-0000A1020000}"/>
    <cellStyle name="Normal 76" xfId="828" xr:uid="{011421D9-132B-426E-92EB-079D271D18F7}"/>
    <cellStyle name="Normal 8" xfId="661" xr:uid="{00000000-0005-0000-0000-0000A2020000}"/>
    <cellStyle name="Normal 8 2" xfId="662" xr:uid="{00000000-0005-0000-0000-0000A3020000}"/>
    <cellStyle name="Normal 8 2 2" xfId="663" xr:uid="{00000000-0005-0000-0000-0000A4020000}"/>
    <cellStyle name="Normal 8 2 2 2" xfId="664" xr:uid="{00000000-0005-0000-0000-0000A5020000}"/>
    <cellStyle name="Normal 8 2 2 2 2" xfId="665" xr:uid="{00000000-0005-0000-0000-0000A6020000}"/>
    <cellStyle name="Normal 8 2 2 2 2 2" xfId="666" xr:uid="{00000000-0005-0000-0000-0000A7020000}"/>
    <cellStyle name="Normal 8 2 2 2 2 2 2" xfId="667" xr:uid="{00000000-0005-0000-0000-0000A8020000}"/>
    <cellStyle name="Normal 8 2 2 2 2 3" xfId="668" xr:uid="{00000000-0005-0000-0000-0000A9020000}"/>
    <cellStyle name="Normal 8 2 2 2 2 4" xfId="669" xr:uid="{00000000-0005-0000-0000-0000AA020000}"/>
    <cellStyle name="Normal 8 2 2 2 3" xfId="670" xr:uid="{00000000-0005-0000-0000-0000AB020000}"/>
    <cellStyle name="Normal 8 2 2 2 3 2" xfId="671" xr:uid="{00000000-0005-0000-0000-0000AC020000}"/>
    <cellStyle name="Normal 8 2 2 2 3 3" xfId="672" xr:uid="{00000000-0005-0000-0000-0000AD020000}"/>
    <cellStyle name="Normal 8 2 2 2 4" xfId="673" xr:uid="{00000000-0005-0000-0000-0000AE020000}"/>
    <cellStyle name="Normal 8 2 2 2 5" xfId="674" xr:uid="{00000000-0005-0000-0000-0000AF020000}"/>
    <cellStyle name="Normal 8 2 2 3" xfId="675" xr:uid="{00000000-0005-0000-0000-0000B0020000}"/>
    <cellStyle name="Normal 8 2 2 3 2" xfId="676" xr:uid="{00000000-0005-0000-0000-0000B1020000}"/>
    <cellStyle name="Normal 8 2 2 3 2 2" xfId="677" xr:uid="{00000000-0005-0000-0000-0000B2020000}"/>
    <cellStyle name="Normal 8 2 2 3 3" xfId="678" xr:uid="{00000000-0005-0000-0000-0000B3020000}"/>
    <cellStyle name="Normal 8 2 2 3 4" xfId="679" xr:uid="{00000000-0005-0000-0000-0000B4020000}"/>
    <cellStyle name="Normal 8 2 2 4" xfId="680" xr:uid="{00000000-0005-0000-0000-0000B5020000}"/>
    <cellStyle name="Normal 8 2 2 4 2" xfId="681" xr:uid="{00000000-0005-0000-0000-0000B6020000}"/>
    <cellStyle name="Normal 8 2 2 4 3" xfId="682" xr:uid="{00000000-0005-0000-0000-0000B7020000}"/>
    <cellStyle name="Normal 8 2 2 5" xfId="683" xr:uid="{00000000-0005-0000-0000-0000B8020000}"/>
    <cellStyle name="Normal 8 2 2 6" xfId="684" xr:uid="{00000000-0005-0000-0000-0000B9020000}"/>
    <cellStyle name="Normal 8 2 3" xfId="685" xr:uid="{00000000-0005-0000-0000-0000BA020000}"/>
    <cellStyle name="Normal 8 2 3 2" xfId="686" xr:uid="{00000000-0005-0000-0000-0000BB020000}"/>
    <cellStyle name="Normal 8 2 3 2 2" xfId="687" xr:uid="{00000000-0005-0000-0000-0000BC020000}"/>
    <cellStyle name="Normal 8 2 3 2 2 2" xfId="688" xr:uid="{00000000-0005-0000-0000-0000BD020000}"/>
    <cellStyle name="Normal 8 2 3 2 3" xfId="689" xr:uid="{00000000-0005-0000-0000-0000BE020000}"/>
    <cellStyle name="Normal 8 2 3 2 4" xfId="690" xr:uid="{00000000-0005-0000-0000-0000BF020000}"/>
    <cellStyle name="Normal 8 2 3 3" xfId="691" xr:uid="{00000000-0005-0000-0000-0000C0020000}"/>
    <cellStyle name="Normal 8 2 3 3 2" xfId="692" xr:uid="{00000000-0005-0000-0000-0000C1020000}"/>
    <cellStyle name="Normal 8 2 3 3 3" xfId="693" xr:uid="{00000000-0005-0000-0000-0000C2020000}"/>
    <cellStyle name="Normal 8 2 3 4" xfId="694" xr:uid="{00000000-0005-0000-0000-0000C3020000}"/>
    <cellStyle name="Normal 8 2 3 5" xfId="695" xr:uid="{00000000-0005-0000-0000-0000C4020000}"/>
    <cellStyle name="Normal 8 2 4" xfId="696" xr:uid="{00000000-0005-0000-0000-0000C5020000}"/>
    <cellStyle name="Normal 8 2 4 2" xfId="697" xr:uid="{00000000-0005-0000-0000-0000C6020000}"/>
    <cellStyle name="Normal 8 2 4 2 2" xfId="698" xr:uid="{00000000-0005-0000-0000-0000C7020000}"/>
    <cellStyle name="Normal 8 2 4 3" xfId="699" xr:uid="{00000000-0005-0000-0000-0000C8020000}"/>
    <cellStyle name="Normal 8 2 4 4" xfId="700" xr:uid="{00000000-0005-0000-0000-0000C9020000}"/>
    <cellStyle name="Normal 8 2 5" xfId="701" xr:uid="{00000000-0005-0000-0000-0000CA020000}"/>
    <cellStyle name="Normal 8 2 5 2" xfId="702" xr:uid="{00000000-0005-0000-0000-0000CB020000}"/>
    <cellStyle name="Normal 8 2 5 3" xfId="703" xr:uid="{00000000-0005-0000-0000-0000CC020000}"/>
    <cellStyle name="Normal 8 2 6" xfId="704" xr:uid="{00000000-0005-0000-0000-0000CD020000}"/>
    <cellStyle name="Normal 8 2 7" xfId="705" xr:uid="{00000000-0005-0000-0000-0000CE020000}"/>
    <cellStyle name="Normal 8 3" xfId="706" xr:uid="{00000000-0005-0000-0000-0000CF020000}"/>
    <cellStyle name="Normal 8 3 2" xfId="707" xr:uid="{00000000-0005-0000-0000-0000D0020000}"/>
    <cellStyle name="Normal 8 3 2 2" xfId="708" xr:uid="{00000000-0005-0000-0000-0000D1020000}"/>
    <cellStyle name="Normal 8 3 2 2 2" xfId="709" xr:uid="{00000000-0005-0000-0000-0000D2020000}"/>
    <cellStyle name="Normal 8 3 2 2 2 2" xfId="710" xr:uid="{00000000-0005-0000-0000-0000D3020000}"/>
    <cellStyle name="Normal 8 3 2 2 3" xfId="711" xr:uid="{00000000-0005-0000-0000-0000D4020000}"/>
    <cellStyle name="Normal 8 3 2 2 4" xfId="712" xr:uid="{00000000-0005-0000-0000-0000D5020000}"/>
    <cellStyle name="Normal 8 3 2 3" xfId="713" xr:uid="{00000000-0005-0000-0000-0000D6020000}"/>
    <cellStyle name="Normal 8 3 2 3 2" xfId="714" xr:uid="{00000000-0005-0000-0000-0000D7020000}"/>
    <cellStyle name="Normal 8 3 2 3 3" xfId="715" xr:uid="{00000000-0005-0000-0000-0000D8020000}"/>
    <cellStyle name="Normal 8 3 2 4" xfId="716" xr:uid="{00000000-0005-0000-0000-0000D9020000}"/>
    <cellStyle name="Normal 8 3 2 5" xfId="717" xr:uid="{00000000-0005-0000-0000-0000DA020000}"/>
    <cellStyle name="Normal 8 3 3" xfId="718" xr:uid="{00000000-0005-0000-0000-0000DB020000}"/>
    <cellStyle name="Normal 8 3 3 2" xfId="719" xr:uid="{00000000-0005-0000-0000-0000DC020000}"/>
    <cellStyle name="Normal 8 3 3 2 2" xfId="720" xr:uid="{00000000-0005-0000-0000-0000DD020000}"/>
    <cellStyle name="Normal 8 3 3 3" xfId="721" xr:uid="{00000000-0005-0000-0000-0000DE020000}"/>
    <cellStyle name="Normal 8 3 3 4" xfId="722" xr:uid="{00000000-0005-0000-0000-0000DF020000}"/>
    <cellStyle name="Normal 8 3 4" xfId="723" xr:uid="{00000000-0005-0000-0000-0000E0020000}"/>
    <cellStyle name="Normal 8 3 4 2" xfId="724" xr:uid="{00000000-0005-0000-0000-0000E1020000}"/>
    <cellStyle name="Normal 8 3 4 3" xfId="725" xr:uid="{00000000-0005-0000-0000-0000E2020000}"/>
    <cellStyle name="Normal 8 3 5" xfId="726" xr:uid="{00000000-0005-0000-0000-0000E3020000}"/>
    <cellStyle name="Normal 8 3 6" xfId="727" xr:uid="{00000000-0005-0000-0000-0000E4020000}"/>
    <cellStyle name="Normal 8 4" xfId="728" xr:uid="{00000000-0005-0000-0000-0000E5020000}"/>
    <cellStyle name="Normal 8 4 2" xfId="729" xr:uid="{00000000-0005-0000-0000-0000E6020000}"/>
    <cellStyle name="Normal 8 4 2 2" xfId="730" xr:uid="{00000000-0005-0000-0000-0000E7020000}"/>
    <cellStyle name="Normal 8 4 2 2 2" xfId="731" xr:uid="{00000000-0005-0000-0000-0000E8020000}"/>
    <cellStyle name="Normal 8 4 2 3" xfId="732" xr:uid="{00000000-0005-0000-0000-0000E9020000}"/>
    <cellStyle name="Normal 8 4 2 4" xfId="733" xr:uid="{00000000-0005-0000-0000-0000EA020000}"/>
    <cellStyle name="Normal 8 4 3" xfId="734" xr:uid="{00000000-0005-0000-0000-0000EB020000}"/>
    <cellStyle name="Normal 8 4 3 2" xfId="735" xr:uid="{00000000-0005-0000-0000-0000EC020000}"/>
    <cellStyle name="Normal 8 4 3 3" xfId="736" xr:uid="{00000000-0005-0000-0000-0000ED020000}"/>
    <cellStyle name="Normal 8 4 4" xfId="737" xr:uid="{00000000-0005-0000-0000-0000EE020000}"/>
    <cellStyle name="Normal 8 4 5" xfId="738" xr:uid="{00000000-0005-0000-0000-0000EF020000}"/>
    <cellStyle name="Normal 8 5" xfId="739" xr:uid="{00000000-0005-0000-0000-0000F0020000}"/>
    <cellStyle name="Normal 8 5 2" xfId="740" xr:uid="{00000000-0005-0000-0000-0000F1020000}"/>
    <cellStyle name="Normal 8 5 2 2" xfId="741" xr:uid="{00000000-0005-0000-0000-0000F2020000}"/>
    <cellStyle name="Normal 8 5 3" xfId="742" xr:uid="{00000000-0005-0000-0000-0000F3020000}"/>
    <cellStyle name="Normal 8 5 4" xfId="743" xr:uid="{00000000-0005-0000-0000-0000F4020000}"/>
    <cellStyle name="Normal 8 6" xfId="744" xr:uid="{00000000-0005-0000-0000-0000F5020000}"/>
    <cellStyle name="Normal 8 6 2" xfId="745" xr:uid="{00000000-0005-0000-0000-0000F6020000}"/>
    <cellStyle name="Normal 8 6 3" xfId="746" xr:uid="{00000000-0005-0000-0000-0000F7020000}"/>
    <cellStyle name="Normal 8 7" xfId="747" xr:uid="{00000000-0005-0000-0000-0000F8020000}"/>
    <cellStyle name="Normal 8 8" xfId="748" xr:uid="{00000000-0005-0000-0000-0000F9020000}"/>
    <cellStyle name="Normal 9" xfId="749" xr:uid="{00000000-0005-0000-0000-0000FA020000}"/>
    <cellStyle name="Normal 9 2" xfId="750" xr:uid="{00000000-0005-0000-0000-0000FB020000}"/>
    <cellStyle name="Note 2" xfId="751" xr:uid="{00000000-0005-0000-0000-0000FC020000}"/>
    <cellStyle name="Note 3" xfId="752" xr:uid="{00000000-0005-0000-0000-0000FD020000}"/>
    <cellStyle name="Note 4" xfId="753" xr:uid="{00000000-0005-0000-0000-0000FE020000}"/>
    <cellStyle name="Note 5" xfId="754" xr:uid="{00000000-0005-0000-0000-0000FF020000}"/>
    <cellStyle name="Note 6" xfId="755" xr:uid="{00000000-0005-0000-0000-000000030000}"/>
    <cellStyle name="Output 2" xfId="756" xr:uid="{00000000-0005-0000-0000-000001030000}"/>
    <cellStyle name="Output 3" xfId="757" xr:uid="{00000000-0005-0000-0000-000002030000}"/>
    <cellStyle name="Output 4" xfId="758" xr:uid="{00000000-0005-0000-0000-000003030000}"/>
    <cellStyle name="Output 5" xfId="759" xr:uid="{00000000-0005-0000-0000-000004030000}"/>
    <cellStyle name="Output 6" xfId="760" xr:uid="{00000000-0005-0000-0000-000005030000}"/>
    <cellStyle name="per.style" xfId="761" xr:uid="{00000000-0005-0000-0000-000006030000}"/>
    <cellStyle name="Percent [2]" xfId="762" xr:uid="{00000000-0005-0000-0000-000007030000}"/>
    <cellStyle name="Percent 2" xfId="763" xr:uid="{00000000-0005-0000-0000-000008030000}"/>
    <cellStyle name="Percent 3" xfId="764" xr:uid="{00000000-0005-0000-0000-000009030000}"/>
    <cellStyle name="Percent 4" xfId="765" xr:uid="{00000000-0005-0000-0000-00000A030000}"/>
    <cellStyle name="Percent 5" xfId="766" xr:uid="{00000000-0005-0000-0000-00000B030000}"/>
    <cellStyle name="Percent 6" xfId="767" xr:uid="{00000000-0005-0000-0000-00000C030000}"/>
    <cellStyle name="Percent 7" xfId="768" xr:uid="{00000000-0005-0000-0000-00000D030000}"/>
    <cellStyle name="Percent 7 2" xfId="769" xr:uid="{00000000-0005-0000-0000-00000E030000}"/>
    <cellStyle name="Percent 7 3" xfId="770" xr:uid="{00000000-0005-0000-0000-00000F030000}"/>
    <cellStyle name="Percent 8" xfId="771" xr:uid="{00000000-0005-0000-0000-000010030000}"/>
    <cellStyle name="Porcentaje 2" xfId="7" xr:uid="{00000000-0005-0000-0000-000011030000}"/>
    <cellStyle name="Porcentaje 2 2" xfId="823" xr:uid="{C55DF405-E4FE-4EAC-886A-0E66EA19E30E}"/>
    <cellStyle name="Porcentual 2" xfId="8" xr:uid="{00000000-0005-0000-0000-000012030000}"/>
    <cellStyle name="Porcentual 3" xfId="813" xr:uid="{166498B6-D688-4B0B-A103-BE70576D547A}"/>
    <cellStyle name="PSChar" xfId="772" xr:uid="{00000000-0005-0000-0000-000013030000}"/>
    <cellStyle name="PSHeading" xfId="773" xr:uid="{00000000-0005-0000-0000-000014030000}"/>
    <cellStyle name="regstoresfromspecstores" xfId="774" xr:uid="{00000000-0005-0000-0000-000015030000}"/>
    <cellStyle name="RevList" xfId="775" xr:uid="{00000000-0005-0000-0000-000016030000}"/>
    <cellStyle name="SHADEDSTORES" xfId="776" xr:uid="{00000000-0005-0000-0000-000017030000}"/>
    <cellStyle name="specstores" xfId="777" xr:uid="{00000000-0005-0000-0000-000018030000}"/>
    <cellStyle name="Standard_NEGS" xfId="778" xr:uid="{00000000-0005-0000-0000-000019030000}"/>
    <cellStyle name="Subtotal" xfId="779" xr:uid="{00000000-0005-0000-0000-00001A030000}"/>
    <cellStyle name="Title 2" xfId="780" xr:uid="{00000000-0005-0000-0000-00001B030000}"/>
    <cellStyle name="Title 3" xfId="781" xr:uid="{00000000-0005-0000-0000-00001C030000}"/>
    <cellStyle name="Title 4" xfId="782" xr:uid="{00000000-0005-0000-0000-00001D030000}"/>
    <cellStyle name="Title 5" xfId="783" xr:uid="{00000000-0005-0000-0000-00001E030000}"/>
    <cellStyle name="Title 6" xfId="784" xr:uid="{00000000-0005-0000-0000-00001F030000}"/>
    <cellStyle name="Titulo" xfId="785" xr:uid="{00000000-0005-0000-0000-000020030000}"/>
    <cellStyle name="Total 2" xfId="786" xr:uid="{00000000-0005-0000-0000-000021030000}"/>
    <cellStyle name="Total 3" xfId="787" xr:uid="{00000000-0005-0000-0000-000022030000}"/>
    <cellStyle name="Total 4" xfId="788" xr:uid="{00000000-0005-0000-0000-000023030000}"/>
    <cellStyle name="Total 5" xfId="789" xr:uid="{00000000-0005-0000-0000-000024030000}"/>
    <cellStyle name="Total 6" xfId="790" xr:uid="{00000000-0005-0000-0000-000025030000}"/>
    <cellStyle name="Total 7" xfId="791" xr:uid="{00000000-0005-0000-0000-000026030000}"/>
    <cellStyle name="Warning Text 2" xfId="792" xr:uid="{00000000-0005-0000-0000-000027030000}"/>
    <cellStyle name="Warning Text 3" xfId="793" xr:uid="{00000000-0005-0000-0000-000028030000}"/>
    <cellStyle name="Warning Text 4" xfId="794" xr:uid="{00000000-0005-0000-0000-000029030000}"/>
    <cellStyle name="Warning Text 5" xfId="795" xr:uid="{00000000-0005-0000-0000-00002A030000}"/>
    <cellStyle name="Warning Text 6" xfId="796" xr:uid="{00000000-0005-0000-0000-00002B030000}"/>
  </cellStyles>
  <dxfs count="99">
    <dxf>
      <font>
        <b val="0"/>
        <i val="0"/>
        <strike val="0"/>
        <condense val="0"/>
        <extend val="0"/>
        <outline val="0"/>
        <shadow val="0"/>
        <u val="none"/>
        <vertAlign val="baseline"/>
        <sz val="9"/>
        <color theme="1"/>
        <name val="Arial Narrow"/>
        <family val="2"/>
        <scheme val="none"/>
      </font>
    </dxf>
    <dxf>
      <font>
        <b val="0"/>
        <i val="0"/>
        <strike val="0"/>
        <condense val="0"/>
        <extend val="0"/>
        <outline val="0"/>
        <shadow val="0"/>
        <u val="none"/>
        <vertAlign val="baseline"/>
        <sz val="9"/>
        <color theme="1"/>
        <name val="Arial Narrow"/>
        <family val="2"/>
        <scheme val="none"/>
      </font>
    </dxf>
    <dxf>
      <font>
        <b val="0"/>
        <i val="0"/>
        <strike val="0"/>
        <condense val="0"/>
        <extend val="0"/>
        <outline val="0"/>
        <shadow val="0"/>
        <u val="none"/>
        <vertAlign val="baseline"/>
        <sz val="9"/>
        <color theme="1"/>
        <name val="Arial Narrow"/>
        <family val="2"/>
        <scheme val="none"/>
      </font>
    </dxf>
    <dxf>
      <font>
        <b val="0"/>
        <i val="0"/>
        <strike val="0"/>
        <condense val="0"/>
        <extend val="0"/>
        <outline val="0"/>
        <shadow val="0"/>
        <u val="none"/>
        <vertAlign val="baseline"/>
        <sz val="9"/>
        <color theme="1"/>
        <name val="Arial Narrow"/>
        <family val="2"/>
        <scheme val="none"/>
      </font>
      <numFmt numFmtId="164" formatCode="_-[$$-80A]* #,##0.00_-;\-[$$-80A]* #,##0.00_-;_-[$$-80A]* &quot;-&quot;??_-;_-@_-"/>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numFmt numFmtId="164" formatCode="_-[$$-80A]* #,##0.00_-;\-[$$-80A]* #,##0.00_-;_-[$$-80A]* &quot;-&quot;??_-;_-@_-"/>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dxf>
    <dxf>
      <font>
        <b val="0"/>
        <i val="0"/>
        <strike val="0"/>
        <condense val="0"/>
        <extend val="0"/>
        <outline val="0"/>
        <shadow val="0"/>
        <u val="none"/>
        <vertAlign val="baseline"/>
        <sz val="9"/>
        <color theme="1"/>
        <name val="Arial Narrow"/>
        <family val="2"/>
        <scheme val="none"/>
      </font>
    </dxf>
    <dxf>
      <font>
        <b/>
        <i val="0"/>
        <strike val="0"/>
        <condense val="0"/>
        <extend val="0"/>
        <outline val="0"/>
        <shadow val="0"/>
        <u val="none"/>
        <vertAlign val="baseline"/>
        <sz val="9"/>
        <color rgb="FF000000"/>
        <name val="Arial Narrow"/>
        <family val="2"/>
        <scheme val="none"/>
      </font>
      <numFmt numFmtId="0" formatCode="General"/>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dxf>
    <dxf>
      <font>
        <b val="0"/>
        <i val="0"/>
        <strike val="0"/>
        <condense val="0"/>
        <extend val="0"/>
        <outline val="0"/>
        <shadow val="0"/>
        <u val="none"/>
        <vertAlign val="baseline"/>
        <sz val="9"/>
        <color theme="1"/>
        <name val="Arial Narrow"/>
        <family val="2"/>
        <scheme val="none"/>
      </font>
      <fill>
        <patternFill patternType="none">
          <fgColor indexed="64"/>
          <bgColor auto="1"/>
        </patternFill>
      </fill>
    </dxf>
    <dxf>
      <font>
        <b val="0"/>
        <i val="0"/>
        <strike val="0"/>
        <condense val="0"/>
        <extend val="0"/>
        <outline val="0"/>
        <shadow val="0"/>
        <u val="none"/>
        <vertAlign val="baseline"/>
        <sz val="9"/>
        <color theme="1"/>
        <name val="Arial Narrow"/>
        <family val="2"/>
        <scheme val="none"/>
      </font>
      <fill>
        <patternFill patternType="none">
          <fgColor indexed="64"/>
          <bgColor auto="1"/>
        </patternFill>
      </fill>
    </dxf>
    <dxf>
      <font>
        <b val="0"/>
        <i val="0"/>
        <strike val="0"/>
        <condense val="0"/>
        <extend val="0"/>
        <outline val="0"/>
        <shadow val="0"/>
        <u val="none"/>
        <vertAlign val="baseline"/>
        <sz val="9"/>
        <color theme="1"/>
        <name val="Arial Narrow"/>
        <family val="2"/>
        <scheme val="none"/>
      </font>
      <numFmt numFmtId="164" formatCode="_-[$$-80A]* #,##0.00_-;\-[$$-80A]* #,##0.00_-;_-[$$-80A]* &quot;-&quot;??_-;_-@_-"/>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numFmt numFmtId="164" formatCode="_-[$$-80A]* #,##0.00_-;\-[$$-80A]* #,##0.00_-;_-[$$-80A]* &quot;-&quot;??_-;_-@_-"/>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rgb="FF000000"/>
        <name val="Arial Narrow"/>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rgb="FF000000"/>
        <name val="Arial Narrow"/>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rgb="FF000000"/>
        <name val="Arial Narrow"/>
        <family val="2"/>
        <scheme val="none"/>
      </font>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rgb="FF000000"/>
        <name val="Arial Narrow"/>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dxf>
    <dxf>
      <font>
        <b val="0"/>
        <i val="0"/>
        <strike val="0"/>
        <condense val="0"/>
        <extend val="0"/>
        <outline val="0"/>
        <shadow val="0"/>
        <u val="none"/>
        <vertAlign val="baseline"/>
        <sz val="9"/>
        <color theme="1"/>
        <name val="Arial Narrow"/>
        <family val="2"/>
        <scheme val="none"/>
      </font>
      <numFmt numFmtId="0" formatCode="General"/>
      <fill>
        <patternFill patternType="none">
          <fgColor indexed="64"/>
          <bgColor auto="1"/>
        </patternFill>
      </fill>
    </dxf>
    <dxf>
      <font>
        <b/>
        <i val="0"/>
        <strike val="0"/>
        <condense val="0"/>
        <extend val="0"/>
        <outline val="0"/>
        <shadow val="0"/>
        <u val="none"/>
        <vertAlign val="baseline"/>
        <sz val="9"/>
        <color rgb="FF000000"/>
        <name val="Arial Narrow"/>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164" formatCode="_-[$$-80A]* #,##0.00_-;\-[$$-80A]* #,##0.00_-;_-[$$-80A]* &quot;-&quot;??_-;_-@_-"/>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numFmt numFmtId="164" formatCode="_-[$$-80A]* #,##0.00_-;\-[$$-80A]* #,##0.00_-;_-[$$-80A]* &quot;-&quot;??_-;_-@_-"/>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numFmt numFmtId="164" formatCode="_-[$$-80A]* #,##0.00_-;\-[$$-80A]* #,##0.00_-;_-[$$-80A]* &quot;-&quot;??_-;_-@_-"/>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164" formatCode="_-[$$-80A]* #,##0.00_-;\-[$$-80A]* #,##0.00_-;_-[$$-80A]* &quot;-&quot;??_-;_-@_-"/>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numFmt numFmtId="30" formatCode="@"/>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0" formatCode="General"/>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9"/>
        <color rgb="FF000000"/>
        <name val="Arial Narrow"/>
        <family val="2"/>
        <scheme val="none"/>
      </font>
      <numFmt numFmtId="0" formatCode="General"/>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justify"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justify" vertical="center" textRotation="0" wrapText="0" indent="0" justifyLastLine="0" shrinkToFit="0" readingOrder="0"/>
    </dxf>
    <dxf>
      <font>
        <b/>
        <i val="0"/>
        <strike val="0"/>
        <condense val="0"/>
        <extend val="0"/>
        <outline val="0"/>
        <shadow val="0"/>
        <u val="none"/>
        <vertAlign val="baseline"/>
        <sz val="9"/>
        <color rgb="FF000000"/>
        <name val="Arial Narrow"/>
        <family val="2"/>
        <scheme val="none"/>
      </font>
      <fill>
        <patternFill patternType="none">
          <fgColor indexed="64"/>
          <bgColor indexed="65"/>
        </patternFill>
      </fill>
      <alignment horizontal="justify"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164" formatCode="_-[$$-80A]* #,##0.00_-;\-[$$-80A]* #,##0.00_-;_-[$$-80A]* &quot;-&quot;??_-;_-@_-"/>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numFmt numFmtId="164" formatCode="_-[$$-80A]* #,##0.00_-;\-[$$-80A]* #,##0.00_-;_-[$$-80A]* &quot;-&quot;??_-;_-@_-"/>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numFmt numFmtId="164" formatCode="_-[$$-80A]* #,##0.00_-;\-[$$-80A]* #,##0.00_-;_-[$$-80A]* &quot;-&quot;??_-;_-@_-"/>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numFmt numFmtId="164" formatCode="_-[$$-80A]* #,##0.00_-;\-[$$-80A]* #,##0.00_-;_-[$$-80A]* &quot;-&quot;??_-;_-@_-"/>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rgb="FF000000"/>
        <name val="Arial Narrow"/>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rgb="FF000000"/>
        <name val="Arial Narrow"/>
        <family val="2"/>
        <scheme val="none"/>
      </font>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rgb="FF000000"/>
        <name val="Arial Narrow"/>
        <family val="2"/>
        <scheme val="none"/>
      </font>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justify" vertical="center"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0" formatCode="General"/>
      <fill>
        <patternFill patternType="none">
          <fgColor indexed="64"/>
          <bgColor auto="1"/>
        </patternFill>
      </fill>
      <alignment horizontal="justify" vertical="center" textRotation="0" wrapText="0" indent="0" justifyLastLine="0" shrinkToFit="0" readingOrder="0"/>
    </dxf>
    <dxf>
      <font>
        <b/>
        <i val="0"/>
        <strike val="0"/>
        <condense val="0"/>
        <extend val="0"/>
        <outline val="0"/>
        <shadow val="0"/>
        <u val="none"/>
        <vertAlign val="baseline"/>
        <sz val="9"/>
        <color rgb="FF000000"/>
        <name val="Arial Narrow"/>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justify" vertical="top"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164" formatCode="_-[$$-80A]* #,##0.00_-;\-[$$-80A]* #,##0.00_-;_-[$$-80A]* &quot;-&quot;??_-;_-@_-"/>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justify" vertical="top" textRotation="0" wrapText="0" indent="0" justifyLastLine="0" shrinkToFit="0" readingOrder="0"/>
    </dxf>
    <dxf>
      <font>
        <b val="0"/>
        <i val="0"/>
        <strike val="0"/>
        <condense val="0"/>
        <extend val="0"/>
        <outline val="0"/>
        <shadow val="0"/>
        <u val="none"/>
        <vertAlign val="baseline"/>
        <sz val="9"/>
        <color theme="1"/>
        <name val="Arial Narrow"/>
        <family val="2"/>
        <scheme val="none"/>
      </font>
      <numFmt numFmtId="164" formatCode="_-[$$-80A]* #,##0.00_-;\-[$$-80A]* #,##0.00_-;_-[$$-80A]* &quot;-&quot;??_-;_-@_-"/>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numFmt numFmtId="164" formatCode="_-[$$-80A]* #,##0.00_-;\-[$$-80A]* #,##0.00_-;_-[$$-80A]* &quot;-&quot;??_-;_-@_-"/>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numFmt numFmtId="164" formatCode="_-[$$-80A]* #,##0.00_-;\-[$$-80A]* #,##0.00_-;_-[$$-80A]* &quot;-&quot;??_-;_-@_-"/>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numFmt numFmtId="164" formatCode="_-[$$-80A]* #,##0.00_-;\-[$$-80A]* #,##0.00_-;_-[$$-80A]* &quot;-&quot;??_-;_-@_-"/>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justify"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justify" vertical="top" textRotation="0" wrapText="0"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auto="1"/>
        </patternFill>
      </fill>
      <alignment horizontal="justify" vertical="top"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9"/>
        <color rgb="FF000000"/>
        <name val="Arial Narrow"/>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rial Narrow"/>
        <family val="2"/>
        <scheme val="none"/>
      </font>
      <alignment horizontal="left" vertical="bottom" textRotation="0" indent="0" justifyLastLine="0" shrinkToFit="0" readingOrder="0"/>
    </dxf>
    <dxf>
      <font>
        <b val="0"/>
        <i val="0"/>
        <strike val="0"/>
        <condense val="0"/>
        <extend val="0"/>
        <outline val="0"/>
        <shadow val="0"/>
        <u val="none"/>
        <vertAlign val="baseline"/>
        <sz val="9"/>
        <color theme="1"/>
        <name val="Arial Narrow"/>
        <family val="2"/>
        <scheme val="none"/>
      </font>
      <alignment horizontal="left" vertical="bottom" textRotation="0" indent="0" justifyLastLine="0" shrinkToFit="0" readingOrder="0"/>
    </dxf>
    <dxf>
      <font>
        <b val="0"/>
        <i val="0"/>
        <strike val="0"/>
        <condense val="0"/>
        <extend val="0"/>
        <outline val="0"/>
        <shadow val="0"/>
        <u val="none"/>
        <vertAlign val="baseline"/>
        <sz val="9"/>
        <color theme="1"/>
        <name val="Arial Narrow"/>
        <family val="2"/>
        <scheme val="none"/>
      </font>
      <alignment horizontal="left" vertical="bottom" textRotation="0"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9"/>
        <color auto="1"/>
        <name val="Arial Narrow"/>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9"/>
        <color auto="1"/>
        <name val="Arial Narrow"/>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9"/>
        <color auto="1"/>
        <name val="Arial Narrow"/>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9"/>
        <color auto="1"/>
        <name val="Arial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auto="1"/>
        <name val="Arial Narrow"/>
        <family val="2"/>
        <scheme val="none"/>
      </font>
      <alignment horizontal="left"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5" formatCode="0.000"/>
      <alignment horizontal="left" vertical="bottom" textRotation="0" wrapText="0" indent="0" justifyLastLine="0" shrinkToFit="0" readingOrder="0"/>
    </dxf>
    <dxf>
      <font>
        <b/>
        <i val="0"/>
        <strike val="0"/>
        <condense val="0"/>
        <extend val="0"/>
        <outline val="0"/>
        <shadow val="0"/>
        <u val="none"/>
        <vertAlign val="baseline"/>
        <sz val="8"/>
        <color rgb="FF0000FF"/>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9"/>
        <color theme="1"/>
        <name val="Arial Narrow"/>
        <family val="2"/>
        <scheme val="none"/>
      </font>
      <alignment horizontal="left" vertical="bottom" textRotation="0" indent="0" justifyLastLine="0" shrinkToFit="0" readingOrder="0"/>
    </dxf>
    <dxf>
      <font>
        <b/>
        <i val="0"/>
        <strike val="0"/>
        <condense val="0"/>
        <extend val="0"/>
        <outline val="0"/>
        <shadow val="0"/>
        <u val="none"/>
        <vertAlign val="baseline"/>
        <sz val="9"/>
        <color rgb="FF000000"/>
        <name val="Arial Narrow"/>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rial Narrow"/>
        <family val="2"/>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theme="1"/>
        <name val="Arial Narrow"/>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Narrow"/>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Narrow"/>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Arial Narrow"/>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Narrow"/>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Narrow"/>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Narrow"/>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Narrow"/>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Narrow"/>
        <family val="2"/>
        <scheme val="none"/>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Narrow"/>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Narrow"/>
        <family val="2"/>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left style="medium">
          <color indexed="64"/>
        </left>
        <right style="medium">
          <color indexed="64"/>
        </right>
        <bottom style="medium">
          <color indexed="64"/>
        </bottom>
      </border>
    </dxf>
    <dxf>
      <font>
        <b val="0"/>
        <i val="0"/>
        <strike val="0"/>
        <condense val="0"/>
        <extend val="0"/>
        <outline val="0"/>
        <shadow val="0"/>
        <u val="none"/>
        <vertAlign val="baseline"/>
        <sz val="9"/>
        <color theme="1"/>
        <name val="Arial Narrow"/>
        <family val="2"/>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9"/>
        <color rgb="FF000000"/>
        <name val="Arial Narrow"/>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CCFFFF"/>
      <color rgb="FFFFFFCC"/>
      <color rgb="FF66FFFF"/>
      <color rgb="FFCCFF99"/>
      <color rgb="FFFF9900"/>
      <color rgb="FFFF714F"/>
      <color rgb="FF66CCFF"/>
      <color rgb="FFFFFF99"/>
      <color rgb="FF99FF66"/>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9" Type="http://schemas.openxmlformats.org/officeDocument/2006/relationships/externalLink" Target="externalLinks/externalLink31.xml"/><Relationship Id="rId21" Type="http://schemas.openxmlformats.org/officeDocument/2006/relationships/externalLink" Target="externalLinks/externalLink13.xml"/><Relationship Id="rId34" Type="http://schemas.openxmlformats.org/officeDocument/2006/relationships/externalLink" Target="externalLinks/externalLink26.xml"/><Relationship Id="rId42" Type="http://schemas.openxmlformats.org/officeDocument/2006/relationships/theme" Target="theme/theme1.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8.xml"/><Relationship Id="rId29" Type="http://schemas.openxmlformats.org/officeDocument/2006/relationships/externalLink" Target="externalLinks/externalLink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externalLink" Target="externalLinks/externalLink24.xml"/><Relationship Id="rId37" Type="http://schemas.openxmlformats.org/officeDocument/2006/relationships/externalLink" Target="externalLinks/externalLink29.xml"/><Relationship Id="rId40" Type="http://schemas.openxmlformats.org/officeDocument/2006/relationships/externalLink" Target="externalLinks/externalLink32.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externalLink" Target="externalLinks/externalLink28.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externalLink" Target="externalLinks/externalLink23.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43" Type="http://schemas.openxmlformats.org/officeDocument/2006/relationships/connections" Target="connection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46" Type="http://schemas.openxmlformats.org/officeDocument/2006/relationships/calcChain" Target="calcChain.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90049</xdr:colOff>
      <xdr:row>0</xdr:row>
      <xdr:rowOff>0</xdr:rowOff>
    </xdr:from>
    <xdr:ext cx="1210322" cy="560597"/>
    <xdr:pic>
      <xdr:nvPicPr>
        <xdr:cNvPr id="2" name="Imagen 1">
          <a:extLst>
            <a:ext uri="{FF2B5EF4-FFF2-40B4-BE49-F238E27FC236}">
              <a16:creationId xmlns:a16="http://schemas.microsoft.com/office/drawing/2014/main" id="{DA163BC2-3A49-48B1-A9B1-C3BC77C272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0732" t="17323" r="10243" b="20473"/>
        <a:stretch>
          <a:fillRect/>
        </a:stretch>
      </xdr:blipFill>
      <xdr:spPr bwMode="auto">
        <a:xfrm>
          <a:off x="272266" y="0"/>
          <a:ext cx="1210322" cy="560597"/>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90049</xdr:colOff>
      <xdr:row>0</xdr:row>
      <xdr:rowOff>0</xdr:rowOff>
    </xdr:from>
    <xdr:ext cx="1210322" cy="560597"/>
    <xdr:pic>
      <xdr:nvPicPr>
        <xdr:cNvPr id="3" name="Imagen 2">
          <a:extLst>
            <a:ext uri="{FF2B5EF4-FFF2-40B4-BE49-F238E27FC236}">
              <a16:creationId xmlns:a16="http://schemas.microsoft.com/office/drawing/2014/main" id="{52507B62-4760-4770-8F71-6CB13922C1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0732" t="17323" r="10243" b="20473"/>
        <a:stretch>
          <a:fillRect/>
        </a:stretch>
      </xdr:blipFill>
      <xdr:spPr bwMode="auto">
        <a:xfrm>
          <a:off x="271024" y="0"/>
          <a:ext cx="1210322" cy="560597"/>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109099</xdr:colOff>
      <xdr:row>0</xdr:row>
      <xdr:rowOff>12700</xdr:rowOff>
    </xdr:from>
    <xdr:ext cx="1210322" cy="560597"/>
    <xdr:pic>
      <xdr:nvPicPr>
        <xdr:cNvPr id="2" name="Imagen 1">
          <a:extLst>
            <a:ext uri="{FF2B5EF4-FFF2-40B4-BE49-F238E27FC236}">
              <a16:creationId xmlns:a16="http://schemas.microsoft.com/office/drawing/2014/main" id="{25D40074-30C2-4A0C-87B8-DBBB39E893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0732" t="17323" r="10243" b="20473"/>
        <a:stretch>
          <a:fillRect/>
        </a:stretch>
      </xdr:blipFill>
      <xdr:spPr bwMode="auto">
        <a:xfrm>
          <a:off x="705999" y="12700"/>
          <a:ext cx="1210322" cy="560597"/>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90049</xdr:colOff>
      <xdr:row>0</xdr:row>
      <xdr:rowOff>0</xdr:rowOff>
    </xdr:from>
    <xdr:ext cx="1210322" cy="560597"/>
    <xdr:pic>
      <xdr:nvPicPr>
        <xdr:cNvPr id="3" name="Imagen 2">
          <a:extLst>
            <a:ext uri="{FF2B5EF4-FFF2-40B4-BE49-F238E27FC236}">
              <a16:creationId xmlns:a16="http://schemas.microsoft.com/office/drawing/2014/main" id="{7FFCD75F-981C-44C5-AF0C-D3C1B9EF08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0732" t="17323" r="10243" b="20473"/>
        <a:stretch>
          <a:fillRect/>
        </a:stretch>
      </xdr:blipFill>
      <xdr:spPr bwMode="auto">
        <a:xfrm>
          <a:off x="271024" y="0"/>
          <a:ext cx="1210322" cy="560597"/>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90049</xdr:colOff>
      <xdr:row>0</xdr:row>
      <xdr:rowOff>0</xdr:rowOff>
    </xdr:from>
    <xdr:ext cx="1210322" cy="560597"/>
    <xdr:pic>
      <xdr:nvPicPr>
        <xdr:cNvPr id="3" name="Imagen 2">
          <a:extLst>
            <a:ext uri="{FF2B5EF4-FFF2-40B4-BE49-F238E27FC236}">
              <a16:creationId xmlns:a16="http://schemas.microsoft.com/office/drawing/2014/main" id="{17B18E37-9A57-4322-B1AC-8CB4D618BB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0732" t="17323" r="10243" b="20473"/>
        <a:stretch>
          <a:fillRect/>
        </a:stretch>
      </xdr:blipFill>
      <xdr:spPr bwMode="auto">
        <a:xfrm>
          <a:off x="271024" y="0"/>
          <a:ext cx="1210322" cy="560597"/>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32899</xdr:colOff>
      <xdr:row>0</xdr:row>
      <xdr:rowOff>0</xdr:rowOff>
    </xdr:from>
    <xdr:ext cx="1210322" cy="560597"/>
    <xdr:pic>
      <xdr:nvPicPr>
        <xdr:cNvPr id="3" name="Imagen 2">
          <a:extLst>
            <a:ext uri="{FF2B5EF4-FFF2-40B4-BE49-F238E27FC236}">
              <a16:creationId xmlns:a16="http://schemas.microsoft.com/office/drawing/2014/main" id="{7ED693A0-0081-41F9-BD4F-2EA0E7D033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0732" t="17323" r="10243" b="20473"/>
        <a:stretch>
          <a:fillRect/>
        </a:stretch>
      </xdr:blipFill>
      <xdr:spPr bwMode="auto">
        <a:xfrm>
          <a:off x="166249" y="0"/>
          <a:ext cx="1210322" cy="560597"/>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32899</xdr:colOff>
      <xdr:row>0</xdr:row>
      <xdr:rowOff>0</xdr:rowOff>
    </xdr:from>
    <xdr:ext cx="1210322" cy="560597"/>
    <xdr:pic>
      <xdr:nvPicPr>
        <xdr:cNvPr id="4" name="Imagen 3">
          <a:extLst>
            <a:ext uri="{FF2B5EF4-FFF2-40B4-BE49-F238E27FC236}">
              <a16:creationId xmlns:a16="http://schemas.microsoft.com/office/drawing/2014/main" id="{5D311B79-7403-4C5C-A491-F58FDA82E7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0732" t="17323" r="10243" b="20473"/>
        <a:stretch>
          <a:fillRect/>
        </a:stretch>
      </xdr:blipFill>
      <xdr:spPr bwMode="auto">
        <a:xfrm>
          <a:off x="166249" y="0"/>
          <a:ext cx="1210322" cy="560597"/>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32899</xdr:colOff>
      <xdr:row>0</xdr:row>
      <xdr:rowOff>0</xdr:rowOff>
    </xdr:from>
    <xdr:ext cx="1210322" cy="560597"/>
    <xdr:pic>
      <xdr:nvPicPr>
        <xdr:cNvPr id="3" name="Imagen 2">
          <a:extLst>
            <a:ext uri="{FF2B5EF4-FFF2-40B4-BE49-F238E27FC236}">
              <a16:creationId xmlns:a16="http://schemas.microsoft.com/office/drawing/2014/main" id="{524B60F6-465F-4E44-B3BF-44B8A5398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0732" t="17323" r="10243" b="20473"/>
        <a:stretch>
          <a:fillRect/>
        </a:stretch>
      </xdr:blipFill>
      <xdr:spPr bwMode="auto">
        <a:xfrm>
          <a:off x="166249" y="0"/>
          <a:ext cx="1210322" cy="560597"/>
        </a:xfrm>
        <a:prstGeom prst="rect">
          <a:avLst/>
        </a:prstGeom>
        <a:noFill/>
        <a:ln>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tserver3villa\FINANCE\Dowell\P&amp;L\P&amp;L19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PREDIAL99\PREDmod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lb001-my.sharepoint.com/Documents%20and%20Settings/edy/Local%20Settings/Temp/Stat%20D%20CEU-04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mpresas%2001/IAO/IAOAUD01/Julio/EMPRESAS/IDT/IDTaud/IDTaud01/IDTZCONFI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ulio/EMPRESAS/IDT/IDTaud01/IDTZCONFI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nts%20and%20Settings/jsoto/Escritorio/AUDITOR&#205;AS%202002/ABRASIVOS%20ESPECIALES/Mis%20documentos/Del%20bosque/aud2000/cedfin00bbo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FORMACION/Lety/AUDITOR&#205;AS%202004/SERVIPROPULSA/LOMAS%20VERDES/PRUEBAS%20PROC%20LV.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OLGA%20MILAN%20RESPALDO\cheminova\Mis%20documentos\audimss02\Zurich\Vida\Integrados%20Vida.xls" TargetMode="External"/></Relationships>
</file>

<file path=xl/externalLinks/_rels/externalLink9.xml.rels><?xml version="1.0" encoding="UTF-8" standalone="yes"?>
<Relationships xmlns="http://schemas.openxmlformats.org/package/2006/relationships"><Relationship Id="rId2" Type="http://schemas.microsoft.com/office/2019/04/relationships/externalLinkLongPath" Target="/Cristian/empresas/empresas%202004/GRUPO%20AUTOFIN/IAO%20AUD%2004/PREVIA/Documents%20and%20Settings/Julio%20Soto/Escritorio/AUDITOR&#205;AS%202002/ABRASIVOS%20ESPECIALES/Mis%20documentos/Del%20bosque/aud2000/cedfin00bbos.xls?164CAA73" TargetMode="External"/><Relationship Id="rId1" Type="http://schemas.openxmlformats.org/officeDocument/2006/relationships/externalLinkPath" Target="file:///\\164CAA73\cedfin00bbo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vrprinter\auditor&#237;a%20interna\Documents%20and%20Settings\slbautista\Local%20Settings\Temporary%20Internet%20Files\OLK61\C&#233;dula%20de%20movimientos%20de%20activo%20fijo%20Resinas%2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UDBER-01/Mis%20documentos/Del%20bosque/aud2000/cedfin00bbo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MPRESAS%202002/cix%20aud%2001/CIX2001/LAL/IXAAUD2001L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Recupera\LOTUS2\AUDITORI\1996\AUDCAS96\LOTUS2\AUDITORI\1995\AUDBOT95\CTE03195\REPMES95\APORTA9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lb001-my.sharepoint.com/Documents/My%20Documents/VTT/2003/0503/VTT%20Revenue%20Model%20050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slb001-my.sharepoint.com/Documents/mail/Attachments/mail/Attachments/mail/attach/diposfolder/INVENTORY%20FOLDER/LAWSON%20FILES%20FOR%20USE/Lawson_chart%20of%20accounts_200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s%20documentos/Cresta%20Tacuba/gabriel/Mis%20documentos/Del%20bosque/aud2000/cedfin00bbo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cuments%20and%20Settings/Julio%20Soto/Escritorio/AUDITOR&#205;AS%202002/ABRASIVOS%20ESPECIALES/Julio/EMPRESAS/IDT/IDTaud/IDTaud01/IDTZCONFI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s%20documentos/Mis%20Documentos/EMPRESA%202001/EAN/FINAL%20DE%20EXCELENCIA/EAN/CREDITOS%20DIC%2001%20AVJ.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GBLLAF01\SYS\DATA\SHARED\ACCT\DAMONR\GI79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GBLLAF01\SYS\PATTYL\GI\GI99\GJE'S\GI69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RIKA%20BAZAN/EMPRESAS/2005/OTROS/TUBELITE/ARCHIVOS%20CIA/MARC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UDITOR&#205;AS%202003/IAOaud03/IAO2avisita03/IAOarchivosC&#237;a-03/Mis%20documentos/Del%20bosque/aud2000/cedfin00bbo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uditor&#237;as%202003/DSA%20CLUB/EXCELL/Empresas02/AAU/Aauvarios/previa/cedulas%20previa.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ECCTech_Nov_9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cuments%20and%20Settings/ARTURO%20%20%20ORTEGA/Mis%20documentos/Christian/Nueva%20carpeta/empresas%202006/GRUPO%20AUTOFIN/ORIENTE/1er%20Visita/Archivos%20AUD/IAO%20POR%20RUBRO/IAO%20PT06%20ACTIVO%20PRE-PRE.xl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Worksheet%20in%205111%20Revisi&#243;n%20Bancos%20al%2030%20sep%2009"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Worksheet%20in%20(C)%205630%20Integraci&#243;n%20saldos%20iniciales%20Resinas%20Sep%2007"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Worksheet%20in%208311%20Revisi&#243;n%20Gastos%20de%20Operaci&#243;n%202002"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Worksheet%20in%205610%20C&#233;dula%20de%20movimientos%20de%20activo%20fijo%202004"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Worksheet%20in%20(C)%205120%20C&#233;dula%20del%20resumen%20de%20cuentas%20bancarias%20y%20de%20inversi&#243;n%20Preliminar"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Worksheet%20in%20(C)%20%20%20Voucheo%20de%20gastos%20(Final)"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vrprinter\auditor&#237;a%20interna\Documents%20and%20Settings\Administrador\Mis%20documentos\Compa&#241;&#237;a%20Minera%20las%20Cuevas,%20S.A.%20de%20C.V\N&#243;minas\BERE\CN&#180;S.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Worksheet%20in%208310%20Gastos%20de%20Operaci&#243;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MX"/>
      <sheetName val="HPX"/>
      <sheetName val="FVX"/>
      <sheetName val="MCD"/>
      <sheetName val="XSO"/>
      <sheetName val="DMS-C"/>
      <sheetName val="OP REPORT"/>
      <sheetName val="REVENUE"/>
      <sheetName val="DMS_C"/>
      <sheetName val="COL 21169"/>
      <sheetName val="Parameters"/>
      <sheetName val="DropdownLists"/>
      <sheetName val="Assumptions"/>
      <sheetName val="Pipeline &amp; Revenue"/>
      <sheetName val="BHA"/>
      <sheetName val="DATOS"/>
      <sheetName val="Price book"/>
      <sheetName val="Reason"/>
      <sheetName val="Common Reason"/>
      <sheetName val="OP_REPORT"/>
      <sheetName val="COL_21169"/>
      <sheetName val="Pipeline_&amp;_Revenue"/>
      <sheetName val="Price_book"/>
      <sheetName val="Common_Reason"/>
      <sheetName val="Lists"/>
      <sheetName val="Dropdown"/>
      <sheetName val="OP_REPORT1"/>
      <sheetName val="COL_211691"/>
      <sheetName val="Pipeline_&amp;_Revenue1"/>
      <sheetName val="Price_book1"/>
      <sheetName val="Common_Reason1"/>
      <sheetName val="OP_REPORT2"/>
      <sheetName val="COL_211692"/>
      <sheetName val="Pipeline_&amp;_Revenue2"/>
      <sheetName val="Price_book2"/>
      <sheetName val="Common_Reason2"/>
      <sheetName val="OP_REPORT3"/>
      <sheetName val="COL_211693"/>
      <sheetName val="Pipeline_&amp;_Revenue3"/>
      <sheetName val="Price_book3"/>
      <sheetName val="Common_Reason3"/>
      <sheetName val="DATA Sheet"/>
      <sheetName val="DISCOUNTS"/>
      <sheetName val="Main"/>
      <sheetName val="CorpTax"/>
      <sheetName val="Input"/>
      <sheetName val="Dropdowns"/>
      <sheetName val="OP_REPORT4"/>
      <sheetName val="COL_211694"/>
      <sheetName val="Pipeline_&amp;_Revenue4"/>
      <sheetName val="Price_book4"/>
      <sheetName val="Common_Reason4"/>
      <sheetName val="DATA_Sheet"/>
      <sheetName val="Portfolio Template - Reference"/>
      <sheetName val="Lookups"/>
      <sheetName val="List"/>
      <sheetName val="Input Data"/>
      <sheetName val="Meta-Data"/>
      <sheetName val="Sheet2"/>
      <sheetName val="working sheet(actual)"/>
      <sheetName val="BALAM-47"/>
      <sheetName val="lookup"/>
      <sheetName val="Price schedule"/>
      <sheetName val="General Information"/>
      <sheetName val="Refernce Table"/>
      <sheetName val="LDF E1 b"/>
      <sheetName val="Pozos"/>
      <sheetName val="Sheet1"/>
      <sheetName val="SCOPE"/>
      <sheetName val=" DROPDOWN SUMM"/>
      <sheetName val="Drop list"/>
      <sheetName val="5 PnL "/>
      <sheetName val="Q2 Revenue Tracker"/>
      <sheetName val="June Fcst"/>
      <sheetName val="May Fcst"/>
      <sheetName val="April Fcst"/>
      <sheetName val="April IDS Timing"/>
      <sheetName val="Mar Fcst "/>
      <sheetName val="Q1 Revenue Tracker  "/>
      <sheetName val="Q1vQ4 Summary"/>
      <sheetName val="IPS Discount"/>
      <sheetName val="Q4 Revenue Tracker"/>
      <sheetName val="LSTK Conventional March 17 LSTK"/>
      <sheetName val="Summary-Project &amp; Segment (2)"/>
      <sheetName val="IDS Q4 ROFO Summary"/>
      <sheetName val="IDS Timing"/>
      <sheetName val="KHRS"/>
      <sheetName val="Summary-Project &amp; Segment"/>
      <sheetName val="Feb Act"/>
      <sheetName val="D&amp;M Mar 2017 - 16th March"/>
      <sheetName val="LSTK Conventional"/>
      <sheetName val="CTD Details"/>
      <sheetName val="OP_REPORT5"/>
      <sheetName val="COL_211695"/>
      <sheetName val="Pipeline_&amp;_Revenue5"/>
      <sheetName val="Price_book5"/>
      <sheetName val="Common_Reason5"/>
      <sheetName val="DATA_Sheet1"/>
      <sheetName val="Portfolio_Template_-_Reference"/>
      <sheetName val="Input_Data"/>
      <sheetName val="working_sheet(actual)"/>
      <sheetName val="Refernce_Table"/>
      <sheetName val="Price_schedule"/>
      <sheetName val="General_Information"/>
      <sheetName val="LDF_E1_b"/>
      <sheetName val="_DROPDOWN_SUMM"/>
      <sheetName val="Drop_list"/>
      <sheetName val="5_PnL_"/>
      <sheetName val="Q2_Revenue_Tracker"/>
      <sheetName val="June_Fcst"/>
      <sheetName val="May_Fcst"/>
      <sheetName val="April_Fcst"/>
      <sheetName val="April_IDS_Timing"/>
      <sheetName val="Mar_Fcst_"/>
      <sheetName val="Q1_Revenue_Tracker__"/>
      <sheetName val="Q1vQ4_Summary"/>
      <sheetName val="IPS_Discount"/>
      <sheetName val="Q4_Revenue_Tracker"/>
      <sheetName val="LSTK_Conventional_March_17_LSTK"/>
      <sheetName val="Summary-Project_&amp;_Segment_(2)"/>
      <sheetName val="IDS_Q4_ROFO_Summary"/>
      <sheetName val="IDS_Timing"/>
      <sheetName val="Summary-Project_&amp;_Segment"/>
      <sheetName val="Feb_Act"/>
      <sheetName val="D&amp;M_Mar_2017_-_16th_March"/>
      <sheetName val="LSTK_Conventional"/>
      <sheetName val="CTD_Details"/>
      <sheetName val="P&amp;L1998"/>
      <sheetName val="Comands"/>
    </sheetNames>
    <sheetDataSet>
      <sheetData sheetId="0">
        <row r="1">
          <cell r="B1" t="str">
            <v>DOWELL SOUTH CONSOLIDATE - 1998</v>
          </cell>
        </row>
      </sheetData>
      <sheetData sheetId="1">
        <row r="1">
          <cell r="B1" t="str">
            <v>DOWELL SOUTH CONSOLIDATE - 1998</v>
          </cell>
        </row>
      </sheetData>
      <sheetData sheetId="2">
        <row r="1">
          <cell r="B1" t="str">
            <v>DOWELL SOUTH CONSOLIDATE - 1998</v>
          </cell>
        </row>
      </sheetData>
      <sheetData sheetId="3">
        <row r="1">
          <cell r="B1" t="str">
            <v>DOWELL SOUTH CONSOLIDATE - 1998</v>
          </cell>
        </row>
      </sheetData>
      <sheetData sheetId="4">
        <row r="1">
          <cell r="B1" t="str">
            <v>DOWELL SOUTH CONSOLIDATE - 1998</v>
          </cell>
        </row>
      </sheetData>
      <sheetData sheetId="5" refreshError="1">
        <row r="1">
          <cell r="B1" t="str">
            <v>DOWELL SOUTH CONSOLIDATE - 1998</v>
          </cell>
        </row>
        <row r="3">
          <cell r="B3" t="str">
            <v>E</v>
          </cell>
          <cell r="C3" t="str">
            <v>F</v>
          </cell>
          <cell r="D3" t="str">
            <v>M</v>
          </cell>
          <cell r="E3" t="str">
            <v>A</v>
          </cell>
          <cell r="F3" t="str">
            <v>M</v>
          </cell>
          <cell r="G3" t="str">
            <v>J</v>
          </cell>
          <cell r="H3" t="str">
            <v>J</v>
          </cell>
          <cell r="I3" t="str">
            <v>A</v>
          </cell>
          <cell r="J3" t="str">
            <v>S</v>
          </cell>
          <cell r="K3" t="str">
            <v>O</v>
          </cell>
          <cell r="L3" t="str">
            <v>N</v>
          </cell>
          <cell r="M3" t="str">
            <v>D</v>
          </cell>
        </row>
        <row r="4">
          <cell r="B4">
            <v>1218.4350000000002</v>
          </cell>
          <cell r="C4">
            <v>1330.0450000000001</v>
          </cell>
          <cell r="D4">
            <v>1571.6880000000001</v>
          </cell>
          <cell r="E4">
            <v>1844.6530000000002</v>
          </cell>
          <cell r="F4">
            <v>1951.2270999999998</v>
          </cell>
          <cell r="G4">
            <v>1618.4119999999998</v>
          </cell>
          <cell r="H4">
            <v>1546.973</v>
          </cell>
          <cell r="I4">
            <v>1376.886</v>
          </cell>
          <cell r="J4">
            <v>738.19099999999992</v>
          </cell>
          <cell r="K4">
            <v>617.54499999999996</v>
          </cell>
          <cell r="L4">
            <v>820.81400000000008</v>
          </cell>
          <cell r="M4">
            <v>1173.2</v>
          </cell>
        </row>
        <row r="5">
          <cell r="B5">
            <v>1529.3150000000001</v>
          </cell>
          <cell r="C5">
            <v>1789.991</v>
          </cell>
          <cell r="D5">
            <v>1830.0139999999999</v>
          </cell>
          <cell r="E5">
            <v>1310.8530000000001</v>
          </cell>
          <cell r="F5">
            <v>1006.498</v>
          </cell>
          <cell r="G5">
            <v>1195.692</v>
          </cell>
          <cell r="H5">
            <v>1088.566</v>
          </cell>
          <cell r="I5">
            <v>945.50799999999992</v>
          </cell>
          <cell r="J5">
            <v>486.33100000000002</v>
          </cell>
          <cell r="K5">
            <v>481.387</v>
          </cell>
          <cell r="L5">
            <v>408.84399999999999</v>
          </cell>
          <cell r="M5">
            <v>980.38</v>
          </cell>
        </row>
        <row r="6">
          <cell r="B6">
            <v>2747.75</v>
          </cell>
          <cell r="C6">
            <v>3120.0360000000001</v>
          </cell>
          <cell r="D6">
            <v>3401.7020000000002</v>
          </cell>
          <cell r="E6">
            <v>3155.5060000000003</v>
          </cell>
          <cell r="F6">
            <v>2957.7250999999997</v>
          </cell>
          <cell r="G6">
            <v>2814.1039999999998</v>
          </cell>
          <cell r="H6">
            <v>2635.5389999999998</v>
          </cell>
          <cell r="I6">
            <v>2322.3939999999998</v>
          </cell>
          <cell r="J6">
            <v>1224.5219999999999</v>
          </cell>
          <cell r="K6">
            <v>1098.932</v>
          </cell>
          <cell r="L6">
            <v>1229.6580000000001</v>
          </cell>
          <cell r="M6">
            <v>2153.58</v>
          </cell>
        </row>
        <row r="22">
          <cell r="B22">
            <v>1762.3149999999998</v>
          </cell>
          <cell r="C22">
            <v>2002.5920000000001</v>
          </cell>
          <cell r="D22">
            <v>2060.6089999999995</v>
          </cell>
          <cell r="E22">
            <v>1983.4380000000001</v>
          </cell>
          <cell r="F22">
            <v>1843.4190000000001</v>
          </cell>
          <cell r="G22">
            <v>2016.308</v>
          </cell>
          <cell r="H22">
            <v>1951.9580000000001</v>
          </cell>
          <cell r="I22">
            <v>1608.9820000000002</v>
          </cell>
          <cell r="J22">
            <v>924.16</v>
          </cell>
          <cell r="K22">
            <v>971.18200000000002</v>
          </cell>
          <cell r="L22">
            <v>1150.0529999999999</v>
          </cell>
          <cell r="M22">
            <v>1558.4519999999998</v>
          </cell>
        </row>
        <row r="24">
          <cell r="B24">
            <v>985.43500000000017</v>
          </cell>
          <cell r="C24">
            <v>1117.444</v>
          </cell>
          <cell r="D24">
            <v>1341.0930000000008</v>
          </cell>
          <cell r="E24">
            <v>1172.0680000000002</v>
          </cell>
          <cell r="F24">
            <v>1114.3060999999996</v>
          </cell>
          <cell r="G24">
            <v>797.79599999999982</v>
          </cell>
          <cell r="H24">
            <v>683.58099999999968</v>
          </cell>
          <cell r="I24">
            <v>713.41199999999958</v>
          </cell>
          <cell r="J24">
            <v>300.36199999999997</v>
          </cell>
          <cell r="K24">
            <v>127.75</v>
          </cell>
          <cell r="L24">
            <v>79.605000000000246</v>
          </cell>
          <cell r="M24">
            <v>595.12800000000016</v>
          </cell>
        </row>
        <row r="39">
          <cell r="B39">
            <v>683.80100000000016</v>
          </cell>
          <cell r="C39">
            <v>793.80099999999993</v>
          </cell>
          <cell r="D39">
            <v>999.9900000000008</v>
          </cell>
          <cell r="E39">
            <v>868.12500000000011</v>
          </cell>
          <cell r="F39">
            <v>835.96509999999944</v>
          </cell>
          <cell r="G39">
            <v>544.38499999999976</v>
          </cell>
          <cell r="H39">
            <v>454.99799999999965</v>
          </cell>
          <cell r="I39">
            <v>529.49599999999964</v>
          </cell>
          <cell r="J39">
            <v>339.91999999999996</v>
          </cell>
          <cell r="K39">
            <v>-144.19900000000001</v>
          </cell>
          <cell r="L39">
            <v>-91.573999999999756</v>
          </cell>
          <cell r="M39">
            <v>257.83800000000008</v>
          </cell>
        </row>
      </sheetData>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3">
          <cell r="B3" t="str">
            <v>DBM</v>
          </cell>
        </row>
      </sheetData>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ow r="3">
          <cell r="B3" t="str">
            <v>DBM</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REEVERSO"/>
      <sheetName val="CALCULO"/>
      <sheetName val="TARIFA"/>
      <sheetName val="IMPRESION"/>
      <sheetName val="IMPREVERSO"/>
      <sheetName val="VALORES"/>
      <sheetName val="RENTAS"/>
      <sheetName val="RECARGOS"/>
      <sheetName val="INDIO"/>
      <sheetName val="CALCURE"/>
      <sheetName val="Adaptaci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quot;D&quot;"/>
      <sheetName val="CAPEX BREAKDOWN"/>
      <sheetName val="Wireline"/>
      <sheetName val="INM"/>
      <sheetName val="Area_Geomkt"/>
      <sheetName val="DATABASE"/>
      <sheetName val="Stat D CEU-0402"/>
      <sheetName val="Score Card"/>
      <sheetName val="COD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 CONCIL"/>
      <sheetName val="AJU"/>
      <sheetName val="IV"/>
      <sheetName val="IV CGB"/>
      <sheetName val="V"/>
      <sheetName val="A-1"/>
      <sheetName val="A-2"/>
      <sheetName val="Hoja2"/>
      <sheetName val="C-2"/>
      <sheetName val="C-2-1"/>
      <sheetName val="C-2-2"/>
      <sheetName val="C-2-3"/>
      <sheetName val="C-2-4"/>
      <sheetName val="D-1"/>
      <sheetName val="D-1-2"/>
      <sheetName val="D-1-3"/>
      <sheetName val="D-1-4"/>
      <sheetName val="D-1-4-1"/>
      <sheetName val="D-1-4-1_1"/>
      <sheetName val="D-1-4-2"/>
      <sheetName val="D-1-4-2_1"/>
      <sheetName val="D-1-4-3"/>
      <sheetName val="D-1-4-3_1"/>
      <sheetName val="D-1-4-4"/>
      <sheetName val="D-1-4-4_1"/>
      <sheetName val="D-1-4-5"/>
      <sheetName val="D-1-4-5_1"/>
      <sheetName val="D-1-4-6"/>
      <sheetName val="D-1-4-6_1"/>
      <sheetName val="AA-1"/>
      <sheetName val="POLIZAS"/>
      <sheetName val="AA-1-1"/>
      <sheetName val="AA-1-2"/>
      <sheetName val="AA-1-3"/>
      <sheetName val="AA-1-4"/>
      <sheetName val="AA-1-5"/>
      <sheetName val="AA-1-6"/>
      <sheetName val="AA-1-7"/>
      <sheetName val="AA-1-8"/>
      <sheetName val="AA-1-9"/>
      <sheetName val="AA-1-10"/>
      <sheetName val="AA-1-11"/>
      <sheetName val="AA-1-12"/>
      <sheetName val="AA-2"/>
      <sheetName val="AA-2-1"/>
      <sheetName val="AA-2-2"/>
      <sheetName val="AA|1"/>
      <sheetName val="AA-3"/>
      <sheetName val="AA-3-1"/>
      <sheetName val="AA-3-2"/>
      <sheetName val="AA-3-3"/>
      <sheetName val="AA-3-4"/>
      <sheetName val="AA-3-5"/>
      <sheetName val="AA-4"/>
      <sheetName val="AA-4-1"/>
      <sheetName val="IX"/>
      <sheetName val="70-3"/>
      <sheetName val="30-INTEGRACIO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 CONCIL"/>
      <sheetName val="AJU"/>
      <sheetName val="INDICES"/>
      <sheetName val="MARCAS "/>
      <sheetName val="AJ"/>
      <sheetName val="AR"/>
      <sheetName val="10-1"/>
      <sheetName val="10-1-a"/>
      <sheetName val="10-1-1"/>
      <sheetName val="10-1-2"/>
      <sheetName val="30"/>
      <sheetName val="30-1"/>
      <sheetName val="30- 2"/>
      <sheetName val="30- 3"/>
      <sheetName val="30-4"/>
      <sheetName val="30-5"/>
      <sheetName val="30- 6"/>
      <sheetName val="30-7"/>
      <sheetName val="30-8"/>
      <sheetName val="30-9"/>
      <sheetName val="30-10"/>
      <sheetName val="50-1"/>
      <sheetName val="50-2"/>
      <sheetName val="70-3-1"/>
      <sheetName val="70-3 -2"/>
      <sheetName val="70-4"/>
      <sheetName val="70-4-1"/>
      <sheetName val="70-5"/>
      <sheetName val="70-6"/>
      <sheetName val="80-1"/>
      <sheetName val="80-2"/>
      <sheetName val="80-2_1"/>
      <sheetName val="80-2-1-1"/>
      <sheetName val="80-2-1-2"/>
      <sheetName val="80-3"/>
      <sheetName val="80-4"/>
      <sheetName val="90"/>
      <sheetName val="#¡REF"/>
      <sheetName val="IX"/>
      <sheetName val="Hoja1"/>
      <sheetName val="IV"/>
      <sheetName val="IV CGB"/>
      <sheetName val="V"/>
      <sheetName val="A-1"/>
      <sheetName val="A-2"/>
      <sheetName val="Hoja2"/>
      <sheetName val="C-2"/>
      <sheetName val="C-2-1"/>
      <sheetName val="C-2-2"/>
      <sheetName val="C-2-3"/>
      <sheetName val="C-2-4"/>
      <sheetName val="D-1"/>
      <sheetName val="D-1-2"/>
      <sheetName val="D-1-3"/>
      <sheetName val="D-1-4"/>
      <sheetName val="D-1-4-1"/>
      <sheetName val="D-1-4-1_1"/>
      <sheetName val="D-1-4-2"/>
      <sheetName val="D-1-4-2_1"/>
      <sheetName val="D-1-4-3"/>
      <sheetName val="D-1-4-3_1"/>
      <sheetName val="D-1-4-4"/>
      <sheetName val="D-1-4-4_1"/>
      <sheetName val="D-1-4-5"/>
      <sheetName val="D-1-4-5_1"/>
      <sheetName val="D-1-4-6"/>
      <sheetName val="D-1-4-6_1"/>
      <sheetName val="AA-1"/>
      <sheetName val="POLIZAS"/>
      <sheetName val="AA-1-1"/>
      <sheetName val="AA-1-2"/>
      <sheetName val="AA-1-3"/>
      <sheetName val="AA-1-4"/>
      <sheetName val="AA-1-5"/>
      <sheetName val="AA-1-6"/>
      <sheetName val="AA-1-7"/>
      <sheetName val="AA-1-8"/>
      <sheetName val="AA-1-9"/>
      <sheetName val="AA-1-10"/>
      <sheetName val="AA-1-11"/>
      <sheetName val="AA-1-12"/>
      <sheetName val="AA-2"/>
      <sheetName val="AA-2-1"/>
      <sheetName val="AA-2-2"/>
      <sheetName val="AA|1"/>
      <sheetName val="AA-3"/>
      <sheetName val="AA-3-1"/>
      <sheetName val="AA-3-2"/>
      <sheetName val="AA-3-3"/>
      <sheetName val="AA-3-4"/>
      <sheetName val="AA-3-5"/>
      <sheetName val="AA-4"/>
      <sheetName val="AA-4-1"/>
      <sheetName val="70-3"/>
      <sheetName val="30-INTEGRACIO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V-BBOSQUE-FINAL"/>
      <sheetName val="INDICES"/>
      <sheetName val="Marcas"/>
      <sheetName val="PT's"/>
      <sheetName val="AJ´S"/>
      <sheetName val="BALANZA"/>
      <sheetName val="III "/>
      <sheetName val="III-P"/>
      <sheetName val="IX"/>
      <sheetName val="IX-1"/>
      <sheetName val="X"/>
      <sheetName val="XIV"/>
      <sheetName val="BG-1"/>
      <sheetName val="BG-2"/>
      <sheetName val="PG"/>
      <sheetName val="A"/>
      <sheetName val="AI1"/>
      <sheetName val="A-1"/>
      <sheetName val="A-2"/>
      <sheetName val="C"/>
      <sheetName val="C-1"/>
      <sheetName val="C-2"/>
      <sheetName val="D"/>
      <sheetName val="D-1"/>
      <sheetName val="F"/>
      <sheetName val="F-1"/>
      <sheetName val="M"/>
      <sheetName val="M-1"/>
      <sheetName val="N"/>
      <sheetName val="OIP"/>
      <sheetName val="AA"/>
      <sheetName val="AA-1"/>
      <sheetName val="AA-2"/>
      <sheetName val="AA-3"/>
      <sheetName val="SS"/>
      <sheetName val="10"/>
      <sheetName val="10-1"/>
      <sheetName val="10-2"/>
      <sheetName val="30 "/>
      <sheetName val="HON2000"/>
      <sheetName val="HON P"/>
      <sheetName val="AUX F"/>
      <sheetName val="AUX P"/>
      <sheetName val="30I1"/>
      <sheetName val="30-1"/>
      <sheetName val="30-1I1"/>
      <sheetName val="30-2"/>
      <sheetName val="30-3"/>
      <sheetName val="30-4"/>
      <sheetName val="30-5"/>
      <sheetName val="30-6"/>
      <sheetName val="30-7"/>
      <sheetName val="30-8"/>
      <sheetName val="30-9"/>
      <sheetName val="30-10"/>
      <sheetName val="30-11"/>
      <sheetName val="30-12"/>
      <sheetName val="30-13"/>
      <sheetName val="30-14"/>
      <sheetName val="30-15"/>
      <sheetName val="30-16"/>
      <sheetName val="30-17"/>
      <sheetName val="30-18"/>
      <sheetName val="30-18I1"/>
      <sheetName val="40"/>
      <sheetName val="40-2"/>
      <sheetName val="40-3"/>
      <sheetName val="40-4"/>
      <sheetName val="40-5"/>
      <sheetName val="40-6"/>
      <sheetName val="40-7"/>
      <sheetName val="40-8"/>
      <sheetName val="40-9"/>
      <sheetName val="50"/>
      <sheetName val="50-1"/>
      <sheetName val="60"/>
      <sheetName val="60-1"/>
      <sheetName val="70"/>
      <sheetName val="70-2"/>
      <sheetName val="80"/>
      <sheetName val="80-1cia"/>
      <sheetName val="80-1"/>
      <sheetName val="80-1-1"/>
      <sheetName val="80-2"/>
      <sheetName val="80-3"/>
      <sheetName val="Hoja1"/>
      <sheetName val="100P"/>
      <sheetName val="100-1"/>
      <sheetName val="100-1I1"/>
      <sheetName val="100-1I1-1"/>
      <sheetName val="100-1I1-2"/>
      <sheetName val="100-1I2"/>
      <sheetName val="100-2"/>
      <sheetName val="100-3"/>
      <sheetName val="100-3I1"/>
      <sheetName val="100-3I2"/>
      <sheetName val="100-3I3"/>
      <sheetName val="100-3I4"/>
      <sheetName val="100-3I5"/>
      <sheetName val="100-3I6"/>
      <sheetName val="100-3I7"/>
      <sheetName val="100-5"/>
      <sheetName val="110"/>
      <sheetName val="110 P"/>
      <sheetName val="Hoja2"/>
      <sheetName val="20 - 2 l 1"/>
      <sheetName val="SMG95"/>
      <sheetName val="70-11"/>
      <sheetName val="70-12"/>
      <sheetName val="70-10"/>
      <sheetName val="10-1l2"/>
      <sheetName val="10-1l3"/>
      <sheetName val="10-1l4"/>
      <sheetName val="10-1l1"/>
      <sheetName val="GASTOS"/>
      <sheetName val="BB-1"/>
      <sheetName val="IVA9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 Expedientes "/>
      <sheetName val="20-3 Retención cuotas"/>
      <sheetName val="20-3  1 REQ. DE NOM."/>
      <sheetName val="20-4 ALTAS"/>
      <sheetName val="20-5 BAJAS"/>
      <sheetName val="20-6 MOD SAL"/>
      <sheetName val="20-6-1  RES MS"/>
      <sheetName val="20-7 INCAP"/>
      <sheetName val="20-8 AUS"/>
      <sheetName val="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7 ACUMULADOS NOMINA"/>
      <sheetName val="var dic"/>
      <sheetName val="ene"/>
      <sheetName val="feb"/>
      <sheetName val="var ene-feb"/>
      <sheetName val="mar"/>
      <sheetName val="abr"/>
      <sheetName val="var mar-abr"/>
      <sheetName val="may"/>
      <sheetName val="jun"/>
      <sheetName val="var may-jun"/>
      <sheetName val="jul"/>
      <sheetName val="ago"/>
      <sheetName val="var jul-ago"/>
      <sheetName val="sep"/>
      <sheetName val="oct"/>
      <sheetName val="var sep-oct"/>
      <sheetName val="nov"/>
      <sheetName val="dic"/>
      <sheetName val="var nov-dic"/>
      <sheetName val="ene 03"/>
      <sheetName val="OBS"/>
      <sheetName val="IMSSOZUM"/>
      <sheetName val="Céd. Dep."/>
      <sheetName val="ASEGURA"/>
      <sheetName val="40-1"/>
      <sheetName val="IX"/>
      <sheetName val="CALCIMS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V-BBOSQUE-FINAL"/>
      <sheetName val="INDICES"/>
      <sheetName val="Marcas"/>
      <sheetName val="PT's"/>
      <sheetName val="AJ´S"/>
      <sheetName val="BALANZA"/>
      <sheetName val="III "/>
      <sheetName val="III-P"/>
      <sheetName val="IX"/>
      <sheetName val="IX-1"/>
      <sheetName val="X"/>
      <sheetName val="XIV"/>
      <sheetName val="BG-1"/>
      <sheetName val="BG-2"/>
      <sheetName val="PG"/>
      <sheetName val="A"/>
      <sheetName val="AI1"/>
      <sheetName val="A-1"/>
      <sheetName val="A-2"/>
      <sheetName val="C"/>
      <sheetName val="C-1"/>
      <sheetName val="C-2"/>
      <sheetName val="D"/>
      <sheetName val="D-1"/>
      <sheetName val="F"/>
      <sheetName val="F-1"/>
      <sheetName val="M"/>
      <sheetName val="M-1"/>
      <sheetName val="N"/>
      <sheetName val="OIP"/>
      <sheetName val="AA"/>
      <sheetName val="AA-1"/>
      <sheetName val="AA-2"/>
      <sheetName val="AA-3"/>
      <sheetName val="SS"/>
      <sheetName val="10"/>
      <sheetName val="10-1"/>
      <sheetName val="10-2"/>
      <sheetName val="30 "/>
      <sheetName val="HON2000"/>
      <sheetName val="HON P"/>
      <sheetName val="AUX F"/>
      <sheetName val="AUX P"/>
      <sheetName val="30I1"/>
      <sheetName val="30-1"/>
      <sheetName val="30-1I1"/>
      <sheetName val="30-2"/>
      <sheetName val="30-3"/>
      <sheetName val="30-4"/>
      <sheetName val="30-5"/>
      <sheetName val="30-6"/>
      <sheetName val="30-7"/>
      <sheetName val="30-8"/>
      <sheetName val="30-9"/>
      <sheetName val="30-10"/>
      <sheetName val="30-11"/>
      <sheetName val="30-12"/>
      <sheetName val="30-13"/>
      <sheetName val="30-14"/>
      <sheetName val="30-15"/>
      <sheetName val="30-16"/>
      <sheetName val="30-17"/>
      <sheetName val="30-18"/>
      <sheetName val="30-18I1"/>
      <sheetName val="40"/>
      <sheetName val="40-2"/>
      <sheetName val="40-3"/>
      <sheetName val="40-4"/>
      <sheetName val="40-5"/>
      <sheetName val="40-6"/>
      <sheetName val="40-7"/>
      <sheetName val="40-8"/>
      <sheetName val="40-9"/>
      <sheetName val="50"/>
      <sheetName val="50-1"/>
      <sheetName val="60"/>
      <sheetName val="60-1"/>
      <sheetName val="70"/>
      <sheetName val="70-2"/>
      <sheetName val="80"/>
      <sheetName val="80-1cia"/>
      <sheetName val="80-1"/>
      <sheetName val="80-1-1"/>
      <sheetName val="80-2"/>
      <sheetName val="80-3"/>
      <sheetName val="Hoja1"/>
      <sheetName val="100P"/>
      <sheetName val="100-1"/>
      <sheetName val="100-1I1"/>
      <sheetName val="100-1I1-1"/>
      <sheetName val="100-1I1-2"/>
      <sheetName val="100-1I2"/>
      <sheetName val="100-2"/>
      <sheetName val="100-3"/>
      <sheetName val="100-3I1"/>
      <sheetName val="100-3I2"/>
      <sheetName val="100-3I3"/>
      <sheetName val="100-3I4"/>
      <sheetName val="100-3I5"/>
      <sheetName val="100-3I6"/>
      <sheetName val="100-3I7"/>
      <sheetName val="100-5"/>
      <sheetName val="110"/>
      <sheetName val="110 P"/>
      <sheetName val="var d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ón"/>
      <sheetName val="Depreciación"/>
      <sheetName val="SI"/>
    </sheetNames>
    <sheetDataSet>
      <sheetData sheetId="0"/>
      <sheetData sheetId="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V-BBOSQUE-FINAL"/>
      <sheetName val="INDICES"/>
      <sheetName val="Marcas"/>
      <sheetName val="PT's"/>
      <sheetName val="AJ´S"/>
      <sheetName val="BALANZA"/>
      <sheetName val="III "/>
      <sheetName val="III-P"/>
      <sheetName val="IX"/>
      <sheetName val="IX-1"/>
      <sheetName val="X"/>
      <sheetName val="XIV"/>
      <sheetName val="BG-1"/>
      <sheetName val="BG-2"/>
      <sheetName val="PG"/>
      <sheetName val="A"/>
      <sheetName val="AI1"/>
      <sheetName val="A-1"/>
      <sheetName val="A-2"/>
      <sheetName val="C"/>
      <sheetName val="C-1"/>
      <sheetName val="C-2"/>
      <sheetName val="D"/>
      <sheetName val="D-1"/>
      <sheetName val="F"/>
      <sheetName val="F-1"/>
      <sheetName val="M"/>
      <sheetName val="M-1"/>
      <sheetName val="N"/>
      <sheetName val="OIP"/>
      <sheetName val="AA"/>
      <sheetName val="AA-1"/>
      <sheetName val="AA-2"/>
      <sheetName val="AA-3"/>
      <sheetName val="SS"/>
      <sheetName val="10"/>
      <sheetName val="10-1"/>
      <sheetName val="10-2"/>
      <sheetName val="30 "/>
      <sheetName val="HON2000"/>
      <sheetName val="HON P"/>
      <sheetName val="AUX F"/>
      <sheetName val="AUX P"/>
      <sheetName val="30I1"/>
      <sheetName val="30-1"/>
      <sheetName val="30-1I1"/>
      <sheetName val="30-2"/>
      <sheetName val="30-3"/>
      <sheetName val="30-4"/>
      <sheetName val="30-5"/>
      <sheetName val="30-6"/>
      <sheetName val="30-7"/>
      <sheetName val="30-8"/>
      <sheetName val="30-9"/>
      <sheetName val="30-10"/>
      <sheetName val="30-11"/>
      <sheetName val="30-12"/>
      <sheetName val="30-13"/>
      <sheetName val="30-14"/>
      <sheetName val="30-15"/>
      <sheetName val="30-16"/>
      <sheetName val="30-17"/>
      <sheetName val="30-18"/>
      <sheetName val="30-18I1"/>
      <sheetName val="40"/>
      <sheetName val="40-2"/>
      <sheetName val="40-3"/>
      <sheetName val="40-4"/>
      <sheetName val="40-5"/>
      <sheetName val="40-6"/>
      <sheetName val="40-7"/>
      <sheetName val="40-8"/>
      <sheetName val="40-9"/>
      <sheetName val="50"/>
      <sheetName val="50-1"/>
      <sheetName val="60"/>
      <sheetName val="60-1"/>
      <sheetName val="70"/>
      <sheetName val="70-2"/>
      <sheetName val="80"/>
      <sheetName val="80-1cia"/>
      <sheetName val="80-1"/>
      <sheetName val="80-1-1"/>
      <sheetName val="80-2"/>
      <sheetName val="80-3"/>
      <sheetName val="Hoja1"/>
      <sheetName val="100P"/>
      <sheetName val="100-1"/>
      <sheetName val="100-1I1"/>
      <sheetName val="100-1I1-1"/>
      <sheetName val="100-1I1-2"/>
      <sheetName val="100-1I2"/>
      <sheetName val="100-2"/>
      <sheetName val="100-3"/>
      <sheetName val="100-3I1"/>
      <sheetName val="100-3I2"/>
      <sheetName val="100-3I3"/>
      <sheetName val="100-3I4"/>
      <sheetName val="100-3I5"/>
      <sheetName val="100-3I6"/>
      <sheetName val="100-3I7"/>
      <sheetName val="100-5"/>
      <sheetName val="110"/>
      <sheetName val="110 P"/>
      <sheetName val="C8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S"/>
      <sheetName val="V"/>
      <sheetName val="AJ"/>
      <sheetName val="A-1"/>
      <sheetName val="A-2 MEMO"/>
      <sheetName val="A-2"/>
      <sheetName val="Circularizacio A"/>
      <sheetName val="A-3 (2)"/>
      <sheetName val="A-3"/>
      <sheetName val="A 2 CIRC"/>
      <sheetName val=" C CIRC"/>
      <sheetName val="F-1"/>
      <sheetName val="F-1-1 "/>
      <sheetName val="M-1"/>
      <sheetName val="M-2"/>
      <sheetName val="N-1 "/>
      <sheetName val="N-2 "/>
      <sheetName val="N-3 "/>
      <sheetName val="N-4 "/>
      <sheetName val="N-5 "/>
      <sheetName val="N-6 "/>
      <sheetName val="P-1"/>
      <sheetName val="AA-1 4-1"/>
      <sheetName val="AA CIRC"/>
      <sheetName val=" AA CIRC ext"/>
      <sheetName val="SS"/>
      <sheetName val="SS-1"/>
      <sheetName val="10"/>
      <sheetName val="10-1"/>
      <sheetName val="20-1 "/>
      <sheetName val="20-1-1-1"/>
      <sheetName val="20-1-1-2"/>
      <sheetName val="20-1-1-3"/>
      <sheetName val="20-1-1-4"/>
      <sheetName val="20-1-1-5"/>
      <sheetName val="20-1-1-6"/>
      <sheetName val="20-1 2-1"/>
      <sheetName val="20-1-1-7"/>
      <sheetName val="20-2 MO"/>
      <sheetName val="20-3"/>
      <sheetName val="30"/>
      <sheetName val="30-9"/>
      <sheetName val="50-1"/>
      <sheetName val="50-3"/>
      <sheetName val="70 PAGOS NOMINA"/>
      <sheetName val="70-1"/>
      <sheetName val="70-1-1"/>
      <sheetName val="70-1-2"/>
      <sheetName val="70-3-1ispt-nom"/>
      <sheetName val="70-3-2 ret-imss"/>
      <sheetName val="70-3-3 SDI"/>
      <sheetName val="SDI.1"/>
      <sheetName val="80"/>
      <sheetName val="80-1"/>
      <sheetName val="80-1 C.U."/>
      <sheetName val="80-1-1"/>
      <sheetName val="80-2"/>
      <sheetName val="80-4-1"/>
      <sheetName val="80-4-2"/>
      <sheetName val="80-4-3"/>
      <sheetName val="80-4-4"/>
      <sheetName val="80-4-5"/>
      <sheetName val="80-4-6"/>
      <sheetName val="80-4-7"/>
      <sheetName val="80-4-7-1"/>
      <sheetName val="80-5"/>
      <sheetName val="100-4"/>
      <sheetName val="110-1"/>
      <sheetName val="110-1-1"/>
      <sheetName val="CREDITOS"/>
      <sheetName val="DEUDAS"/>
      <sheetName val="110-1-2"/>
      <sheetName val="IMPACR"/>
      <sheetName val="IMPADE"/>
      <sheetName val="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MG95"/>
      <sheetName val="IX"/>
      <sheetName val="80-5"/>
      <sheetName val="BASE DE DATOS"/>
      <sheetName val="VTA ACT FIJO"/>
      <sheetName val="IMSSOZUM"/>
      <sheetName val="CALCIMSS"/>
      <sheetName val="ADVANCES"/>
      <sheetName val="ANTICIPOS"/>
      <sheetName val="EMPLEADOS"/>
      <sheetName val="bal sucursal"/>
      <sheetName val="var dic"/>
      <sheetName val="III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MasterTable"/>
      <sheetName val="Data"/>
      <sheetName val="Report"/>
      <sheetName val="GeoNav"/>
      <sheetName val="GeoData"/>
      <sheetName val="GeoInput"/>
      <sheetName val="OFS TOTAL"/>
      <sheetName val="LIG"/>
      <sheetName val="LIG DW"/>
      <sheetName val="CAG"/>
      <sheetName val="CEU"/>
      <sheetName val="NAG"/>
      <sheetName val="NGA"/>
      <sheetName val="NSG"/>
      <sheetName val="WSA"/>
      <sheetName val="GM8"/>
      <sheetName val="GM9"/>
      <sheetName val="GM10"/>
      <sheetName val="GM11"/>
      <sheetName val="GM12"/>
      <sheetName val="GM13"/>
      <sheetName val="CAG DW"/>
      <sheetName val="CEU DW"/>
      <sheetName val="NAG DW"/>
      <sheetName val="NGA DW"/>
      <sheetName val="NSG DW"/>
      <sheetName val="WSA DW"/>
      <sheetName val="GM8 DW"/>
      <sheetName val="GM9 DW"/>
      <sheetName val="GM10 DW"/>
      <sheetName val="GM11 DW"/>
      <sheetName val="GM12 DW"/>
      <sheetName val="GM13 DW"/>
      <sheetName val="Area"/>
      <sheetName val="Area DW"/>
      <sheetName val="Area OR"/>
      <sheetName val="Area DW OR"/>
      <sheetName val="Reference"/>
      <sheetName val="MAIN"/>
      <sheetName val="LABEL_PTS"/>
      <sheetName val="GRAD"/>
      <sheetName val="AREA_GEO"/>
      <sheetName val="CHART"/>
      <sheetName val="IRG DW"/>
      <sheetName val="IRG"/>
      <sheetName val="OFS_TOTAL"/>
      <sheetName val="LIG_DW"/>
      <sheetName val="CAG_DW"/>
      <sheetName val="CEU_DW"/>
      <sheetName val="NAG_DW"/>
      <sheetName val="NGA_DW"/>
      <sheetName val="NSG_DW"/>
      <sheetName val="WSA_DW"/>
      <sheetName val="GM8_DW"/>
      <sheetName val="GM9_DW"/>
      <sheetName val="GM10_DW"/>
      <sheetName val="GM11_DW"/>
      <sheetName val="GM12_DW"/>
      <sheetName val="GM13_DW"/>
      <sheetName val="Area_DW"/>
      <sheetName val="Area_OR"/>
      <sheetName val="Area_DW_OR"/>
      <sheetName val="IRG_DW"/>
      <sheetName val=""/>
      <sheetName val="OFS_TOTAL1"/>
      <sheetName val="LIG_DW1"/>
      <sheetName val="CAG_DW1"/>
      <sheetName val="CEU_DW1"/>
      <sheetName val="NAG_DW1"/>
      <sheetName val="NGA_DW1"/>
      <sheetName val="NSG_DW1"/>
      <sheetName val="WSA_DW1"/>
      <sheetName val="GM8_DW1"/>
      <sheetName val="GM9_DW1"/>
      <sheetName val="GM10_DW1"/>
      <sheetName val="GM11_DW1"/>
      <sheetName val="GM12_DW1"/>
      <sheetName val="GM13_DW1"/>
      <sheetName val="Area_DW1"/>
      <sheetName val="Area_OR1"/>
      <sheetName val="Area_DW_OR1"/>
      <sheetName val="IRG_DW1"/>
      <sheetName val="Pick list"/>
      <sheetName val="OFS_TOTAL2"/>
      <sheetName val="LIG_DW2"/>
      <sheetName val="CAG_DW2"/>
      <sheetName val="CEU_DW2"/>
      <sheetName val="NAG_DW2"/>
      <sheetName val="NGA_DW2"/>
      <sheetName val="NSG_DW2"/>
      <sheetName val="WSA_DW2"/>
      <sheetName val="GM8_DW2"/>
      <sheetName val="GM9_DW2"/>
      <sheetName val="GM10_DW2"/>
      <sheetName val="GM11_DW2"/>
      <sheetName val="GM12_DW2"/>
      <sheetName val="GM13_DW2"/>
      <sheetName val="Area_DW2"/>
      <sheetName val="Area_OR2"/>
      <sheetName val="Area_DW_OR2"/>
      <sheetName val="IRG_DW2"/>
      <sheetName val="OFS_TOTAL3"/>
      <sheetName val="LIG_DW3"/>
      <sheetName val="CAG_DW3"/>
      <sheetName val="CEU_DW3"/>
      <sheetName val="NAG_DW3"/>
      <sheetName val="NGA_DW3"/>
      <sheetName val="NSG_DW3"/>
      <sheetName val="WSA_DW3"/>
      <sheetName val="GM8_DW3"/>
      <sheetName val="GM9_DW3"/>
      <sheetName val="GM10_DW3"/>
      <sheetName val="GM11_DW3"/>
      <sheetName val="GM12_DW3"/>
      <sheetName val="GM13_DW3"/>
      <sheetName val="Area_DW3"/>
      <sheetName val="Area_OR3"/>
      <sheetName val="Area_DW_OR3"/>
      <sheetName val="IRG_DW3"/>
      <sheetName val="OFS_TOTAL4"/>
      <sheetName val="LIG_DW4"/>
      <sheetName val="CAG_DW4"/>
      <sheetName val="CEU_DW4"/>
      <sheetName val="NAG_DW4"/>
      <sheetName val="NGA_DW4"/>
      <sheetName val="NSG_DW4"/>
      <sheetName val="WSA_DW4"/>
      <sheetName val="GM8_DW4"/>
      <sheetName val="GM9_DW4"/>
      <sheetName val="GM10_DW4"/>
      <sheetName val="GM11_DW4"/>
      <sheetName val="GM12_DW4"/>
      <sheetName val="GM13_DW4"/>
      <sheetName val="Area_DW4"/>
      <sheetName val="Area_OR4"/>
      <sheetName val="Area_DW_OR4"/>
      <sheetName val="IRG_DW4"/>
      <sheetName val="OFS_TOTAL5"/>
      <sheetName val="LIG_DW5"/>
      <sheetName val="CAG_DW5"/>
      <sheetName val="CEU_DW5"/>
      <sheetName val="NAG_DW5"/>
      <sheetName val="NGA_DW5"/>
      <sheetName val="NSG_DW5"/>
      <sheetName val="WSA_DW5"/>
      <sheetName val="GM8_DW5"/>
      <sheetName val="GM9_DW5"/>
      <sheetName val="GM10_DW5"/>
      <sheetName val="GM11_DW5"/>
      <sheetName val="GM12_DW5"/>
      <sheetName val="GM13_DW5"/>
      <sheetName val="Area_DW5"/>
      <sheetName val="Area_OR5"/>
      <sheetName val="Area_DW_OR5"/>
      <sheetName val="IRG_DW5"/>
      <sheetName val="Pick_list"/>
      <sheetName val="OFS_TOTAL6"/>
      <sheetName val="LIG_DW6"/>
      <sheetName val="CAG_DW6"/>
      <sheetName val="CEU_DW6"/>
      <sheetName val="NAG_DW6"/>
      <sheetName val="NGA_DW6"/>
      <sheetName val="NSG_DW6"/>
      <sheetName val="WSA_DW6"/>
      <sheetName val="GM8_DW6"/>
      <sheetName val="GM9_DW6"/>
      <sheetName val="GM10_DW6"/>
      <sheetName val="GM11_DW6"/>
      <sheetName val="GM12_DW6"/>
      <sheetName val="GM13_DW6"/>
      <sheetName val="Area_DW6"/>
      <sheetName val="Area_OR6"/>
      <sheetName val="Area_DW_OR6"/>
      <sheetName val="IRG_DW6"/>
      <sheetName val="Pick_list1"/>
      <sheetName val="OFS_TOTAL7"/>
      <sheetName val="LIG_DW7"/>
      <sheetName val="CAG_DW7"/>
      <sheetName val="CEU_DW7"/>
      <sheetName val="NAG_DW7"/>
      <sheetName val="NGA_DW7"/>
      <sheetName val="NSG_DW7"/>
      <sheetName val="WSA_DW7"/>
      <sheetName val="GM8_DW7"/>
      <sheetName val="GM9_DW7"/>
      <sheetName val="GM10_DW7"/>
      <sheetName val="GM11_DW7"/>
      <sheetName val="GM12_DW7"/>
      <sheetName val="GM13_DW7"/>
      <sheetName val="Area_DW7"/>
      <sheetName val="Area_OR7"/>
      <sheetName val="Area_DW_OR7"/>
      <sheetName val="IRG_DW7"/>
      <sheetName val="Pick_list2"/>
    </sheetNames>
    <sheetDataSet>
      <sheetData sheetId="0" refreshError="1">
        <row r="1">
          <cell r="A1" t="str">
            <v>ReportAs</v>
          </cell>
          <cell r="AP1" t="str">
            <v>ReportBs</v>
          </cell>
          <cell r="CL1" t="str">
            <v>FileArea</v>
          </cell>
          <cell r="CM1" t="str">
            <v>FileGeo</v>
          </cell>
          <cell r="CO1" t="str">
            <v>ReportPGs</v>
          </cell>
          <cell r="CR1" t="str">
            <v>IptArea</v>
          </cell>
          <cell r="CS1" t="str">
            <v>IptGeo01</v>
          </cell>
          <cell r="CY1" t="str">
            <v>OFS Summary</v>
          </cell>
          <cell r="DB1" t="str">
            <v>Summary by GeoMarket &amp; Product Group</v>
          </cell>
          <cell r="DD1" t="str">
            <v>FileCompany</v>
          </cell>
        </row>
        <row r="2">
          <cell r="A2" t="str">
            <v>Reservoir Evaluation Wireline</v>
          </cell>
          <cell r="AP2" t="str">
            <v>North &amp; South America</v>
          </cell>
          <cell r="CI2" t="str">
            <v>January</v>
          </cell>
          <cell r="CJ2">
            <v>1998</v>
          </cell>
          <cell r="CL2" t="str">
            <v>North &amp; South America</v>
          </cell>
          <cell r="CM2" t="str">
            <v>Venezuela, Trinidad &amp; Tobago</v>
          </cell>
          <cell r="CO2" t="str">
            <v>All Segments</v>
          </cell>
          <cell r="CP2">
            <v>7</v>
          </cell>
          <cell r="CR2" t="str">
            <v>Latin America</v>
          </cell>
          <cell r="CS2" t="str">
            <v>Venezuela, Trinidad &amp; Tobago</v>
          </cell>
          <cell r="CT2" t="str">
            <v>Wireline Open Hole</v>
          </cell>
          <cell r="CY2" t="str">
            <v>Product Group Summary</v>
          </cell>
          <cell r="DB2" t="str">
            <v>GeoMarket analysis by Product Group</v>
          </cell>
          <cell r="DD2" t="str">
            <v>Slb</v>
          </cell>
        </row>
        <row r="3">
          <cell r="A3" t="str">
            <v>Drilling &amp; Measurements</v>
          </cell>
          <cell r="AP3" t="str">
            <v>Europe-CIS &amp; Africa</v>
          </cell>
          <cell r="CI3" t="str">
            <v>February</v>
          </cell>
          <cell r="CJ3">
            <v>1999</v>
          </cell>
          <cell r="CO3" t="str">
            <v>Wireline Open Hole</v>
          </cell>
          <cell r="CT3" t="str">
            <v>Wireline Cased Hole</v>
          </cell>
          <cell r="CY3" t="str">
            <v>Segment Summary</v>
          </cell>
          <cell r="DB3" t="str">
            <v>Product Group analysis by GeoMarket</v>
          </cell>
        </row>
        <row r="4">
          <cell r="A4" t="str">
            <v>Well Completions &amp; Productivity</v>
          </cell>
          <cell r="AP4" t="str">
            <v>Middle East &amp; Asia</v>
          </cell>
          <cell r="CI4" t="str">
            <v>March</v>
          </cell>
          <cell r="CJ4">
            <v>2000</v>
          </cell>
          <cell r="CO4" t="str">
            <v>Wireline Cased Hole</v>
          </cell>
          <cell r="CP4">
            <v>6</v>
          </cell>
          <cell r="CT4" t="str">
            <v>Anadrill</v>
          </cell>
        </row>
        <row r="5">
          <cell r="A5" t="str">
            <v>Well Services</v>
          </cell>
          <cell r="AP5" t="str">
            <v>Product Group Eliminations</v>
          </cell>
          <cell r="CI5" t="str">
            <v>April</v>
          </cell>
          <cell r="CJ5">
            <v>2001</v>
          </cell>
          <cell r="CO5" t="str">
            <v>Anadrill</v>
          </cell>
          <cell r="CT5" t="str">
            <v>Artificial Lift</v>
          </cell>
        </row>
        <row r="6">
          <cell r="A6" t="str">
            <v>IPM</v>
          </cell>
          <cell r="AP6" t="str">
            <v>OFS Eliminations</v>
          </cell>
          <cell r="CI6" t="str">
            <v>May</v>
          </cell>
          <cell r="CJ6">
            <v>2002</v>
          </cell>
          <cell r="CO6" t="str">
            <v>D&amp;M HQ Elims</v>
          </cell>
          <cell r="CP6">
            <v>6</v>
          </cell>
          <cell r="CT6" t="str">
            <v>Testing and Completions System</v>
          </cell>
        </row>
        <row r="7">
          <cell r="A7" t="str">
            <v>SLB Information Solutions</v>
          </cell>
          <cell r="CI7" t="str">
            <v>June</v>
          </cell>
          <cell r="CJ7">
            <v>2003</v>
          </cell>
          <cell r="CO7" t="str">
            <v>Artificial Lift</v>
          </cell>
          <cell r="CT7" t="str">
            <v>Well Services</v>
          </cell>
        </row>
        <row r="8">
          <cell r="A8" t="str">
            <v>Data and Consulting Services</v>
          </cell>
          <cell r="CI8" t="str">
            <v>July</v>
          </cell>
          <cell r="CJ8">
            <v>2004</v>
          </cell>
          <cell r="CO8" t="str">
            <v>Testing and Completions System</v>
          </cell>
          <cell r="CT8" t="str">
            <v>Well Construction and Intervention</v>
          </cell>
        </row>
        <row r="9">
          <cell r="A9" t="str">
            <v>Drilling Services</v>
          </cell>
          <cell r="CI9" t="str">
            <v>August</v>
          </cell>
          <cell r="CJ9">
            <v>2005</v>
          </cell>
          <cell r="CO9" t="str">
            <v>WCP HQ</v>
          </cell>
          <cell r="CT9" t="str">
            <v>Production Services and Engineering</v>
          </cell>
        </row>
        <row r="10">
          <cell r="A10" t="str">
            <v>Area Unallocated</v>
          </cell>
          <cell r="CI10" t="str">
            <v>September</v>
          </cell>
          <cell r="CO10" t="str">
            <v>Well Services</v>
          </cell>
          <cell r="CT10" t="str">
            <v>Reservoir Products</v>
          </cell>
        </row>
        <row r="11">
          <cell r="CI11" t="str">
            <v>October</v>
          </cell>
          <cell r="CO11" t="str">
            <v>Well Construction and Intervention</v>
          </cell>
          <cell r="CT11" t="str">
            <v>Reservoir Projects</v>
          </cell>
        </row>
        <row r="12">
          <cell r="CI12" t="str">
            <v>November</v>
          </cell>
          <cell r="CO12" t="str">
            <v>Production Services and Engineering</v>
          </cell>
          <cell r="CT12" t="str">
            <v>Data and Consulting Services</v>
          </cell>
        </row>
        <row r="13">
          <cell r="CG13">
            <v>1</v>
          </cell>
          <cell r="CI13" t="str">
            <v>December</v>
          </cell>
          <cell r="CO13" t="str">
            <v>KBB</v>
          </cell>
          <cell r="CT13" t="str">
            <v>Drilling Services</v>
          </cell>
        </row>
        <row r="14">
          <cell r="CG14">
            <v>1</v>
          </cell>
          <cell r="CO14" t="str">
            <v>Production Software</v>
          </cell>
          <cell r="CT14" t="str">
            <v>Area Unallocated</v>
          </cell>
        </row>
        <row r="15">
          <cell r="CO15" t="str">
            <v>Reservoir Software</v>
          </cell>
        </row>
        <row r="16">
          <cell r="CG16">
            <v>6</v>
          </cell>
          <cell r="CO16" t="str">
            <v>Information Management</v>
          </cell>
        </row>
        <row r="17">
          <cell r="CG17">
            <v>6</v>
          </cell>
          <cell r="CO17" t="str">
            <v>Data and Consulting Services</v>
          </cell>
        </row>
        <row r="18">
          <cell r="CO18" t="str">
            <v>Baker &amp; Jardin</v>
          </cell>
        </row>
        <row r="19">
          <cell r="CO19" t="str">
            <v>Indigopool.com</v>
          </cell>
        </row>
        <row r="20">
          <cell r="CO20" t="str">
            <v>Inside Reality</v>
          </cell>
        </row>
        <row r="21">
          <cell r="CO21" t="str">
            <v>SIS HQ elims</v>
          </cell>
        </row>
        <row r="22">
          <cell r="CO22" t="str">
            <v>Drilling Services</v>
          </cell>
        </row>
        <row r="23">
          <cell r="CO23" t="str">
            <v>Area Unallocated</v>
          </cell>
        </row>
        <row r="24">
          <cell r="CO24" t="str">
            <v>WCP Eliminations</v>
          </cell>
        </row>
        <row r="25">
          <cell r="CO25" t="str">
            <v>OFS Unallocated</v>
          </cell>
        </row>
      </sheetData>
      <sheetData sheetId="1" refreshError="1">
        <row r="1">
          <cell r="A1" t="str">
            <v>Control</v>
          </cell>
        </row>
        <row r="5">
          <cell r="A5" t="str">
            <v>Company</v>
          </cell>
          <cell r="I5" t="str">
            <v>Company</v>
          </cell>
          <cell r="J5" t="str">
            <v>Area</v>
          </cell>
          <cell r="K5" t="str">
            <v>GeoMarket</v>
          </cell>
          <cell r="L5" t="str">
            <v>Product Group</v>
          </cell>
          <cell r="M5" t="str">
            <v>Service Segment</v>
          </cell>
          <cell r="O5" t="str">
            <v>Companies</v>
          </cell>
          <cell r="Q5" t="str">
            <v>Service Segment</v>
          </cell>
          <cell r="S5" t="str">
            <v>Company</v>
          </cell>
        </row>
        <row r="6">
          <cell r="A6" t="str">
            <v>Elims</v>
          </cell>
          <cell r="I6" t="str">
            <v>Slb</v>
          </cell>
          <cell r="J6" t="str">
            <v>North &amp; South America</v>
          </cell>
          <cell r="K6" t="str">
            <v>Alaska</v>
          </cell>
          <cell r="L6" t="str">
            <v>Reservoir Evaluation Wireline</v>
          </cell>
          <cell r="M6" t="str">
            <v>Wireline Open Hole</v>
          </cell>
          <cell r="O6" t="str">
            <v>Slb</v>
          </cell>
          <cell r="Q6" t="str">
            <v>Wireline Open Hole</v>
          </cell>
          <cell r="S6" t="str">
            <v>Slb</v>
          </cell>
        </row>
        <row r="7">
          <cell r="A7" t="str">
            <v>Elims</v>
          </cell>
          <cell r="I7" t="str">
            <v>Elims</v>
          </cell>
          <cell r="J7" t="str">
            <v>North America</v>
          </cell>
          <cell r="K7" t="str">
            <v>Canada</v>
          </cell>
          <cell r="L7" t="str">
            <v>Drilling &amp; Measurements</v>
          </cell>
          <cell r="M7" t="str">
            <v>Wireline Cased Hole</v>
          </cell>
          <cell r="O7" t="str">
            <v>Slb</v>
          </cell>
          <cell r="Q7" t="str">
            <v>Wireline Cased Hole</v>
          </cell>
          <cell r="S7" t="str">
            <v>Slb</v>
          </cell>
        </row>
        <row r="8">
          <cell r="A8" t="str">
            <v>Elims</v>
          </cell>
          <cell r="J8" t="str">
            <v>Latin America</v>
          </cell>
          <cell r="K8" t="str">
            <v>US Land</v>
          </cell>
          <cell r="L8" t="str">
            <v>Well Completions &amp; Productivity</v>
          </cell>
          <cell r="M8" t="str">
            <v>Anadrill</v>
          </cell>
          <cell r="O8" t="str">
            <v>Slb</v>
          </cell>
          <cell r="Q8" t="str">
            <v>Anadrill</v>
          </cell>
          <cell r="S8" t="str">
            <v>Slb</v>
          </cell>
        </row>
        <row r="9">
          <cell r="A9" t="str">
            <v>Elims</v>
          </cell>
          <cell r="J9" t="str">
            <v>Europe-CIS &amp; Africa</v>
          </cell>
          <cell r="K9" t="str">
            <v>Gulf Coast</v>
          </cell>
          <cell r="L9" t="str">
            <v>Well Services</v>
          </cell>
          <cell r="M9" t="str">
            <v>D&amp;M HQ Elims</v>
          </cell>
          <cell r="O9" t="str">
            <v>Slb,Elims</v>
          </cell>
          <cell r="Q9" t="str">
            <v>Artificial Lift</v>
          </cell>
          <cell r="S9" t="str">
            <v>Slb</v>
          </cell>
        </row>
        <row r="10">
          <cell r="A10" t="str">
            <v>Elims</v>
          </cell>
          <cell r="J10" t="str">
            <v>Middle East &amp; Asia</v>
          </cell>
          <cell r="K10" t="str">
            <v>Mexico &amp; Central America</v>
          </cell>
          <cell r="L10" t="str">
            <v>IPM</v>
          </cell>
          <cell r="M10" t="str">
            <v>Artificial Lift</v>
          </cell>
          <cell r="O10" t="str">
            <v>Slb,Elims</v>
          </cell>
          <cell r="Q10" t="str">
            <v>Testing and Completions System</v>
          </cell>
          <cell r="S10" t="str">
            <v>Slb</v>
          </cell>
        </row>
        <row r="11">
          <cell r="A11" t="str">
            <v>Elims</v>
          </cell>
          <cell r="J11" t="str">
            <v>Product Group Eliminations</v>
          </cell>
          <cell r="K11" t="str">
            <v>Venezuela, Trinidad &amp; Tobago</v>
          </cell>
          <cell r="L11" t="str">
            <v>SLB Information Solutions</v>
          </cell>
          <cell r="M11" t="str">
            <v>Testing and Completions System</v>
          </cell>
          <cell r="O11" t="str">
            <v>Slb,Elims</v>
          </cell>
          <cell r="Q11" t="str">
            <v>WCP HQ</v>
          </cell>
          <cell r="S11" t="str">
            <v>Slb</v>
          </cell>
        </row>
        <row r="12">
          <cell r="A12" t="str">
            <v>Elims</v>
          </cell>
          <cell r="J12" t="str">
            <v>OFS Eliminations</v>
          </cell>
          <cell r="K12" t="str">
            <v>Peru, Columbia &amp; Ecuador</v>
          </cell>
          <cell r="L12" t="str">
            <v>Data and Consulting Services</v>
          </cell>
          <cell r="M12" t="str">
            <v>WCP HQ</v>
          </cell>
          <cell r="O12" t="str">
            <v>Slb</v>
          </cell>
          <cell r="Q12" t="str">
            <v>Well Services</v>
          </cell>
          <cell r="S12" t="str">
            <v>Slb</v>
          </cell>
        </row>
        <row r="13">
          <cell r="A13" t="str">
            <v>Elims</v>
          </cell>
          <cell r="K13" t="str">
            <v>Argentina, Brazil, Bolivia &amp; Chile</v>
          </cell>
          <cell r="L13" t="str">
            <v>Drilling Services</v>
          </cell>
          <cell r="M13" t="str">
            <v>Well Services</v>
          </cell>
          <cell r="O13" t="str">
            <v>Slb</v>
          </cell>
          <cell r="Q13" t="str">
            <v>Well Construction and Intervention</v>
          </cell>
          <cell r="S13" t="str">
            <v>Slb</v>
          </cell>
        </row>
        <row r="14">
          <cell r="A14" t="str">
            <v>Elims</v>
          </cell>
          <cell r="K14" t="str">
            <v>UK</v>
          </cell>
          <cell r="L14" t="str">
            <v>Area Unallocated</v>
          </cell>
          <cell r="M14" t="str">
            <v>Well Construction and Intervention</v>
          </cell>
          <cell r="O14" t="str">
            <v>Slb</v>
          </cell>
          <cell r="Q14" t="str">
            <v>Production Services and Engineering</v>
          </cell>
          <cell r="S14" t="str">
            <v>Slb</v>
          </cell>
        </row>
        <row r="15">
          <cell r="A15" t="str">
            <v>Elims</v>
          </cell>
          <cell r="K15" t="str">
            <v>Scandinavia</v>
          </cell>
          <cell r="L15" t="str">
            <v>OFS Unallocated</v>
          </cell>
          <cell r="M15" t="str">
            <v>Production Services and Engineering</v>
          </cell>
          <cell r="O15" t="str">
            <v>Slb,Elims</v>
          </cell>
          <cell r="Q15" t="str">
            <v>KBB</v>
          </cell>
          <cell r="S15" t="str">
            <v>Slb</v>
          </cell>
        </row>
        <row r="16">
          <cell r="A16" t="str">
            <v>Elims</v>
          </cell>
          <cell r="K16" t="str">
            <v>Russian</v>
          </cell>
          <cell r="M16" t="str">
            <v>KBB</v>
          </cell>
          <cell r="O16" t="str">
            <v>Slb,Elims</v>
          </cell>
          <cell r="Q16" t="str">
            <v>Reservoir Products</v>
          </cell>
          <cell r="S16" t="str">
            <v>Slb</v>
          </cell>
        </row>
        <row r="17">
          <cell r="A17" t="str">
            <v>Elims</v>
          </cell>
          <cell r="K17" t="str">
            <v>Continental Europe</v>
          </cell>
          <cell r="M17" t="str">
            <v>Reservoir Products</v>
          </cell>
          <cell r="O17" t="str">
            <v>Slb,Elims</v>
          </cell>
          <cell r="Q17" t="str">
            <v>Reservoir Projects</v>
          </cell>
          <cell r="S17" t="str">
            <v>Slb</v>
          </cell>
        </row>
        <row r="18">
          <cell r="A18" t="str">
            <v>Elims</v>
          </cell>
          <cell r="K18" t="str">
            <v>West &amp; South Africa</v>
          </cell>
          <cell r="M18" t="str">
            <v>Reservoir Projects</v>
          </cell>
          <cell r="O18" t="str">
            <v>Slb,Elims</v>
          </cell>
          <cell r="Q18" t="str">
            <v>Baker &amp; Jardin</v>
          </cell>
          <cell r="S18" t="str">
            <v>Slb</v>
          </cell>
        </row>
        <row r="19">
          <cell r="A19" t="str">
            <v>Elims</v>
          </cell>
          <cell r="K19" t="str">
            <v>Nigeria</v>
          </cell>
          <cell r="M19" t="str">
            <v>Data and Consulting Services</v>
          </cell>
          <cell r="O19" t="str">
            <v>Slb,Elims</v>
          </cell>
          <cell r="Q19" t="str">
            <v>Indigopool.com</v>
          </cell>
          <cell r="S19" t="str">
            <v>Slb</v>
          </cell>
        </row>
        <row r="20">
          <cell r="A20" t="str">
            <v>Elims</v>
          </cell>
          <cell r="K20" t="str">
            <v>Algeria, Tunisia &amp; Morocco</v>
          </cell>
          <cell r="M20" t="str">
            <v>Baker &amp; Jardin</v>
          </cell>
          <cell r="O20" t="str">
            <v>Slb,Elims</v>
          </cell>
          <cell r="Q20" t="str">
            <v>Inside Reality</v>
          </cell>
          <cell r="S20" t="str">
            <v>Slb</v>
          </cell>
        </row>
        <row r="21">
          <cell r="A21" t="str">
            <v>Elims</v>
          </cell>
          <cell r="K21" t="str">
            <v>Caspian</v>
          </cell>
          <cell r="M21" t="str">
            <v>Indigopool.com</v>
          </cell>
          <cell r="O21" t="str">
            <v>Slb,Elims</v>
          </cell>
          <cell r="Q21" t="str">
            <v>SIS HQ elims</v>
          </cell>
          <cell r="S21" t="str">
            <v>Slb</v>
          </cell>
        </row>
        <row r="22">
          <cell r="A22" t="str">
            <v>Elims</v>
          </cell>
          <cell r="K22" t="str">
            <v>Libya</v>
          </cell>
          <cell r="M22" t="str">
            <v>Inside Reality</v>
          </cell>
          <cell r="O22" t="str">
            <v>Slb,Elims</v>
          </cell>
          <cell r="Q22" t="str">
            <v>Data and Consulting Services</v>
          </cell>
          <cell r="S22" t="str">
            <v>Slb</v>
          </cell>
        </row>
        <row r="23">
          <cell r="A23" t="str">
            <v>Slb</v>
          </cell>
          <cell r="K23" t="str">
            <v>East Mediterranean</v>
          </cell>
          <cell r="M23" t="str">
            <v>SIS HQ elims</v>
          </cell>
          <cell r="O23" t="str">
            <v>Slb</v>
          </cell>
          <cell r="Q23" t="str">
            <v>Drilling Services</v>
          </cell>
          <cell r="S23" t="str">
            <v>Slb</v>
          </cell>
        </row>
        <row r="24">
          <cell r="A24" t="str">
            <v>Slb</v>
          </cell>
          <cell r="K24" t="str">
            <v>Saudi, Kuwait &amp; Bahrain</v>
          </cell>
          <cell r="M24" t="str">
            <v>Drilling Services</v>
          </cell>
          <cell r="O24" t="str">
            <v>Slb,Elims</v>
          </cell>
          <cell r="Q24" t="str">
            <v>Area Unallocated</v>
          </cell>
          <cell r="S24" t="str">
            <v>Slb</v>
          </cell>
        </row>
        <row r="25">
          <cell r="A25" t="str">
            <v>Slb</v>
          </cell>
          <cell r="K25" t="str">
            <v xml:space="preserve">Gulf  </v>
          </cell>
          <cell r="M25" t="str">
            <v>Area Unallocated</v>
          </cell>
          <cell r="O25" t="str">
            <v>Slb,Elims</v>
          </cell>
          <cell r="Q25" t="str">
            <v>OFS Unallocated</v>
          </cell>
          <cell r="S25" t="str">
            <v>Slb</v>
          </cell>
        </row>
        <row r="26">
          <cell r="A26" t="str">
            <v>Slb</v>
          </cell>
          <cell r="K26" t="str">
            <v>Iran</v>
          </cell>
          <cell r="M26" t="str">
            <v>OFS Unallocated</v>
          </cell>
          <cell r="S26" t="str">
            <v>Slb</v>
          </cell>
        </row>
        <row r="27">
          <cell r="A27" t="str">
            <v>Slb</v>
          </cell>
          <cell r="K27" t="str">
            <v>India</v>
          </cell>
          <cell r="S27" t="str">
            <v>Slb</v>
          </cell>
        </row>
        <row r="28">
          <cell r="A28" t="str">
            <v>Slb</v>
          </cell>
          <cell r="K28" t="str">
            <v>Australasia</v>
          </cell>
          <cell r="S28" t="str">
            <v>Slb</v>
          </cell>
        </row>
        <row r="29">
          <cell r="A29" t="str">
            <v>Slb</v>
          </cell>
          <cell r="K29" t="str">
            <v>China</v>
          </cell>
          <cell r="S29" t="str">
            <v>Slb</v>
          </cell>
        </row>
        <row r="30">
          <cell r="A30" t="str">
            <v>Slb</v>
          </cell>
          <cell r="K30" t="str">
            <v>Indonesia</v>
          </cell>
          <cell r="S30" t="str">
            <v>Slb</v>
          </cell>
        </row>
        <row r="31">
          <cell r="A31" t="str">
            <v>Slb</v>
          </cell>
          <cell r="K31" t="str">
            <v>Brunei, Malaysia, Philippines</v>
          </cell>
          <cell r="S31" t="str">
            <v>Slb</v>
          </cell>
        </row>
        <row r="32">
          <cell r="A32" t="str">
            <v>Slb</v>
          </cell>
          <cell r="K32" t="str">
            <v>Thailand, Myanmar, Vietnam, Bangladesh</v>
          </cell>
          <cell r="S32" t="str">
            <v>Slb</v>
          </cell>
        </row>
        <row r="33">
          <cell r="A33" t="str">
            <v>Slb</v>
          </cell>
          <cell r="K33" t="str">
            <v>ATL Manufactuing</v>
          </cell>
          <cell r="S33" t="str">
            <v>Slb</v>
          </cell>
        </row>
        <row r="34">
          <cell r="A34" t="str">
            <v>Slb</v>
          </cell>
          <cell r="K34" t="str">
            <v>ATL Mfg Elims</v>
          </cell>
          <cell r="S34" t="str">
            <v>Slb</v>
          </cell>
        </row>
        <row r="35">
          <cell r="A35" t="str">
            <v>Slb</v>
          </cell>
          <cell r="K35" t="str">
            <v>ATL HQ &amp; Elims</v>
          </cell>
          <cell r="S35" t="str">
            <v>Slb</v>
          </cell>
        </row>
        <row r="36">
          <cell r="A36" t="str">
            <v>Slb</v>
          </cell>
          <cell r="K36" t="str">
            <v>TCS Manufactuing</v>
          </cell>
          <cell r="S36" t="str">
            <v>Slb</v>
          </cell>
        </row>
        <row r="37">
          <cell r="A37" t="str">
            <v>Slb</v>
          </cell>
          <cell r="K37" t="str">
            <v>TCS Mfg Elims</v>
          </cell>
          <cell r="S37" t="str">
            <v>Slb</v>
          </cell>
        </row>
        <row r="38">
          <cell r="A38" t="str">
            <v>Slb</v>
          </cell>
          <cell r="K38" t="str">
            <v>Sensa</v>
          </cell>
          <cell r="S38" t="str">
            <v>Slb</v>
          </cell>
        </row>
        <row r="39">
          <cell r="A39" t="str">
            <v>Slb</v>
          </cell>
          <cell r="K39" t="str">
            <v>TCS HQ &amp; Elims</v>
          </cell>
          <cell r="S39" t="str">
            <v>Slb</v>
          </cell>
        </row>
        <row r="40">
          <cell r="A40" t="str">
            <v>Slb</v>
          </cell>
          <cell r="K40" t="str">
            <v>WCP HQ &amp; Elims</v>
          </cell>
          <cell r="S40" t="str">
            <v>Slb</v>
          </cell>
        </row>
        <row r="41">
          <cell r="A41" t="str">
            <v>Slb</v>
          </cell>
          <cell r="K41" t="str">
            <v>Baker &amp; Jardin</v>
          </cell>
          <cell r="S41" t="str">
            <v>Slb</v>
          </cell>
        </row>
        <row r="42">
          <cell r="A42" t="str">
            <v>Slb</v>
          </cell>
          <cell r="K42" t="str">
            <v>Indigopool.com</v>
          </cell>
          <cell r="S42" t="str">
            <v>Slb</v>
          </cell>
        </row>
        <row r="43">
          <cell r="A43" t="str">
            <v>Slb</v>
          </cell>
          <cell r="K43" t="str">
            <v>Inside Reality</v>
          </cell>
          <cell r="S43" t="str">
            <v>Slb</v>
          </cell>
        </row>
        <row r="44">
          <cell r="A44" t="str">
            <v>Slb</v>
          </cell>
          <cell r="K44" t="str">
            <v>SIS HQ elims</v>
          </cell>
          <cell r="S44" t="str">
            <v>Slb</v>
          </cell>
        </row>
        <row r="45">
          <cell r="A45" t="str">
            <v>Slb</v>
          </cell>
          <cell r="K45" t="str">
            <v>KBB</v>
          </cell>
          <cell r="S45" t="str">
            <v>Slb</v>
          </cell>
        </row>
        <row r="46">
          <cell r="A46" t="str">
            <v>Slb</v>
          </cell>
          <cell r="K46" t="str">
            <v>Other OFS (MFG)</v>
          </cell>
          <cell r="S46" t="str">
            <v>Slb</v>
          </cell>
        </row>
        <row r="47">
          <cell r="A47" t="str">
            <v>Slb</v>
          </cell>
          <cell r="K47" t="str">
            <v>Area Elims</v>
          </cell>
          <cell r="S47" t="str">
            <v>Slb</v>
          </cell>
        </row>
        <row r="48">
          <cell r="A48" t="str">
            <v>Slb</v>
          </cell>
          <cell r="K48" t="str">
            <v>Product Group Eliminations</v>
          </cell>
          <cell r="S48" t="str">
            <v>Slb</v>
          </cell>
        </row>
        <row r="49">
          <cell r="A49" t="str">
            <v>Slb</v>
          </cell>
          <cell r="K49" t="str">
            <v>OFS Eliminations</v>
          </cell>
          <cell r="S49" t="str">
            <v>Slb</v>
          </cell>
        </row>
        <row r="50">
          <cell r="A50" t="str">
            <v>Slb</v>
          </cell>
          <cell r="S50" t="str">
            <v>Slb</v>
          </cell>
        </row>
        <row r="51">
          <cell r="A51" t="str">
            <v>Slb</v>
          </cell>
          <cell r="S51" t="str">
            <v>Slb</v>
          </cell>
        </row>
        <row r="52">
          <cell r="A52" t="str">
            <v>Slb</v>
          </cell>
          <cell r="S52" t="str">
            <v>Slb</v>
          </cell>
        </row>
        <row r="53">
          <cell r="A53" t="str">
            <v>Slb</v>
          </cell>
          <cell r="S53" t="str">
            <v>Slb</v>
          </cell>
        </row>
        <row r="54">
          <cell r="A54" t="str">
            <v>Slb</v>
          </cell>
          <cell r="S54" t="str">
            <v>Slb</v>
          </cell>
        </row>
        <row r="55">
          <cell r="A55" t="str">
            <v>Slb</v>
          </cell>
          <cell r="S55" t="str">
            <v>Slb</v>
          </cell>
        </row>
        <row r="56">
          <cell r="A56" t="str">
            <v>Slb</v>
          </cell>
          <cell r="S56" t="str">
            <v>Slb</v>
          </cell>
        </row>
        <row r="57">
          <cell r="A57" t="str">
            <v>Slb</v>
          </cell>
          <cell r="S57" t="str">
            <v>Slb</v>
          </cell>
        </row>
        <row r="58">
          <cell r="A58" t="str">
            <v>Slb</v>
          </cell>
          <cell r="S58" t="str">
            <v>Slb</v>
          </cell>
        </row>
        <row r="59">
          <cell r="A59" t="str">
            <v>Slb</v>
          </cell>
          <cell r="S59" t="str">
            <v>Slb</v>
          </cell>
        </row>
        <row r="60">
          <cell r="A60" t="str">
            <v>Slb</v>
          </cell>
          <cell r="S60" t="str">
            <v>Slb</v>
          </cell>
        </row>
        <row r="61">
          <cell r="A61" t="str">
            <v>Slb</v>
          </cell>
          <cell r="S61" t="str">
            <v>Slb</v>
          </cell>
        </row>
        <row r="62">
          <cell r="A62" t="str">
            <v>Slb</v>
          </cell>
          <cell r="S62" t="str">
            <v>Slb</v>
          </cell>
        </row>
        <row r="63">
          <cell r="A63" t="str">
            <v>Slb</v>
          </cell>
          <cell r="S63" t="str">
            <v>Elims</v>
          </cell>
        </row>
        <row r="64">
          <cell r="A64" t="str">
            <v>Slb</v>
          </cell>
          <cell r="S64" t="str">
            <v>Elims</v>
          </cell>
        </row>
        <row r="65">
          <cell r="A65" t="str">
            <v>Slb</v>
          </cell>
          <cell r="S65" t="str">
            <v>Elims</v>
          </cell>
        </row>
        <row r="66">
          <cell r="A66" t="str">
            <v>Slb</v>
          </cell>
          <cell r="S66" t="str">
            <v>Elims</v>
          </cell>
        </row>
        <row r="67">
          <cell r="A67" t="str">
            <v>Slb</v>
          </cell>
          <cell r="S67" t="str">
            <v>Elims</v>
          </cell>
        </row>
        <row r="68">
          <cell r="A68" t="str">
            <v>Slb</v>
          </cell>
          <cell r="S68" t="str">
            <v>Elims</v>
          </cell>
        </row>
        <row r="69">
          <cell r="A69" t="str">
            <v>Slb</v>
          </cell>
          <cell r="S69" t="str">
            <v>Elims</v>
          </cell>
        </row>
        <row r="70">
          <cell r="A70" t="str">
            <v>Slb</v>
          </cell>
          <cell r="S70" t="str">
            <v>Elims</v>
          </cell>
        </row>
        <row r="71">
          <cell r="A71" t="str">
            <v>Slb</v>
          </cell>
          <cell r="S71" t="str">
            <v>Elims</v>
          </cell>
        </row>
        <row r="72">
          <cell r="A72" t="str">
            <v>Slb</v>
          </cell>
          <cell r="S72" t="str">
            <v>Elims</v>
          </cell>
        </row>
        <row r="73">
          <cell r="A73" t="str">
            <v>Slb</v>
          </cell>
          <cell r="S73" t="str">
            <v>Elims</v>
          </cell>
        </row>
        <row r="74">
          <cell r="A74" t="str">
            <v>Slb</v>
          </cell>
          <cell r="S74" t="str">
            <v>Elims</v>
          </cell>
        </row>
        <row r="75">
          <cell r="A75" t="str">
            <v>Slb</v>
          </cell>
          <cell r="S75" t="str">
            <v>Elims</v>
          </cell>
        </row>
        <row r="76">
          <cell r="A76" t="str">
            <v>Slb</v>
          </cell>
          <cell r="S76" t="str">
            <v>Elims</v>
          </cell>
        </row>
        <row r="77">
          <cell r="A77" t="str">
            <v>Slb</v>
          </cell>
          <cell r="S77" t="str">
            <v>Elims</v>
          </cell>
        </row>
        <row r="78">
          <cell r="A78" t="str">
            <v>Slb</v>
          </cell>
          <cell r="S78" t="str">
            <v>Elims</v>
          </cell>
        </row>
        <row r="79">
          <cell r="A79" t="str">
            <v>Slb</v>
          </cell>
        </row>
        <row r="80">
          <cell r="A80" t="str">
            <v>Slb</v>
          </cell>
        </row>
        <row r="81">
          <cell r="A81" t="str">
            <v>Slb</v>
          </cell>
        </row>
        <row r="82">
          <cell r="A82" t="str">
            <v>Slb</v>
          </cell>
        </row>
        <row r="83">
          <cell r="A83" t="str">
            <v>Slb</v>
          </cell>
        </row>
        <row r="84">
          <cell r="A84" t="str">
            <v>Slb</v>
          </cell>
        </row>
        <row r="85">
          <cell r="A85" t="str">
            <v>Slb</v>
          </cell>
        </row>
        <row r="86">
          <cell r="A86" t="str">
            <v>Slb</v>
          </cell>
        </row>
        <row r="87">
          <cell r="A87" t="str">
            <v>Slb</v>
          </cell>
        </row>
        <row r="88">
          <cell r="A88" t="str">
            <v>Slb</v>
          </cell>
        </row>
        <row r="89">
          <cell r="A89" t="str">
            <v>Slb</v>
          </cell>
        </row>
        <row r="90">
          <cell r="A90" t="str">
            <v>Slb</v>
          </cell>
        </row>
        <row r="91">
          <cell r="A91" t="str">
            <v>Slb</v>
          </cell>
        </row>
        <row r="92">
          <cell r="A92" t="str">
            <v>Slb</v>
          </cell>
        </row>
        <row r="93">
          <cell r="A93" t="str">
            <v>Slb</v>
          </cell>
        </row>
        <row r="94">
          <cell r="A94" t="str">
            <v>Slb</v>
          </cell>
        </row>
        <row r="95">
          <cell r="A95" t="str">
            <v>Slb</v>
          </cell>
        </row>
        <row r="96">
          <cell r="A96" t="str">
            <v>Slb</v>
          </cell>
        </row>
        <row r="97">
          <cell r="A97" t="str">
            <v>Slb</v>
          </cell>
        </row>
        <row r="98">
          <cell r="A98" t="str">
            <v>Slb</v>
          </cell>
        </row>
        <row r="99">
          <cell r="A99" t="str">
            <v>Slb</v>
          </cell>
        </row>
        <row r="100">
          <cell r="A100" t="str">
            <v>Slb</v>
          </cell>
        </row>
        <row r="101">
          <cell r="A101" t="str">
            <v>Slb</v>
          </cell>
        </row>
        <row r="102">
          <cell r="A102" t="str">
            <v>Slb</v>
          </cell>
        </row>
        <row r="103">
          <cell r="A103" t="str">
            <v>Slb</v>
          </cell>
        </row>
        <row r="104">
          <cell r="A104" t="str">
            <v>Slb</v>
          </cell>
        </row>
        <row r="105">
          <cell r="A105" t="str">
            <v>Slb</v>
          </cell>
        </row>
        <row r="106">
          <cell r="A106" t="str">
            <v>Slb</v>
          </cell>
        </row>
        <row r="107">
          <cell r="A107" t="str">
            <v>Slb</v>
          </cell>
        </row>
        <row r="108">
          <cell r="A108" t="str">
            <v>Slb</v>
          </cell>
        </row>
        <row r="109">
          <cell r="A109" t="str">
            <v>Slb</v>
          </cell>
        </row>
        <row r="110">
          <cell r="A110" t="str">
            <v>Slb</v>
          </cell>
        </row>
        <row r="111">
          <cell r="A111" t="str">
            <v>Slb</v>
          </cell>
        </row>
        <row r="112">
          <cell r="A112" t="str">
            <v>Slb</v>
          </cell>
        </row>
        <row r="113">
          <cell r="A113" t="str">
            <v>Slb</v>
          </cell>
        </row>
        <row r="114">
          <cell r="A114" t="str">
            <v>Slb</v>
          </cell>
        </row>
        <row r="115">
          <cell r="A115" t="str">
            <v>Slb</v>
          </cell>
        </row>
        <row r="116">
          <cell r="A116" t="str">
            <v>Slb</v>
          </cell>
        </row>
        <row r="117">
          <cell r="A117" t="str">
            <v>Slb</v>
          </cell>
        </row>
        <row r="118">
          <cell r="A118" t="str">
            <v>Slb</v>
          </cell>
        </row>
        <row r="119">
          <cell r="A119" t="str">
            <v>Slb</v>
          </cell>
        </row>
        <row r="120">
          <cell r="A120" t="str">
            <v>Slb</v>
          </cell>
        </row>
        <row r="121">
          <cell r="A121" t="str">
            <v>Slb</v>
          </cell>
        </row>
        <row r="122">
          <cell r="A122" t="str">
            <v>Slb</v>
          </cell>
        </row>
        <row r="123">
          <cell r="A123" t="str">
            <v>Slb</v>
          </cell>
        </row>
        <row r="124">
          <cell r="A124" t="str">
            <v>Slb</v>
          </cell>
        </row>
        <row r="125">
          <cell r="A125" t="str">
            <v>Slb</v>
          </cell>
        </row>
        <row r="126">
          <cell r="A126" t="str">
            <v>Slb</v>
          </cell>
        </row>
        <row r="127">
          <cell r="A127" t="str">
            <v>Slb</v>
          </cell>
        </row>
        <row r="128">
          <cell r="A128" t="str">
            <v>Slb</v>
          </cell>
        </row>
        <row r="129">
          <cell r="A129" t="str">
            <v>Slb</v>
          </cell>
        </row>
        <row r="130">
          <cell r="A130" t="str">
            <v>Slb</v>
          </cell>
        </row>
        <row r="131">
          <cell r="A131" t="str">
            <v>Slb</v>
          </cell>
        </row>
        <row r="132">
          <cell r="A132" t="str">
            <v>Slb</v>
          </cell>
        </row>
        <row r="133">
          <cell r="A133" t="str">
            <v>Slb</v>
          </cell>
        </row>
        <row r="134">
          <cell r="A134" t="str">
            <v>Slb</v>
          </cell>
        </row>
        <row r="135">
          <cell r="A135" t="str">
            <v>Slb</v>
          </cell>
        </row>
        <row r="136">
          <cell r="A136" t="str">
            <v>Slb</v>
          </cell>
        </row>
        <row r="137">
          <cell r="A137" t="str">
            <v>Slb</v>
          </cell>
        </row>
        <row r="138">
          <cell r="A138" t="str">
            <v>Slb</v>
          </cell>
        </row>
        <row r="139">
          <cell r="A139" t="str">
            <v>Slb</v>
          </cell>
        </row>
        <row r="140">
          <cell r="A140" t="str">
            <v>Slb</v>
          </cell>
        </row>
        <row r="141">
          <cell r="A141" t="str">
            <v>Slb</v>
          </cell>
        </row>
        <row r="142">
          <cell r="A142" t="str">
            <v>Slb</v>
          </cell>
        </row>
        <row r="143">
          <cell r="A143" t="str">
            <v>Slb</v>
          </cell>
        </row>
        <row r="144">
          <cell r="A144" t="str">
            <v>Slb</v>
          </cell>
        </row>
        <row r="145">
          <cell r="A145" t="str">
            <v>Slb</v>
          </cell>
        </row>
        <row r="146">
          <cell r="A146" t="str">
            <v>Slb</v>
          </cell>
        </row>
        <row r="147">
          <cell r="A147" t="str">
            <v>Slb</v>
          </cell>
        </row>
        <row r="148">
          <cell r="A148" t="str">
            <v>Slb</v>
          </cell>
        </row>
        <row r="149">
          <cell r="A149" t="str">
            <v>Slb</v>
          </cell>
        </row>
        <row r="150">
          <cell r="A150" t="str">
            <v>Slb</v>
          </cell>
        </row>
        <row r="151">
          <cell r="A151" t="str">
            <v>Slb</v>
          </cell>
        </row>
        <row r="152">
          <cell r="A152" t="str">
            <v>Slb</v>
          </cell>
        </row>
        <row r="153">
          <cell r="A153" t="str">
            <v>Slb</v>
          </cell>
        </row>
        <row r="154">
          <cell r="A154" t="str">
            <v>Slb</v>
          </cell>
        </row>
        <row r="155">
          <cell r="A155" t="str">
            <v>Slb</v>
          </cell>
        </row>
        <row r="156">
          <cell r="A156" t="str">
            <v>Slb</v>
          </cell>
        </row>
        <row r="157">
          <cell r="A157" t="str">
            <v>Slb</v>
          </cell>
        </row>
        <row r="158">
          <cell r="A158" t="str">
            <v>Slb</v>
          </cell>
        </row>
        <row r="159">
          <cell r="A159" t="str">
            <v>Slb</v>
          </cell>
        </row>
        <row r="160">
          <cell r="A160" t="str">
            <v>Slb</v>
          </cell>
        </row>
        <row r="161">
          <cell r="A161" t="str">
            <v>Slb</v>
          </cell>
        </row>
        <row r="162">
          <cell r="A162" t="str">
            <v>Slb</v>
          </cell>
        </row>
        <row r="163">
          <cell r="A163" t="str">
            <v>Slb</v>
          </cell>
        </row>
        <row r="164">
          <cell r="A164" t="str">
            <v>Slb</v>
          </cell>
        </row>
        <row r="165">
          <cell r="A165" t="str">
            <v>Slb</v>
          </cell>
        </row>
        <row r="166">
          <cell r="A166" t="str">
            <v>Slb</v>
          </cell>
        </row>
        <row r="167">
          <cell r="A167" t="str">
            <v>Slb</v>
          </cell>
        </row>
        <row r="168">
          <cell r="A168" t="str">
            <v>Slb</v>
          </cell>
        </row>
        <row r="169">
          <cell r="A169" t="str">
            <v>Slb</v>
          </cell>
        </row>
        <row r="170">
          <cell r="A170" t="str">
            <v>Slb</v>
          </cell>
        </row>
        <row r="171">
          <cell r="A171" t="str">
            <v>Slb</v>
          </cell>
        </row>
        <row r="172">
          <cell r="A172" t="str">
            <v>Slb</v>
          </cell>
        </row>
        <row r="173">
          <cell r="A173" t="str">
            <v>Slb</v>
          </cell>
        </row>
        <row r="174">
          <cell r="A174" t="str">
            <v>Slb</v>
          </cell>
        </row>
        <row r="175">
          <cell r="A175" t="str">
            <v>Slb</v>
          </cell>
        </row>
        <row r="176">
          <cell r="A176" t="str">
            <v>Slb</v>
          </cell>
        </row>
        <row r="177">
          <cell r="A177" t="str">
            <v>Slb</v>
          </cell>
        </row>
        <row r="178">
          <cell r="A178" t="str">
            <v>Slb</v>
          </cell>
        </row>
        <row r="179">
          <cell r="A179" t="str">
            <v>Slb</v>
          </cell>
        </row>
        <row r="180">
          <cell r="A180" t="str">
            <v>Slb</v>
          </cell>
        </row>
        <row r="181">
          <cell r="A181" t="str">
            <v>Slb</v>
          </cell>
        </row>
        <row r="182">
          <cell r="A182" t="str">
            <v>Slb</v>
          </cell>
        </row>
        <row r="183">
          <cell r="A183" t="str">
            <v>Slb</v>
          </cell>
        </row>
        <row r="184">
          <cell r="A184" t="str">
            <v>Slb</v>
          </cell>
        </row>
        <row r="185">
          <cell r="A185" t="str">
            <v>Slb</v>
          </cell>
        </row>
        <row r="186">
          <cell r="A186" t="str">
            <v>Slb</v>
          </cell>
        </row>
        <row r="187">
          <cell r="A187" t="str">
            <v>Slb</v>
          </cell>
        </row>
        <row r="188">
          <cell r="A188" t="str">
            <v>Slb</v>
          </cell>
        </row>
        <row r="189">
          <cell r="A189" t="str">
            <v>Slb</v>
          </cell>
        </row>
        <row r="190">
          <cell r="A190" t="str">
            <v>Slb</v>
          </cell>
        </row>
        <row r="191">
          <cell r="A191" t="str">
            <v>Slb</v>
          </cell>
        </row>
        <row r="192">
          <cell r="A192" t="str">
            <v>Slb</v>
          </cell>
        </row>
        <row r="193">
          <cell r="A193" t="str">
            <v>Slb</v>
          </cell>
        </row>
        <row r="194">
          <cell r="A194" t="str">
            <v>Slb</v>
          </cell>
        </row>
        <row r="195">
          <cell r="A195" t="str">
            <v>Slb</v>
          </cell>
        </row>
        <row r="196">
          <cell r="A196" t="str">
            <v>Slb</v>
          </cell>
        </row>
        <row r="197">
          <cell r="A197" t="str">
            <v>Slb</v>
          </cell>
        </row>
        <row r="198">
          <cell r="A198" t="str">
            <v>Slb</v>
          </cell>
        </row>
        <row r="199">
          <cell r="A199" t="str">
            <v>Slb</v>
          </cell>
        </row>
        <row r="200">
          <cell r="A200" t="str">
            <v>Slb</v>
          </cell>
        </row>
        <row r="201">
          <cell r="A201" t="str">
            <v>Slb</v>
          </cell>
        </row>
        <row r="202">
          <cell r="A202" t="str">
            <v>Slb</v>
          </cell>
        </row>
        <row r="203">
          <cell r="A203" t="str">
            <v>Slb</v>
          </cell>
        </row>
        <row r="204">
          <cell r="A204" t="str">
            <v>Slb</v>
          </cell>
        </row>
        <row r="205">
          <cell r="A205" t="str">
            <v>Slb</v>
          </cell>
        </row>
        <row r="206">
          <cell r="A206" t="str">
            <v>Slb</v>
          </cell>
        </row>
        <row r="207">
          <cell r="A207" t="str">
            <v>Slb</v>
          </cell>
        </row>
        <row r="208">
          <cell r="A208" t="str">
            <v>Slb</v>
          </cell>
        </row>
        <row r="209">
          <cell r="A209" t="str">
            <v>Slb</v>
          </cell>
        </row>
        <row r="210">
          <cell r="A210" t="str">
            <v>Slb</v>
          </cell>
        </row>
        <row r="211">
          <cell r="A211" t="str">
            <v>Slb</v>
          </cell>
        </row>
        <row r="212">
          <cell r="A212" t="str">
            <v>Slb</v>
          </cell>
        </row>
        <row r="213">
          <cell r="A213" t="str">
            <v>Slb</v>
          </cell>
        </row>
        <row r="214">
          <cell r="A214" t="str">
            <v>Slb</v>
          </cell>
        </row>
        <row r="215">
          <cell r="A215" t="str">
            <v>Slb</v>
          </cell>
        </row>
        <row r="216">
          <cell r="A216" t="str">
            <v>Slb</v>
          </cell>
        </row>
        <row r="217">
          <cell r="A217" t="str">
            <v>Slb</v>
          </cell>
        </row>
        <row r="218">
          <cell r="A218" t="str">
            <v>Slb</v>
          </cell>
        </row>
        <row r="219">
          <cell r="A219" t="str">
            <v>Slb</v>
          </cell>
        </row>
        <row r="220">
          <cell r="A220" t="str">
            <v>Slb</v>
          </cell>
        </row>
        <row r="221">
          <cell r="A221" t="str">
            <v>Slb</v>
          </cell>
        </row>
        <row r="222">
          <cell r="A222" t="str">
            <v>Slb</v>
          </cell>
        </row>
        <row r="223">
          <cell r="A223" t="str">
            <v>Slb</v>
          </cell>
        </row>
        <row r="224">
          <cell r="A224" t="str">
            <v>Slb</v>
          </cell>
        </row>
        <row r="225">
          <cell r="A225" t="str">
            <v>Slb</v>
          </cell>
        </row>
        <row r="226">
          <cell r="A226" t="str">
            <v>Slb</v>
          </cell>
        </row>
        <row r="227">
          <cell r="A227" t="str">
            <v>Slb</v>
          </cell>
        </row>
        <row r="228">
          <cell r="A228" t="str">
            <v>Slb</v>
          </cell>
        </row>
        <row r="229">
          <cell r="A229" t="str">
            <v>Slb</v>
          </cell>
        </row>
        <row r="230">
          <cell r="A230" t="str">
            <v>Slb</v>
          </cell>
        </row>
        <row r="231">
          <cell r="A231" t="str">
            <v>Slb</v>
          </cell>
        </row>
        <row r="232">
          <cell r="A232" t="str">
            <v>Slb</v>
          </cell>
        </row>
        <row r="233">
          <cell r="A233" t="str">
            <v>Slb</v>
          </cell>
        </row>
        <row r="234">
          <cell r="A234" t="str">
            <v>Slb</v>
          </cell>
        </row>
        <row r="235">
          <cell r="A235" t="str">
            <v>Slb</v>
          </cell>
        </row>
        <row r="236">
          <cell r="A236" t="str">
            <v>Slb</v>
          </cell>
        </row>
        <row r="237">
          <cell r="A237" t="str">
            <v>Slb</v>
          </cell>
        </row>
        <row r="238">
          <cell r="A238" t="str">
            <v>Slb</v>
          </cell>
        </row>
        <row r="239">
          <cell r="A239" t="str">
            <v>Slb</v>
          </cell>
        </row>
        <row r="240">
          <cell r="A240" t="str">
            <v>Slb</v>
          </cell>
        </row>
        <row r="241">
          <cell r="A241" t="str">
            <v>Slb</v>
          </cell>
        </row>
        <row r="242">
          <cell r="A242" t="str">
            <v>Slb</v>
          </cell>
        </row>
        <row r="243">
          <cell r="A243" t="str">
            <v>Slb</v>
          </cell>
        </row>
        <row r="244">
          <cell r="A244" t="str">
            <v>Slb</v>
          </cell>
        </row>
        <row r="245">
          <cell r="A245" t="str">
            <v>Slb</v>
          </cell>
        </row>
        <row r="246">
          <cell r="A246" t="str">
            <v>Slb</v>
          </cell>
        </row>
        <row r="247">
          <cell r="A247" t="str">
            <v>Slb</v>
          </cell>
        </row>
        <row r="248">
          <cell r="A248" t="str">
            <v>Slb</v>
          </cell>
        </row>
        <row r="249">
          <cell r="A249" t="str">
            <v>Slb</v>
          </cell>
        </row>
        <row r="250">
          <cell r="A250" t="str">
            <v>Slb</v>
          </cell>
        </row>
        <row r="251">
          <cell r="A251" t="str">
            <v>Slb</v>
          </cell>
        </row>
        <row r="252">
          <cell r="A252" t="str">
            <v>Slb</v>
          </cell>
        </row>
        <row r="253">
          <cell r="A253" t="str">
            <v>Slb</v>
          </cell>
        </row>
        <row r="254">
          <cell r="A254" t="str">
            <v>Slb</v>
          </cell>
        </row>
        <row r="255">
          <cell r="A255" t="str">
            <v>Slb</v>
          </cell>
        </row>
        <row r="256">
          <cell r="A256" t="str">
            <v>Slb</v>
          </cell>
        </row>
        <row r="257">
          <cell r="A257" t="str">
            <v>Slb</v>
          </cell>
        </row>
        <row r="258">
          <cell r="A258" t="str">
            <v>Slb</v>
          </cell>
        </row>
        <row r="259">
          <cell r="A259" t="str">
            <v>Slb</v>
          </cell>
        </row>
        <row r="260">
          <cell r="A260" t="str">
            <v>Slb</v>
          </cell>
        </row>
        <row r="261">
          <cell r="A261" t="str">
            <v>Slb</v>
          </cell>
        </row>
        <row r="262">
          <cell r="A262" t="str">
            <v>Slb</v>
          </cell>
        </row>
        <row r="263">
          <cell r="A263" t="str">
            <v>Slb</v>
          </cell>
        </row>
        <row r="264">
          <cell r="A264" t="str">
            <v>Slb</v>
          </cell>
        </row>
        <row r="265">
          <cell r="A265" t="str">
            <v>Slb</v>
          </cell>
        </row>
        <row r="266">
          <cell r="A266" t="str">
            <v>Slb</v>
          </cell>
        </row>
        <row r="267">
          <cell r="A267" t="str">
            <v>Slb</v>
          </cell>
        </row>
        <row r="268">
          <cell r="A268" t="str">
            <v>Slb</v>
          </cell>
        </row>
        <row r="269">
          <cell r="A269" t="str">
            <v>Slb</v>
          </cell>
        </row>
        <row r="270">
          <cell r="A270" t="str">
            <v>Slb</v>
          </cell>
        </row>
        <row r="271">
          <cell r="A271" t="str">
            <v>Slb</v>
          </cell>
        </row>
        <row r="272">
          <cell r="A272" t="str">
            <v>Slb</v>
          </cell>
        </row>
        <row r="273">
          <cell r="A273" t="str">
            <v>Slb</v>
          </cell>
        </row>
        <row r="274">
          <cell r="A274" t="str">
            <v>Slb</v>
          </cell>
        </row>
        <row r="275">
          <cell r="A275" t="str">
            <v>Slb</v>
          </cell>
        </row>
        <row r="276">
          <cell r="A276" t="str">
            <v>Slb</v>
          </cell>
        </row>
        <row r="277">
          <cell r="A277" t="str">
            <v>Slb</v>
          </cell>
        </row>
        <row r="278">
          <cell r="A278" t="str">
            <v>Slb</v>
          </cell>
        </row>
        <row r="279">
          <cell r="A279" t="str">
            <v>Slb</v>
          </cell>
        </row>
        <row r="280">
          <cell r="A280" t="str">
            <v>Slb</v>
          </cell>
        </row>
        <row r="281">
          <cell r="A281" t="str">
            <v>Slb</v>
          </cell>
        </row>
        <row r="282">
          <cell r="A282" t="str">
            <v>Slb</v>
          </cell>
        </row>
        <row r="283">
          <cell r="A283" t="str">
            <v>Slb</v>
          </cell>
        </row>
        <row r="284">
          <cell r="A284" t="str">
            <v>Slb</v>
          </cell>
        </row>
        <row r="285">
          <cell r="A285" t="str">
            <v>Slb</v>
          </cell>
        </row>
        <row r="286">
          <cell r="A286" t="str">
            <v>Slb</v>
          </cell>
        </row>
        <row r="287">
          <cell r="A287" t="str">
            <v>Slb</v>
          </cell>
        </row>
        <row r="288">
          <cell r="A288" t="str">
            <v>Slb</v>
          </cell>
        </row>
        <row r="289">
          <cell r="A289" t="str">
            <v>Slb</v>
          </cell>
        </row>
        <row r="290">
          <cell r="A290" t="str">
            <v>Slb</v>
          </cell>
        </row>
        <row r="291">
          <cell r="A291" t="str">
            <v>Slb</v>
          </cell>
        </row>
        <row r="292">
          <cell r="A292" t="str">
            <v>Slb</v>
          </cell>
        </row>
        <row r="293">
          <cell r="A293" t="str">
            <v>Slb</v>
          </cell>
        </row>
        <row r="294">
          <cell r="A294" t="str">
            <v>Slb</v>
          </cell>
        </row>
        <row r="295">
          <cell r="A295" t="str">
            <v>Slb</v>
          </cell>
        </row>
        <row r="296">
          <cell r="A296" t="str">
            <v>Slb</v>
          </cell>
        </row>
        <row r="297">
          <cell r="A297" t="str">
            <v>Slb</v>
          </cell>
        </row>
        <row r="298">
          <cell r="A298" t="str">
            <v>Slb</v>
          </cell>
        </row>
        <row r="299">
          <cell r="A299" t="str">
            <v>Slb</v>
          </cell>
        </row>
        <row r="300">
          <cell r="A300" t="str">
            <v>Slb</v>
          </cell>
        </row>
        <row r="301">
          <cell r="A301" t="str">
            <v>Slb</v>
          </cell>
        </row>
        <row r="302">
          <cell r="A302" t="str">
            <v>Slb</v>
          </cell>
        </row>
        <row r="303">
          <cell r="A303" t="str">
            <v>Slb</v>
          </cell>
        </row>
        <row r="304">
          <cell r="A304" t="str">
            <v>Slb</v>
          </cell>
        </row>
        <row r="305">
          <cell r="A305" t="str">
            <v>Slb</v>
          </cell>
        </row>
        <row r="306">
          <cell r="A306" t="str">
            <v>Slb</v>
          </cell>
        </row>
        <row r="307">
          <cell r="A307" t="str">
            <v>Slb</v>
          </cell>
        </row>
        <row r="308">
          <cell r="A308" t="str">
            <v>Slb</v>
          </cell>
        </row>
        <row r="309">
          <cell r="A309" t="str">
            <v>Slb</v>
          </cell>
        </row>
        <row r="310">
          <cell r="A310" t="str">
            <v>Slb</v>
          </cell>
        </row>
        <row r="311">
          <cell r="A311" t="str">
            <v>Slb</v>
          </cell>
        </row>
        <row r="312">
          <cell r="A312" t="str">
            <v>Slb</v>
          </cell>
        </row>
        <row r="313">
          <cell r="A313" t="str">
            <v>Slb</v>
          </cell>
        </row>
        <row r="314">
          <cell r="A314" t="str">
            <v>Slb</v>
          </cell>
        </row>
        <row r="315">
          <cell r="A315" t="str">
            <v>Slb</v>
          </cell>
        </row>
        <row r="316">
          <cell r="A316" t="str">
            <v>Slb</v>
          </cell>
        </row>
        <row r="317">
          <cell r="A317" t="str">
            <v>Slb</v>
          </cell>
        </row>
        <row r="318">
          <cell r="A318" t="str">
            <v>Slb</v>
          </cell>
        </row>
        <row r="319">
          <cell r="A319" t="str">
            <v>Slb</v>
          </cell>
        </row>
        <row r="320">
          <cell r="A320" t="str">
            <v>Slb</v>
          </cell>
        </row>
        <row r="321">
          <cell r="A321" t="str">
            <v>Slb</v>
          </cell>
        </row>
        <row r="322">
          <cell r="A322" t="str">
            <v>Slb</v>
          </cell>
        </row>
        <row r="323">
          <cell r="A323" t="str">
            <v>Slb</v>
          </cell>
        </row>
        <row r="324">
          <cell r="A324" t="str">
            <v>Slb</v>
          </cell>
        </row>
        <row r="325">
          <cell r="A325" t="str">
            <v>Slb</v>
          </cell>
        </row>
        <row r="326">
          <cell r="A326" t="str">
            <v>Slb</v>
          </cell>
        </row>
        <row r="327">
          <cell r="A327" t="str">
            <v>Slb</v>
          </cell>
        </row>
        <row r="328">
          <cell r="A328" t="str">
            <v>Slb</v>
          </cell>
        </row>
        <row r="329">
          <cell r="A329" t="str">
            <v>Slb</v>
          </cell>
        </row>
        <row r="330">
          <cell r="A330" t="str">
            <v>Slb</v>
          </cell>
        </row>
        <row r="331">
          <cell r="A331" t="str">
            <v>Slb</v>
          </cell>
        </row>
        <row r="332">
          <cell r="A332" t="str">
            <v>Slb</v>
          </cell>
        </row>
        <row r="333">
          <cell r="A333" t="str">
            <v>Slb</v>
          </cell>
        </row>
        <row r="334">
          <cell r="A334" t="str">
            <v>Slb</v>
          </cell>
        </row>
        <row r="335">
          <cell r="A335" t="str">
            <v>Slb</v>
          </cell>
        </row>
        <row r="336">
          <cell r="A336" t="str">
            <v>Slb</v>
          </cell>
        </row>
        <row r="337">
          <cell r="A337" t="str">
            <v>Slb</v>
          </cell>
        </row>
        <row r="338">
          <cell r="A338" t="str">
            <v>Slb</v>
          </cell>
        </row>
        <row r="339">
          <cell r="A339" t="str">
            <v>Slb</v>
          </cell>
        </row>
        <row r="340">
          <cell r="A340" t="str">
            <v>Slb</v>
          </cell>
        </row>
        <row r="341">
          <cell r="A341" t="str">
            <v>Slb</v>
          </cell>
        </row>
        <row r="342">
          <cell r="A342" t="str">
            <v>Slb</v>
          </cell>
        </row>
        <row r="343">
          <cell r="A343" t="str">
            <v>Slb</v>
          </cell>
        </row>
        <row r="344">
          <cell r="A344" t="str">
            <v>Slb</v>
          </cell>
        </row>
        <row r="345">
          <cell r="A345" t="str">
            <v>Slb</v>
          </cell>
        </row>
        <row r="346">
          <cell r="A346" t="str">
            <v>Slb</v>
          </cell>
        </row>
        <row r="347">
          <cell r="A347" t="str">
            <v>Slb</v>
          </cell>
        </row>
        <row r="348">
          <cell r="A348" t="str">
            <v>Slb</v>
          </cell>
        </row>
        <row r="349">
          <cell r="A349" t="str">
            <v>Slb</v>
          </cell>
        </row>
        <row r="350">
          <cell r="A350" t="str">
            <v>Slb</v>
          </cell>
        </row>
        <row r="351">
          <cell r="A351" t="str">
            <v>Slb</v>
          </cell>
        </row>
        <row r="352">
          <cell r="A352" t="str">
            <v>Slb</v>
          </cell>
        </row>
        <row r="353">
          <cell r="A353" t="str">
            <v>Slb</v>
          </cell>
        </row>
        <row r="354">
          <cell r="A354" t="str">
            <v>Slb</v>
          </cell>
        </row>
        <row r="355">
          <cell r="A355" t="str">
            <v>Slb</v>
          </cell>
        </row>
        <row r="356">
          <cell r="A356" t="str">
            <v>Slb</v>
          </cell>
        </row>
        <row r="357">
          <cell r="A357" t="str">
            <v>Slb</v>
          </cell>
        </row>
        <row r="358">
          <cell r="A358" t="str">
            <v>Slb</v>
          </cell>
        </row>
        <row r="359">
          <cell r="A359" t="str">
            <v>Slb</v>
          </cell>
        </row>
        <row r="360">
          <cell r="A360" t="str">
            <v>Slb</v>
          </cell>
        </row>
        <row r="361">
          <cell r="A361" t="str">
            <v>Slb</v>
          </cell>
        </row>
        <row r="362">
          <cell r="A362" t="str">
            <v>Slb</v>
          </cell>
        </row>
        <row r="363">
          <cell r="A363" t="str">
            <v>Slb</v>
          </cell>
        </row>
        <row r="364">
          <cell r="A364" t="str">
            <v>Slb</v>
          </cell>
        </row>
        <row r="365">
          <cell r="A365" t="str">
            <v>Slb</v>
          </cell>
        </row>
        <row r="366">
          <cell r="A366" t="str">
            <v>Slb</v>
          </cell>
        </row>
        <row r="367">
          <cell r="A367" t="str">
            <v>Slb</v>
          </cell>
        </row>
        <row r="368">
          <cell r="A368" t="str">
            <v>Slb</v>
          </cell>
        </row>
        <row r="369">
          <cell r="A369" t="str">
            <v>Slb</v>
          </cell>
        </row>
        <row r="370">
          <cell r="A370" t="str">
            <v>Slb</v>
          </cell>
        </row>
        <row r="371">
          <cell r="A371" t="str">
            <v>Slb</v>
          </cell>
        </row>
        <row r="372">
          <cell r="A372" t="str">
            <v>Slb</v>
          </cell>
        </row>
        <row r="373">
          <cell r="A373" t="str">
            <v>Slb</v>
          </cell>
        </row>
        <row r="374">
          <cell r="A374" t="str">
            <v>Slb</v>
          </cell>
        </row>
        <row r="375">
          <cell r="A375" t="str">
            <v>Slb</v>
          </cell>
        </row>
        <row r="376">
          <cell r="A376" t="str">
            <v>Slb</v>
          </cell>
        </row>
        <row r="377">
          <cell r="A377" t="str">
            <v>Slb</v>
          </cell>
        </row>
        <row r="378">
          <cell r="A378" t="str">
            <v>Slb</v>
          </cell>
        </row>
        <row r="379">
          <cell r="A379" t="str">
            <v>Slb</v>
          </cell>
        </row>
        <row r="380">
          <cell r="A380" t="str">
            <v>Slb</v>
          </cell>
        </row>
        <row r="381">
          <cell r="A381" t="str">
            <v>Slb</v>
          </cell>
        </row>
        <row r="382">
          <cell r="A382" t="str">
            <v>Slb</v>
          </cell>
        </row>
        <row r="383">
          <cell r="A383" t="str">
            <v>Slb</v>
          </cell>
        </row>
        <row r="384">
          <cell r="A384" t="str">
            <v>Slb</v>
          </cell>
        </row>
        <row r="385">
          <cell r="A385" t="str">
            <v>Slb</v>
          </cell>
        </row>
        <row r="386">
          <cell r="A386" t="str">
            <v>Slb</v>
          </cell>
        </row>
        <row r="387">
          <cell r="A387" t="str">
            <v>Slb</v>
          </cell>
        </row>
        <row r="388">
          <cell r="A388" t="str">
            <v>Slb</v>
          </cell>
        </row>
        <row r="389">
          <cell r="A389" t="str">
            <v>Slb</v>
          </cell>
        </row>
        <row r="390">
          <cell r="A390" t="str">
            <v>Slb</v>
          </cell>
        </row>
        <row r="391">
          <cell r="A391" t="str">
            <v>Slb</v>
          </cell>
        </row>
        <row r="392">
          <cell r="A392" t="str">
            <v>Slb</v>
          </cell>
        </row>
        <row r="393">
          <cell r="A393" t="str">
            <v>Slb</v>
          </cell>
        </row>
        <row r="394">
          <cell r="A394" t="str">
            <v>Slb</v>
          </cell>
        </row>
        <row r="395">
          <cell r="A395" t="str">
            <v>Slb</v>
          </cell>
        </row>
        <row r="396">
          <cell r="A396" t="str">
            <v>Slb</v>
          </cell>
        </row>
        <row r="397">
          <cell r="A397" t="str">
            <v>Slb</v>
          </cell>
        </row>
        <row r="398">
          <cell r="A398" t="str">
            <v>Slb</v>
          </cell>
        </row>
        <row r="399">
          <cell r="A399" t="str">
            <v>Slb</v>
          </cell>
        </row>
        <row r="400">
          <cell r="A400" t="str">
            <v>Slb</v>
          </cell>
        </row>
        <row r="401">
          <cell r="A401" t="str">
            <v>Slb</v>
          </cell>
        </row>
        <row r="402">
          <cell r="A402" t="str">
            <v>Slb</v>
          </cell>
        </row>
        <row r="403">
          <cell r="A403" t="str">
            <v>Slb</v>
          </cell>
        </row>
        <row r="404">
          <cell r="A404" t="str">
            <v>Slb</v>
          </cell>
        </row>
        <row r="405">
          <cell r="A405" t="str">
            <v>Slb</v>
          </cell>
        </row>
        <row r="406">
          <cell r="A406" t="str">
            <v>Slb</v>
          </cell>
        </row>
        <row r="407">
          <cell r="A407" t="str">
            <v>Slb</v>
          </cell>
        </row>
        <row r="408">
          <cell r="A408" t="str">
            <v>Slb</v>
          </cell>
        </row>
        <row r="409">
          <cell r="A409" t="str">
            <v>Slb</v>
          </cell>
        </row>
        <row r="410">
          <cell r="A410" t="str">
            <v>Slb</v>
          </cell>
        </row>
        <row r="411">
          <cell r="A411" t="str">
            <v>Slb</v>
          </cell>
        </row>
        <row r="412">
          <cell r="A412" t="str">
            <v>Slb</v>
          </cell>
        </row>
        <row r="413">
          <cell r="A413" t="str">
            <v>Slb</v>
          </cell>
        </row>
        <row r="414">
          <cell r="A414" t="str">
            <v>Slb</v>
          </cell>
        </row>
        <row r="415">
          <cell r="A415" t="str">
            <v>Slb</v>
          </cell>
        </row>
        <row r="416">
          <cell r="A416" t="str">
            <v>Slb</v>
          </cell>
        </row>
        <row r="417">
          <cell r="A417" t="str">
            <v>Slb</v>
          </cell>
        </row>
        <row r="418">
          <cell r="A418" t="str">
            <v>Slb</v>
          </cell>
        </row>
        <row r="419">
          <cell r="A419" t="str">
            <v>Slb</v>
          </cell>
        </row>
        <row r="420">
          <cell r="A420" t="str">
            <v>Slb</v>
          </cell>
        </row>
        <row r="421">
          <cell r="A421" t="str">
            <v>Slb</v>
          </cell>
        </row>
        <row r="422">
          <cell r="A422" t="str">
            <v>Slb</v>
          </cell>
        </row>
        <row r="423">
          <cell r="A423" t="str">
            <v>Slb</v>
          </cell>
        </row>
        <row r="424">
          <cell r="A424" t="str">
            <v>Slb</v>
          </cell>
        </row>
        <row r="425">
          <cell r="A425" t="str">
            <v>Slb</v>
          </cell>
        </row>
        <row r="426">
          <cell r="A426" t="str">
            <v>Slb</v>
          </cell>
        </row>
        <row r="427">
          <cell r="A427" t="str">
            <v>Slb</v>
          </cell>
        </row>
        <row r="428">
          <cell r="A428" t="str">
            <v>Slb</v>
          </cell>
        </row>
        <row r="429">
          <cell r="A429" t="str">
            <v>Slb</v>
          </cell>
        </row>
        <row r="430">
          <cell r="A430" t="str">
            <v>Slb</v>
          </cell>
        </row>
      </sheetData>
      <sheetData sheetId="2" refreshError="1">
        <row r="1">
          <cell r="A1" t="str">
            <v>Control</v>
          </cell>
          <cell r="G1" t="str">
            <v>Month</v>
          </cell>
        </row>
        <row r="2">
          <cell r="G2" t="str">
            <v>July</v>
          </cell>
        </row>
      </sheetData>
      <sheetData sheetId="3" refreshError="1"/>
      <sheetData sheetId="4" refreshError="1"/>
      <sheetData sheetId="5" refreshError="1">
        <row r="5">
          <cell r="A5" t="str">
            <v>Control</v>
          </cell>
        </row>
        <row r="6">
          <cell r="A6" t="str">
            <v>SlbLatin AmericaVenezuela, Trinidad &amp; TobagoArea UnallocatedArea UnallocatedApril2001</v>
          </cell>
        </row>
        <row r="7">
          <cell r="A7" t="str">
            <v>SlbLatin AmericaVenezuela, Trinidad &amp; TobagoArea UnallocatedArea UnallocatedApril2002</v>
          </cell>
        </row>
        <row r="8">
          <cell r="A8" t="str">
            <v>SlbLatin AmericaVenezuela, Trinidad &amp; TobagoArea UnallocatedArea UnallocatedApril2003</v>
          </cell>
        </row>
        <row r="9">
          <cell r="A9" t="str">
            <v>SlbLatin AmericaVenezuela, Trinidad &amp; TobagoArea UnallocatedArea UnallocatedAugust2001</v>
          </cell>
        </row>
        <row r="10">
          <cell r="A10" t="str">
            <v>SlbLatin AmericaVenezuela, Trinidad &amp; TobagoArea UnallocatedArea UnallocatedAugust2002</v>
          </cell>
        </row>
        <row r="11">
          <cell r="A11" t="str">
            <v>SlbLatin AmericaVenezuela, Trinidad &amp; TobagoArea UnallocatedArea UnallocatedDecember2001</v>
          </cell>
        </row>
        <row r="12">
          <cell r="A12" t="str">
            <v>SlbLatin AmericaVenezuela, Trinidad &amp; TobagoArea UnallocatedArea UnallocatedDecember2002</v>
          </cell>
        </row>
        <row r="13">
          <cell r="A13" t="str">
            <v>SlbLatin AmericaVenezuela, Trinidad &amp; TobagoArea UnallocatedArea UnallocatedFebruary2001</v>
          </cell>
        </row>
        <row r="14">
          <cell r="A14" t="str">
            <v>SlbLatin AmericaVenezuela, Trinidad &amp; TobagoArea UnallocatedArea UnallocatedFebruary2002</v>
          </cell>
        </row>
        <row r="15">
          <cell r="A15" t="str">
            <v>SlbLatin AmericaVenezuela, Trinidad &amp; TobagoArea UnallocatedArea UnallocatedFebruary2003</v>
          </cell>
        </row>
        <row r="16">
          <cell r="A16" t="str">
            <v>SlbLatin AmericaVenezuela, Trinidad &amp; TobagoArea UnallocatedArea UnallocatedJanuary2001</v>
          </cell>
        </row>
        <row r="17">
          <cell r="A17" t="str">
            <v>SlbLatin AmericaVenezuela, Trinidad &amp; TobagoArea UnallocatedArea UnallocatedJanuary2002</v>
          </cell>
        </row>
        <row r="18">
          <cell r="A18" t="str">
            <v>SlbLatin AmericaVenezuela, Trinidad &amp; TobagoArea UnallocatedArea UnallocatedJanuary2003</v>
          </cell>
        </row>
        <row r="19">
          <cell r="A19" t="str">
            <v>SlbLatin AmericaVenezuela, Trinidad &amp; TobagoArea UnallocatedArea UnallocatedJuly2001</v>
          </cell>
        </row>
        <row r="20">
          <cell r="A20" t="str">
            <v>SlbLatin AmericaVenezuela, Trinidad &amp; TobagoArea UnallocatedArea UnallocatedJuly2002</v>
          </cell>
        </row>
        <row r="21">
          <cell r="A21" t="str">
            <v>SlbLatin AmericaVenezuela, Trinidad &amp; TobagoArea UnallocatedArea UnallocatedJune2001</v>
          </cell>
        </row>
        <row r="22">
          <cell r="A22" t="str">
            <v>SlbLatin AmericaVenezuela, Trinidad &amp; TobagoArea UnallocatedArea UnallocatedJune2002</v>
          </cell>
        </row>
        <row r="23">
          <cell r="A23" t="str">
            <v>SlbLatin AmericaVenezuela, Trinidad &amp; TobagoArea UnallocatedArea UnallocatedJune2003</v>
          </cell>
        </row>
        <row r="24">
          <cell r="A24" t="str">
            <v>SlbLatin AmericaVenezuela, Trinidad &amp; TobagoArea UnallocatedArea UnallocatedMarch2001</v>
          </cell>
        </row>
        <row r="25">
          <cell r="A25" t="str">
            <v>SlbLatin AmericaVenezuela, Trinidad &amp; TobagoArea UnallocatedArea UnallocatedMarch2002</v>
          </cell>
        </row>
        <row r="26">
          <cell r="A26" t="str">
            <v>SlbLatin AmericaVenezuela, Trinidad &amp; TobagoArea UnallocatedArea UnallocatedMarch2003</v>
          </cell>
        </row>
        <row r="27">
          <cell r="A27" t="str">
            <v>SlbLatin AmericaVenezuela, Trinidad &amp; TobagoArea UnallocatedArea UnallocatedMay2001</v>
          </cell>
        </row>
        <row r="28">
          <cell r="A28" t="str">
            <v>SlbLatin AmericaVenezuela, Trinidad &amp; TobagoArea UnallocatedArea UnallocatedMay2002</v>
          </cell>
        </row>
        <row r="29">
          <cell r="A29" t="str">
            <v>SlbLatin AmericaVenezuela, Trinidad &amp; TobagoArea UnallocatedArea UnallocatedMay2003</v>
          </cell>
        </row>
        <row r="30">
          <cell r="A30" t="str">
            <v>SlbLatin AmericaVenezuela, Trinidad &amp; TobagoArea UnallocatedArea UnallocatedNovember2001</v>
          </cell>
        </row>
        <row r="31">
          <cell r="A31" t="str">
            <v>SlbLatin AmericaVenezuela, Trinidad &amp; TobagoArea UnallocatedArea UnallocatedNovember2002</v>
          </cell>
        </row>
        <row r="32">
          <cell r="A32" t="str">
            <v>SlbLatin AmericaVenezuela, Trinidad &amp; TobagoArea UnallocatedArea UnallocatedOctober2001</v>
          </cell>
        </row>
        <row r="33">
          <cell r="A33" t="str">
            <v>SlbLatin AmericaVenezuela, Trinidad &amp; TobagoArea UnallocatedArea UnallocatedOctober2002</v>
          </cell>
        </row>
        <row r="34">
          <cell r="A34" t="str">
            <v>SlbLatin AmericaVenezuela, Trinidad &amp; TobagoArea UnallocatedArea UnallocatedSeptember2001</v>
          </cell>
        </row>
        <row r="35">
          <cell r="A35" t="str">
            <v>SlbLatin AmericaVenezuela, Trinidad &amp; TobagoArea UnallocatedArea UnallocatedSeptember2002</v>
          </cell>
        </row>
        <row r="36">
          <cell r="A36" t="str">
            <v>SlbLatin AmericaVenezuela, Trinidad &amp; TobagoData and Consulting ServicesData and Consulting ServicesApril2001</v>
          </cell>
        </row>
        <row r="37">
          <cell r="A37" t="str">
            <v>SlbLatin AmericaVenezuela, Trinidad &amp; TobagoData and Consulting ServicesData and Consulting ServicesApril2002</v>
          </cell>
        </row>
        <row r="38">
          <cell r="A38" t="str">
            <v>SlbLatin AmericaVenezuela, Trinidad &amp; TobagoData and Consulting ServicesData and Consulting ServicesApril2003</v>
          </cell>
        </row>
        <row r="39">
          <cell r="A39" t="str">
            <v>SlbLatin AmericaVenezuela, Trinidad &amp; TobagoData and Consulting ServicesData and Consulting ServicesAugust2001</v>
          </cell>
        </row>
        <row r="40">
          <cell r="A40" t="str">
            <v>SlbLatin AmericaVenezuela, Trinidad &amp; TobagoData and Consulting ServicesData and Consulting ServicesAugust2002</v>
          </cell>
        </row>
        <row r="41">
          <cell r="A41" t="str">
            <v>SlbLatin AmericaVenezuela, Trinidad &amp; TobagoData and Consulting ServicesData and Consulting ServicesDecember2001</v>
          </cell>
        </row>
        <row r="42">
          <cell r="A42" t="str">
            <v>SlbLatin AmericaVenezuela, Trinidad &amp; TobagoData and Consulting ServicesData and Consulting ServicesDecember2002</v>
          </cell>
        </row>
        <row r="43">
          <cell r="A43" t="str">
            <v>SlbLatin AmericaVenezuela, Trinidad &amp; TobagoData and Consulting ServicesData and Consulting ServicesFebruary2001</v>
          </cell>
        </row>
        <row r="44">
          <cell r="A44" t="str">
            <v>SlbLatin AmericaVenezuela, Trinidad &amp; TobagoData and Consulting ServicesData and Consulting ServicesFebruary2002</v>
          </cell>
        </row>
        <row r="45">
          <cell r="A45" t="str">
            <v>SlbLatin AmericaVenezuela, Trinidad &amp; TobagoData and Consulting ServicesData and Consulting ServicesFebruary2003</v>
          </cell>
        </row>
        <row r="46">
          <cell r="A46" t="str">
            <v>SlbLatin AmericaVenezuela, Trinidad &amp; TobagoData and Consulting ServicesData and Consulting ServicesJanuary2001</v>
          </cell>
        </row>
        <row r="47">
          <cell r="A47" t="str">
            <v>SlbLatin AmericaVenezuela, Trinidad &amp; TobagoData and Consulting ServicesData and Consulting ServicesJanuary2002</v>
          </cell>
        </row>
        <row r="48">
          <cell r="A48" t="str">
            <v>SlbLatin AmericaVenezuela, Trinidad &amp; TobagoData and Consulting ServicesData and Consulting ServicesJanuary2003</v>
          </cell>
        </row>
        <row r="49">
          <cell r="A49" t="str">
            <v>SlbLatin AmericaVenezuela, Trinidad &amp; TobagoData and Consulting ServicesData and Consulting ServicesJuly2001</v>
          </cell>
        </row>
        <row r="50">
          <cell r="A50" t="str">
            <v>SlbLatin AmericaVenezuela, Trinidad &amp; TobagoData and Consulting ServicesData and Consulting ServicesJuly2002</v>
          </cell>
        </row>
        <row r="51">
          <cell r="A51" t="str">
            <v>SlbLatin AmericaVenezuela, Trinidad &amp; TobagoData and Consulting ServicesData and Consulting ServicesJune2001</v>
          </cell>
        </row>
        <row r="52">
          <cell r="A52" t="str">
            <v>SlbLatin AmericaVenezuela, Trinidad &amp; TobagoData and Consulting ServicesData and Consulting ServicesJune2002</v>
          </cell>
        </row>
        <row r="53">
          <cell r="A53" t="str">
            <v>SlbLatin AmericaVenezuela, Trinidad &amp; TobagoData and Consulting ServicesData and Consulting ServicesJune2003</v>
          </cell>
        </row>
        <row r="54">
          <cell r="A54" t="str">
            <v>SlbLatin AmericaVenezuela, Trinidad &amp; TobagoData and Consulting ServicesData and Consulting ServicesMarch2001</v>
          </cell>
        </row>
        <row r="55">
          <cell r="A55" t="str">
            <v>SlbLatin AmericaVenezuela, Trinidad &amp; TobagoData and Consulting ServicesData and Consulting ServicesMarch2002</v>
          </cell>
        </row>
        <row r="56">
          <cell r="A56" t="str">
            <v>SlbLatin AmericaVenezuela, Trinidad &amp; TobagoData and Consulting ServicesData and Consulting ServicesMarch2003</v>
          </cell>
        </row>
        <row r="57">
          <cell r="A57" t="str">
            <v>SlbLatin AmericaVenezuela, Trinidad &amp; TobagoData and Consulting ServicesData and Consulting ServicesMay2001</v>
          </cell>
        </row>
        <row r="58">
          <cell r="A58" t="str">
            <v>SlbLatin AmericaVenezuela, Trinidad &amp; TobagoData and Consulting ServicesData and Consulting ServicesMay2002</v>
          </cell>
        </row>
        <row r="59">
          <cell r="A59" t="str">
            <v>SlbLatin AmericaVenezuela, Trinidad &amp; TobagoData and Consulting ServicesData and Consulting ServicesMay2003</v>
          </cell>
        </row>
        <row r="60">
          <cell r="A60" t="str">
            <v>SlbLatin AmericaVenezuela, Trinidad &amp; TobagoData and Consulting ServicesData and Consulting ServicesNovember2001</v>
          </cell>
        </row>
        <row r="61">
          <cell r="A61" t="str">
            <v>SlbLatin AmericaVenezuela, Trinidad &amp; TobagoData and Consulting ServicesData and Consulting ServicesNovember2002</v>
          </cell>
        </row>
        <row r="62">
          <cell r="A62" t="str">
            <v>SlbLatin AmericaVenezuela, Trinidad &amp; TobagoData and Consulting ServicesData and Consulting ServicesOctober2001</v>
          </cell>
        </row>
        <row r="63">
          <cell r="A63" t="str">
            <v>SlbLatin AmericaVenezuela, Trinidad &amp; TobagoData and Consulting ServicesData and Consulting ServicesOctober2002</v>
          </cell>
        </row>
        <row r="64">
          <cell r="A64" t="str">
            <v>SlbLatin AmericaVenezuela, Trinidad &amp; TobagoData and Consulting ServicesData and Consulting ServicesSeptember2001</v>
          </cell>
        </row>
        <row r="65">
          <cell r="A65" t="str">
            <v>SlbLatin AmericaVenezuela, Trinidad &amp; TobagoData and Consulting ServicesData and Consulting ServicesSeptember2002</v>
          </cell>
        </row>
        <row r="66">
          <cell r="A66" t="str">
            <v>SlbLatin AmericaVenezuela, Trinidad &amp; TobagoDrilling &amp; MeasurementsAnadrillApril2001</v>
          </cell>
        </row>
        <row r="67">
          <cell r="A67" t="str">
            <v>SlbLatin AmericaVenezuela, Trinidad &amp; TobagoDrilling &amp; MeasurementsAnadrillApril2002</v>
          </cell>
        </row>
        <row r="68">
          <cell r="A68" t="str">
            <v>SlbLatin AmericaVenezuela, Trinidad &amp; TobagoDrilling &amp; MeasurementsAnadrillApril2003</v>
          </cell>
        </row>
        <row r="69">
          <cell r="A69" t="str">
            <v>SlbLatin AmericaVenezuela, Trinidad &amp; TobagoDrilling &amp; MeasurementsAnadrillAugust2001</v>
          </cell>
        </row>
        <row r="70">
          <cell r="A70" t="str">
            <v>SlbLatin AmericaVenezuela, Trinidad &amp; TobagoDrilling &amp; MeasurementsAnadrillAugust2002</v>
          </cell>
        </row>
        <row r="71">
          <cell r="A71" t="str">
            <v>SlbLatin AmericaVenezuela, Trinidad &amp; TobagoDrilling &amp; MeasurementsAnadrillDecember2001</v>
          </cell>
        </row>
        <row r="72">
          <cell r="A72" t="str">
            <v>SlbLatin AmericaVenezuela, Trinidad &amp; TobagoDrilling &amp; MeasurementsAnadrillDecember2002</v>
          </cell>
        </row>
        <row r="73">
          <cell r="A73" t="str">
            <v>SlbLatin AmericaVenezuela, Trinidad &amp; TobagoDrilling &amp; MeasurementsAnadrillFebruary2001</v>
          </cell>
        </row>
        <row r="74">
          <cell r="A74" t="str">
            <v>SlbLatin AmericaVenezuela, Trinidad &amp; TobagoDrilling &amp; MeasurementsAnadrillFebruary2002</v>
          </cell>
        </row>
        <row r="75">
          <cell r="A75" t="str">
            <v>SlbLatin AmericaVenezuela, Trinidad &amp; TobagoDrilling &amp; MeasurementsAnadrillFebruary2003</v>
          </cell>
        </row>
        <row r="76">
          <cell r="A76" t="str">
            <v>SlbLatin AmericaVenezuela, Trinidad &amp; TobagoDrilling &amp; MeasurementsAnadrillJanuary2001</v>
          </cell>
        </row>
        <row r="77">
          <cell r="A77" t="str">
            <v>SlbLatin AmericaVenezuela, Trinidad &amp; TobagoDrilling &amp; MeasurementsAnadrillJanuary2002</v>
          </cell>
        </row>
        <row r="78">
          <cell r="A78" t="str">
            <v>SlbLatin AmericaVenezuela, Trinidad &amp; TobagoDrilling &amp; MeasurementsAnadrillJanuary2003</v>
          </cell>
        </row>
        <row r="79">
          <cell r="A79" t="str">
            <v>SlbLatin AmericaVenezuela, Trinidad &amp; TobagoDrilling &amp; MeasurementsAnadrillJuly2001</v>
          </cell>
        </row>
        <row r="80">
          <cell r="A80" t="str">
            <v>SlbLatin AmericaVenezuela, Trinidad &amp; TobagoDrilling &amp; MeasurementsAnadrillJuly2002</v>
          </cell>
        </row>
        <row r="81">
          <cell r="A81" t="str">
            <v>SlbLatin AmericaVenezuela, Trinidad &amp; TobagoDrilling &amp; MeasurementsAnadrillJune2001</v>
          </cell>
        </row>
        <row r="82">
          <cell r="A82" t="str">
            <v>SlbLatin AmericaVenezuela, Trinidad &amp; TobagoDrilling &amp; MeasurementsAnadrillJune2002</v>
          </cell>
        </row>
        <row r="83">
          <cell r="A83" t="str">
            <v>SlbLatin AmericaVenezuela, Trinidad &amp; TobagoDrilling &amp; MeasurementsAnadrillJune2003</v>
          </cell>
        </row>
        <row r="84">
          <cell r="A84" t="str">
            <v>SlbLatin AmericaVenezuela, Trinidad &amp; TobagoDrilling &amp; MeasurementsAnadrillMarch2001</v>
          </cell>
        </row>
        <row r="85">
          <cell r="A85" t="str">
            <v>SlbLatin AmericaVenezuela, Trinidad &amp; TobagoDrilling &amp; MeasurementsAnadrillMarch2002</v>
          </cell>
        </row>
        <row r="86">
          <cell r="A86" t="str">
            <v>SlbLatin AmericaVenezuela, Trinidad &amp; TobagoDrilling &amp; MeasurementsAnadrillMarch2003</v>
          </cell>
        </row>
        <row r="87">
          <cell r="A87" t="str">
            <v>SlbLatin AmericaVenezuela, Trinidad &amp; TobagoDrilling &amp; MeasurementsAnadrillMay2001</v>
          </cell>
        </row>
        <row r="88">
          <cell r="A88" t="str">
            <v>SlbLatin AmericaVenezuela, Trinidad &amp; TobagoDrilling &amp; MeasurementsAnadrillMay2002</v>
          </cell>
        </row>
        <row r="89">
          <cell r="A89" t="str">
            <v>SlbLatin AmericaVenezuela, Trinidad &amp; TobagoDrilling &amp; MeasurementsAnadrillMay2003</v>
          </cell>
        </row>
        <row r="90">
          <cell r="A90" t="str">
            <v>SlbLatin AmericaVenezuela, Trinidad &amp; TobagoDrilling &amp; MeasurementsAnadrillNovember2001</v>
          </cell>
        </row>
        <row r="91">
          <cell r="A91" t="str">
            <v>SlbLatin AmericaVenezuela, Trinidad &amp; TobagoDrilling &amp; MeasurementsAnadrillNovember2002</v>
          </cell>
        </row>
        <row r="92">
          <cell r="A92" t="str">
            <v>SlbLatin AmericaVenezuela, Trinidad &amp; TobagoDrilling &amp; MeasurementsAnadrillOctober2001</v>
          </cell>
        </row>
        <row r="93">
          <cell r="A93" t="str">
            <v>SlbLatin AmericaVenezuela, Trinidad &amp; TobagoDrilling &amp; MeasurementsAnadrillOctober2002</v>
          </cell>
        </row>
        <row r="94">
          <cell r="A94" t="str">
            <v>SlbLatin AmericaVenezuela, Trinidad &amp; TobagoDrilling &amp; MeasurementsAnadrillSeptember2001</v>
          </cell>
        </row>
        <row r="95">
          <cell r="A95" t="str">
            <v>SlbLatin AmericaVenezuela, Trinidad &amp; TobagoDrilling &amp; MeasurementsAnadrillSeptember2002</v>
          </cell>
        </row>
        <row r="96">
          <cell r="A96" t="str">
            <v>SlbLatin AmericaVenezuela, Trinidad &amp; TobagoDrilling ServicesDrilling ServicesApril2001</v>
          </cell>
        </row>
        <row r="97">
          <cell r="A97" t="str">
            <v>SlbLatin AmericaVenezuela, Trinidad &amp; TobagoDrilling ServicesDrilling ServicesApril2002</v>
          </cell>
        </row>
        <row r="98">
          <cell r="A98" t="str">
            <v>SlbLatin AmericaVenezuela, Trinidad &amp; TobagoDrilling ServicesDrilling ServicesApril2003</v>
          </cell>
        </row>
        <row r="99">
          <cell r="A99" t="str">
            <v>SlbLatin AmericaVenezuela, Trinidad &amp; TobagoDrilling ServicesDrilling ServicesAugust2001</v>
          </cell>
        </row>
        <row r="100">
          <cell r="A100" t="str">
            <v>SlbLatin AmericaVenezuela, Trinidad &amp; TobagoDrilling ServicesDrilling ServicesAugust2002</v>
          </cell>
        </row>
        <row r="101">
          <cell r="A101" t="str">
            <v>SlbLatin AmericaVenezuela, Trinidad &amp; TobagoDrilling ServicesDrilling ServicesDecember2001</v>
          </cell>
        </row>
        <row r="102">
          <cell r="A102" t="str">
            <v>SlbLatin AmericaVenezuela, Trinidad &amp; TobagoDrilling ServicesDrilling ServicesDecember2002</v>
          </cell>
        </row>
        <row r="103">
          <cell r="A103" t="str">
            <v>SlbLatin AmericaVenezuela, Trinidad &amp; TobagoDrilling ServicesDrilling ServicesFebruary2001</v>
          </cell>
        </row>
        <row r="104">
          <cell r="A104" t="str">
            <v>SlbLatin AmericaVenezuela, Trinidad &amp; TobagoDrilling ServicesDrilling ServicesFebruary2002</v>
          </cell>
        </row>
        <row r="105">
          <cell r="A105" t="str">
            <v>SlbLatin AmericaVenezuela, Trinidad &amp; TobagoDrilling ServicesDrilling ServicesFebruary2003</v>
          </cell>
        </row>
        <row r="106">
          <cell r="A106" t="str">
            <v>SlbLatin AmericaVenezuela, Trinidad &amp; TobagoDrilling ServicesDrilling ServicesJanuary2001</v>
          </cell>
        </row>
        <row r="107">
          <cell r="A107" t="str">
            <v>SlbLatin AmericaVenezuela, Trinidad &amp; TobagoDrilling ServicesDrilling ServicesJanuary2002</v>
          </cell>
        </row>
        <row r="108">
          <cell r="A108" t="str">
            <v>SlbLatin AmericaVenezuela, Trinidad &amp; TobagoDrilling ServicesDrilling ServicesJanuary2003</v>
          </cell>
        </row>
        <row r="109">
          <cell r="A109" t="str">
            <v>SlbLatin AmericaVenezuela, Trinidad &amp; TobagoDrilling ServicesDrilling ServicesJuly2001</v>
          </cell>
        </row>
        <row r="110">
          <cell r="A110" t="str">
            <v>SlbLatin AmericaVenezuela, Trinidad &amp; TobagoDrilling ServicesDrilling ServicesJuly2002</v>
          </cell>
        </row>
        <row r="111">
          <cell r="A111" t="str">
            <v>SlbLatin AmericaVenezuela, Trinidad &amp; TobagoDrilling ServicesDrilling ServicesJune2001</v>
          </cell>
        </row>
        <row r="112">
          <cell r="A112" t="str">
            <v>SlbLatin AmericaVenezuela, Trinidad &amp; TobagoDrilling ServicesDrilling ServicesJune2002</v>
          </cell>
        </row>
        <row r="113">
          <cell r="A113" t="str">
            <v>SlbLatin AmericaVenezuela, Trinidad &amp; TobagoDrilling ServicesDrilling ServicesJune2003</v>
          </cell>
        </row>
        <row r="114">
          <cell r="A114" t="str">
            <v>SlbLatin AmericaVenezuela, Trinidad &amp; TobagoDrilling ServicesDrilling ServicesMarch2001</v>
          </cell>
        </row>
        <row r="115">
          <cell r="A115" t="str">
            <v>SlbLatin AmericaVenezuela, Trinidad &amp; TobagoDrilling ServicesDrilling ServicesMarch2002</v>
          </cell>
        </row>
        <row r="116">
          <cell r="A116" t="str">
            <v>SlbLatin AmericaVenezuela, Trinidad &amp; TobagoDrilling ServicesDrilling ServicesMarch2003</v>
          </cell>
        </row>
        <row r="117">
          <cell r="A117" t="str">
            <v>SlbLatin AmericaVenezuela, Trinidad &amp; TobagoDrilling ServicesDrilling ServicesMay2001</v>
          </cell>
        </row>
        <row r="118">
          <cell r="A118" t="str">
            <v>SlbLatin AmericaVenezuela, Trinidad &amp; TobagoDrilling ServicesDrilling ServicesMay2002</v>
          </cell>
        </row>
        <row r="119">
          <cell r="A119" t="str">
            <v>SlbLatin AmericaVenezuela, Trinidad &amp; TobagoDrilling ServicesDrilling ServicesMay2003</v>
          </cell>
        </row>
        <row r="120">
          <cell r="A120" t="str">
            <v>SlbLatin AmericaVenezuela, Trinidad &amp; TobagoDrilling ServicesDrilling ServicesNovember2001</v>
          </cell>
        </row>
        <row r="121">
          <cell r="A121" t="str">
            <v>SlbLatin AmericaVenezuela, Trinidad &amp; TobagoDrilling ServicesDrilling ServicesNovember2002</v>
          </cell>
        </row>
        <row r="122">
          <cell r="A122" t="str">
            <v>SlbLatin AmericaVenezuela, Trinidad &amp; TobagoDrilling ServicesDrilling ServicesOctober2001</v>
          </cell>
        </row>
        <row r="123">
          <cell r="A123" t="str">
            <v>SlbLatin AmericaVenezuela, Trinidad &amp; TobagoDrilling ServicesDrilling ServicesOctober2002</v>
          </cell>
        </row>
        <row r="124">
          <cell r="A124" t="str">
            <v>SlbLatin AmericaVenezuela, Trinidad &amp; TobagoDrilling ServicesDrilling ServicesSeptember2001</v>
          </cell>
        </row>
        <row r="125">
          <cell r="A125" t="str">
            <v>SlbLatin AmericaVenezuela, Trinidad &amp; TobagoDrilling ServicesDrilling ServicesSeptember2002</v>
          </cell>
        </row>
        <row r="126">
          <cell r="A126" t="str">
            <v>SlbLatin AmericaVenezuela, Trinidad &amp; TobagoIPMProduction Services and EngineeringApril2001</v>
          </cell>
        </row>
        <row r="127">
          <cell r="A127" t="str">
            <v>SlbLatin AmericaVenezuela, Trinidad &amp; TobagoIPMProduction Services and EngineeringApril2002</v>
          </cell>
        </row>
        <row r="128">
          <cell r="A128" t="str">
            <v>SlbLatin AmericaVenezuela, Trinidad &amp; TobagoIPMProduction Services and EngineeringApril2003</v>
          </cell>
        </row>
        <row r="129">
          <cell r="A129" t="str">
            <v>SlbLatin AmericaVenezuela, Trinidad &amp; TobagoIPMProduction Services and EngineeringAugust2001</v>
          </cell>
        </row>
        <row r="130">
          <cell r="A130" t="str">
            <v>SlbLatin AmericaVenezuela, Trinidad &amp; TobagoIPMProduction Services and EngineeringAugust2002</v>
          </cell>
        </row>
        <row r="131">
          <cell r="A131" t="str">
            <v>SlbLatin AmericaVenezuela, Trinidad &amp; TobagoIPMProduction Services and EngineeringDecember2001</v>
          </cell>
        </row>
        <row r="132">
          <cell r="A132" t="str">
            <v>SlbLatin AmericaVenezuela, Trinidad &amp; TobagoIPMProduction Services and EngineeringDecember2002</v>
          </cell>
        </row>
        <row r="133">
          <cell r="A133" t="str">
            <v>SlbLatin AmericaVenezuela, Trinidad &amp; TobagoIPMProduction Services and EngineeringFebruary2001</v>
          </cell>
        </row>
        <row r="134">
          <cell r="A134" t="str">
            <v>SlbLatin AmericaVenezuela, Trinidad &amp; TobagoIPMProduction Services and EngineeringFebruary2002</v>
          </cell>
        </row>
        <row r="135">
          <cell r="A135" t="str">
            <v>SlbLatin AmericaVenezuela, Trinidad &amp; TobagoIPMProduction Services and EngineeringFebruary2003</v>
          </cell>
        </row>
        <row r="136">
          <cell r="A136" t="str">
            <v>SlbLatin AmericaVenezuela, Trinidad &amp; TobagoIPMProduction Services and EngineeringJanuary2001</v>
          </cell>
        </row>
        <row r="137">
          <cell r="A137" t="str">
            <v>SlbLatin AmericaVenezuela, Trinidad &amp; TobagoIPMProduction Services and EngineeringJanuary2002</v>
          </cell>
        </row>
        <row r="138">
          <cell r="A138" t="str">
            <v>SlbLatin AmericaVenezuela, Trinidad &amp; TobagoIPMProduction Services and EngineeringJanuary2003</v>
          </cell>
        </row>
        <row r="139">
          <cell r="A139" t="str">
            <v>SlbLatin AmericaVenezuela, Trinidad &amp; TobagoIPMProduction Services and EngineeringJuly2001</v>
          </cell>
        </row>
        <row r="140">
          <cell r="A140" t="str">
            <v>SlbLatin AmericaVenezuela, Trinidad &amp; TobagoIPMProduction Services and EngineeringJuly2002</v>
          </cell>
        </row>
        <row r="141">
          <cell r="A141" t="str">
            <v>SlbLatin AmericaVenezuela, Trinidad &amp; TobagoIPMProduction Services and EngineeringJune2001</v>
          </cell>
        </row>
        <row r="142">
          <cell r="A142" t="str">
            <v>SlbLatin AmericaVenezuela, Trinidad &amp; TobagoIPMProduction Services and EngineeringJune2002</v>
          </cell>
        </row>
        <row r="143">
          <cell r="A143" t="str">
            <v>SlbLatin AmericaVenezuela, Trinidad &amp; TobagoIPMProduction Services and EngineeringJune2003</v>
          </cell>
        </row>
        <row r="144">
          <cell r="A144" t="str">
            <v>SlbLatin AmericaVenezuela, Trinidad &amp; TobagoIPMProduction Services and EngineeringMarch2001</v>
          </cell>
        </row>
        <row r="145">
          <cell r="A145" t="str">
            <v>SlbLatin AmericaVenezuela, Trinidad &amp; TobagoIPMProduction Services and EngineeringMarch2002</v>
          </cell>
        </row>
        <row r="146">
          <cell r="A146" t="str">
            <v>SlbLatin AmericaVenezuela, Trinidad &amp; TobagoIPMProduction Services and EngineeringMarch2003</v>
          </cell>
        </row>
        <row r="147">
          <cell r="A147" t="str">
            <v>SlbLatin AmericaVenezuela, Trinidad &amp; TobagoIPMProduction Services and EngineeringMay2001</v>
          </cell>
        </row>
        <row r="148">
          <cell r="A148" t="str">
            <v>SlbLatin AmericaVenezuela, Trinidad &amp; TobagoIPMProduction Services and EngineeringMay2002</v>
          </cell>
        </row>
        <row r="149">
          <cell r="A149" t="str">
            <v>SlbLatin AmericaVenezuela, Trinidad &amp; TobagoIPMProduction Services and EngineeringMay2003</v>
          </cell>
        </row>
        <row r="150">
          <cell r="A150" t="str">
            <v>SlbLatin AmericaVenezuela, Trinidad &amp; TobagoIPMProduction Services and EngineeringNovember2001</v>
          </cell>
        </row>
        <row r="151">
          <cell r="A151" t="str">
            <v>SlbLatin AmericaVenezuela, Trinidad &amp; TobagoIPMProduction Services and EngineeringNovember2002</v>
          </cell>
        </row>
        <row r="152">
          <cell r="A152" t="str">
            <v>SlbLatin AmericaVenezuela, Trinidad &amp; TobagoIPMProduction Services and EngineeringOctober2001</v>
          </cell>
        </row>
        <row r="153">
          <cell r="A153" t="str">
            <v>SlbLatin AmericaVenezuela, Trinidad &amp; TobagoIPMProduction Services and EngineeringOctober2002</v>
          </cell>
        </row>
        <row r="154">
          <cell r="A154" t="str">
            <v>SlbLatin AmericaVenezuela, Trinidad &amp; TobagoIPMProduction Services and EngineeringSeptember2001</v>
          </cell>
        </row>
        <row r="155">
          <cell r="A155" t="str">
            <v>SlbLatin AmericaVenezuela, Trinidad &amp; TobagoIPMProduction Services and EngineeringSeptember2002</v>
          </cell>
        </row>
        <row r="156">
          <cell r="A156" t="str">
            <v>SlbLatin AmericaVenezuela, Trinidad &amp; TobagoIPMWell Construction and InterventionApril2001</v>
          </cell>
        </row>
        <row r="157">
          <cell r="A157" t="str">
            <v>SlbLatin AmericaVenezuela, Trinidad &amp; TobagoIPMWell Construction and InterventionApril2002</v>
          </cell>
        </row>
        <row r="158">
          <cell r="A158" t="str">
            <v>SlbLatin AmericaVenezuela, Trinidad &amp; TobagoIPMWell Construction and InterventionApril2003</v>
          </cell>
        </row>
        <row r="159">
          <cell r="A159" t="str">
            <v>SlbLatin AmericaVenezuela, Trinidad &amp; TobagoIPMWell Construction and InterventionAugust2001</v>
          </cell>
        </row>
        <row r="160">
          <cell r="A160" t="str">
            <v>SlbLatin AmericaVenezuela, Trinidad &amp; TobagoIPMWell Construction and InterventionAugust2002</v>
          </cell>
        </row>
        <row r="161">
          <cell r="A161" t="str">
            <v>SlbLatin AmericaVenezuela, Trinidad &amp; TobagoIPMWell Construction and InterventionDecember2001</v>
          </cell>
        </row>
        <row r="162">
          <cell r="A162" t="str">
            <v>SlbLatin AmericaVenezuela, Trinidad &amp; TobagoIPMWell Construction and InterventionDecember2002</v>
          </cell>
        </row>
        <row r="163">
          <cell r="A163" t="str">
            <v>SlbLatin AmericaVenezuela, Trinidad &amp; TobagoIPMWell Construction and InterventionFebruary2001</v>
          </cell>
        </row>
        <row r="164">
          <cell r="A164" t="str">
            <v>SlbLatin AmericaVenezuela, Trinidad &amp; TobagoIPMWell Construction and InterventionFebruary2002</v>
          </cell>
        </row>
        <row r="165">
          <cell r="A165" t="str">
            <v>SlbLatin AmericaVenezuela, Trinidad &amp; TobagoIPMWell Construction and InterventionFebruary2003</v>
          </cell>
        </row>
        <row r="166">
          <cell r="A166" t="str">
            <v>SlbLatin AmericaVenezuela, Trinidad &amp; TobagoIPMWell Construction and InterventionJanuary2001</v>
          </cell>
        </row>
        <row r="167">
          <cell r="A167" t="str">
            <v>SlbLatin AmericaVenezuela, Trinidad &amp; TobagoIPMWell Construction and InterventionJanuary2002</v>
          </cell>
        </row>
        <row r="168">
          <cell r="A168" t="str">
            <v>SlbLatin AmericaVenezuela, Trinidad &amp; TobagoIPMWell Construction and InterventionJanuary2003</v>
          </cell>
        </row>
        <row r="169">
          <cell r="A169" t="str">
            <v>SlbLatin AmericaVenezuela, Trinidad &amp; TobagoIPMWell Construction and InterventionJuly2001</v>
          </cell>
        </row>
        <row r="170">
          <cell r="A170" t="str">
            <v>SlbLatin AmericaVenezuela, Trinidad &amp; TobagoIPMWell Construction and InterventionJuly2002</v>
          </cell>
        </row>
        <row r="171">
          <cell r="A171" t="str">
            <v>SlbLatin AmericaVenezuela, Trinidad &amp; TobagoIPMWell Construction and InterventionJune2001</v>
          </cell>
        </row>
        <row r="172">
          <cell r="A172" t="str">
            <v>SlbLatin AmericaVenezuela, Trinidad &amp; TobagoIPMWell Construction and InterventionJune2002</v>
          </cell>
        </row>
        <row r="173">
          <cell r="A173" t="str">
            <v>SlbLatin AmericaVenezuela, Trinidad &amp; TobagoIPMWell Construction and InterventionJune2003</v>
          </cell>
        </row>
        <row r="174">
          <cell r="A174" t="str">
            <v>SlbLatin AmericaVenezuela, Trinidad &amp; TobagoIPMWell Construction and InterventionMarch2001</v>
          </cell>
        </row>
        <row r="175">
          <cell r="A175" t="str">
            <v>SlbLatin AmericaVenezuela, Trinidad &amp; TobagoIPMWell Construction and InterventionMarch2002</v>
          </cell>
        </row>
        <row r="176">
          <cell r="A176" t="str">
            <v>SlbLatin AmericaVenezuela, Trinidad &amp; TobagoIPMWell Construction and InterventionMarch2003</v>
          </cell>
        </row>
        <row r="177">
          <cell r="A177" t="str">
            <v>SlbLatin AmericaVenezuela, Trinidad &amp; TobagoIPMWell Construction and InterventionMay2001</v>
          </cell>
        </row>
        <row r="178">
          <cell r="A178" t="str">
            <v>SlbLatin AmericaVenezuela, Trinidad &amp; TobagoIPMWell Construction and InterventionMay2002</v>
          </cell>
        </row>
        <row r="179">
          <cell r="A179" t="str">
            <v>SlbLatin AmericaVenezuela, Trinidad &amp; TobagoIPMWell Construction and InterventionMay2003</v>
          </cell>
        </row>
        <row r="180">
          <cell r="A180" t="str">
            <v>SlbLatin AmericaVenezuela, Trinidad &amp; TobagoIPMWell Construction and InterventionNovember2001</v>
          </cell>
        </row>
        <row r="181">
          <cell r="A181" t="str">
            <v>SlbLatin AmericaVenezuela, Trinidad &amp; TobagoIPMWell Construction and InterventionNovember2002</v>
          </cell>
        </row>
        <row r="182">
          <cell r="A182" t="str">
            <v>SlbLatin AmericaVenezuela, Trinidad &amp; TobagoIPMWell Construction and InterventionOctober2001</v>
          </cell>
        </row>
        <row r="183">
          <cell r="A183" t="str">
            <v>SlbLatin AmericaVenezuela, Trinidad &amp; TobagoIPMWell Construction and InterventionOctober2002</v>
          </cell>
        </row>
        <row r="184">
          <cell r="A184" t="str">
            <v>SlbLatin AmericaVenezuela, Trinidad &amp; TobagoIPMWell Construction and InterventionSeptember2001</v>
          </cell>
        </row>
        <row r="185">
          <cell r="A185" t="str">
            <v>SlbLatin AmericaVenezuela, Trinidad &amp; TobagoIPMWell Construction and InterventionSeptember2002</v>
          </cell>
        </row>
        <row r="186">
          <cell r="A186" t="str">
            <v>SlbLatin AmericaVenezuela, Trinidad &amp; TobagoReservoir Evaluation WirelineWireline Cased HoleApril2001</v>
          </cell>
        </row>
        <row r="187">
          <cell r="A187" t="str">
            <v>SlbLatin AmericaVenezuela, Trinidad &amp; TobagoReservoir Evaluation WirelineWireline Cased HoleApril2002</v>
          </cell>
        </row>
        <row r="188">
          <cell r="A188" t="str">
            <v>SlbLatin AmericaVenezuela, Trinidad &amp; TobagoReservoir Evaluation WirelineWireline Cased HoleApril2003</v>
          </cell>
        </row>
        <row r="189">
          <cell r="A189" t="str">
            <v>SlbLatin AmericaVenezuela, Trinidad &amp; TobagoReservoir Evaluation WirelineWireline Cased HoleAugust2001</v>
          </cell>
        </row>
        <row r="190">
          <cell r="A190" t="str">
            <v>SlbLatin AmericaVenezuela, Trinidad &amp; TobagoReservoir Evaluation WirelineWireline Cased HoleAugust2002</v>
          </cell>
        </row>
        <row r="191">
          <cell r="A191" t="str">
            <v>SlbLatin AmericaVenezuela, Trinidad &amp; TobagoReservoir Evaluation WirelineWireline Cased HoleDecember2001</v>
          </cell>
        </row>
        <row r="192">
          <cell r="A192" t="str">
            <v>SlbLatin AmericaVenezuela, Trinidad &amp; TobagoReservoir Evaluation WirelineWireline Cased HoleDecember2002</v>
          </cell>
        </row>
        <row r="193">
          <cell r="A193" t="str">
            <v>SlbLatin AmericaVenezuela, Trinidad &amp; TobagoReservoir Evaluation WirelineWireline Cased HoleFebruary2001</v>
          </cell>
        </row>
        <row r="194">
          <cell r="A194" t="str">
            <v>SlbLatin AmericaVenezuela, Trinidad &amp; TobagoReservoir Evaluation WirelineWireline Cased HoleFebruary2002</v>
          </cell>
        </row>
        <row r="195">
          <cell r="A195" t="str">
            <v>SlbLatin AmericaVenezuela, Trinidad &amp; TobagoReservoir Evaluation WirelineWireline Cased HoleFebruary2003</v>
          </cell>
        </row>
        <row r="196">
          <cell r="A196" t="str">
            <v>SlbLatin AmericaVenezuela, Trinidad &amp; TobagoReservoir Evaluation WirelineWireline Cased HoleJanuary2001</v>
          </cell>
        </row>
        <row r="197">
          <cell r="A197" t="str">
            <v>SlbLatin AmericaVenezuela, Trinidad &amp; TobagoReservoir Evaluation WirelineWireline Cased HoleJanuary2002</v>
          </cell>
        </row>
        <row r="198">
          <cell r="A198" t="str">
            <v>SlbLatin AmericaVenezuela, Trinidad &amp; TobagoReservoir Evaluation WirelineWireline Cased HoleJanuary2003</v>
          </cell>
        </row>
        <row r="199">
          <cell r="A199" t="str">
            <v>SlbLatin AmericaVenezuela, Trinidad &amp; TobagoReservoir Evaluation WirelineWireline Cased HoleJuly2001</v>
          </cell>
        </row>
        <row r="200">
          <cell r="A200" t="str">
            <v>SlbLatin AmericaVenezuela, Trinidad &amp; TobagoReservoir Evaluation WirelineWireline Cased HoleJuly2002</v>
          </cell>
        </row>
        <row r="201">
          <cell r="A201" t="str">
            <v>SlbLatin AmericaVenezuela, Trinidad &amp; TobagoReservoir Evaluation WirelineWireline Cased HoleJune2001</v>
          </cell>
        </row>
        <row r="202">
          <cell r="A202" t="str">
            <v>SlbLatin AmericaVenezuela, Trinidad &amp; TobagoReservoir Evaluation WirelineWireline Cased HoleJune2002</v>
          </cell>
        </row>
        <row r="203">
          <cell r="A203" t="str">
            <v>SlbLatin AmericaVenezuela, Trinidad &amp; TobagoReservoir Evaluation WirelineWireline Cased HoleJune2003</v>
          </cell>
        </row>
        <row r="204">
          <cell r="A204" t="str">
            <v>SlbLatin AmericaVenezuela, Trinidad &amp; TobagoReservoir Evaluation WirelineWireline Cased HoleMarch2001</v>
          </cell>
        </row>
        <row r="205">
          <cell r="A205" t="str">
            <v>SlbLatin AmericaVenezuela, Trinidad &amp; TobagoReservoir Evaluation WirelineWireline Cased HoleMarch2002</v>
          </cell>
        </row>
        <row r="206">
          <cell r="A206" t="str">
            <v>SlbLatin AmericaVenezuela, Trinidad &amp; TobagoReservoir Evaluation WirelineWireline Cased HoleMarch2003</v>
          </cell>
        </row>
        <row r="207">
          <cell r="A207" t="str">
            <v>SlbLatin AmericaVenezuela, Trinidad &amp; TobagoReservoir Evaluation WirelineWireline Cased HoleMay2001</v>
          </cell>
        </row>
        <row r="208">
          <cell r="A208" t="str">
            <v>SlbLatin AmericaVenezuela, Trinidad &amp; TobagoReservoir Evaluation WirelineWireline Cased HoleMay2002</v>
          </cell>
        </row>
        <row r="209">
          <cell r="A209" t="str">
            <v>SlbLatin AmericaVenezuela, Trinidad &amp; TobagoReservoir Evaluation WirelineWireline Cased HoleMay2003</v>
          </cell>
        </row>
        <row r="210">
          <cell r="A210" t="str">
            <v>SlbLatin AmericaVenezuela, Trinidad &amp; TobagoReservoir Evaluation WirelineWireline Cased HoleNovember2001</v>
          </cell>
        </row>
        <row r="211">
          <cell r="A211" t="str">
            <v>SlbLatin AmericaVenezuela, Trinidad &amp; TobagoReservoir Evaluation WirelineWireline Cased HoleNovember2002</v>
          </cell>
        </row>
        <row r="212">
          <cell r="A212" t="str">
            <v>SlbLatin AmericaVenezuela, Trinidad &amp; TobagoReservoir Evaluation WirelineWireline Cased HoleOctober2001</v>
          </cell>
        </row>
        <row r="213">
          <cell r="A213" t="str">
            <v>SlbLatin AmericaVenezuela, Trinidad &amp; TobagoReservoir Evaluation WirelineWireline Cased HoleOctober2002</v>
          </cell>
        </row>
        <row r="214">
          <cell r="A214" t="str">
            <v>SlbLatin AmericaVenezuela, Trinidad &amp; TobagoReservoir Evaluation WirelineWireline Cased HoleSeptember2001</v>
          </cell>
        </row>
        <row r="215">
          <cell r="A215" t="str">
            <v>SlbLatin AmericaVenezuela, Trinidad &amp; TobagoReservoir Evaluation WirelineWireline Cased HoleSeptember2002</v>
          </cell>
        </row>
        <row r="216">
          <cell r="A216" t="str">
            <v>SlbLatin AmericaVenezuela, Trinidad &amp; TobagoReservoir Evaluation WirelineWireline Open HoleApril2001</v>
          </cell>
        </row>
        <row r="217">
          <cell r="A217" t="str">
            <v>SlbLatin AmericaVenezuela, Trinidad &amp; TobagoReservoir Evaluation WirelineWireline Open HoleApril2002</v>
          </cell>
        </row>
        <row r="218">
          <cell r="A218" t="str">
            <v>SlbLatin AmericaVenezuela, Trinidad &amp; TobagoReservoir Evaluation WirelineWireline Open HoleApril2003</v>
          </cell>
        </row>
        <row r="219">
          <cell r="A219" t="str">
            <v>SlbLatin AmericaVenezuela, Trinidad &amp; TobagoReservoir Evaluation WirelineWireline Open HoleAugust2001</v>
          </cell>
        </row>
        <row r="220">
          <cell r="A220" t="str">
            <v>SlbLatin AmericaVenezuela, Trinidad &amp; TobagoReservoir Evaluation WirelineWireline Open HoleAugust2002</v>
          </cell>
        </row>
        <row r="221">
          <cell r="A221" t="str">
            <v>SlbLatin AmericaVenezuela, Trinidad &amp; TobagoReservoir Evaluation WirelineWireline Open HoleDecember2001</v>
          </cell>
        </row>
        <row r="222">
          <cell r="A222" t="str">
            <v>SlbLatin AmericaVenezuela, Trinidad &amp; TobagoReservoir Evaluation WirelineWireline Open HoleDecember2002</v>
          </cell>
        </row>
        <row r="223">
          <cell r="A223" t="str">
            <v>SlbLatin AmericaVenezuela, Trinidad &amp; TobagoReservoir Evaluation WirelineWireline Open HoleFebruary2001</v>
          </cell>
        </row>
        <row r="224">
          <cell r="A224" t="str">
            <v>SlbLatin AmericaVenezuela, Trinidad &amp; TobagoReservoir Evaluation WirelineWireline Open HoleFebruary2002</v>
          </cell>
        </row>
        <row r="225">
          <cell r="A225" t="str">
            <v>SlbLatin AmericaVenezuela, Trinidad &amp; TobagoReservoir Evaluation WirelineWireline Open HoleFebruary2003</v>
          </cell>
        </row>
        <row r="226">
          <cell r="A226" t="str">
            <v>SlbLatin AmericaVenezuela, Trinidad &amp; TobagoReservoir Evaluation WirelineWireline Open HoleJanuary2001</v>
          </cell>
        </row>
        <row r="227">
          <cell r="A227" t="str">
            <v>SlbLatin AmericaVenezuela, Trinidad &amp; TobagoReservoir Evaluation WirelineWireline Open HoleJanuary2002</v>
          </cell>
        </row>
        <row r="228">
          <cell r="A228" t="str">
            <v>SlbLatin AmericaVenezuela, Trinidad &amp; TobagoReservoir Evaluation WirelineWireline Open HoleJanuary2003</v>
          </cell>
        </row>
        <row r="229">
          <cell r="A229" t="str">
            <v>SlbLatin AmericaVenezuela, Trinidad &amp; TobagoReservoir Evaluation WirelineWireline Open HoleJuly2001</v>
          </cell>
        </row>
        <row r="230">
          <cell r="A230" t="str">
            <v>SlbLatin AmericaVenezuela, Trinidad &amp; TobagoReservoir Evaluation WirelineWireline Open HoleJuly2002</v>
          </cell>
        </row>
        <row r="231">
          <cell r="A231" t="str">
            <v>SlbLatin AmericaVenezuela, Trinidad &amp; TobagoReservoir Evaluation WirelineWireline Open HoleJune2001</v>
          </cell>
        </row>
        <row r="232">
          <cell r="A232" t="str">
            <v>SlbLatin AmericaVenezuela, Trinidad &amp; TobagoReservoir Evaluation WirelineWireline Open HoleJune2002</v>
          </cell>
        </row>
        <row r="233">
          <cell r="A233" t="str">
            <v>SlbLatin AmericaVenezuela, Trinidad &amp; TobagoReservoir Evaluation WirelineWireline Open HoleJune2003</v>
          </cell>
        </row>
        <row r="234">
          <cell r="A234" t="str">
            <v>SlbLatin AmericaVenezuela, Trinidad &amp; TobagoReservoir Evaluation WirelineWireline Open HoleMarch2001</v>
          </cell>
        </row>
        <row r="235">
          <cell r="A235" t="str">
            <v>SlbLatin AmericaVenezuela, Trinidad &amp; TobagoReservoir Evaluation WirelineWireline Open HoleMarch2002</v>
          </cell>
        </row>
        <row r="236">
          <cell r="A236" t="str">
            <v>SlbLatin AmericaVenezuela, Trinidad &amp; TobagoReservoir Evaluation WirelineWireline Open HoleMarch2003</v>
          </cell>
        </row>
        <row r="237">
          <cell r="A237" t="str">
            <v>SlbLatin AmericaVenezuela, Trinidad &amp; TobagoReservoir Evaluation WirelineWireline Open HoleMay2001</v>
          </cell>
        </row>
        <row r="238">
          <cell r="A238" t="str">
            <v>SlbLatin AmericaVenezuela, Trinidad &amp; TobagoReservoir Evaluation WirelineWireline Open HoleMay2002</v>
          </cell>
        </row>
        <row r="239">
          <cell r="A239" t="str">
            <v>SlbLatin AmericaVenezuela, Trinidad &amp; TobagoReservoir Evaluation WirelineWireline Open HoleMay2003</v>
          </cell>
        </row>
        <row r="240">
          <cell r="A240" t="str">
            <v>SlbLatin AmericaVenezuela, Trinidad &amp; TobagoReservoir Evaluation WirelineWireline Open HoleNovember2001</v>
          </cell>
        </row>
        <row r="241">
          <cell r="A241" t="str">
            <v>SlbLatin AmericaVenezuela, Trinidad &amp; TobagoReservoir Evaluation WirelineWireline Open HoleNovember2002</v>
          </cell>
        </row>
        <row r="242">
          <cell r="A242" t="str">
            <v>SlbLatin AmericaVenezuela, Trinidad &amp; TobagoReservoir Evaluation WirelineWireline Open HoleOctober2001</v>
          </cell>
        </row>
        <row r="243">
          <cell r="A243" t="str">
            <v>SlbLatin AmericaVenezuela, Trinidad &amp; TobagoReservoir Evaluation WirelineWireline Open HoleOctober2002</v>
          </cell>
        </row>
        <row r="244">
          <cell r="A244" t="str">
            <v>SlbLatin AmericaVenezuela, Trinidad &amp; TobagoReservoir Evaluation WirelineWireline Open HoleSeptember2001</v>
          </cell>
        </row>
        <row r="245">
          <cell r="A245" t="str">
            <v>SlbLatin AmericaVenezuela, Trinidad &amp; TobagoReservoir Evaluation WirelineWireline Open HoleSeptember2002</v>
          </cell>
        </row>
        <row r="246">
          <cell r="A246" t="str">
            <v>SlbLatin AmericaVenezuela, Trinidad &amp; TobagoSLB Information SolutionsReservoir ProductsApril2001</v>
          </cell>
        </row>
        <row r="247">
          <cell r="A247" t="str">
            <v>SlbLatin AmericaVenezuela, Trinidad &amp; TobagoSLB Information SolutionsReservoir ProductsApril2002</v>
          </cell>
        </row>
        <row r="248">
          <cell r="A248" t="str">
            <v>SlbLatin AmericaVenezuela, Trinidad &amp; TobagoSLB Information SolutionsReservoir ProductsApril2003</v>
          </cell>
        </row>
        <row r="249">
          <cell r="A249" t="str">
            <v>SlbLatin AmericaVenezuela, Trinidad &amp; TobagoSLB Information SolutionsReservoir ProductsAugust2001</v>
          </cell>
        </row>
        <row r="250">
          <cell r="A250" t="str">
            <v>SlbLatin AmericaVenezuela, Trinidad &amp; TobagoSLB Information SolutionsReservoir ProductsAugust2002</v>
          </cell>
        </row>
        <row r="251">
          <cell r="A251" t="str">
            <v>SlbLatin AmericaVenezuela, Trinidad &amp; TobagoSLB Information SolutionsReservoir ProductsDecember2001</v>
          </cell>
        </row>
        <row r="252">
          <cell r="A252" t="str">
            <v>SlbLatin AmericaVenezuela, Trinidad &amp; TobagoSLB Information SolutionsReservoir ProductsDecember2002</v>
          </cell>
        </row>
        <row r="253">
          <cell r="A253" t="str">
            <v>SlbLatin AmericaVenezuela, Trinidad &amp; TobagoSLB Information SolutionsReservoir ProductsFebruary2001</v>
          </cell>
        </row>
        <row r="254">
          <cell r="A254" t="str">
            <v>SlbLatin AmericaVenezuela, Trinidad &amp; TobagoSLB Information SolutionsReservoir ProductsFebruary2002</v>
          </cell>
        </row>
        <row r="255">
          <cell r="A255" t="str">
            <v>SlbLatin AmericaVenezuela, Trinidad &amp; TobagoSLB Information SolutionsReservoir ProductsFebruary2003</v>
          </cell>
        </row>
        <row r="256">
          <cell r="A256" t="str">
            <v>SlbLatin AmericaVenezuela, Trinidad &amp; TobagoSLB Information SolutionsReservoir ProductsJanuary2001</v>
          </cell>
        </row>
        <row r="257">
          <cell r="A257" t="str">
            <v>SlbLatin AmericaVenezuela, Trinidad &amp; TobagoSLB Information SolutionsReservoir ProductsJanuary2002</v>
          </cell>
        </row>
        <row r="258">
          <cell r="A258" t="str">
            <v>SlbLatin AmericaVenezuela, Trinidad &amp; TobagoSLB Information SolutionsReservoir ProductsJanuary2003</v>
          </cell>
        </row>
        <row r="259">
          <cell r="A259" t="str">
            <v>SlbLatin AmericaVenezuela, Trinidad &amp; TobagoSLB Information SolutionsReservoir ProductsJuly2001</v>
          </cell>
        </row>
        <row r="260">
          <cell r="A260" t="str">
            <v>SlbLatin AmericaVenezuela, Trinidad &amp; TobagoSLB Information SolutionsReservoir ProductsJuly2002</v>
          </cell>
        </row>
        <row r="261">
          <cell r="A261" t="str">
            <v>SlbLatin AmericaVenezuela, Trinidad &amp; TobagoSLB Information SolutionsReservoir ProductsJune2001</v>
          </cell>
        </row>
        <row r="262">
          <cell r="A262" t="str">
            <v>SlbLatin AmericaVenezuela, Trinidad &amp; TobagoSLB Information SolutionsReservoir ProductsJune2002</v>
          </cell>
        </row>
        <row r="263">
          <cell r="A263" t="str">
            <v>SlbLatin AmericaVenezuela, Trinidad &amp; TobagoSLB Information SolutionsReservoir ProductsJune2003</v>
          </cell>
        </row>
        <row r="264">
          <cell r="A264" t="str">
            <v>SlbLatin AmericaVenezuela, Trinidad &amp; TobagoSLB Information SolutionsReservoir ProductsMarch2001</v>
          </cell>
        </row>
        <row r="265">
          <cell r="A265" t="str">
            <v>SlbLatin AmericaVenezuela, Trinidad &amp; TobagoSLB Information SolutionsReservoir ProductsMarch2002</v>
          </cell>
        </row>
        <row r="266">
          <cell r="A266" t="str">
            <v>SlbLatin AmericaVenezuela, Trinidad &amp; TobagoSLB Information SolutionsReservoir ProductsMarch2003</v>
          </cell>
        </row>
        <row r="267">
          <cell r="A267" t="str">
            <v>SlbLatin AmericaVenezuela, Trinidad &amp; TobagoSLB Information SolutionsReservoir ProductsMay2001</v>
          </cell>
        </row>
        <row r="268">
          <cell r="A268" t="str">
            <v>SlbLatin AmericaVenezuela, Trinidad &amp; TobagoSLB Information SolutionsReservoir ProductsMay2002</v>
          </cell>
        </row>
        <row r="269">
          <cell r="A269" t="str">
            <v>SlbLatin AmericaVenezuela, Trinidad &amp; TobagoSLB Information SolutionsReservoir ProductsMay2003</v>
          </cell>
        </row>
        <row r="270">
          <cell r="A270" t="str">
            <v>SlbLatin AmericaVenezuela, Trinidad &amp; TobagoSLB Information SolutionsReservoir ProductsNovember2001</v>
          </cell>
        </row>
        <row r="271">
          <cell r="A271" t="str">
            <v>SlbLatin AmericaVenezuela, Trinidad &amp; TobagoSLB Information SolutionsReservoir ProductsNovember2002</v>
          </cell>
        </row>
        <row r="272">
          <cell r="A272" t="str">
            <v>SlbLatin AmericaVenezuela, Trinidad &amp; TobagoSLB Information SolutionsReservoir ProductsOctober2001</v>
          </cell>
        </row>
        <row r="273">
          <cell r="A273" t="str">
            <v>SlbLatin AmericaVenezuela, Trinidad &amp; TobagoSLB Information SolutionsReservoir ProductsOctober2002</v>
          </cell>
        </row>
        <row r="274">
          <cell r="A274" t="str">
            <v>SlbLatin AmericaVenezuela, Trinidad &amp; TobagoSLB Information SolutionsReservoir ProductsSeptember2001</v>
          </cell>
        </row>
        <row r="275">
          <cell r="A275" t="str">
            <v>SlbLatin AmericaVenezuela, Trinidad &amp; TobagoSLB Information SolutionsReservoir ProductsSeptember2002</v>
          </cell>
        </row>
        <row r="276">
          <cell r="A276" t="str">
            <v>SlbLatin AmericaVenezuela, Trinidad &amp; TobagoSLB Information SolutionsReservoir ProjectsApril2001</v>
          </cell>
        </row>
        <row r="277">
          <cell r="A277" t="str">
            <v>SlbLatin AmericaVenezuela, Trinidad &amp; TobagoSLB Information SolutionsReservoir ProjectsApril2002</v>
          </cell>
        </row>
        <row r="278">
          <cell r="A278" t="str">
            <v>SlbLatin AmericaVenezuela, Trinidad &amp; TobagoSLB Information SolutionsReservoir ProjectsApril2003</v>
          </cell>
        </row>
        <row r="279">
          <cell r="A279" t="str">
            <v>SlbLatin AmericaVenezuela, Trinidad &amp; TobagoSLB Information SolutionsReservoir ProjectsAugust2001</v>
          </cell>
        </row>
        <row r="280">
          <cell r="A280" t="str">
            <v>SlbLatin AmericaVenezuela, Trinidad &amp; TobagoSLB Information SolutionsReservoir ProjectsAugust2002</v>
          </cell>
        </row>
        <row r="281">
          <cell r="A281" t="str">
            <v>SlbLatin AmericaVenezuela, Trinidad &amp; TobagoSLB Information SolutionsReservoir ProjectsDecember2001</v>
          </cell>
        </row>
        <row r="282">
          <cell r="A282" t="str">
            <v>SlbLatin AmericaVenezuela, Trinidad &amp; TobagoSLB Information SolutionsReservoir ProjectsDecember2002</v>
          </cell>
        </row>
        <row r="283">
          <cell r="A283" t="str">
            <v>SlbLatin AmericaVenezuela, Trinidad &amp; TobagoSLB Information SolutionsReservoir ProjectsFebruary2001</v>
          </cell>
        </row>
        <row r="284">
          <cell r="A284" t="str">
            <v>SlbLatin AmericaVenezuela, Trinidad &amp; TobagoSLB Information SolutionsReservoir ProjectsFebruary2002</v>
          </cell>
        </row>
        <row r="285">
          <cell r="A285" t="str">
            <v>SlbLatin AmericaVenezuela, Trinidad &amp; TobagoSLB Information SolutionsReservoir ProjectsFebruary2003</v>
          </cell>
        </row>
        <row r="286">
          <cell r="A286" t="str">
            <v>SlbLatin AmericaVenezuela, Trinidad &amp; TobagoSLB Information SolutionsReservoir ProjectsJanuary2001</v>
          </cell>
        </row>
        <row r="287">
          <cell r="A287" t="str">
            <v>SlbLatin AmericaVenezuela, Trinidad &amp; TobagoSLB Information SolutionsReservoir ProjectsJanuary2002</v>
          </cell>
        </row>
        <row r="288">
          <cell r="A288" t="str">
            <v>SlbLatin AmericaVenezuela, Trinidad &amp; TobagoSLB Information SolutionsReservoir ProjectsJanuary2003</v>
          </cell>
        </row>
        <row r="289">
          <cell r="A289" t="str">
            <v>SlbLatin AmericaVenezuela, Trinidad &amp; TobagoSLB Information SolutionsReservoir ProjectsJuly2001</v>
          </cell>
        </row>
        <row r="290">
          <cell r="A290" t="str">
            <v>SlbLatin AmericaVenezuela, Trinidad &amp; TobagoSLB Information SolutionsReservoir ProjectsJuly2002</v>
          </cell>
        </row>
        <row r="291">
          <cell r="A291" t="str">
            <v>SlbLatin AmericaVenezuela, Trinidad &amp; TobagoSLB Information SolutionsReservoir ProjectsJune2001</v>
          </cell>
        </row>
        <row r="292">
          <cell r="A292" t="str">
            <v>SlbLatin AmericaVenezuela, Trinidad &amp; TobagoSLB Information SolutionsReservoir ProjectsJune2002</v>
          </cell>
        </row>
        <row r="293">
          <cell r="A293" t="str">
            <v>SlbLatin AmericaVenezuela, Trinidad &amp; TobagoSLB Information SolutionsReservoir ProjectsJune2003</v>
          </cell>
        </row>
        <row r="294">
          <cell r="A294" t="str">
            <v>SlbLatin AmericaVenezuela, Trinidad &amp; TobagoSLB Information SolutionsReservoir ProjectsMarch2001</v>
          </cell>
        </row>
        <row r="295">
          <cell r="A295" t="str">
            <v>SlbLatin AmericaVenezuela, Trinidad &amp; TobagoSLB Information SolutionsReservoir ProjectsMarch2002</v>
          </cell>
        </row>
        <row r="296">
          <cell r="A296" t="str">
            <v>SlbLatin AmericaVenezuela, Trinidad &amp; TobagoSLB Information SolutionsReservoir ProjectsMarch2003</v>
          </cell>
        </row>
        <row r="297">
          <cell r="A297" t="str">
            <v>SlbLatin AmericaVenezuela, Trinidad &amp; TobagoSLB Information SolutionsReservoir ProjectsMay2001</v>
          </cell>
        </row>
        <row r="298">
          <cell r="A298" t="str">
            <v>SlbLatin AmericaVenezuela, Trinidad &amp; TobagoSLB Information SolutionsReservoir ProjectsMay2002</v>
          </cell>
        </row>
        <row r="299">
          <cell r="A299" t="str">
            <v>SlbLatin AmericaVenezuela, Trinidad &amp; TobagoSLB Information SolutionsReservoir ProjectsMay2003</v>
          </cell>
        </row>
        <row r="300">
          <cell r="A300" t="str">
            <v>SlbLatin AmericaVenezuela, Trinidad &amp; TobagoSLB Information SolutionsReservoir ProjectsNovember2001</v>
          </cell>
        </row>
        <row r="301">
          <cell r="A301" t="str">
            <v>SlbLatin AmericaVenezuela, Trinidad &amp; TobagoSLB Information SolutionsReservoir ProjectsNovember2002</v>
          </cell>
        </row>
        <row r="302">
          <cell r="A302" t="str">
            <v>SlbLatin AmericaVenezuela, Trinidad &amp; TobagoSLB Information SolutionsReservoir ProjectsOctober2001</v>
          </cell>
        </row>
        <row r="303">
          <cell r="A303" t="str">
            <v>SlbLatin AmericaVenezuela, Trinidad &amp; TobagoSLB Information SolutionsReservoir ProjectsOctober2002</v>
          </cell>
        </row>
        <row r="304">
          <cell r="A304" t="str">
            <v>SlbLatin AmericaVenezuela, Trinidad &amp; TobagoSLB Information SolutionsReservoir ProjectsSeptember2001</v>
          </cell>
        </row>
        <row r="305">
          <cell r="A305" t="str">
            <v>SlbLatin AmericaVenezuela, Trinidad &amp; TobagoSLB Information SolutionsReservoir ProjectsSeptember2002</v>
          </cell>
        </row>
        <row r="306">
          <cell r="A306" t="str">
            <v>SlbLatin AmericaVenezuela, Trinidad &amp; TobagoWell Completions &amp; ProductivityArtificial LiftApril2001</v>
          </cell>
        </row>
        <row r="307">
          <cell r="A307" t="str">
            <v>SlbLatin AmericaVenezuela, Trinidad &amp; TobagoWell Completions &amp; ProductivityArtificial LiftApril2002</v>
          </cell>
        </row>
        <row r="308">
          <cell r="A308" t="str">
            <v>SlbLatin AmericaVenezuela, Trinidad &amp; TobagoWell Completions &amp; ProductivityArtificial LiftApril2003</v>
          </cell>
        </row>
        <row r="309">
          <cell r="A309" t="str">
            <v>SlbLatin AmericaVenezuela, Trinidad &amp; TobagoWell Completions &amp; ProductivityArtificial LiftAugust2001</v>
          </cell>
        </row>
        <row r="310">
          <cell r="A310" t="str">
            <v>SlbLatin AmericaVenezuela, Trinidad &amp; TobagoWell Completions &amp; ProductivityArtificial LiftAugust2002</v>
          </cell>
        </row>
        <row r="311">
          <cell r="A311" t="str">
            <v>SlbLatin AmericaVenezuela, Trinidad &amp; TobagoWell Completions &amp; ProductivityArtificial LiftDecember2001</v>
          </cell>
        </row>
        <row r="312">
          <cell r="A312" t="str">
            <v>SlbLatin AmericaVenezuela, Trinidad &amp; TobagoWell Completions &amp; ProductivityArtificial LiftDecember2002</v>
          </cell>
        </row>
        <row r="313">
          <cell r="A313" t="str">
            <v>SlbLatin AmericaVenezuela, Trinidad &amp; TobagoWell Completions &amp; ProductivityArtificial LiftFebruary2001</v>
          </cell>
        </row>
        <row r="314">
          <cell r="A314" t="str">
            <v>SlbLatin AmericaVenezuela, Trinidad &amp; TobagoWell Completions &amp; ProductivityArtificial LiftFebruary2002</v>
          </cell>
        </row>
        <row r="315">
          <cell r="A315" t="str">
            <v>SlbLatin AmericaVenezuela, Trinidad &amp; TobagoWell Completions &amp; ProductivityArtificial LiftFebruary2003</v>
          </cell>
        </row>
        <row r="316">
          <cell r="A316" t="str">
            <v>SlbLatin AmericaVenezuela, Trinidad &amp; TobagoWell Completions &amp; ProductivityArtificial LiftJanuary2001</v>
          </cell>
        </row>
        <row r="317">
          <cell r="A317" t="str">
            <v>SlbLatin AmericaVenezuela, Trinidad &amp; TobagoWell Completions &amp; ProductivityArtificial LiftJanuary2002</v>
          </cell>
        </row>
        <row r="318">
          <cell r="A318" t="str">
            <v>SlbLatin AmericaVenezuela, Trinidad &amp; TobagoWell Completions &amp; ProductivityArtificial LiftJanuary2003</v>
          </cell>
        </row>
        <row r="319">
          <cell r="A319" t="str">
            <v>SlbLatin AmericaVenezuela, Trinidad &amp; TobagoWell Completions &amp; ProductivityArtificial LiftJuly2001</v>
          </cell>
        </row>
        <row r="320">
          <cell r="A320" t="str">
            <v>SlbLatin AmericaVenezuela, Trinidad &amp; TobagoWell Completions &amp; ProductivityArtificial LiftJuly2002</v>
          </cell>
        </row>
        <row r="321">
          <cell r="A321" t="str">
            <v>SlbLatin AmericaVenezuela, Trinidad &amp; TobagoWell Completions &amp; ProductivityArtificial LiftJune2001</v>
          </cell>
        </row>
        <row r="322">
          <cell r="A322" t="str">
            <v>SlbLatin AmericaVenezuela, Trinidad &amp; TobagoWell Completions &amp; ProductivityArtificial LiftJune2002</v>
          </cell>
        </row>
        <row r="323">
          <cell r="A323" t="str">
            <v>SlbLatin AmericaVenezuela, Trinidad &amp; TobagoWell Completions &amp; ProductivityArtificial LiftJune2003</v>
          </cell>
        </row>
        <row r="324">
          <cell r="A324" t="str">
            <v>SlbLatin AmericaVenezuela, Trinidad &amp; TobagoWell Completions &amp; ProductivityArtificial LiftMarch2001</v>
          </cell>
        </row>
        <row r="325">
          <cell r="A325" t="str">
            <v>SlbLatin AmericaVenezuela, Trinidad &amp; TobagoWell Completions &amp; ProductivityArtificial LiftMarch2002</v>
          </cell>
        </row>
        <row r="326">
          <cell r="A326" t="str">
            <v>SlbLatin AmericaVenezuela, Trinidad &amp; TobagoWell Completions &amp; ProductivityArtificial LiftMarch2003</v>
          </cell>
        </row>
        <row r="327">
          <cell r="A327" t="str">
            <v>SlbLatin AmericaVenezuela, Trinidad &amp; TobagoWell Completions &amp; ProductivityArtificial LiftMay2001</v>
          </cell>
        </row>
        <row r="328">
          <cell r="A328" t="str">
            <v>SlbLatin AmericaVenezuela, Trinidad &amp; TobagoWell Completions &amp; ProductivityArtificial LiftMay2002</v>
          </cell>
        </row>
        <row r="329">
          <cell r="A329" t="str">
            <v>SlbLatin AmericaVenezuela, Trinidad &amp; TobagoWell Completions &amp; ProductivityArtificial LiftMay2003</v>
          </cell>
        </row>
        <row r="330">
          <cell r="A330" t="str">
            <v>SlbLatin AmericaVenezuela, Trinidad &amp; TobagoWell Completions &amp; ProductivityArtificial LiftNovember2001</v>
          </cell>
        </row>
        <row r="331">
          <cell r="A331" t="str">
            <v>SlbLatin AmericaVenezuela, Trinidad &amp; TobagoWell Completions &amp; ProductivityArtificial LiftNovember2002</v>
          </cell>
        </row>
        <row r="332">
          <cell r="A332" t="str">
            <v>SlbLatin AmericaVenezuela, Trinidad &amp; TobagoWell Completions &amp; ProductivityArtificial LiftOctober2001</v>
          </cell>
        </row>
        <row r="333">
          <cell r="A333" t="str">
            <v>SlbLatin AmericaVenezuela, Trinidad &amp; TobagoWell Completions &amp; ProductivityArtificial LiftOctober2002</v>
          </cell>
        </row>
        <row r="334">
          <cell r="A334" t="str">
            <v>SlbLatin AmericaVenezuela, Trinidad &amp; TobagoWell Completions &amp; ProductivityArtificial LiftSeptember2001</v>
          </cell>
        </row>
        <row r="335">
          <cell r="A335" t="str">
            <v>SlbLatin AmericaVenezuela, Trinidad &amp; TobagoWell Completions &amp; ProductivityArtificial LiftSeptember2002</v>
          </cell>
        </row>
        <row r="336">
          <cell r="A336" t="str">
            <v>SlbLatin AmericaVenezuela, Trinidad &amp; TobagoWell Completions &amp; ProductivityTesting and Completions SystemApril2001</v>
          </cell>
        </row>
        <row r="337">
          <cell r="A337" t="str">
            <v>SlbLatin AmericaVenezuela, Trinidad &amp; TobagoWell Completions &amp; ProductivityTesting and Completions SystemApril2002</v>
          </cell>
        </row>
        <row r="338">
          <cell r="A338" t="str">
            <v>SlbLatin AmericaVenezuela, Trinidad &amp; TobagoWell Completions &amp; ProductivityTesting and Completions SystemApril2003</v>
          </cell>
        </row>
        <row r="339">
          <cell r="A339" t="str">
            <v>SlbLatin AmericaVenezuela, Trinidad &amp; TobagoWell Completions &amp; ProductivityTesting and Completions SystemAugust2001</v>
          </cell>
        </row>
        <row r="340">
          <cell r="A340" t="str">
            <v>SlbLatin AmericaVenezuela, Trinidad &amp; TobagoWell Completions &amp; ProductivityTesting and Completions SystemAugust2002</v>
          </cell>
        </row>
        <row r="341">
          <cell r="A341" t="str">
            <v>SlbLatin AmericaVenezuela, Trinidad &amp; TobagoWell Completions &amp; ProductivityTesting and Completions SystemDecember2001</v>
          </cell>
        </row>
        <row r="342">
          <cell r="A342" t="str">
            <v>SlbLatin AmericaVenezuela, Trinidad &amp; TobagoWell Completions &amp; ProductivityTesting and Completions SystemDecember2002</v>
          </cell>
        </row>
        <row r="343">
          <cell r="A343" t="str">
            <v>SlbLatin AmericaVenezuela, Trinidad &amp; TobagoWell Completions &amp; ProductivityTesting and Completions SystemFebruary2001</v>
          </cell>
        </row>
        <row r="344">
          <cell r="A344" t="str">
            <v>SlbLatin AmericaVenezuela, Trinidad &amp; TobagoWell Completions &amp; ProductivityTesting and Completions SystemFebruary2002</v>
          </cell>
        </row>
        <row r="345">
          <cell r="A345" t="str">
            <v>SlbLatin AmericaVenezuela, Trinidad &amp; TobagoWell Completions &amp; ProductivityTesting and Completions SystemFebruary2003</v>
          </cell>
        </row>
        <row r="346">
          <cell r="A346" t="str">
            <v>SlbLatin AmericaVenezuela, Trinidad &amp; TobagoWell Completions &amp; ProductivityTesting and Completions SystemJanuary2001</v>
          </cell>
        </row>
        <row r="347">
          <cell r="A347" t="str">
            <v>SlbLatin AmericaVenezuela, Trinidad &amp; TobagoWell Completions &amp; ProductivityTesting and Completions SystemJanuary2002</v>
          </cell>
        </row>
        <row r="348">
          <cell r="A348" t="str">
            <v>SlbLatin AmericaVenezuela, Trinidad &amp; TobagoWell Completions &amp; ProductivityTesting and Completions SystemJanuary2003</v>
          </cell>
        </row>
        <row r="349">
          <cell r="A349" t="str">
            <v>SlbLatin AmericaVenezuela, Trinidad &amp; TobagoWell Completions &amp; ProductivityTesting and Completions SystemJuly2001</v>
          </cell>
        </row>
        <row r="350">
          <cell r="A350" t="str">
            <v>SlbLatin AmericaVenezuela, Trinidad &amp; TobagoWell Completions &amp; ProductivityTesting and Completions SystemJuly2002</v>
          </cell>
        </row>
        <row r="351">
          <cell r="A351" t="str">
            <v>SlbLatin AmericaVenezuela, Trinidad &amp; TobagoWell Completions &amp; ProductivityTesting and Completions SystemJune2001</v>
          </cell>
        </row>
        <row r="352">
          <cell r="A352" t="str">
            <v>SlbLatin AmericaVenezuela, Trinidad &amp; TobagoWell Completions &amp; ProductivityTesting and Completions SystemJune2002</v>
          </cell>
        </row>
        <row r="353">
          <cell r="A353" t="str">
            <v>SlbLatin AmericaVenezuela, Trinidad &amp; TobagoWell Completions &amp; ProductivityTesting and Completions SystemJune2003</v>
          </cell>
        </row>
        <row r="354">
          <cell r="A354" t="str">
            <v>SlbLatin AmericaVenezuela, Trinidad &amp; TobagoWell Completions &amp; ProductivityTesting and Completions SystemMarch2001</v>
          </cell>
        </row>
        <row r="355">
          <cell r="A355" t="str">
            <v>SlbLatin AmericaVenezuela, Trinidad &amp; TobagoWell Completions &amp; ProductivityTesting and Completions SystemMarch2002</v>
          </cell>
        </row>
        <row r="356">
          <cell r="A356" t="str">
            <v>SlbLatin AmericaVenezuela, Trinidad &amp; TobagoWell Completions &amp; ProductivityTesting and Completions SystemMarch2003</v>
          </cell>
        </row>
        <row r="357">
          <cell r="A357" t="str">
            <v>SlbLatin AmericaVenezuela, Trinidad &amp; TobagoWell Completions &amp; ProductivityTesting and Completions SystemMay2001</v>
          </cell>
        </row>
        <row r="358">
          <cell r="A358" t="str">
            <v>SlbLatin AmericaVenezuela, Trinidad &amp; TobagoWell Completions &amp; ProductivityTesting and Completions SystemMay2002</v>
          </cell>
        </row>
        <row r="359">
          <cell r="A359" t="str">
            <v>SlbLatin AmericaVenezuela, Trinidad &amp; TobagoWell Completions &amp; ProductivityTesting and Completions SystemMay2003</v>
          </cell>
        </row>
        <row r="360">
          <cell r="A360" t="str">
            <v>SlbLatin AmericaVenezuela, Trinidad &amp; TobagoWell Completions &amp; ProductivityTesting and Completions SystemNovember2001</v>
          </cell>
        </row>
        <row r="361">
          <cell r="A361" t="str">
            <v>SlbLatin AmericaVenezuela, Trinidad &amp; TobagoWell Completions &amp; ProductivityTesting and Completions SystemNovember2002</v>
          </cell>
        </row>
        <row r="362">
          <cell r="A362" t="str">
            <v>SlbLatin AmericaVenezuela, Trinidad &amp; TobagoWell Completions &amp; ProductivityTesting and Completions SystemOctober2001</v>
          </cell>
        </row>
        <row r="363">
          <cell r="A363" t="str">
            <v>SlbLatin AmericaVenezuela, Trinidad &amp; TobagoWell Completions &amp; ProductivityTesting and Completions SystemOctober2002</v>
          </cell>
        </row>
        <row r="364">
          <cell r="A364" t="str">
            <v>SlbLatin AmericaVenezuela, Trinidad &amp; TobagoWell Completions &amp; ProductivityTesting and Completions SystemSeptember2001</v>
          </cell>
        </row>
        <row r="365">
          <cell r="A365" t="str">
            <v>SlbLatin AmericaVenezuela, Trinidad &amp; TobagoWell Completions &amp; ProductivityTesting and Completions SystemSeptember2002</v>
          </cell>
        </row>
        <row r="366">
          <cell r="A366" t="str">
            <v>SlbLatin AmericaVenezuela, Trinidad &amp; TobagoWell ServicesWell ServicesApril2001</v>
          </cell>
        </row>
        <row r="367">
          <cell r="A367" t="str">
            <v>SlbLatin AmericaVenezuela, Trinidad &amp; TobagoWell ServicesWell ServicesApril2002</v>
          </cell>
        </row>
        <row r="368">
          <cell r="A368" t="str">
            <v>SlbLatin AmericaVenezuela, Trinidad &amp; TobagoWell ServicesWell ServicesApril2003</v>
          </cell>
        </row>
        <row r="369">
          <cell r="A369" t="str">
            <v>SlbLatin AmericaVenezuela, Trinidad &amp; TobagoWell ServicesWell ServicesAugust2001</v>
          </cell>
        </row>
        <row r="370">
          <cell r="A370" t="str">
            <v>SlbLatin AmericaVenezuela, Trinidad &amp; TobagoWell ServicesWell ServicesAugust2002</v>
          </cell>
        </row>
        <row r="371">
          <cell r="A371" t="str">
            <v>SlbLatin AmericaVenezuela, Trinidad &amp; TobagoWell ServicesWell ServicesDecember2001</v>
          </cell>
        </row>
        <row r="372">
          <cell r="A372" t="str">
            <v>SlbLatin AmericaVenezuela, Trinidad &amp; TobagoWell ServicesWell ServicesDecember2002</v>
          </cell>
        </row>
        <row r="373">
          <cell r="A373" t="str">
            <v>SlbLatin AmericaVenezuela, Trinidad &amp; TobagoWell ServicesWell ServicesFebruary2001</v>
          </cell>
        </row>
        <row r="374">
          <cell r="A374" t="str">
            <v>SlbLatin AmericaVenezuela, Trinidad &amp; TobagoWell ServicesWell ServicesFebruary2002</v>
          </cell>
        </row>
        <row r="375">
          <cell r="A375" t="str">
            <v>SlbLatin AmericaVenezuela, Trinidad &amp; TobagoWell ServicesWell ServicesFebruary2003</v>
          </cell>
        </row>
        <row r="376">
          <cell r="A376" t="str">
            <v>SlbLatin AmericaVenezuela, Trinidad &amp; TobagoWell ServicesWell ServicesJanuary2001</v>
          </cell>
        </row>
        <row r="377">
          <cell r="A377" t="str">
            <v>SlbLatin AmericaVenezuela, Trinidad &amp; TobagoWell ServicesWell ServicesJanuary2002</v>
          </cell>
        </row>
        <row r="378">
          <cell r="A378" t="str">
            <v>SlbLatin AmericaVenezuela, Trinidad &amp; TobagoWell ServicesWell ServicesJanuary2003</v>
          </cell>
        </row>
        <row r="379">
          <cell r="A379" t="str">
            <v>SlbLatin AmericaVenezuela, Trinidad &amp; TobagoWell ServicesWell ServicesJuly2001</v>
          </cell>
        </row>
        <row r="380">
          <cell r="A380" t="str">
            <v>SlbLatin AmericaVenezuela, Trinidad &amp; TobagoWell ServicesWell ServicesJuly2002</v>
          </cell>
        </row>
        <row r="381">
          <cell r="A381" t="str">
            <v>SlbLatin AmericaVenezuela, Trinidad &amp; TobagoWell ServicesWell ServicesJune2001</v>
          </cell>
        </row>
        <row r="382">
          <cell r="A382" t="str">
            <v>SlbLatin AmericaVenezuela, Trinidad &amp; TobagoWell ServicesWell ServicesJune2002</v>
          </cell>
        </row>
        <row r="383">
          <cell r="A383" t="str">
            <v>SlbLatin AmericaVenezuela, Trinidad &amp; TobagoWell ServicesWell ServicesJune2003</v>
          </cell>
        </row>
        <row r="384">
          <cell r="A384" t="str">
            <v>SlbLatin AmericaVenezuela, Trinidad &amp; TobagoWell ServicesWell ServicesMarch2001</v>
          </cell>
        </row>
        <row r="385">
          <cell r="A385" t="str">
            <v>SlbLatin AmericaVenezuela, Trinidad &amp; TobagoWell ServicesWell ServicesMarch2002</v>
          </cell>
        </row>
        <row r="386">
          <cell r="A386" t="str">
            <v>SlbLatin AmericaVenezuela, Trinidad &amp; TobagoWell ServicesWell ServicesMarch2003</v>
          </cell>
        </row>
        <row r="387">
          <cell r="A387" t="str">
            <v>SlbLatin AmericaVenezuela, Trinidad &amp; TobagoWell ServicesWell ServicesMay2001</v>
          </cell>
        </row>
        <row r="388">
          <cell r="A388" t="str">
            <v>SlbLatin AmericaVenezuela, Trinidad &amp; TobagoWell ServicesWell ServicesMay2002</v>
          </cell>
        </row>
        <row r="389">
          <cell r="A389" t="str">
            <v>SlbLatin AmericaVenezuela, Trinidad &amp; TobagoWell ServicesWell ServicesMay2003</v>
          </cell>
        </row>
        <row r="390">
          <cell r="A390" t="str">
            <v>SlbLatin AmericaVenezuela, Trinidad &amp; TobagoWell ServicesWell ServicesNovember2001</v>
          </cell>
        </row>
        <row r="391">
          <cell r="A391" t="str">
            <v>SlbLatin AmericaVenezuela, Trinidad &amp; TobagoWell ServicesWell ServicesNovember2002</v>
          </cell>
        </row>
        <row r="392">
          <cell r="A392" t="str">
            <v>SlbLatin AmericaVenezuela, Trinidad &amp; TobagoWell ServicesWell ServicesOctober2001</v>
          </cell>
        </row>
        <row r="393">
          <cell r="A393" t="str">
            <v>SlbLatin AmericaVenezuela, Trinidad &amp; TobagoWell ServicesWell ServicesOctober2002</v>
          </cell>
        </row>
        <row r="394">
          <cell r="A394" t="str">
            <v>SlbLatin AmericaVenezuela, Trinidad &amp; TobagoWell ServicesWell ServicesSeptember2001</v>
          </cell>
        </row>
        <row r="395">
          <cell r="A395" t="str">
            <v>SlbLatin AmericaVenezuela, Trinidad &amp; TobagoWell ServicesWell ServicesSeptember2002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s"/>
      <sheetName val="Accounting Units"/>
    </sheetNames>
    <sheetDataSet>
      <sheetData sheetId="0"/>
      <sheetData sheetId="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V-BBOSQUE-FINAL"/>
      <sheetName val="INDICES"/>
      <sheetName val="Marcas"/>
      <sheetName val="PT's"/>
      <sheetName val="AJ´S"/>
      <sheetName val="BALANZA"/>
      <sheetName val="III "/>
      <sheetName val="III-P"/>
      <sheetName val="IX"/>
      <sheetName val="IX-1"/>
      <sheetName val="X"/>
      <sheetName val="XIV"/>
      <sheetName val="BG-1"/>
      <sheetName val="BG-2"/>
      <sheetName val="PG"/>
      <sheetName val="A"/>
      <sheetName val="AI1"/>
      <sheetName val="A-1"/>
      <sheetName val="A-2"/>
      <sheetName val="C"/>
      <sheetName val="C-1"/>
      <sheetName val="C-2"/>
      <sheetName val="D"/>
      <sheetName val="D-1"/>
      <sheetName val="F"/>
      <sheetName val="F-1"/>
      <sheetName val="M"/>
      <sheetName val="M-1"/>
      <sheetName val="N"/>
      <sheetName val="OIP"/>
      <sheetName val="AA"/>
      <sheetName val="AA-1"/>
      <sheetName val="AA-2"/>
      <sheetName val="AA-3"/>
      <sheetName val="SS"/>
      <sheetName val="10"/>
      <sheetName val="10-1"/>
      <sheetName val="10-2"/>
      <sheetName val="30 "/>
      <sheetName val="HON2000"/>
      <sheetName val="HON P"/>
      <sheetName val="AUX F"/>
      <sheetName val="AUX P"/>
      <sheetName val="30I1"/>
      <sheetName val="30-1"/>
      <sheetName val="30-1I1"/>
      <sheetName val="30-2"/>
      <sheetName val="30-3"/>
      <sheetName val="30-4"/>
      <sheetName val="30-5"/>
      <sheetName val="30-6"/>
      <sheetName val="30-7"/>
      <sheetName val="30-8"/>
      <sheetName val="30-9"/>
      <sheetName val="30-10"/>
      <sheetName val="30-11"/>
      <sheetName val="30-12"/>
      <sheetName val="30-13"/>
      <sheetName val="30-14"/>
      <sheetName val="30-15"/>
      <sheetName val="30-16"/>
      <sheetName val="30-17"/>
      <sheetName val="30-18"/>
      <sheetName val="30-18I1"/>
      <sheetName val="40"/>
      <sheetName val="40-2"/>
      <sheetName val="40-3"/>
      <sheetName val="40-4"/>
      <sheetName val="40-5"/>
      <sheetName val="40-6"/>
      <sheetName val="40-7"/>
      <sheetName val="40-8"/>
      <sheetName val="40-9"/>
      <sheetName val="50"/>
      <sheetName val="50-1"/>
      <sheetName val="60"/>
      <sheetName val="60-1"/>
      <sheetName val="70"/>
      <sheetName val="70-2"/>
      <sheetName val="80"/>
      <sheetName val="80-1cia"/>
      <sheetName val="80-1"/>
      <sheetName val="80-1-1"/>
      <sheetName val="80-2"/>
      <sheetName val="80-3"/>
      <sheetName val="Hoja1"/>
      <sheetName val="100P"/>
      <sheetName val="100-1"/>
      <sheetName val="100-1I1"/>
      <sheetName val="100-1I1-1"/>
      <sheetName val="100-1I1-2"/>
      <sheetName val="100-1I2"/>
      <sheetName val="100-2"/>
      <sheetName val="100-3"/>
      <sheetName val="100-3I1"/>
      <sheetName val="100-3I2"/>
      <sheetName val="100-3I3"/>
      <sheetName val="100-3I4"/>
      <sheetName val="100-3I5"/>
      <sheetName val="100-3I6"/>
      <sheetName val="100-3I7"/>
      <sheetName val="100-5"/>
      <sheetName val="110"/>
      <sheetName val="110 P"/>
      <sheetName val="20 - 2 l 1"/>
      <sheetName val="SMG95"/>
      <sheetName val="70-11"/>
      <sheetName val="70-12"/>
      <sheetName val="70-10"/>
      <sheetName val="10-1l2"/>
      <sheetName val="10-1l3"/>
      <sheetName val="10-1l4"/>
      <sheetName val="10-1l1"/>
      <sheetName val="GASTOS"/>
      <sheetName val="BB-1"/>
      <sheetName val="IVA9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 CONCIL"/>
      <sheetName val="AJU"/>
      <sheetName val="IV"/>
      <sheetName val="IV CGB"/>
      <sheetName val="V"/>
      <sheetName val="A-1"/>
      <sheetName val="A-2"/>
      <sheetName val="Hoja2"/>
      <sheetName val="C-2"/>
      <sheetName val="C-2-1"/>
      <sheetName val="C-2-2"/>
      <sheetName val="C-2-3"/>
      <sheetName val="C-2-4"/>
      <sheetName val="D-1"/>
      <sheetName val="D-1-2"/>
      <sheetName val="D-1-3"/>
      <sheetName val="D-1-4"/>
      <sheetName val="D-1-4-1"/>
      <sheetName val="D-1-4-1_1"/>
      <sheetName val="D-1-4-2"/>
      <sheetName val="D-1-4-2_1"/>
      <sheetName val="D-1-4-3"/>
      <sheetName val="D-1-4-3_1"/>
      <sheetName val="D-1-4-4"/>
      <sheetName val="D-1-4-4_1"/>
      <sheetName val="D-1-4-5"/>
      <sheetName val="D-1-4-5_1"/>
      <sheetName val="D-1-4-6"/>
      <sheetName val="D-1-4-6_1"/>
      <sheetName val="AA-1"/>
      <sheetName val="POLIZAS"/>
      <sheetName val="AA-1-1"/>
      <sheetName val="AA-1-2"/>
      <sheetName val="AA-1-3"/>
      <sheetName val="AA-1-4"/>
      <sheetName val="AA-1-5"/>
      <sheetName val="AA-1-6"/>
      <sheetName val="AA-1-7"/>
      <sheetName val="AA-1-8"/>
      <sheetName val="AA-1-9"/>
      <sheetName val="AA-1-10"/>
      <sheetName val="AA-1-11"/>
      <sheetName val="AA-1-12"/>
      <sheetName val="AA-2"/>
      <sheetName val="AA-2-1"/>
      <sheetName val="AA-2-2"/>
      <sheetName val="AA|1"/>
      <sheetName val="AA-3"/>
      <sheetName val="AA-3-1"/>
      <sheetName val="AA-3-2"/>
      <sheetName val="AA-3-3"/>
      <sheetName val="AA-3-4"/>
      <sheetName val="AA-3-5"/>
      <sheetName val="AA-4"/>
      <sheetName val="AA-4-1"/>
      <sheetName val="70-3"/>
      <sheetName val="IX"/>
      <sheetName val="30-INTEGRAC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1"/>
      <sheetName val="10-7-1"/>
    </sheetNames>
    <sheetDataSet>
      <sheetData sheetId="0" refreshError="1"/>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ide"/>
      <sheetName val="WTB"/>
      <sheetName val="1"/>
      <sheetName val="2"/>
      <sheetName val="3"/>
      <sheetName val="4"/>
      <sheetName val="5"/>
      <sheetName val="6"/>
      <sheetName val="7"/>
      <sheetName val="8"/>
      <sheetName val="1EL"/>
      <sheetName val="2EL"/>
      <sheetName val="PU1"/>
      <sheetName val="PU2"/>
      <sheetName val="CRONOLOGIA"/>
      <sheetName val="PERSONAL"/>
      <sheetName val="EQUIPO Y HERRAMIENTA"/>
      <sheetName val="F1"/>
      <sheetName val="F2"/>
      <sheetName val="F3"/>
      <sheetName val="F4"/>
      <sheetName val="F5"/>
      <sheetName val="F6"/>
      <sheetName val="F7"/>
      <sheetName val="F8"/>
      <sheetName val="T-M 1"/>
      <sheetName val="T-M 1."/>
      <sheetName val="T-M 2"/>
    </sheetNames>
    <sheetDataSet>
      <sheetData sheetId="0" refreshError="1">
        <row r="1">
          <cell r="B1">
            <v>0</v>
          </cell>
          <cell r="C1" t="str">
            <v xml:space="preserve">                    CONTRATO No. 648235806
      OBRA ELECTROMECÁNICA EN EL C.P. AKAL-B PARA LAS INTERCONEXIONES Y BATERÍA DE SEPARACIÓN TRIFÁSICA PARA EL MANEJO SEGREGADO DE 
EK-BALAM.</v>
          </cell>
        </row>
        <row r="2">
          <cell r="B2" t="str">
            <v>FECHA</v>
          </cell>
          <cell r="C2" t="str">
            <v>Journal Entry Spreadsheet</v>
          </cell>
        </row>
        <row r="3">
          <cell r="B3" t="str">
            <v>ORDEN DE TRABAJO</v>
          </cell>
          <cell r="C3">
            <v>0</v>
          </cell>
        </row>
        <row r="4">
          <cell r="B4" t="str">
            <v>Run Group</v>
          </cell>
          <cell r="C4" t="str">
            <v>Topside</v>
          </cell>
        </row>
        <row r="5">
          <cell r="B5" t="str">
            <v>Company</v>
          </cell>
          <cell r="C5">
            <v>1</v>
          </cell>
        </row>
        <row r="6">
          <cell r="B6" t="str">
            <v>Trans Date</v>
          </cell>
          <cell r="C6" t="str">
            <v>For June</v>
          </cell>
        </row>
        <row r="7">
          <cell r="B7" t="str">
            <v>Post Date</v>
          </cell>
          <cell r="C7">
            <v>0</v>
          </cell>
        </row>
        <row r="8">
          <cell r="B8" t="str">
            <v>Reference</v>
          </cell>
          <cell r="C8" t="str">
            <v>C-4 &amp; C-5</v>
          </cell>
        </row>
        <row r="9">
          <cell r="B9">
            <v>0</v>
          </cell>
          <cell r="C9">
            <v>0</v>
          </cell>
        </row>
        <row r="10">
          <cell r="B10" t="str">
            <v>SISTEMA</v>
          </cell>
          <cell r="C10">
            <v>0</v>
          </cell>
        </row>
        <row r="11">
          <cell r="B11" t="str">
            <v>A8020</v>
          </cell>
          <cell r="C11" t="str">
            <v>C-4 &amp; C-5</v>
          </cell>
        </row>
        <row r="12">
          <cell r="A12" t="str">
            <v>To Company</v>
          </cell>
          <cell r="B12" t="str">
            <v>Accounting Unit</v>
          </cell>
          <cell r="C12" t="str">
            <v>Account</v>
          </cell>
        </row>
        <row r="13">
          <cell r="A13">
            <v>1</v>
          </cell>
          <cell r="B13" t="str">
            <v>10-9802</v>
          </cell>
          <cell r="C13">
            <v>19000</v>
          </cell>
        </row>
        <row r="14">
          <cell r="A14">
            <v>1</v>
          </cell>
          <cell r="B14" t="str">
            <v>11-9803</v>
          </cell>
          <cell r="C14">
            <v>19000</v>
          </cell>
        </row>
        <row r="15">
          <cell r="A15">
            <v>1</v>
          </cell>
          <cell r="B15" t="str">
            <v>10-9802</v>
          </cell>
          <cell r="C15">
            <v>14000</v>
          </cell>
        </row>
        <row r="16">
          <cell r="A16">
            <v>1</v>
          </cell>
          <cell r="B16" t="str">
            <v>11-9803</v>
          </cell>
          <cell r="C16">
            <v>19000</v>
          </cell>
        </row>
        <row r="17">
          <cell r="B17" t="str">
            <v>Correcting entry</v>
          </cell>
          <cell r="C17">
            <v>0</v>
          </cell>
        </row>
        <row r="19">
          <cell r="A19">
            <v>1</v>
          </cell>
          <cell r="B19" t="str">
            <v>10-9802</v>
          </cell>
          <cell r="C19">
            <v>19000</v>
          </cell>
        </row>
        <row r="20">
          <cell r="A20">
            <v>1</v>
          </cell>
          <cell r="B20" t="str">
            <v>10-9802</v>
          </cell>
          <cell r="C20">
            <v>19000</v>
          </cell>
        </row>
        <row r="21">
          <cell r="A21">
            <v>1</v>
          </cell>
          <cell r="B21" t="str">
            <v>11-9803</v>
          </cell>
          <cell r="C21">
            <v>19000</v>
          </cell>
        </row>
        <row r="22">
          <cell r="A22">
            <v>1</v>
          </cell>
          <cell r="B22" t="str">
            <v>11-9803</v>
          </cell>
          <cell r="C22">
            <v>19000</v>
          </cell>
        </row>
        <row r="23">
          <cell r="A23">
            <v>1</v>
          </cell>
          <cell r="B23" t="str">
            <v>10-9802</v>
          </cell>
          <cell r="C23">
            <v>34020</v>
          </cell>
        </row>
        <row r="24">
          <cell r="A24">
            <v>1</v>
          </cell>
          <cell r="B24" t="str">
            <v>10-9802</v>
          </cell>
          <cell r="C24">
            <v>34020</v>
          </cell>
        </row>
        <row r="25">
          <cell r="A25">
            <v>1</v>
          </cell>
          <cell r="B25" t="str">
            <v>11-9803</v>
          </cell>
          <cell r="C25">
            <v>34020</v>
          </cell>
        </row>
        <row r="26">
          <cell r="A26">
            <v>1</v>
          </cell>
          <cell r="B26" t="str">
            <v>11-9803</v>
          </cell>
          <cell r="C26">
            <v>34020</v>
          </cell>
        </row>
        <row r="27">
          <cell r="B27" t="str">
            <v>To reclassify insurance notes from GIL to GIO</v>
          </cell>
        </row>
        <row r="29">
          <cell r="A29">
            <v>1</v>
          </cell>
          <cell r="B29" t="str">
            <v>10-9802</v>
          </cell>
          <cell r="C29">
            <v>28000</v>
          </cell>
        </row>
        <row r="30">
          <cell r="A30">
            <v>1</v>
          </cell>
          <cell r="B30" t="str">
            <v>10-9016</v>
          </cell>
          <cell r="C30">
            <v>76220</v>
          </cell>
        </row>
        <row r="31">
          <cell r="B31" t="str">
            <v>To expense OCT '99 (Offshore Tech)</v>
          </cell>
        </row>
        <row r="33">
          <cell r="A33">
            <v>1</v>
          </cell>
          <cell r="B33" t="str">
            <v>10-9802</v>
          </cell>
          <cell r="C33">
            <v>28000</v>
          </cell>
        </row>
        <row r="34">
          <cell r="A34">
            <v>1</v>
          </cell>
          <cell r="B34" t="str">
            <v>10-9016</v>
          </cell>
          <cell r="C34">
            <v>76220</v>
          </cell>
        </row>
        <row r="35">
          <cell r="B35" t="str">
            <v>To expense OWA '99 (Offshore West Africa)</v>
          </cell>
        </row>
        <row r="37">
          <cell r="A37">
            <v>1</v>
          </cell>
          <cell r="B37" t="str">
            <v>10-9802</v>
          </cell>
          <cell r="C37">
            <v>28000</v>
          </cell>
        </row>
        <row r="38">
          <cell r="A38">
            <v>1</v>
          </cell>
          <cell r="B38" t="str">
            <v>10-9001</v>
          </cell>
          <cell r="C38">
            <v>75270</v>
          </cell>
        </row>
        <row r="39">
          <cell r="B39" t="str">
            <v>To expense Vice Pres. Retreat.</v>
          </cell>
        </row>
        <row r="41">
          <cell r="A41">
            <v>1</v>
          </cell>
          <cell r="B41" t="str">
            <v>10-9802</v>
          </cell>
          <cell r="C41">
            <v>28000</v>
          </cell>
        </row>
        <row r="42">
          <cell r="A42">
            <v>1</v>
          </cell>
          <cell r="B42" t="str">
            <v>10-9001</v>
          </cell>
          <cell r="C42">
            <v>75800</v>
          </cell>
        </row>
        <row r="43">
          <cell r="B43" t="str">
            <v>To expense refund Prentiss Prop.</v>
          </cell>
        </row>
        <row r="45">
          <cell r="A45">
            <v>1</v>
          </cell>
          <cell r="B45" t="str">
            <v>10-9802</v>
          </cell>
          <cell r="C45">
            <v>28000</v>
          </cell>
        </row>
        <row r="46">
          <cell r="A46">
            <v>1</v>
          </cell>
          <cell r="B46" t="str">
            <v>10-9016</v>
          </cell>
          <cell r="C46">
            <v>76220</v>
          </cell>
        </row>
        <row r="47">
          <cell r="B47" t="str">
            <v>To expense Houston Open</v>
          </cell>
        </row>
        <row r="49">
          <cell r="A49">
            <v>1</v>
          </cell>
          <cell r="B49" t="str">
            <v>10-9802</v>
          </cell>
          <cell r="C49">
            <v>28000</v>
          </cell>
        </row>
        <row r="50">
          <cell r="A50">
            <v>1</v>
          </cell>
          <cell r="B50" t="str">
            <v>10-9016</v>
          </cell>
          <cell r="C50">
            <v>76220</v>
          </cell>
        </row>
        <row r="51">
          <cell r="B51" t="str">
            <v>To expense underwater intervention</v>
          </cell>
        </row>
        <row r="114">
          <cell r="B114">
            <v>0</v>
          </cell>
          <cell r="C114">
            <v>0</v>
          </cell>
        </row>
        <row r="115">
          <cell r="B115">
            <v>0</v>
          </cell>
          <cell r="C115">
            <v>0</v>
          </cell>
        </row>
        <row r="116">
          <cell r="B116">
            <v>0</v>
          </cell>
          <cell r="C116">
            <v>0</v>
          </cell>
        </row>
        <row r="117">
          <cell r="B117">
            <v>0</v>
          </cell>
          <cell r="C117">
            <v>0</v>
          </cell>
        </row>
        <row r="118">
          <cell r="B118">
            <v>0</v>
          </cell>
          <cell r="C118">
            <v>0</v>
          </cell>
        </row>
      </sheetData>
      <sheetData sheetId="1" refreshError="1"/>
      <sheetData sheetId="2">
        <row r="1">
          <cell r="B1">
            <v>0</v>
          </cell>
        </row>
      </sheetData>
      <sheetData sheetId="3">
        <row r="1">
          <cell r="B1">
            <v>0</v>
          </cell>
        </row>
      </sheetData>
      <sheetData sheetId="4">
        <row r="1">
          <cell r="B1">
            <v>0</v>
          </cell>
        </row>
      </sheetData>
      <sheetData sheetId="5">
        <row r="1">
          <cell r="B1">
            <v>0</v>
          </cell>
        </row>
      </sheetData>
      <sheetData sheetId="6">
        <row r="1">
          <cell r="B1">
            <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B1">
            <v>0</v>
          </cell>
        </row>
      </sheetData>
      <sheetData sheetId="25">
        <row r="1">
          <cell r="B1">
            <v>0</v>
          </cell>
        </row>
      </sheetData>
      <sheetData sheetId="26">
        <row r="1">
          <cell r="B1">
            <v>0</v>
          </cell>
        </row>
      </sheetData>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
      <sheetName val="Topside"/>
    </sheetNames>
    <sheetDataSet>
      <sheetData sheetId="0" refreshError="1">
        <row r="12">
          <cell r="A12" t="str">
            <v>To Company</v>
          </cell>
        </row>
        <row r="13">
          <cell r="A13">
            <v>1</v>
          </cell>
        </row>
        <row r="14">
          <cell r="A14">
            <v>1</v>
          </cell>
        </row>
        <row r="18">
          <cell r="A18">
            <v>1</v>
          </cell>
        </row>
        <row r="19">
          <cell r="A19">
            <v>1</v>
          </cell>
        </row>
        <row r="23">
          <cell r="A23">
            <v>1</v>
          </cell>
        </row>
        <row r="24">
          <cell r="A24">
            <v>1</v>
          </cell>
        </row>
        <row r="28">
          <cell r="A28">
            <v>1</v>
          </cell>
        </row>
        <row r="29">
          <cell r="A29">
            <v>1</v>
          </cell>
        </row>
        <row r="33">
          <cell r="A33">
            <v>1</v>
          </cell>
        </row>
        <row r="34">
          <cell r="A34">
            <v>1</v>
          </cell>
        </row>
      </sheetData>
      <sheetData sheetId="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cas (2)"/>
      <sheetName val="Céd. Dep."/>
      <sheetName val="Hoja1"/>
    </sheetNames>
    <sheetDataSet>
      <sheetData sheetId="0"/>
      <sheetData sheetId="1" refreshError="1"/>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V-BBOSQUE-FINAL"/>
      <sheetName val="INDICES"/>
      <sheetName val="Marcas"/>
      <sheetName val="PT's"/>
      <sheetName val="AJ´S"/>
      <sheetName val="BALANZA"/>
      <sheetName val="III "/>
      <sheetName val="III-P"/>
      <sheetName val="IX"/>
      <sheetName val="IX-1"/>
      <sheetName val="X"/>
      <sheetName val="XIV"/>
      <sheetName val="BG-1"/>
      <sheetName val="BG-2"/>
      <sheetName val="PG"/>
      <sheetName val="A"/>
      <sheetName val="AI1"/>
      <sheetName val="A-1"/>
      <sheetName val="A-2"/>
      <sheetName val="C"/>
      <sheetName val="C-1"/>
      <sheetName val="C-2"/>
      <sheetName val="D"/>
      <sheetName val="D-1"/>
      <sheetName val="F"/>
      <sheetName val="F-1"/>
      <sheetName val="M"/>
      <sheetName val="M-1"/>
      <sheetName val="N"/>
      <sheetName val="OIP"/>
      <sheetName val="AA"/>
      <sheetName val="AA-1"/>
      <sheetName val="AA-2"/>
      <sheetName val="AA-3"/>
      <sheetName val="SS"/>
      <sheetName val="10"/>
      <sheetName val="10-1"/>
      <sheetName val="10-2"/>
      <sheetName val="30 "/>
      <sheetName val="HON2000"/>
      <sheetName val="HON P"/>
      <sheetName val="AUX F"/>
      <sheetName val="AUX P"/>
      <sheetName val="30I1"/>
      <sheetName val="30-1"/>
      <sheetName val="30-1I1"/>
      <sheetName val="30-2"/>
      <sheetName val="30-3"/>
      <sheetName val="30-4"/>
      <sheetName val="30-5"/>
      <sheetName val="30-6"/>
      <sheetName val="30-7"/>
      <sheetName val="30-8"/>
      <sheetName val="30-9"/>
      <sheetName val="30-10"/>
      <sheetName val="30-11"/>
      <sheetName val="30-12"/>
      <sheetName val="30-13"/>
      <sheetName val="30-14"/>
      <sheetName val="30-15"/>
      <sheetName val="30-16"/>
      <sheetName val="30-17"/>
      <sheetName val="30-18"/>
      <sheetName val="30-18I1"/>
      <sheetName val="40"/>
      <sheetName val="40-2"/>
      <sheetName val="40-3"/>
      <sheetName val="40-4"/>
      <sheetName val="40-5"/>
      <sheetName val="40-6"/>
      <sheetName val="40-7"/>
      <sheetName val="40-8"/>
      <sheetName val="40-9"/>
      <sheetName val="50"/>
      <sheetName val="50-1"/>
      <sheetName val="60"/>
      <sheetName val="60-1"/>
      <sheetName val="70"/>
      <sheetName val="70-2"/>
      <sheetName val="80"/>
      <sheetName val="80-1cia"/>
      <sheetName val="80-1"/>
      <sheetName val="80-1-1"/>
      <sheetName val="80-2"/>
      <sheetName val="80-3"/>
      <sheetName val="Hoja1"/>
      <sheetName val="100P"/>
      <sheetName val="100-1"/>
      <sheetName val="100-1I1"/>
      <sheetName val="100-1I1-1"/>
      <sheetName val="100-1I1-2"/>
      <sheetName val="100-1I2"/>
      <sheetName val="100-2"/>
      <sheetName val="100-3"/>
      <sheetName val="100-3I1"/>
      <sheetName val="100-3I2"/>
      <sheetName val="100-3I3"/>
      <sheetName val="100-3I4"/>
      <sheetName val="100-3I5"/>
      <sheetName val="100-3I6"/>
      <sheetName val="100-3I7"/>
      <sheetName val="100-5"/>
      <sheetName val="110"/>
      <sheetName val="110 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
      <sheetName val="A-2"/>
      <sheetName val="A-3"/>
      <sheetName val="A-2  1"/>
      <sheetName val="A-2  1-1"/>
      <sheetName val="A-2  2"/>
      <sheetName val="A-2  2-1"/>
      <sheetName val="A-2  3"/>
      <sheetName val="A-2  3-1"/>
      <sheetName val="A-2  4"/>
      <sheetName val="A-2   4-1"/>
      <sheetName val="M-10  1"/>
      <sheetName val="M-10  2"/>
      <sheetName val="maq.yeq."/>
      <sheetName val="herram"/>
      <sheetName val="eq.trans"/>
      <sheetName val="mueb."/>
      <sheetName val="eq.elec"/>
      <sheetName val="eq.antic."/>
      <sheetName val="eq.inv"/>
      <sheetName val="maq.const"/>
      <sheetName val="N-1"/>
      <sheetName val="N-2"/>
      <sheetName val="Céd. Dep."/>
      <sheetName val="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ient-Hrs"/>
      <sheetName val="Form 1&amp;2"/>
      <sheetName val="Tech"/>
      <sheetName val="Jobs"/>
      <sheetName val="People"/>
      <sheetName val="MWD Hrs"/>
      <sheetName val="DD Hrs"/>
      <sheetName val="Technique"/>
      <sheetName val="Sales"/>
      <sheetName val="Personnel"/>
      <sheetName val="Qtr Summary"/>
      <sheetName val="Cover Page"/>
      <sheetName val="Tech text"/>
      <sheetName val="MWD-LWD Recap"/>
      <sheetName val="SLIM-SHARP Recap"/>
      <sheetName val="DD-Motor Recap"/>
      <sheetName val="DFP"/>
      <sheetName val="10. Sales"/>
      <sheetName val="4. Input"/>
      <sheetName val="9. Technique"/>
      <sheetName val="Reference Data"/>
      <sheetName val="Resumen Conciliación"/>
      <sheetName val="Slide 7 - Competition"/>
      <sheetName val="DATOS"/>
      <sheetName val="bob"/>
      <sheetName val="BsAs"/>
      <sheetName val="Quantity"/>
      <sheetName val="PL RET"/>
      <sheetName val="Anexo 6"/>
      <sheetName val="Mayor-Rem"/>
      <sheetName val="Mayor-Prov"/>
      <sheetName val="COL A,D"/>
      <sheetName val="COL E1"/>
      <sheetName val="COL F,G"/>
      <sheetName val="Columna k"/>
      <sheetName val="Columna I"/>
      <sheetName val="Hoja1"/>
      <sheetName val="ClientesAndina-430"/>
      <sheetName val="Sheet2"/>
      <sheetName val="IC COST "/>
      <sheetName val="Form_1&amp;2"/>
      <sheetName val="MWD_Hrs"/>
      <sheetName val="DD_Hrs"/>
      <sheetName val="Qtr_Summary"/>
      <sheetName val="Cover_Page"/>
      <sheetName val="Tech_text"/>
      <sheetName val="MWD-LWD_Recap"/>
      <sheetName val="SLIM-SHARP_Recap"/>
      <sheetName val="DD-Motor_Recap"/>
      <sheetName val="10__Sales"/>
      <sheetName val="4__Input"/>
      <sheetName val="9__Technique"/>
      <sheetName val="Reference_Data"/>
      <sheetName val="Resumen_Conciliación"/>
      <sheetName val="Slide_7_-_Competition"/>
      <sheetName val="calculo de gas Total"/>
      <sheetName val="sheetControl"/>
      <sheetName val="Tabla5"/>
      <sheetName val="IM Cost-CM"/>
      <sheetName val="IC COST"/>
      <sheetName val="ICP DIRECT HIT"/>
      <sheetName val="Cash_Flow"/>
      <sheetName val="Income Statement Data"/>
      <sheetName val="I.1.3 y 4"/>
      <sheetName val="Sele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E2">
            <v>1998</v>
          </cell>
          <cell r="H2">
            <v>1998</v>
          </cell>
          <cell r="K2">
            <v>1998</v>
          </cell>
          <cell r="N2">
            <v>1998</v>
          </cell>
          <cell r="R2">
            <v>1998</v>
          </cell>
          <cell r="U2">
            <v>1998</v>
          </cell>
          <cell r="X2">
            <v>1998</v>
          </cell>
          <cell r="AA2">
            <v>1998</v>
          </cell>
        </row>
        <row r="3">
          <cell r="D3" t="str">
            <v>Jan</v>
          </cell>
          <cell r="E3" t="str">
            <v>Feb</v>
          </cell>
          <cell r="F3" t="str">
            <v>Mar</v>
          </cell>
          <cell r="G3" t="str">
            <v>Apr</v>
          </cell>
          <cell r="H3" t="str">
            <v>May</v>
          </cell>
          <cell r="I3" t="str">
            <v>Jun</v>
          </cell>
          <cell r="J3" t="str">
            <v>Jul</v>
          </cell>
          <cell r="K3" t="str">
            <v>Aug</v>
          </cell>
          <cell r="L3" t="str">
            <v>Sep</v>
          </cell>
          <cell r="M3" t="str">
            <v>Oct</v>
          </cell>
          <cell r="N3" t="str">
            <v>Nov</v>
          </cell>
          <cell r="O3" t="str">
            <v>Dec</v>
          </cell>
          <cell r="Q3" t="str">
            <v>Q1</v>
          </cell>
          <cell r="R3" t="str">
            <v>Q1</v>
          </cell>
          <cell r="S3" t="str">
            <v>%</v>
          </cell>
          <cell r="T3" t="str">
            <v>Q2</v>
          </cell>
          <cell r="U3" t="str">
            <v>Q2</v>
          </cell>
          <cell r="V3" t="str">
            <v>%</v>
          </cell>
          <cell r="W3" t="str">
            <v>Q3</v>
          </cell>
          <cell r="X3" t="str">
            <v>Q3</v>
          </cell>
          <cell r="Y3" t="str">
            <v>%</v>
          </cell>
          <cell r="Z3" t="str">
            <v>Q4</v>
          </cell>
          <cell r="AA3" t="str">
            <v>Q4</v>
          </cell>
          <cell r="AB3" t="str">
            <v>%</v>
          </cell>
        </row>
        <row r="4">
          <cell r="Q4" t="str">
            <v>Actual</v>
          </cell>
          <cell r="R4" t="str">
            <v>Plan</v>
          </cell>
          <cell r="S4" t="str">
            <v>Plan</v>
          </cell>
          <cell r="T4" t="str">
            <v>Actual</v>
          </cell>
          <cell r="U4" t="str">
            <v>Plan</v>
          </cell>
          <cell r="V4" t="str">
            <v>Plan</v>
          </cell>
          <cell r="W4" t="str">
            <v>Actual</v>
          </cell>
          <cell r="X4" t="str">
            <v>Plan</v>
          </cell>
          <cell r="Y4" t="str">
            <v>Plan</v>
          </cell>
          <cell r="Z4" t="str">
            <v>Actual</v>
          </cell>
          <cell r="AA4" t="str">
            <v>Plan</v>
          </cell>
          <cell r="AB4" t="str">
            <v>Plan</v>
          </cell>
        </row>
        <row r="7">
          <cell r="D7">
            <v>6</v>
          </cell>
          <cell r="E7">
            <v>6</v>
          </cell>
          <cell r="F7">
            <v>5</v>
          </cell>
          <cell r="G7">
            <v>6</v>
          </cell>
          <cell r="H7">
            <v>6</v>
          </cell>
          <cell r="I7">
            <v>6</v>
          </cell>
          <cell r="J7">
            <v>6</v>
          </cell>
          <cell r="K7">
            <v>6</v>
          </cell>
          <cell r="L7">
            <v>7</v>
          </cell>
          <cell r="M7">
            <v>7</v>
          </cell>
          <cell r="N7">
            <v>4</v>
          </cell>
          <cell r="O7">
            <v>3</v>
          </cell>
          <cell r="Q7">
            <v>5.666666666666667</v>
          </cell>
          <cell r="R7">
            <v>0</v>
          </cell>
          <cell r="S7">
            <v>0</v>
          </cell>
          <cell r="T7">
            <v>6</v>
          </cell>
          <cell r="U7">
            <v>0</v>
          </cell>
          <cell r="V7">
            <v>0</v>
          </cell>
          <cell r="W7">
            <v>6.333333333333333</v>
          </cell>
          <cell r="X7">
            <v>0</v>
          </cell>
          <cell r="Y7">
            <v>0</v>
          </cell>
          <cell r="Z7">
            <v>4.666666666666667</v>
          </cell>
          <cell r="AA7">
            <v>0</v>
          </cell>
          <cell r="AB7">
            <v>0</v>
          </cell>
        </row>
        <row r="8">
          <cell r="D8">
            <v>0</v>
          </cell>
          <cell r="E8">
            <v>0</v>
          </cell>
          <cell r="F8">
            <v>0</v>
          </cell>
          <cell r="G8">
            <v>0</v>
          </cell>
          <cell r="H8">
            <v>0</v>
          </cell>
          <cell r="I8">
            <v>0</v>
          </cell>
          <cell r="J8">
            <v>0</v>
          </cell>
          <cell r="K8">
            <v>0</v>
          </cell>
          <cell r="L8">
            <v>0</v>
          </cell>
          <cell r="M8">
            <v>0</v>
          </cell>
          <cell r="N8">
            <v>0</v>
          </cell>
          <cell r="O8">
            <v>0</v>
          </cell>
          <cell r="Q8">
            <v>0</v>
          </cell>
          <cell r="R8">
            <v>0</v>
          </cell>
          <cell r="S8">
            <v>0</v>
          </cell>
          <cell r="T8">
            <v>0</v>
          </cell>
          <cell r="U8">
            <v>0</v>
          </cell>
          <cell r="V8">
            <v>0</v>
          </cell>
          <cell r="W8">
            <v>0</v>
          </cell>
          <cell r="X8">
            <v>0</v>
          </cell>
          <cell r="Y8">
            <v>0</v>
          </cell>
          <cell r="Z8">
            <v>0</v>
          </cell>
          <cell r="AA8">
            <v>0</v>
          </cell>
          <cell r="AB8">
            <v>0</v>
          </cell>
        </row>
        <row r="9">
          <cell r="D9">
            <v>6</v>
          </cell>
          <cell r="E9">
            <v>6</v>
          </cell>
          <cell r="F9">
            <v>5</v>
          </cell>
          <cell r="G9">
            <v>6</v>
          </cell>
          <cell r="H9">
            <v>6</v>
          </cell>
          <cell r="I9">
            <v>6</v>
          </cell>
          <cell r="J9">
            <v>6</v>
          </cell>
          <cell r="K9">
            <v>6</v>
          </cell>
          <cell r="L9">
            <v>7</v>
          </cell>
          <cell r="M9">
            <v>7</v>
          </cell>
          <cell r="N9">
            <v>4</v>
          </cell>
          <cell r="O9">
            <v>3</v>
          </cell>
          <cell r="Q9">
            <v>5.666666666666667</v>
          </cell>
          <cell r="R9">
            <v>0</v>
          </cell>
          <cell r="S9">
            <v>0</v>
          </cell>
          <cell r="T9">
            <v>6</v>
          </cell>
          <cell r="U9">
            <v>0</v>
          </cell>
          <cell r="V9">
            <v>0</v>
          </cell>
          <cell r="W9">
            <v>6.333333333333333</v>
          </cell>
          <cell r="X9">
            <v>0</v>
          </cell>
          <cell r="Y9">
            <v>0</v>
          </cell>
          <cell r="Z9">
            <v>4.666666666666667</v>
          </cell>
          <cell r="AA9">
            <v>0</v>
          </cell>
          <cell r="AB9">
            <v>0</v>
          </cell>
        </row>
        <row r="10">
          <cell r="D10">
            <v>0.56166666666666665</v>
          </cell>
          <cell r="E10">
            <v>0.69999999999999984</v>
          </cell>
          <cell r="F10">
            <v>0.98000000000000009</v>
          </cell>
          <cell r="G10">
            <v>0.83333333333333337</v>
          </cell>
          <cell r="H10">
            <v>0.79833333333333334</v>
          </cell>
          <cell r="I10">
            <v>0.56499999999999995</v>
          </cell>
          <cell r="J10">
            <v>0.33333333333333331</v>
          </cell>
          <cell r="K10">
            <v>0.44</v>
          </cell>
          <cell r="L10">
            <v>0.50857142857142856</v>
          </cell>
          <cell r="M10">
            <v>0.59142857142857153</v>
          </cell>
          <cell r="N10">
            <v>0.92249999999999999</v>
          </cell>
          <cell r="O10">
            <v>0.3666666666666667</v>
          </cell>
          <cell r="Q10">
            <v>0.73352941176470576</v>
          </cell>
          <cell r="R10">
            <v>0</v>
          </cell>
          <cell r="S10">
            <v>0</v>
          </cell>
          <cell r="T10">
            <v>0.73222222222222211</v>
          </cell>
          <cell r="U10">
            <v>0</v>
          </cell>
          <cell r="V10">
            <v>0</v>
          </cell>
          <cell r="W10">
            <v>0.43157894736842117</v>
          </cell>
          <cell r="X10">
            <v>0</v>
          </cell>
          <cell r="Y10">
            <v>0</v>
          </cell>
          <cell r="Z10">
            <v>0.63785714285714279</v>
          </cell>
          <cell r="AA10">
            <v>0</v>
          </cell>
          <cell r="AB10">
            <v>0</v>
          </cell>
        </row>
        <row r="11">
          <cell r="D11">
            <v>3.37</v>
          </cell>
          <cell r="E11">
            <v>4.1999999999999993</v>
          </cell>
          <cell r="F11">
            <v>4.9000000000000004</v>
          </cell>
          <cell r="G11">
            <v>5</v>
          </cell>
          <cell r="H11">
            <v>4.79</v>
          </cell>
          <cell r="I11">
            <v>3.3899999999999997</v>
          </cell>
          <cell r="J11">
            <v>2</v>
          </cell>
          <cell r="K11">
            <v>2.64</v>
          </cell>
          <cell r="L11">
            <v>3.56</v>
          </cell>
          <cell r="M11">
            <v>4.1400000000000006</v>
          </cell>
          <cell r="N11">
            <v>3.69</v>
          </cell>
          <cell r="O11">
            <v>1.1000000000000001</v>
          </cell>
          <cell r="Q11">
            <v>4.1566666666666663</v>
          </cell>
          <cell r="R11">
            <v>0</v>
          </cell>
          <cell r="S11">
            <v>0</v>
          </cell>
          <cell r="T11">
            <v>4.3933333333333326</v>
          </cell>
          <cell r="U11">
            <v>0</v>
          </cell>
          <cell r="V11">
            <v>0</v>
          </cell>
          <cell r="W11">
            <v>2.7333333333333338</v>
          </cell>
          <cell r="X11">
            <v>0</v>
          </cell>
          <cell r="Y11">
            <v>0</v>
          </cell>
          <cell r="Z11">
            <v>2.9766666666666666</v>
          </cell>
          <cell r="AA11">
            <v>0</v>
          </cell>
          <cell r="AB11">
            <v>0</v>
          </cell>
        </row>
        <row r="14">
          <cell r="D14">
            <v>0</v>
          </cell>
          <cell r="E14">
            <v>0</v>
          </cell>
          <cell r="F14">
            <v>0</v>
          </cell>
          <cell r="G14">
            <v>0</v>
          </cell>
          <cell r="H14">
            <v>0</v>
          </cell>
          <cell r="I14">
            <v>0</v>
          </cell>
          <cell r="J14">
            <v>0</v>
          </cell>
          <cell r="K14">
            <v>0</v>
          </cell>
          <cell r="L14">
            <v>0</v>
          </cell>
          <cell r="M14">
            <v>0</v>
          </cell>
          <cell r="N14">
            <v>0</v>
          </cell>
          <cell r="O14">
            <v>0</v>
          </cell>
          <cell r="Q14">
            <v>0</v>
          </cell>
          <cell r="R14">
            <v>0</v>
          </cell>
          <cell r="S14">
            <v>0</v>
          </cell>
          <cell r="T14">
            <v>0</v>
          </cell>
          <cell r="U14">
            <v>0</v>
          </cell>
          <cell r="V14">
            <v>0</v>
          </cell>
          <cell r="W14">
            <v>0</v>
          </cell>
          <cell r="X14">
            <v>0</v>
          </cell>
          <cell r="Y14">
            <v>0</v>
          </cell>
          <cell r="Z14">
            <v>0</v>
          </cell>
          <cell r="AA14">
            <v>0</v>
          </cell>
          <cell r="AB14">
            <v>0</v>
          </cell>
        </row>
        <row r="15">
          <cell r="D15">
            <v>0</v>
          </cell>
          <cell r="E15">
            <v>0</v>
          </cell>
          <cell r="F15">
            <v>0</v>
          </cell>
          <cell r="G15">
            <v>0</v>
          </cell>
          <cell r="H15">
            <v>0</v>
          </cell>
          <cell r="I15">
            <v>0</v>
          </cell>
          <cell r="J15">
            <v>0</v>
          </cell>
          <cell r="K15">
            <v>0</v>
          </cell>
          <cell r="L15">
            <v>0</v>
          </cell>
          <cell r="M15">
            <v>0</v>
          </cell>
          <cell r="N15">
            <v>0</v>
          </cell>
          <cell r="O15">
            <v>0</v>
          </cell>
          <cell r="Q15">
            <v>0</v>
          </cell>
          <cell r="R15">
            <v>0</v>
          </cell>
          <cell r="S15">
            <v>0</v>
          </cell>
          <cell r="T15">
            <v>0</v>
          </cell>
          <cell r="U15">
            <v>0</v>
          </cell>
          <cell r="V15">
            <v>0</v>
          </cell>
          <cell r="W15">
            <v>0</v>
          </cell>
          <cell r="X15">
            <v>0</v>
          </cell>
          <cell r="Y15">
            <v>0</v>
          </cell>
          <cell r="Z15">
            <v>0</v>
          </cell>
          <cell r="AA15">
            <v>0</v>
          </cell>
          <cell r="AB15">
            <v>0</v>
          </cell>
        </row>
        <row r="16">
          <cell r="D16">
            <v>0</v>
          </cell>
          <cell r="E16">
            <v>0</v>
          </cell>
          <cell r="F16">
            <v>0</v>
          </cell>
          <cell r="G16">
            <v>0</v>
          </cell>
          <cell r="H16">
            <v>0</v>
          </cell>
          <cell r="I16">
            <v>0</v>
          </cell>
          <cell r="J16">
            <v>0</v>
          </cell>
          <cell r="K16">
            <v>0</v>
          </cell>
          <cell r="L16">
            <v>0</v>
          </cell>
          <cell r="M16">
            <v>0</v>
          </cell>
          <cell r="N16">
            <v>0</v>
          </cell>
          <cell r="O16">
            <v>0</v>
          </cell>
          <cell r="Q16">
            <v>0</v>
          </cell>
          <cell r="R16">
            <v>0</v>
          </cell>
          <cell r="S16">
            <v>0</v>
          </cell>
          <cell r="T16">
            <v>0</v>
          </cell>
          <cell r="U16">
            <v>0</v>
          </cell>
          <cell r="V16">
            <v>0</v>
          </cell>
          <cell r="W16">
            <v>0</v>
          </cell>
          <cell r="X16">
            <v>0</v>
          </cell>
          <cell r="Y16">
            <v>0</v>
          </cell>
          <cell r="Z16">
            <v>0</v>
          </cell>
          <cell r="AA16">
            <v>0</v>
          </cell>
          <cell r="AB16">
            <v>0</v>
          </cell>
        </row>
        <row r="19">
          <cell r="D19">
            <v>0.74</v>
          </cell>
          <cell r="E19">
            <v>1</v>
          </cell>
          <cell r="F19">
            <v>1</v>
          </cell>
          <cell r="G19">
            <v>1.5</v>
          </cell>
          <cell r="H19">
            <v>1.7</v>
          </cell>
          <cell r="I19">
            <v>2</v>
          </cell>
          <cell r="J19">
            <v>1</v>
          </cell>
          <cell r="K19">
            <v>1.32</v>
          </cell>
          <cell r="L19">
            <v>1.78</v>
          </cell>
          <cell r="M19">
            <v>1.57</v>
          </cell>
          <cell r="N19">
            <v>1.7</v>
          </cell>
          <cell r="O19">
            <v>0.5</v>
          </cell>
          <cell r="Q19">
            <v>0.91333333333333344</v>
          </cell>
          <cell r="R19">
            <v>0</v>
          </cell>
          <cell r="S19">
            <v>0</v>
          </cell>
          <cell r="T19">
            <v>1.7333333333333334</v>
          </cell>
          <cell r="U19">
            <v>0</v>
          </cell>
          <cell r="V19">
            <v>0</v>
          </cell>
          <cell r="W19">
            <v>1.3666666666666669</v>
          </cell>
          <cell r="X19">
            <v>0</v>
          </cell>
          <cell r="Y19">
            <v>0</v>
          </cell>
          <cell r="Z19">
            <v>1.2566666666666666</v>
          </cell>
          <cell r="AA19">
            <v>0</v>
          </cell>
          <cell r="AB19">
            <v>0</v>
          </cell>
        </row>
        <row r="20">
          <cell r="D20">
            <v>81.079729729729735</v>
          </cell>
          <cell r="E20">
            <v>148.19999999999999</v>
          </cell>
          <cell r="F20">
            <v>183</v>
          </cell>
          <cell r="G20">
            <v>59.466666666666669</v>
          </cell>
          <cell r="H20">
            <v>239.41176470588235</v>
          </cell>
          <cell r="I20">
            <v>115.5</v>
          </cell>
          <cell r="J20">
            <v>172.55500000000001</v>
          </cell>
          <cell r="K20">
            <v>198.14999999999998</v>
          </cell>
          <cell r="L20">
            <v>178.56179775280899</v>
          </cell>
          <cell r="M20">
            <v>186.56050955414011</v>
          </cell>
          <cell r="N20">
            <v>163.24705882352941</v>
          </cell>
          <cell r="O20">
            <v>230</v>
          </cell>
          <cell r="Q20">
            <v>142.77335766423354</v>
          </cell>
          <cell r="R20">
            <v>0</v>
          </cell>
          <cell r="S20">
            <v>0</v>
          </cell>
          <cell r="T20">
            <v>139.84615384615384</v>
          </cell>
          <cell r="U20">
            <v>0</v>
          </cell>
          <cell r="V20">
            <v>0</v>
          </cell>
          <cell r="W20">
            <v>183.40317073170729</v>
          </cell>
          <cell r="X20">
            <v>0</v>
          </cell>
          <cell r="Y20">
            <v>0</v>
          </cell>
          <cell r="Z20">
            <v>181.80901856763924</v>
          </cell>
          <cell r="AA20">
            <v>0</v>
          </cell>
          <cell r="AB20">
            <v>0</v>
          </cell>
        </row>
        <row r="21">
          <cell r="D21">
            <v>59.999000000000002</v>
          </cell>
          <cell r="E21">
            <v>148.19999999999999</v>
          </cell>
          <cell r="F21">
            <v>183</v>
          </cell>
          <cell r="G21">
            <v>89.2</v>
          </cell>
          <cell r="H21">
            <v>407</v>
          </cell>
          <cell r="I21">
            <v>231</v>
          </cell>
          <cell r="J21">
            <v>172.55500000000001</v>
          </cell>
          <cell r="K21">
            <v>261.55799999999999</v>
          </cell>
          <cell r="L21">
            <v>317.83999999999997</v>
          </cell>
          <cell r="M21">
            <v>292.89999999999998</v>
          </cell>
          <cell r="N21">
            <v>277.52</v>
          </cell>
          <cell r="O21">
            <v>115</v>
          </cell>
          <cell r="Q21">
            <v>391.19899999999996</v>
          </cell>
          <cell r="R21">
            <v>0</v>
          </cell>
          <cell r="S21">
            <v>0</v>
          </cell>
          <cell r="T21">
            <v>727.2</v>
          </cell>
          <cell r="U21">
            <v>0</v>
          </cell>
          <cell r="V21">
            <v>0</v>
          </cell>
          <cell r="W21">
            <v>751.95299999999997</v>
          </cell>
          <cell r="X21">
            <v>0</v>
          </cell>
          <cell r="Y21">
            <v>0</v>
          </cell>
          <cell r="Z21">
            <v>685.42</v>
          </cell>
          <cell r="AA21">
            <v>0</v>
          </cell>
          <cell r="AB21">
            <v>0</v>
          </cell>
        </row>
        <row r="22">
          <cell r="D22">
            <v>6</v>
          </cell>
          <cell r="E22">
            <v>7</v>
          </cell>
          <cell r="F22">
            <v>7</v>
          </cell>
          <cell r="G22">
            <v>7</v>
          </cell>
          <cell r="H22">
            <v>6</v>
          </cell>
          <cell r="I22">
            <v>4</v>
          </cell>
          <cell r="J22">
            <v>5</v>
          </cell>
          <cell r="K22">
            <v>4</v>
          </cell>
          <cell r="L22">
            <v>5</v>
          </cell>
          <cell r="M22">
            <v>5</v>
          </cell>
          <cell r="N22">
            <v>5</v>
          </cell>
          <cell r="O22">
            <v>5</v>
          </cell>
          <cell r="Q22">
            <v>6.666666666666667</v>
          </cell>
          <cell r="R22">
            <v>0</v>
          </cell>
          <cell r="S22">
            <v>0</v>
          </cell>
          <cell r="T22">
            <v>5.666666666666667</v>
          </cell>
          <cell r="U22">
            <v>0</v>
          </cell>
          <cell r="V22">
            <v>0</v>
          </cell>
          <cell r="W22">
            <v>4.666666666666667</v>
          </cell>
          <cell r="X22">
            <v>0</v>
          </cell>
          <cell r="Y22">
            <v>0</v>
          </cell>
          <cell r="Z22">
            <v>5</v>
          </cell>
          <cell r="AA22">
            <v>0</v>
          </cell>
          <cell r="AB22">
            <v>0</v>
          </cell>
        </row>
        <row r="23">
          <cell r="D23">
            <v>8.1081081081081088</v>
          </cell>
          <cell r="E23">
            <v>7</v>
          </cell>
          <cell r="F23">
            <v>7</v>
          </cell>
          <cell r="G23">
            <v>4.666666666666667</v>
          </cell>
          <cell r="H23">
            <v>3.5294117647058822</v>
          </cell>
          <cell r="I23">
            <v>2</v>
          </cell>
          <cell r="J23">
            <v>5</v>
          </cell>
          <cell r="K23">
            <v>3.0303030303030303</v>
          </cell>
          <cell r="L23">
            <v>2.8089887640449436</v>
          </cell>
          <cell r="M23">
            <v>3.1847133757961781</v>
          </cell>
          <cell r="N23">
            <v>2.9411764705882355</v>
          </cell>
          <cell r="O23">
            <v>10</v>
          </cell>
          <cell r="Q23">
            <v>7.2992700729926998</v>
          </cell>
          <cell r="R23">
            <v>0</v>
          </cell>
          <cell r="S23">
            <v>0</v>
          </cell>
          <cell r="T23">
            <v>3.2692307692307692</v>
          </cell>
          <cell r="U23">
            <v>0</v>
          </cell>
          <cell r="V23">
            <v>0</v>
          </cell>
          <cell r="W23">
            <v>3.4146341463414629</v>
          </cell>
          <cell r="X23">
            <v>0</v>
          </cell>
          <cell r="Y23">
            <v>0</v>
          </cell>
          <cell r="Z23">
            <v>3.9787798408488064</v>
          </cell>
          <cell r="AA23">
            <v>0</v>
          </cell>
          <cell r="AB23">
            <v>0</v>
          </cell>
        </row>
        <row r="26">
          <cell r="D26">
            <v>1.57</v>
          </cell>
          <cell r="E26">
            <v>1.4</v>
          </cell>
          <cell r="F26">
            <v>2</v>
          </cell>
          <cell r="G26">
            <v>1.8</v>
          </cell>
          <cell r="H26">
            <v>1</v>
          </cell>
          <cell r="I26">
            <v>0</v>
          </cell>
          <cell r="J26">
            <v>0</v>
          </cell>
          <cell r="K26">
            <v>0</v>
          </cell>
          <cell r="L26">
            <v>0.46500000000000002</v>
          </cell>
          <cell r="M26">
            <v>0</v>
          </cell>
          <cell r="N26">
            <v>0.18</v>
          </cell>
          <cell r="O26">
            <v>0.2</v>
          </cell>
          <cell r="Q26">
            <v>1.6566666666666665</v>
          </cell>
          <cell r="R26">
            <v>0</v>
          </cell>
          <cell r="S26">
            <v>0</v>
          </cell>
          <cell r="T26">
            <v>0.93333333333333324</v>
          </cell>
          <cell r="U26">
            <v>0</v>
          </cell>
          <cell r="V26">
            <v>0</v>
          </cell>
          <cell r="W26">
            <v>0.155</v>
          </cell>
          <cell r="X26">
            <v>0</v>
          </cell>
          <cell r="Y26">
            <v>0</v>
          </cell>
          <cell r="Z26">
            <v>0.12666666666666668</v>
          </cell>
          <cell r="AA26">
            <v>0</v>
          </cell>
          <cell r="AB26">
            <v>0</v>
          </cell>
        </row>
        <row r="27">
          <cell r="D27">
            <v>39.29936305732484</v>
          </cell>
          <cell r="E27">
            <v>26.785714285714288</v>
          </cell>
          <cell r="F27">
            <v>29.3</v>
          </cell>
          <cell r="G27">
            <v>35.055555555555557</v>
          </cell>
          <cell r="H27">
            <v>54.5</v>
          </cell>
          <cell r="I27">
            <v>0</v>
          </cell>
          <cell r="J27">
            <v>0</v>
          </cell>
          <cell r="K27">
            <v>0</v>
          </cell>
          <cell r="L27">
            <v>55.913978494623656</v>
          </cell>
          <cell r="M27">
            <v>0</v>
          </cell>
          <cell r="N27">
            <v>77.777777777777786</v>
          </cell>
          <cell r="O27">
            <v>70</v>
          </cell>
          <cell r="Q27">
            <v>31.750503018108656</v>
          </cell>
          <cell r="R27">
            <v>0</v>
          </cell>
          <cell r="S27">
            <v>0</v>
          </cell>
          <cell r="T27">
            <v>44.428571428571431</v>
          </cell>
          <cell r="U27">
            <v>0</v>
          </cell>
          <cell r="V27">
            <v>0</v>
          </cell>
          <cell r="W27">
            <v>116.12903225806451</v>
          </cell>
          <cell r="X27">
            <v>0</v>
          </cell>
          <cell r="Y27">
            <v>0</v>
          </cell>
          <cell r="Z27">
            <v>73.684210526315795</v>
          </cell>
          <cell r="AA27">
            <v>0</v>
          </cell>
          <cell r="AB27">
            <v>0</v>
          </cell>
        </row>
        <row r="28">
          <cell r="D28">
            <v>61.7</v>
          </cell>
          <cell r="E28">
            <v>37.5</v>
          </cell>
          <cell r="F28">
            <v>58.6</v>
          </cell>
          <cell r="G28">
            <v>63.1</v>
          </cell>
          <cell r="H28">
            <v>54.5</v>
          </cell>
          <cell r="I28">
            <v>6.8</v>
          </cell>
          <cell r="J28">
            <v>0</v>
          </cell>
          <cell r="K28">
            <v>28</v>
          </cell>
          <cell r="L28">
            <v>26</v>
          </cell>
          <cell r="M28">
            <v>0</v>
          </cell>
          <cell r="N28">
            <v>14</v>
          </cell>
          <cell r="O28">
            <v>14</v>
          </cell>
          <cell r="Q28">
            <v>157.80000000000001</v>
          </cell>
          <cell r="R28">
            <v>0</v>
          </cell>
          <cell r="S28">
            <v>0</v>
          </cell>
          <cell r="T28">
            <v>124.39999999999999</v>
          </cell>
          <cell r="U28">
            <v>0</v>
          </cell>
          <cell r="V28">
            <v>0</v>
          </cell>
          <cell r="W28">
            <v>54</v>
          </cell>
          <cell r="X28">
            <v>0</v>
          </cell>
          <cell r="Y28">
            <v>0</v>
          </cell>
          <cell r="Z28">
            <v>28</v>
          </cell>
          <cell r="AA28">
            <v>0</v>
          </cell>
          <cell r="AB28">
            <v>0</v>
          </cell>
        </row>
        <row r="29">
          <cell r="D29">
            <v>3</v>
          </cell>
          <cell r="E29">
            <v>3</v>
          </cell>
          <cell r="F29">
            <v>2</v>
          </cell>
          <cell r="G29">
            <v>3</v>
          </cell>
          <cell r="H29">
            <v>2</v>
          </cell>
          <cell r="I29">
            <v>1</v>
          </cell>
          <cell r="J29">
            <v>2</v>
          </cell>
          <cell r="K29">
            <v>2</v>
          </cell>
          <cell r="L29">
            <v>2</v>
          </cell>
          <cell r="M29">
            <v>1</v>
          </cell>
          <cell r="N29">
            <v>1</v>
          </cell>
          <cell r="O29">
            <v>1</v>
          </cell>
          <cell r="Q29">
            <v>2.6666666666666665</v>
          </cell>
          <cell r="R29">
            <v>0</v>
          </cell>
          <cell r="S29">
            <v>0</v>
          </cell>
          <cell r="T29">
            <v>2</v>
          </cell>
          <cell r="U29">
            <v>0</v>
          </cell>
          <cell r="V29">
            <v>0</v>
          </cell>
          <cell r="W29">
            <v>2</v>
          </cell>
          <cell r="X29">
            <v>0</v>
          </cell>
          <cell r="Y29">
            <v>0</v>
          </cell>
          <cell r="Z29">
            <v>1</v>
          </cell>
          <cell r="AA29">
            <v>0</v>
          </cell>
          <cell r="AB29">
            <v>0</v>
          </cell>
        </row>
        <row r="30">
          <cell r="D30">
            <v>1.910828025477707</v>
          </cell>
          <cell r="E30">
            <v>2.1428571428571428</v>
          </cell>
          <cell r="F30">
            <v>1</v>
          </cell>
          <cell r="G30">
            <v>1.6666666666666665</v>
          </cell>
          <cell r="H30">
            <v>2</v>
          </cell>
          <cell r="I30">
            <v>0</v>
          </cell>
          <cell r="J30">
            <v>0</v>
          </cell>
          <cell r="K30">
            <v>0</v>
          </cell>
          <cell r="L30">
            <v>4.301075268817204</v>
          </cell>
          <cell r="M30">
            <v>0</v>
          </cell>
          <cell r="N30">
            <v>5.5555555555555554</v>
          </cell>
          <cell r="O30">
            <v>5</v>
          </cell>
          <cell r="Q30">
            <v>1.6096579476861168</v>
          </cell>
          <cell r="R30">
            <v>0</v>
          </cell>
          <cell r="S30">
            <v>0</v>
          </cell>
          <cell r="T30">
            <v>2.1428571428571432</v>
          </cell>
          <cell r="U30">
            <v>0</v>
          </cell>
          <cell r="V30">
            <v>0</v>
          </cell>
          <cell r="W30">
            <v>12.903225806451614</v>
          </cell>
          <cell r="X30">
            <v>0</v>
          </cell>
          <cell r="Y30">
            <v>0</v>
          </cell>
          <cell r="Z30">
            <v>7.8947368421052628</v>
          </cell>
          <cell r="AA30">
            <v>0</v>
          </cell>
          <cell r="AB30">
            <v>0</v>
          </cell>
        </row>
        <row r="31">
          <cell r="D31">
            <v>0</v>
          </cell>
          <cell r="E31">
            <v>0</v>
          </cell>
          <cell r="F31">
            <v>0</v>
          </cell>
          <cell r="G31">
            <v>0</v>
          </cell>
          <cell r="H31">
            <v>0</v>
          </cell>
          <cell r="I31">
            <v>0</v>
          </cell>
          <cell r="J31">
            <v>0</v>
          </cell>
          <cell r="K31">
            <v>0</v>
          </cell>
          <cell r="L31">
            <v>0</v>
          </cell>
          <cell r="M31">
            <v>0</v>
          </cell>
          <cell r="N31">
            <v>0</v>
          </cell>
          <cell r="O31">
            <v>0</v>
          </cell>
          <cell r="Q31">
            <v>0</v>
          </cell>
          <cell r="R31">
            <v>0</v>
          </cell>
          <cell r="S31">
            <v>0</v>
          </cell>
          <cell r="T31">
            <v>0</v>
          </cell>
          <cell r="U31">
            <v>0</v>
          </cell>
          <cell r="V31">
            <v>0</v>
          </cell>
          <cell r="W31">
            <v>0</v>
          </cell>
          <cell r="X31">
            <v>0</v>
          </cell>
          <cell r="Y31">
            <v>0</v>
          </cell>
          <cell r="Z31">
            <v>0</v>
          </cell>
          <cell r="AA31">
            <v>0</v>
          </cell>
          <cell r="AB31">
            <v>0</v>
          </cell>
        </row>
        <row r="32">
          <cell r="D32">
            <v>0</v>
          </cell>
          <cell r="E32">
            <v>0</v>
          </cell>
          <cell r="F32">
            <v>0</v>
          </cell>
          <cell r="G32">
            <v>0</v>
          </cell>
          <cell r="H32">
            <v>0</v>
          </cell>
          <cell r="I32">
            <v>0</v>
          </cell>
          <cell r="J32">
            <v>0</v>
          </cell>
          <cell r="K32">
            <v>0</v>
          </cell>
          <cell r="L32">
            <v>0</v>
          </cell>
          <cell r="M32">
            <v>0</v>
          </cell>
          <cell r="N32">
            <v>0</v>
          </cell>
          <cell r="O32">
            <v>0</v>
          </cell>
          <cell r="Q32">
            <v>0</v>
          </cell>
          <cell r="R32">
            <v>0</v>
          </cell>
          <cell r="S32">
            <v>0</v>
          </cell>
          <cell r="T32">
            <v>0</v>
          </cell>
          <cell r="U32">
            <v>0</v>
          </cell>
          <cell r="V32">
            <v>0</v>
          </cell>
          <cell r="W32">
            <v>0</v>
          </cell>
          <cell r="X32">
            <v>0</v>
          </cell>
          <cell r="Y32">
            <v>0</v>
          </cell>
          <cell r="Z32">
            <v>0</v>
          </cell>
          <cell r="AA32">
            <v>0</v>
          </cell>
          <cell r="AB32">
            <v>0</v>
          </cell>
        </row>
        <row r="33">
          <cell r="D33">
            <v>0</v>
          </cell>
          <cell r="E33">
            <v>0</v>
          </cell>
          <cell r="F33">
            <v>0</v>
          </cell>
          <cell r="G33">
            <v>0</v>
          </cell>
          <cell r="H33">
            <v>0</v>
          </cell>
          <cell r="I33">
            <v>0</v>
          </cell>
          <cell r="J33">
            <v>0</v>
          </cell>
          <cell r="K33">
            <v>0</v>
          </cell>
          <cell r="L33">
            <v>0</v>
          </cell>
          <cell r="M33">
            <v>0</v>
          </cell>
          <cell r="N33">
            <v>0</v>
          </cell>
          <cell r="O33">
            <v>0</v>
          </cell>
          <cell r="Q33">
            <v>0</v>
          </cell>
          <cell r="R33">
            <v>0</v>
          </cell>
          <cell r="S33">
            <v>0</v>
          </cell>
          <cell r="T33">
            <v>0</v>
          </cell>
          <cell r="U33">
            <v>0</v>
          </cell>
          <cell r="V33">
            <v>0</v>
          </cell>
          <cell r="W33">
            <v>0</v>
          </cell>
          <cell r="X33">
            <v>0</v>
          </cell>
          <cell r="Y33">
            <v>0</v>
          </cell>
          <cell r="Z33">
            <v>0</v>
          </cell>
          <cell r="AA33">
            <v>0</v>
          </cell>
          <cell r="AB33">
            <v>0</v>
          </cell>
        </row>
        <row r="34">
          <cell r="D34">
            <v>0</v>
          </cell>
          <cell r="E34">
            <v>0</v>
          </cell>
          <cell r="F34">
            <v>0</v>
          </cell>
          <cell r="G34">
            <v>0</v>
          </cell>
          <cell r="H34">
            <v>0</v>
          </cell>
          <cell r="I34">
            <v>0</v>
          </cell>
          <cell r="J34">
            <v>0</v>
          </cell>
          <cell r="K34">
            <v>0</v>
          </cell>
          <cell r="L34">
            <v>0</v>
          </cell>
          <cell r="M34">
            <v>0</v>
          </cell>
          <cell r="N34">
            <v>0</v>
          </cell>
          <cell r="O34">
            <v>0</v>
          </cell>
          <cell r="Q34">
            <v>0</v>
          </cell>
          <cell r="R34">
            <v>0</v>
          </cell>
          <cell r="S34">
            <v>0</v>
          </cell>
          <cell r="T34">
            <v>0</v>
          </cell>
          <cell r="U34">
            <v>0</v>
          </cell>
          <cell r="V34">
            <v>0</v>
          </cell>
          <cell r="W34">
            <v>0</v>
          </cell>
          <cell r="X34">
            <v>0</v>
          </cell>
          <cell r="Y34">
            <v>0</v>
          </cell>
          <cell r="Z34">
            <v>0</v>
          </cell>
          <cell r="AA34">
            <v>0</v>
          </cell>
          <cell r="AB34">
            <v>0</v>
          </cell>
        </row>
        <row r="35">
          <cell r="D35">
            <v>0</v>
          </cell>
          <cell r="E35">
            <v>0</v>
          </cell>
          <cell r="F35">
            <v>0</v>
          </cell>
          <cell r="G35">
            <v>0</v>
          </cell>
          <cell r="H35">
            <v>0</v>
          </cell>
          <cell r="I35">
            <v>0</v>
          </cell>
          <cell r="J35">
            <v>0</v>
          </cell>
          <cell r="K35">
            <v>0</v>
          </cell>
          <cell r="L35">
            <v>0</v>
          </cell>
          <cell r="M35">
            <v>0</v>
          </cell>
          <cell r="N35">
            <v>0</v>
          </cell>
          <cell r="O35">
            <v>0</v>
          </cell>
          <cell r="Q35">
            <v>0</v>
          </cell>
          <cell r="R35">
            <v>0</v>
          </cell>
          <cell r="S35">
            <v>0</v>
          </cell>
          <cell r="T35">
            <v>0</v>
          </cell>
          <cell r="U35">
            <v>0</v>
          </cell>
          <cell r="V35">
            <v>0</v>
          </cell>
          <cell r="W35">
            <v>0</v>
          </cell>
          <cell r="X35">
            <v>0</v>
          </cell>
          <cell r="Y35">
            <v>0</v>
          </cell>
          <cell r="Z35">
            <v>0</v>
          </cell>
          <cell r="AA35">
            <v>0</v>
          </cell>
          <cell r="AB35">
            <v>0</v>
          </cell>
        </row>
        <row r="36">
          <cell r="D36">
            <v>0</v>
          </cell>
          <cell r="E36">
            <v>0</v>
          </cell>
          <cell r="F36">
            <v>0</v>
          </cell>
          <cell r="G36">
            <v>0</v>
          </cell>
          <cell r="H36">
            <v>0</v>
          </cell>
          <cell r="I36">
            <v>0</v>
          </cell>
          <cell r="J36">
            <v>0</v>
          </cell>
          <cell r="K36">
            <v>0</v>
          </cell>
          <cell r="L36">
            <v>0</v>
          </cell>
          <cell r="M36">
            <v>0</v>
          </cell>
          <cell r="N36">
            <v>0</v>
          </cell>
          <cell r="O36">
            <v>0</v>
          </cell>
          <cell r="Q36">
            <v>0</v>
          </cell>
          <cell r="R36">
            <v>0</v>
          </cell>
          <cell r="S36">
            <v>0</v>
          </cell>
          <cell r="T36">
            <v>0</v>
          </cell>
          <cell r="U36">
            <v>0</v>
          </cell>
          <cell r="V36">
            <v>0</v>
          </cell>
          <cell r="W36">
            <v>0</v>
          </cell>
          <cell r="X36">
            <v>0</v>
          </cell>
          <cell r="Y36">
            <v>0</v>
          </cell>
          <cell r="Z36">
            <v>0</v>
          </cell>
          <cell r="AA36">
            <v>0</v>
          </cell>
          <cell r="AB36">
            <v>0</v>
          </cell>
        </row>
        <row r="37">
          <cell r="D37">
            <v>0</v>
          </cell>
          <cell r="E37">
            <v>0</v>
          </cell>
          <cell r="F37">
            <v>0</v>
          </cell>
          <cell r="G37">
            <v>0</v>
          </cell>
          <cell r="H37">
            <v>0</v>
          </cell>
          <cell r="I37">
            <v>0</v>
          </cell>
          <cell r="J37">
            <v>0</v>
          </cell>
          <cell r="K37">
            <v>0</v>
          </cell>
          <cell r="L37">
            <v>0</v>
          </cell>
          <cell r="M37">
            <v>0</v>
          </cell>
          <cell r="N37">
            <v>0</v>
          </cell>
          <cell r="O37">
            <v>0</v>
          </cell>
          <cell r="Q37">
            <v>0</v>
          </cell>
          <cell r="R37">
            <v>0</v>
          </cell>
          <cell r="S37">
            <v>0</v>
          </cell>
          <cell r="T37">
            <v>0</v>
          </cell>
          <cell r="U37">
            <v>0</v>
          </cell>
          <cell r="V37">
            <v>0</v>
          </cell>
          <cell r="W37">
            <v>0</v>
          </cell>
          <cell r="X37">
            <v>0</v>
          </cell>
          <cell r="Y37">
            <v>0</v>
          </cell>
          <cell r="Z37">
            <v>0</v>
          </cell>
          <cell r="AA37">
            <v>0</v>
          </cell>
          <cell r="AB37">
            <v>0</v>
          </cell>
        </row>
        <row r="38">
          <cell r="D38">
            <v>0</v>
          </cell>
          <cell r="E38">
            <v>0</v>
          </cell>
          <cell r="F38">
            <v>0</v>
          </cell>
          <cell r="G38">
            <v>0</v>
          </cell>
          <cell r="H38">
            <v>0</v>
          </cell>
          <cell r="I38">
            <v>0</v>
          </cell>
          <cell r="J38">
            <v>0</v>
          </cell>
          <cell r="K38">
            <v>0</v>
          </cell>
          <cell r="L38">
            <v>0</v>
          </cell>
          <cell r="M38">
            <v>0</v>
          </cell>
          <cell r="N38">
            <v>0</v>
          </cell>
          <cell r="O38">
            <v>0</v>
          </cell>
          <cell r="Q38">
            <v>0</v>
          </cell>
          <cell r="R38">
            <v>0</v>
          </cell>
          <cell r="S38">
            <v>0</v>
          </cell>
          <cell r="T38">
            <v>0</v>
          </cell>
          <cell r="U38">
            <v>0</v>
          </cell>
          <cell r="V38">
            <v>0</v>
          </cell>
          <cell r="W38">
            <v>0</v>
          </cell>
          <cell r="X38">
            <v>0</v>
          </cell>
          <cell r="Y38">
            <v>0</v>
          </cell>
          <cell r="Z38">
            <v>0</v>
          </cell>
          <cell r="AA38">
            <v>0</v>
          </cell>
          <cell r="AB38">
            <v>0</v>
          </cell>
        </row>
        <row r="39">
          <cell r="D39">
            <v>0</v>
          </cell>
          <cell r="E39">
            <v>0</v>
          </cell>
          <cell r="F39">
            <v>0</v>
          </cell>
          <cell r="G39">
            <v>0</v>
          </cell>
          <cell r="H39">
            <v>0</v>
          </cell>
          <cell r="I39">
            <v>0</v>
          </cell>
          <cell r="J39">
            <v>0</v>
          </cell>
          <cell r="K39">
            <v>0</v>
          </cell>
          <cell r="L39">
            <v>0</v>
          </cell>
          <cell r="M39">
            <v>0</v>
          </cell>
          <cell r="N39">
            <v>0</v>
          </cell>
          <cell r="O39">
            <v>0</v>
          </cell>
          <cell r="Q39">
            <v>0</v>
          </cell>
          <cell r="R39">
            <v>0</v>
          </cell>
          <cell r="S39">
            <v>0</v>
          </cell>
          <cell r="T39">
            <v>0</v>
          </cell>
          <cell r="U39">
            <v>0</v>
          </cell>
          <cell r="V39">
            <v>0</v>
          </cell>
          <cell r="W39">
            <v>0</v>
          </cell>
          <cell r="X39">
            <v>0</v>
          </cell>
          <cell r="Y39">
            <v>0</v>
          </cell>
          <cell r="Z39">
            <v>0</v>
          </cell>
          <cell r="AA39">
            <v>0</v>
          </cell>
          <cell r="AB39">
            <v>0</v>
          </cell>
        </row>
        <row r="40">
          <cell r="D40">
            <v>0</v>
          </cell>
          <cell r="E40">
            <v>0</v>
          </cell>
          <cell r="F40">
            <v>0</v>
          </cell>
          <cell r="G40">
            <v>0</v>
          </cell>
          <cell r="H40">
            <v>0</v>
          </cell>
          <cell r="I40">
            <v>0</v>
          </cell>
          <cell r="J40">
            <v>0</v>
          </cell>
          <cell r="K40">
            <v>0</v>
          </cell>
          <cell r="L40">
            <v>0</v>
          </cell>
          <cell r="M40">
            <v>0</v>
          </cell>
          <cell r="N40">
            <v>0</v>
          </cell>
          <cell r="O40">
            <v>0</v>
          </cell>
          <cell r="Q40">
            <v>0</v>
          </cell>
          <cell r="R40">
            <v>0</v>
          </cell>
          <cell r="S40">
            <v>0</v>
          </cell>
          <cell r="T40">
            <v>0</v>
          </cell>
          <cell r="U40">
            <v>0</v>
          </cell>
          <cell r="V40">
            <v>0</v>
          </cell>
          <cell r="W40">
            <v>0</v>
          </cell>
          <cell r="X40">
            <v>0</v>
          </cell>
          <cell r="Y40">
            <v>0</v>
          </cell>
          <cell r="Z40">
            <v>0</v>
          </cell>
          <cell r="AA40">
            <v>0</v>
          </cell>
          <cell r="AB40">
            <v>0</v>
          </cell>
        </row>
        <row r="41">
          <cell r="D41">
            <v>0</v>
          </cell>
          <cell r="E41">
            <v>0</v>
          </cell>
          <cell r="F41">
            <v>0</v>
          </cell>
          <cell r="G41">
            <v>0</v>
          </cell>
          <cell r="H41">
            <v>0</v>
          </cell>
          <cell r="I41">
            <v>0</v>
          </cell>
          <cell r="J41">
            <v>0</v>
          </cell>
          <cell r="K41">
            <v>0</v>
          </cell>
          <cell r="L41">
            <v>0</v>
          </cell>
          <cell r="M41">
            <v>0</v>
          </cell>
          <cell r="N41">
            <v>0</v>
          </cell>
          <cell r="O41">
            <v>0</v>
          </cell>
          <cell r="Q41">
            <v>0</v>
          </cell>
          <cell r="R41">
            <v>0</v>
          </cell>
          <cell r="S41">
            <v>0</v>
          </cell>
          <cell r="T41">
            <v>0</v>
          </cell>
          <cell r="U41">
            <v>0</v>
          </cell>
          <cell r="V41">
            <v>0</v>
          </cell>
          <cell r="W41">
            <v>0</v>
          </cell>
          <cell r="X41">
            <v>0</v>
          </cell>
          <cell r="Y41">
            <v>0</v>
          </cell>
          <cell r="Z41">
            <v>0</v>
          </cell>
          <cell r="AA41">
            <v>0</v>
          </cell>
          <cell r="AB41">
            <v>0</v>
          </cell>
        </row>
        <row r="42">
          <cell r="D42">
            <v>0</v>
          </cell>
          <cell r="E42">
            <v>0</v>
          </cell>
          <cell r="F42">
            <v>0</v>
          </cell>
          <cell r="G42">
            <v>0</v>
          </cell>
          <cell r="H42">
            <v>0</v>
          </cell>
          <cell r="I42">
            <v>0</v>
          </cell>
          <cell r="J42">
            <v>0</v>
          </cell>
          <cell r="K42">
            <v>0</v>
          </cell>
          <cell r="L42">
            <v>0</v>
          </cell>
          <cell r="M42">
            <v>0</v>
          </cell>
          <cell r="N42">
            <v>0</v>
          </cell>
          <cell r="O42">
            <v>0</v>
          </cell>
          <cell r="Q42">
            <v>0</v>
          </cell>
          <cell r="R42">
            <v>0</v>
          </cell>
          <cell r="S42">
            <v>0</v>
          </cell>
          <cell r="T42">
            <v>0</v>
          </cell>
          <cell r="U42">
            <v>0</v>
          </cell>
          <cell r="V42">
            <v>0</v>
          </cell>
          <cell r="W42">
            <v>0</v>
          </cell>
          <cell r="X42">
            <v>0</v>
          </cell>
          <cell r="Y42">
            <v>0</v>
          </cell>
          <cell r="Z42">
            <v>0</v>
          </cell>
          <cell r="AA42">
            <v>0</v>
          </cell>
          <cell r="AB42">
            <v>0</v>
          </cell>
        </row>
        <row r="43">
          <cell r="D43">
            <v>0</v>
          </cell>
          <cell r="E43">
            <v>0</v>
          </cell>
          <cell r="F43">
            <v>0</v>
          </cell>
          <cell r="G43">
            <v>0</v>
          </cell>
          <cell r="H43">
            <v>0</v>
          </cell>
          <cell r="I43">
            <v>0</v>
          </cell>
          <cell r="J43">
            <v>0</v>
          </cell>
          <cell r="K43">
            <v>0</v>
          </cell>
          <cell r="L43">
            <v>0</v>
          </cell>
          <cell r="M43">
            <v>0</v>
          </cell>
          <cell r="N43">
            <v>0</v>
          </cell>
          <cell r="O43">
            <v>0</v>
          </cell>
          <cell r="Q43">
            <v>0</v>
          </cell>
          <cell r="R43">
            <v>0</v>
          </cell>
          <cell r="S43">
            <v>0</v>
          </cell>
          <cell r="T43">
            <v>0</v>
          </cell>
          <cell r="U43">
            <v>0</v>
          </cell>
          <cell r="V43">
            <v>0</v>
          </cell>
          <cell r="W43">
            <v>0</v>
          </cell>
          <cell r="X43">
            <v>0</v>
          </cell>
          <cell r="Y43">
            <v>0</v>
          </cell>
          <cell r="Z43">
            <v>0</v>
          </cell>
          <cell r="AA43">
            <v>0</v>
          </cell>
          <cell r="AB43">
            <v>0</v>
          </cell>
        </row>
        <row r="44">
          <cell r="D44">
            <v>0</v>
          </cell>
          <cell r="E44">
            <v>0</v>
          </cell>
          <cell r="F44">
            <v>0</v>
          </cell>
          <cell r="G44">
            <v>0</v>
          </cell>
          <cell r="H44">
            <v>0</v>
          </cell>
          <cell r="I44">
            <v>0</v>
          </cell>
          <cell r="J44">
            <v>0</v>
          </cell>
          <cell r="K44">
            <v>0</v>
          </cell>
          <cell r="L44">
            <v>0</v>
          </cell>
          <cell r="M44">
            <v>0</v>
          </cell>
          <cell r="N44">
            <v>0</v>
          </cell>
          <cell r="O44">
            <v>0</v>
          </cell>
          <cell r="Q44">
            <v>0</v>
          </cell>
          <cell r="R44">
            <v>0</v>
          </cell>
          <cell r="S44">
            <v>0</v>
          </cell>
          <cell r="T44">
            <v>0</v>
          </cell>
          <cell r="U44">
            <v>0</v>
          </cell>
          <cell r="V44">
            <v>0</v>
          </cell>
          <cell r="W44">
            <v>0</v>
          </cell>
          <cell r="X44">
            <v>0</v>
          </cell>
          <cell r="Y44">
            <v>0</v>
          </cell>
          <cell r="Z44">
            <v>0</v>
          </cell>
          <cell r="AA44">
            <v>0</v>
          </cell>
          <cell r="AB44">
            <v>0</v>
          </cell>
        </row>
        <row r="45">
          <cell r="D45">
            <v>0</v>
          </cell>
          <cell r="E45">
            <v>0</v>
          </cell>
          <cell r="F45">
            <v>0</v>
          </cell>
          <cell r="G45">
            <v>0</v>
          </cell>
          <cell r="H45">
            <v>0</v>
          </cell>
          <cell r="I45">
            <v>0</v>
          </cell>
          <cell r="J45">
            <v>0</v>
          </cell>
          <cell r="K45">
            <v>0</v>
          </cell>
          <cell r="L45">
            <v>0</v>
          </cell>
          <cell r="M45">
            <v>0</v>
          </cell>
          <cell r="N45">
            <v>0</v>
          </cell>
          <cell r="O45">
            <v>0</v>
          </cell>
          <cell r="Q45">
            <v>0</v>
          </cell>
          <cell r="R45">
            <v>0</v>
          </cell>
          <cell r="S45">
            <v>0</v>
          </cell>
          <cell r="T45">
            <v>0</v>
          </cell>
          <cell r="U45">
            <v>0</v>
          </cell>
          <cell r="V45">
            <v>0</v>
          </cell>
          <cell r="W45">
            <v>0</v>
          </cell>
          <cell r="X45">
            <v>0</v>
          </cell>
          <cell r="Y45">
            <v>0</v>
          </cell>
          <cell r="Z45">
            <v>0</v>
          </cell>
          <cell r="AA45">
            <v>0</v>
          </cell>
          <cell r="AB45">
            <v>0</v>
          </cell>
        </row>
        <row r="46">
          <cell r="D46">
            <v>61.7</v>
          </cell>
          <cell r="E46">
            <v>37.5</v>
          </cell>
          <cell r="F46">
            <v>58.6</v>
          </cell>
          <cell r="G46">
            <v>63.1</v>
          </cell>
          <cell r="H46">
            <v>54.5</v>
          </cell>
          <cell r="I46">
            <v>6.8</v>
          </cell>
          <cell r="J46">
            <v>0</v>
          </cell>
          <cell r="K46">
            <v>28</v>
          </cell>
          <cell r="L46">
            <v>26</v>
          </cell>
          <cell r="M46">
            <v>0</v>
          </cell>
          <cell r="N46">
            <v>14</v>
          </cell>
          <cell r="O46">
            <v>14</v>
          </cell>
          <cell r="Q46">
            <v>157.80000000000001</v>
          </cell>
          <cell r="R46">
            <v>0</v>
          </cell>
          <cell r="S46">
            <v>0</v>
          </cell>
          <cell r="T46">
            <v>124.39999999999999</v>
          </cell>
          <cell r="U46">
            <v>0</v>
          </cell>
          <cell r="V46">
            <v>0</v>
          </cell>
          <cell r="W46">
            <v>54</v>
          </cell>
          <cell r="X46">
            <v>0</v>
          </cell>
          <cell r="Y46">
            <v>0</v>
          </cell>
          <cell r="Z46">
            <v>28</v>
          </cell>
          <cell r="AA46">
            <v>0</v>
          </cell>
          <cell r="AB46">
            <v>0</v>
          </cell>
        </row>
        <row r="47">
          <cell r="D47">
            <v>61.689</v>
          </cell>
          <cell r="E47">
            <v>37.5</v>
          </cell>
          <cell r="F47">
            <v>29.3</v>
          </cell>
          <cell r="G47">
            <v>31.5</v>
          </cell>
          <cell r="H47">
            <v>27.2</v>
          </cell>
          <cell r="I47">
            <v>3.4</v>
          </cell>
          <cell r="J47">
            <v>0</v>
          </cell>
          <cell r="K47">
            <v>0</v>
          </cell>
          <cell r="L47">
            <v>13</v>
          </cell>
          <cell r="M47">
            <v>0</v>
          </cell>
          <cell r="N47">
            <v>7</v>
          </cell>
          <cell r="O47">
            <v>7</v>
          </cell>
          <cell r="Q47">
            <v>128.489</v>
          </cell>
          <cell r="R47">
            <v>0</v>
          </cell>
          <cell r="S47">
            <v>0</v>
          </cell>
          <cell r="T47">
            <v>62.1</v>
          </cell>
          <cell r="U47">
            <v>0</v>
          </cell>
          <cell r="V47">
            <v>0</v>
          </cell>
          <cell r="W47">
            <v>13</v>
          </cell>
          <cell r="X47">
            <v>0</v>
          </cell>
          <cell r="Y47">
            <v>0</v>
          </cell>
          <cell r="Z47">
            <v>14</v>
          </cell>
          <cell r="AA47">
            <v>0</v>
          </cell>
          <cell r="AB47">
            <v>0</v>
          </cell>
        </row>
        <row r="48">
          <cell r="D48">
            <v>121.688</v>
          </cell>
          <cell r="E48">
            <v>185.7</v>
          </cell>
          <cell r="F48">
            <v>212.3</v>
          </cell>
          <cell r="G48">
            <v>120.7</v>
          </cell>
          <cell r="H48">
            <v>434.2</v>
          </cell>
          <cell r="I48">
            <v>234.4</v>
          </cell>
          <cell r="J48">
            <v>172.55500000000001</v>
          </cell>
          <cell r="K48">
            <v>261.55799999999999</v>
          </cell>
          <cell r="L48">
            <v>330.84</v>
          </cell>
          <cell r="M48">
            <v>292.89999999999998</v>
          </cell>
          <cell r="N48">
            <v>284.52</v>
          </cell>
          <cell r="O48">
            <v>122</v>
          </cell>
          <cell r="Q48">
            <v>519.68799999999999</v>
          </cell>
          <cell r="R48">
            <v>0</v>
          </cell>
          <cell r="S48">
            <v>0</v>
          </cell>
          <cell r="T48">
            <v>789.30000000000007</v>
          </cell>
          <cell r="U48">
            <v>0</v>
          </cell>
          <cell r="V48">
            <v>0</v>
          </cell>
          <cell r="W48">
            <v>764.95299999999997</v>
          </cell>
          <cell r="X48">
            <v>0</v>
          </cell>
          <cell r="Y48">
            <v>0</v>
          </cell>
          <cell r="Z48">
            <v>699.42</v>
          </cell>
          <cell r="AA48">
            <v>0</v>
          </cell>
          <cell r="AB48">
            <v>0</v>
          </cell>
        </row>
        <row r="51">
          <cell r="D51">
            <v>1.1399999999999999</v>
          </cell>
          <cell r="E51">
            <v>1.8</v>
          </cell>
          <cell r="F51">
            <v>2</v>
          </cell>
          <cell r="G51">
            <v>1</v>
          </cell>
          <cell r="H51">
            <v>1.7</v>
          </cell>
          <cell r="I51">
            <v>0</v>
          </cell>
          <cell r="J51">
            <v>0</v>
          </cell>
          <cell r="K51">
            <v>0</v>
          </cell>
          <cell r="L51">
            <v>0</v>
          </cell>
          <cell r="M51">
            <v>0.5</v>
          </cell>
          <cell r="N51">
            <v>0.28999999999999998</v>
          </cell>
          <cell r="O51">
            <v>0.1</v>
          </cell>
          <cell r="Q51">
            <v>1.6466666666666665</v>
          </cell>
          <cell r="R51">
            <v>0</v>
          </cell>
          <cell r="S51">
            <v>0</v>
          </cell>
          <cell r="T51">
            <v>0.9</v>
          </cell>
          <cell r="U51">
            <v>0</v>
          </cell>
          <cell r="V51">
            <v>0</v>
          </cell>
          <cell r="W51">
            <v>0</v>
          </cell>
          <cell r="X51">
            <v>0</v>
          </cell>
          <cell r="Y51">
            <v>0</v>
          </cell>
          <cell r="Z51">
            <v>0.29666666666666669</v>
          </cell>
          <cell r="AA51">
            <v>0</v>
          </cell>
          <cell r="AB51">
            <v>0</v>
          </cell>
        </row>
        <row r="52">
          <cell r="D52">
            <v>257.63157894736844</v>
          </cell>
          <cell r="E52">
            <v>93.333333333333329</v>
          </cell>
          <cell r="F52">
            <v>107.55</v>
          </cell>
          <cell r="G52">
            <v>337.9</v>
          </cell>
          <cell r="H52">
            <v>10.705882352941176</v>
          </cell>
          <cell r="I52">
            <v>0</v>
          </cell>
          <cell r="J52">
            <v>0</v>
          </cell>
          <cell r="K52">
            <v>0</v>
          </cell>
          <cell r="L52">
            <v>0</v>
          </cell>
          <cell r="M52">
            <v>62</v>
          </cell>
          <cell r="N52">
            <v>173.2137931034483</v>
          </cell>
          <cell r="O52">
            <v>100</v>
          </cell>
          <cell r="Q52">
            <v>137.00404858299595</v>
          </cell>
          <cell r="R52">
            <v>0</v>
          </cell>
          <cell r="S52">
            <v>0</v>
          </cell>
          <cell r="T52">
            <v>156.14814814814812</v>
          </cell>
          <cell r="U52">
            <v>0</v>
          </cell>
          <cell r="V52">
            <v>0</v>
          </cell>
          <cell r="W52">
            <v>0</v>
          </cell>
          <cell r="X52">
            <v>0</v>
          </cell>
          <cell r="Y52">
            <v>0</v>
          </cell>
          <cell r="Z52">
            <v>102.50786516853933</v>
          </cell>
          <cell r="AA52">
            <v>0</v>
          </cell>
          <cell r="AB52">
            <v>0</v>
          </cell>
        </row>
        <row r="53">
          <cell r="D53">
            <v>293.7</v>
          </cell>
          <cell r="E53">
            <v>168</v>
          </cell>
          <cell r="F53">
            <v>215.1</v>
          </cell>
          <cell r="G53">
            <v>337.9</v>
          </cell>
          <cell r="H53">
            <v>18.2</v>
          </cell>
          <cell r="I53">
            <v>65.5</v>
          </cell>
          <cell r="J53">
            <v>0</v>
          </cell>
          <cell r="K53">
            <v>0</v>
          </cell>
          <cell r="L53">
            <v>27</v>
          </cell>
          <cell r="M53">
            <v>31</v>
          </cell>
          <cell r="N53">
            <v>50.231999999999999</v>
          </cell>
          <cell r="O53">
            <v>10</v>
          </cell>
          <cell r="Q53">
            <v>676.8</v>
          </cell>
          <cell r="R53">
            <v>0</v>
          </cell>
          <cell r="S53">
            <v>0</v>
          </cell>
          <cell r="T53">
            <v>421.59999999999997</v>
          </cell>
          <cell r="U53">
            <v>0</v>
          </cell>
          <cell r="V53">
            <v>0</v>
          </cell>
          <cell r="W53">
            <v>27</v>
          </cell>
          <cell r="X53">
            <v>0</v>
          </cell>
          <cell r="Y53">
            <v>0</v>
          </cell>
          <cell r="Z53">
            <v>91.231999999999999</v>
          </cell>
          <cell r="AA53">
            <v>0</v>
          </cell>
          <cell r="AB53">
            <v>0</v>
          </cell>
        </row>
        <row r="54">
          <cell r="D54">
            <v>10</v>
          </cell>
          <cell r="E54">
            <v>10</v>
          </cell>
          <cell r="F54">
            <v>12</v>
          </cell>
          <cell r="G54">
            <v>12</v>
          </cell>
          <cell r="H54">
            <v>6</v>
          </cell>
          <cell r="I54">
            <v>6</v>
          </cell>
          <cell r="J54">
            <v>5</v>
          </cell>
          <cell r="K54">
            <v>5</v>
          </cell>
          <cell r="L54">
            <v>5</v>
          </cell>
          <cell r="M54">
            <v>5</v>
          </cell>
          <cell r="N54">
            <v>5</v>
          </cell>
          <cell r="O54">
            <v>5</v>
          </cell>
          <cell r="Q54">
            <v>10.666666666666666</v>
          </cell>
          <cell r="R54">
            <v>0</v>
          </cell>
          <cell r="S54">
            <v>0</v>
          </cell>
          <cell r="T54">
            <v>8</v>
          </cell>
          <cell r="U54">
            <v>0</v>
          </cell>
          <cell r="V54">
            <v>0</v>
          </cell>
          <cell r="W54">
            <v>5</v>
          </cell>
          <cell r="X54">
            <v>0</v>
          </cell>
          <cell r="Y54">
            <v>0</v>
          </cell>
          <cell r="Z54">
            <v>5</v>
          </cell>
          <cell r="AA54">
            <v>0</v>
          </cell>
          <cell r="AB54">
            <v>0</v>
          </cell>
        </row>
        <row r="55">
          <cell r="D55">
            <v>8.7719298245614041</v>
          </cell>
          <cell r="E55">
            <v>5.5555555555555554</v>
          </cell>
          <cell r="F55">
            <v>6</v>
          </cell>
          <cell r="G55">
            <v>12</v>
          </cell>
          <cell r="H55">
            <v>3.5294117647058822</v>
          </cell>
          <cell r="I55">
            <v>0</v>
          </cell>
          <cell r="J55">
            <v>0</v>
          </cell>
          <cell r="K55">
            <v>0</v>
          </cell>
          <cell r="L55">
            <v>0</v>
          </cell>
          <cell r="M55">
            <v>10</v>
          </cell>
          <cell r="N55">
            <v>17.241379310344829</v>
          </cell>
          <cell r="O55">
            <v>50</v>
          </cell>
          <cell r="Q55">
            <v>6.4777327935222679</v>
          </cell>
          <cell r="R55">
            <v>0</v>
          </cell>
          <cell r="S55">
            <v>0</v>
          </cell>
          <cell r="T55">
            <v>8.8888888888888893</v>
          </cell>
          <cell r="U55">
            <v>0</v>
          </cell>
          <cell r="V55">
            <v>0</v>
          </cell>
          <cell r="W55">
            <v>0</v>
          </cell>
          <cell r="X55">
            <v>0</v>
          </cell>
          <cell r="Y55">
            <v>0</v>
          </cell>
          <cell r="Z55">
            <v>16.853932584269661</v>
          </cell>
          <cell r="AA55">
            <v>0</v>
          </cell>
          <cell r="AB55">
            <v>0</v>
          </cell>
        </row>
        <row r="56">
          <cell r="D56">
            <v>415.38799999999998</v>
          </cell>
          <cell r="E56">
            <v>353.7</v>
          </cell>
          <cell r="F56">
            <v>427.4</v>
          </cell>
          <cell r="G56">
            <v>458.59999999999997</v>
          </cell>
          <cell r="H56">
            <v>452.4</v>
          </cell>
          <cell r="I56">
            <v>299.89999999999998</v>
          </cell>
          <cell r="J56">
            <v>172.55500000000001</v>
          </cell>
          <cell r="K56">
            <v>261.55799999999999</v>
          </cell>
          <cell r="L56">
            <v>357.84</v>
          </cell>
          <cell r="M56">
            <v>323.89999999999998</v>
          </cell>
          <cell r="N56">
            <v>334.75199999999995</v>
          </cell>
          <cell r="O56">
            <v>132</v>
          </cell>
          <cell r="Q56">
            <v>1196.4879999999998</v>
          </cell>
          <cell r="R56">
            <v>0</v>
          </cell>
          <cell r="S56">
            <v>0</v>
          </cell>
          <cell r="T56">
            <v>1210.9000000000001</v>
          </cell>
          <cell r="U56">
            <v>0</v>
          </cell>
          <cell r="V56">
            <v>0</v>
          </cell>
          <cell r="W56">
            <v>791.95299999999997</v>
          </cell>
          <cell r="X56">
            <v>0</v>
          </cell>
          <cell r="Y56">
            <v>0</v>
          </cell>
          <cell r="Z56">
            <v>790.65199999999993</v>
          </cell>
          <cell r="AA56">
            <v>0</v>
          </cell>
          <cell r="AB56">
            <v>0</v>
          </cell>
        </row>
        <row r="59">
          <cell r="D59">
            <v>9.9998333333333331</v>
          </cell>
          <cell r="E59">
            <v>21.171428571428571</v>
          </cell>
          <cell r="F59">
            <v>26.142857142857142</v>
          </cell>
          <cell r="G59">
            <v>12.742857142857144</v>
          </cell>
          <cell r="H59">
            <v>67.833333333333329</v>
          </cell>
          <cell r="I59">
            <v>57.75</v>
          </cell>
          <cell r="J59">
            <v>34.511000000000003</v>
          </cell>
          <cell r="K59">
            <v>65.389499999999998</v>
          </cell>
          <cell r="L59">
            <v>63.567999999999998</v>
          </cell>
          <cell r="M59">
            <v>58.58</v>
          </cell>
          <cell r="N59">
            <v>55.503999999999998</v>
          </cell>
          <cell r="O59">
            <v>23</v>
          </cell>
          <cell r="Q59">
            <v>19.559949999999997</v>
          </cell>
          <cell r="R59">
            <v>0</v>
          </cell>
          <cell r="S59">
            <v>0</v>
          </cell>
          <cell r="T59">
            <v>42.776470588235298</v>
          </cell>
          <cell r="U59">
            <v>0</v>
          </cell>
          <cell r="V59">
            <v>0</v>
          </cell>
          <cell r="W59">
            <v>53.710928571428568</v>
          </cell>
          <cell r="X59">
            <v>0</v>
          </cell>
          <cell r="Y59">
            <v>0</v>
          </cell>
          <cell r="Z59">
            <v>45.694666666666663</v>
          </cell>
          <cell r="AA59">
            <v>0</v>
          </cell>
          <cell r="AB59">
            <v>0</v>
          </cell>
        </row>
        <row r="60">
          <cell r="D60">
            <v>20.566666666666666</v>
          </cell>
          <cell r="E60">
            <v>12.5</v>
          </cell>
          <cell r="F60">
            <v>29.3</v>
          </cell>
          <cell r="G60">
            <v>21.033333333333335</v>
          </cell>
          <cell r="H60">
            <v>27.25</v>
          </cell>
          <cell r="I60">
            <v>6.8</v>
          </cell>
          <cell r="J60">
            <v>0</v>
          </cell>
          <cell r="K60">
            <v>14</v>
          </cell>
          <cell r="L60">
            <v>13</v>
          </cell>
          <cell r="M60">
            <v>0</v>
          </cell>
          <cell r="N60">
            <v>14</v>
          </cell>
          <cell r="O60">
            <v>14</v>
          </cell>
          <cell r="Q60">
            <v>19.725000000000001</v>
          </cell>
          <cell r="R60">
            <v>0</v>
          </cell>
          <cell r="S60">
            <v>0</v>
          </cell>
          <cell r="T60">
            <v>20.733333333333331</v>
          </cell>
          <cell r="U60">
            <v>0</v>
          </cell>
          <cell r="V60">
            <v>0</v>
          </cell>
          <cell r="W60">
            <v>9</v>
          </cell>
          <cell r="X60">
            <v>0</v>
          </cell>
          <cell r="Y60">
            <v>0</v>
          </cell>
          <cell r="Z60">
            <v>9.3333333333333339</v>
          </cell>
          <cell r="AA60">
            <v>0</v>
          </cell>
          <cell r="AB60">
            <v>0</v>
          </cell>
        </row>
        <row r="61">
          <cell r="D61">
            <v>29.369999999999997</v>
          </cell>
          <cell r="E61">
            <v>16.8</v>
          </cell>
          <cell r="F61">
            <v>17.925000000000001</v>
          </cell>
          <cell r="G61">
            <v>28.158333333333331</v>
          </cell>
          <cell r="H61">
            <v>3.0333333333333332</v>
          </cell>
          <cell r="I61">
            <v>10.916666666666666</v>
          </cell>
          <cell r="J61">
            <v>0</v>
          </cell>
          <cell r="K61">
            <v>0</v>
          </cell>
          <cell r="L61">
            <v>5.4</v>
          </cell>
          <cell r="M61">
            <v>6.2</v>
          </cell>
          <cell r="N61">
            <v>10.0464</v>
          </cell>
          <cell r="O61">
            <v>2</v>
          </cell>
          <cell r="Q61">
            <v>21.15</v>
          </cell>
          <cell r="R61">
            <v>0</v>
          </cell>
          <cell r="S61">
            <v>0</v>
          </cell>
          <cell r="T61">
            <v>17.566666666666666</v>
          </cell>
          <cell r="U61">
            <v>0</v>
          </cell>
          <cell r="V61">
            <v>0</v>
          </cell>
          <cell r="W61">
            <v>1.8</v>
          </cell>
          <cell r="X61">
            <v>0</v>
          </cell>
          <cell r="Y61">
            <v>0</v>
          </cell>
          <cell r="Z61">
            <v>6.0821333333333332</v>
          </cell>
          <cell r="AA61">
            <v>0</v>
          </cell>
          <cell r="AB61">
            <v>0</v>
          </cell>
        </row>
        <row r="62">
          <cell r="D62">
            <v>15.831588235294118</v>
          </cell>
          <cell r="E62">
            <v>13.5</v>
          </cell>
          <cell r="F62">
            <v>15.664705882352942</v>
          </cell>
          <cell r="G62">
            <v>19.817647058823528</v>
          </cell>
          <cell r="H62">
            <v>17.236842105263158</v>
          </cell>
          <cell r="I62">
            <v>11.1875</v>
          </cell>
          <cell r="J62">
            <v>11.606249999999999</v>
          </cell>
          <cell r="K62">
            <v>14.666666666666666</v>
          </cell>
          <cell r="L62">
            <v>9.1428571428571423</v>
          </cell>
          <cell r="M62">
            <v>16.728571428571428</v>
          </cell>
          <cell r="N62">
            <v>9.8576923076923073</v>
          </cell>
          <cell r="O62">
            <v>7.6923076923076925</v>
          </cell>
          <cell r="Q62">
            <v>14.998764705882353</v>
          </cell>
          <cell r="R62">
            <v>0</v>
          </cell>
          <cell r="S62">
            <v>0</v>
          </cell>
          <cell r="T62">
            <v>16.219230769230769</v>
          </cell>
          <cell r="U62">
            <v>0</v>
          </cell>
          <cell r="V62">
            <v>0</v>
          </cell>
          <cell r="W62">
            <v>11.860000000000001</v>
          </cell>
          <cell r="X62">
            <v>0</v>
          </cell>
          <cell r="Y62">
            <v>0</v>
          </cell>
          <cell r="Z62">
            <v>11.55875</v>
          </cell>
          <cell r="AA62">
            <v>0</v>
          </cell>
          <cell r="AB62">
            <v>0</v>
          </cell>
        </row>
        <row r="67">
          <cell r="E67">
            <v>1998</v>
          </cell>
          <cell r="H67">
            <v>1998</v>
          </cell>
          <cell r="K67">
            <v>1998</v>
          </cell>
          <cell r="N67">
            <v>1998</v>
          </cell>
          <cell r="R67">
            <v>1998</v>
          </cell>
          <cell r="U67">
            <v>1998</v>
          </cell>
          <cell r="X67">
            <v>1998</v>
          </cell>
          <cell r="AA67">
            <v>1998</v>
          </cell>
        </row>
        <row r="68">
          <cell r="D68" t="str">
            <v>Jan</v>
          </cell>
          <cell r="E68" t="str">
            <v>Feb</v>
          </cell>
          <cell r="F68" t="str">
            <v>Mar</v>
          </cell>
          <cell r="G68" t="str">
            <v>Apr</v>
          </cell>
          <cell r="H68" t="str">
            <v>May</v>
          </cell>
          <cell r="I68" t="str">
            <v>Jun</v>
          </cell>
          <cell r="J68" t="str">
            <v>Jul</v>
          </cell>
          <cell r="K68" t="str">
            <v>Aug</v>
          </cell>
          <cell r="L68" t="str">
            <v>Sep</v>
          </cell>
          <cell r="M68" t="str">
            <v>Oct</v>
          </cell>
          <cell r="N68" t="str">
            <v>Nov</v>
          </cell>
          <cell r="O68" t="str">
            <v>Dec</v>
          </cell>
          <cell r="Q68" t="str">
            <v>Q1</v>
          </cell>
          <cell r="R68" t="str">
            <v>Q1</v>
          </cell>
          <cell r="S68" t="str">
            <v>%</v>
          </cell>
          <cell r="T68" t="str">
            <v>Q2</v>
          </cell>
          <cell r="U68" t="str">
            <v>Q2</v>
          </cell>
          <cell r="V68" t="str">
            <v>%</v>
          </cell>
          <cell r="W68" t="str">
            <v>Q3</v>
          </cell>
          <cell r="X68" t="str">
            <v>Q3</v>
          </cell>
          <cell r="Y68" t="str">
            <v>%</v>
          </cell>
          <cell r="Z68" t="str">
            <v>Q4</v>
          </cell>
          <cell r="AA68" t="str">
            <v>Q4</v>
          </cell>
          <cell r="AB68" t="str">
            <v>%</v>
          </cell>
        </row>
        <row r="69">
          <cell r="Q69" t="str">
            <v>Actual</v>
          </cell>
          <cell r="R69" t="str">
            <v>Plan</v>
          </cell>
          <cell r="S69" t="str">
            <v>Plan</v>
          </cell>
          <cell r="T69" t="str">
            <v>Actual</v>
          </cell>
          <cell r="U69" t="str">
            <v>Plan</v>
          </cell>
          <cell r="V69" t="str">
            <v>Plan</v>
          </cell>
          <cell r="W69" t="str">
            <v>Actual</v>
          </cell>
          <cell r="X69" t="str">
            <v>Plan</v>
          </cell>
          <cell r="Y69" t="str">
            <v>Plan</v>
          </cell>
          <cell r="Z69" t="str">
            <v>Actual</v>
          </cell>
          <cell r="AA69" t="str">
            <v>Plan</v>
          </cell>
          <cell r="AB69" t="str">
            <v>Plan</v>
          </cell>
        </row>
        <row r="72">
          <cell r="D72">
            <v>3</v>
          </cell>
          <cell r="E72">
            <v>3</v>
          </cell>
          <cell r="F72">
            <v>3</v>
          </cell>
          <cell r="G72">
            <v>4</v>
          </cell>
          <cell r="H72">
            <v>4</v>
          </cell>
          <cell r="I72">
            <v>4</v>
          </cell>
          <cell r="J72">
            <v>4</v>
          </cell>
          <cell r="K72">
            <v>4</v>
          </cell>
          <cell r="L72">
            <v>5</v>
          </cell>
          <cell r="M72">
            <v>6</v>
          </cell>
          <cell r="N72">
            <v>4</v>
          </cell>
          <cell r="O72">
            <v>3</v>
          </cell>
          <cell r="Q72">
            <v>3</v>
          </cell>
          <cell r="T72">
            <v>4</v>
          </cell>
          <cell r="W72">
            <v>4.333333333333333</v>
          </cell>
          <cell r="Z72">
            <v>4.333333333333333</v>
          </cell>
        </row>
        <row r="73">
          <cell r="D73">
            <v>0</v>
          </cell>
          <cell r="E73">
            <v>0</v>
          </cell>
          <cell r="F73">
            <v>0</v>
          </cell>
          <cell r="G73">
            <v>0</v>
          </cell>
          <cell r="H73">
            <v>0</v>
          </cell>
          <cell r="I73">
            <v>0</v>
          </cell>
          <cell r="J73">
            <v>0</v>
          </cell>
          <cell r="K73">
            <v>0</v>
          </cell>
          <cell r="L73">
            <v>0</v>
          </cell>
          <cell r="M73">
            <v>0</v>
          </cell>
          <cell r="N73">
            <v>0</v>
          </cell>
          <cell r="O73">
            <v>0</v>
          </cell>
          <cell r="Q73">
            <v>0</v>
          </cell>
          <cell r="T73">
            <v>0</v>
          </cell>
          <cell r="W73">
            <v>0</v>
          </cell>
          <cell r="Z73">
            <v>0</v>
          </cell>
        </row>
        <row r="74">
          <cell r="D74">
            <v>3</v>
          </cell>
          <cell r="E74">
            <v>3</v>
          </cell>
          <cell r="F74">
            <v>3</v>
          </cell>
          <cell r="G74">
            <v>4</v>
          </cell>
          <cell r="H74">
            <v>4</v>
          </cell>
          <cell r="I74">
            <v>4</v>
          </cell>
          <cell r="J74">
            <v>4</v>
          </cell>
          <cell r="K74">
            <v>4</v>
          </cell>
          <cell r="L74">
            <v>5</v>
          </cell>
          <cell r="M74">
            <v>6</v>
          </cell>
          <cell r="N74">
            <v>4</v>
          </cell>
          <cell r="O74">
            <v>3</v>
          </cell>
          <cell r="Q74">
            <v>3</v>
          </cell>
          <cell r="R74">
            <v>0</v>
          </cell>
          <cell r="S74">
            <v>0</v>
          </cell>
          <cell r="T74">
            <v>4</v>
          </cell>
          <cell r="U74">
            <v>0</v>
          </cell>
          <cell r="V74">
            <v>0</v>
          </cell>
          <cell r="W74">
            <v>4.333333333333333</v>
          </cell>
          <cell r="X74">
            <v>0</v>
          </cell>
          <cell r="Y74">
            <v>0</v>
          </cell>
          <cell r="Z74">
            <v>4.333333333333333</v>
          </cell>
          <cell r="AA74">
            <v>0</v>
          </cell>
          <cell r="AB74">
            <v>0</v>
          </cell>
        </row>
        <row r="75">
          <cell r="D75">
            <v>0.49666666666666665</v>
          </cell>
          <cell r="E75">
            <v>0.46666666666666662</v>
          </cell>
          <cell r="F75">
            <v>0.6333333333333333</v>
          </cell>
          <cell r="G75">
            <v>0.625</v>
          </cell>
          <cell r="H75">
            <v>0.34749999999999998</v>
          </cell>
          <cell r="I75">
            <v>0.34749999999999998</v>
          </cell>
          <cell r="J75">
            <v>0.25</v>
          </cell>
          <cell r="K75">
            <v>0.33</v>
          </cell>
          <cell r="L75">
            <v>0.35599999999999998</v>
          </cell>
          <cell r="M75">
            <v>0.34499999999999997</v>
          </cell>
          <cell r="N75">
            <v>0.42499999999999999</v>
          </cell>
          <cell r="O75">
            <v>0.16666666666666666</v>
          </cell>
          <cell r="Q75">
            <v>0.53222222222222215</v>
          </cell>
          <cell r="R75">
            <v>0</v>
          </cell>
          <cell r="S75">
            <v>0</v>
          </cell>
          <cell r="T75">
            <v>0.43999999999999995</v>
          </cell>
          <cell r="U75">
            <v>0</v>
          </cell>
          <cell r="V75">
            <v>0</v>
          </cell>
          <cell r="W75">
            <v>0.31538461538461549</v>
          </cell>
          <cell r="X75">
            <v>0</v>
          </cell>
          <cell r="Y75">
            <v>0</v>
          </cell>
          <cell r="Z75">
            <v>0.32846153846153842</v>
          </cell>
          <cell r="AA75">
            <v>0</v>
          </cell>
          <cell r="AB75">
            <v>0</v>
          </cell>
        </row>
        <row r="78">
          <cell r="D78">
            <v>1.49</v>
          </cell>
          <cell r="E78">
            <v>1.4</v>
          </cell>
          <cell r="F78">
            <v>1.9</v>
          </cell>
          <cell r="G78">
            <v>2.5</v>
          </cell>
          <cell r="H78">
            <v>1.39</v>
          </cell>
          <cell r="I78">
            <v>1.39</v>
          </cell>
          <cell r="J78">
            <v>1</v>
          </cell>
          <cell r="K78">
            <v>1.32</v>
          </cell>
          <cell r="L78">
            <v>1.78</v>
          </cell>
          <cell r="M78">
            <v>2.0699999999999998</v>
          </cell>
          <cell r="N78">
            <v>1.7</v>
          </cell>
          <cell r="O78">
            <v>0.5</v>
          </cell>
          <cell r="Q78">
            <v>1.5966666666666665</v>
          </cell>
          <cell r="R78">
            <v>0</v>
          </cell>
          <cell r="S78">
            <v>0</v>
          </cell>
          <cell r="T78">
            <v>1.7599999999999998</v>
          </cell>
          <cell r="U78">
            <v>0</v>
          </cell>
          <cell r="V78">
            <v>0</v>
          </cell>
          <cell r="W78">
            <v>1.3666666666666669</v>
          </cell>
          <cell r="X78">
            <v>0</v>
          </cell>
          <cell r="Y78">
            <v>0</v>
          </cell>
          <cell r="Z78">
            <v>1.4233333333333331</v>
          </cell>
          <cell r="AA78">
            <v>0</v>
          </cell>
          <cell r="AB78">
            <v>0</v>
          </cell>
        </row>
        <row r="79">
          <cell r="D79">
            <v>103.49798657718119</v>
          </cell>
          <cell r="E79">
            <v>81.714285714285722</v>
          </cell>
          <cell r="F79">
            <v>106.68421052631579</v>
          </cell>
          <cell r="G79">
            <v>50.239999999999995</v>
          </cell>
          <cell r="H79">
            <v>122.37410071942446</v>
          </cell>
          <cell r="I79">
            <v>74.82014388489209</v>
          </cell>
          <cell r="J79">
            <v>84</v>
          </cell>
          <cell r="K79">
            <v>83.333333333333329</v>
          </cell>
          <cell r="L79">
            <v>64.606741573033702</v>
          </cell>
          <cell r="M79">
            <v>81.062801932367165</v>
          </cell>
          <cell r="N79">
            <v>58.82352941176471</v>
          </cell>
          <cell r="O79">
            <v>50</v>
          </cell>
          <cell r="Q79">
            <v>98.394989561586641</v>
          </cell>
          <cell r="R79">
            <v>0</v>
          </cell>
          <cell r="S79">
            <v>0</v>
          </cell>
          <cell r="T79">
            <v>75.700757575757578</v>
          </cell>
          <cell r="U79">
            <v>0</v>
          </cell>
          <cell r="V79">
            <v>0</v>
          </cell>
          <cell r="W79">
            <v>75.365853658536579</v>
          </cell>
          <cell r="X79">
            <v>0</v>
          </cell>
          <cell r="Y79">
            <v>0</v>
          </cell>
          <cell r="Z79">
            <v>68.571428571428584</v>
          </cell>
          <cell r="AA79">
            <v>0</v>
          </cell>
          <cell r="AB79">
            <v>0</v>
          </cell>
        </row>
        <row r="80">
          <cell r="D80">
            <v>154.21199999999999</v>
          </cell>
          <cell r="E80">
            <v>114.4</v>
          </cell>
          <cell r="F80">
            <v>202.7</v>
          </cell>
          <cell r="G80">
            <v>125.6</v>
          </cell>
          <cell r="H80">
            <v>170.1</v>
          </cell>
          <cell r="I80">
            <v>104</v>
          </cell>
          <cell r="J80">
            <v>84</v>
          </cell>
          <cell r="K80">
            <v>110</v>
          </cell>
          <cell r="L80">
            <v>115</v>
          </cell>
          <cell r="M80">
            <v>167.8</v>
          </cell>
          <cell r="N80">
            <v>100</v>
          </cell>
          <cell r="O80">
            <v>25</v>
          </cell>
          <cell r="Q80">
            <v>471.31199999999995</v>
          </cell>
          <cell r="R80">
            <v>0</v>
          </cell>
          <cell r="S80">
            <v>0</v>
          </cell>
          <cell r="T80">
            <v>399.7</v>
          </cell>
          <cell r="U80">
            <v>0</v>
          </cell>
          <cell r="V80">
            <v>0</v>
          </cell>
          <cell r="W80">
            <v>309</v>
          </cell>
          <cell r="X80">
            <v>0</v>
          </cell>
          <cell r="Y80">
            <v>0</v>
          </cell>
          <cell r="Z80">
            <v>292.8</v>
          </cell>
          <cell r="AA80">
            <v>0</v>
          </cell>
          <cell r="AB80">
            <v>0</v>
          </cell>
        </row>
        <row r="83">
          <cell r="D83">
            <v>1.1100000000000001</v>
          </cell>
          <cell r="E83">
            <v>2.8</v>
          </cell>
          <cell r="F83">
            <v>3</v>
          </cell>
          <cell r="G83">
            <v>3.5</v>
          </cell>
          <cell r="H83">
            <v>1.22</v>
          </cell>
          <cell r="I83">
            <v>1.21</v>
          </cell>
          <cell r="J83">
            <v>1</v>
          </cell>
          <cell r="K83">
            <v>1.32</v>
          </cell>
          <cell r="L83">
            <v>1.78</v>
          </cell>
          <cell r="M83">
            <v>1.39</v>
          </cell>
          <cell r="N83">
            <v>1.25</v>
          </cell>
          <cell r="O83">
            <v>0.5</v>
          </cell>
          <cell r="Q83">
            <v>2.3033333333333332</v>
          </cell>
          <cell r="R83">
            <v>0</v>
          </cell>
          <cell r="S83">
            <v>0</v>
          </cell>
          <cell r="T83">
            <v>1.9766666666666666</v>
          </cell>
          <cell r="U83">
            <v>0</v>
          </cell>
          <cell r="V83">
            <v>0</v>
          </cell>
          <cell r="W83">
            <v>1.3666666666666669</v>
          </cell>
          <cell r="X83">
            <v>0</v>
          </cell>
          <cell r="Y83">
            <v>0</v>
          </cell>
          <cell r="Z83">
            <v>1.0466666666666666</v>
          </cell>
          <cell r="AA83">
            <v>0</v>
          </cell>
          <cell r="AB83">
            <v>0</v>
          </cell>
        </row>
        <row r="84">
          <cell r="D84">
            <v>242.46576576576575</v>
          </cell>
          <cell r="E84">
            <v>81.964285714285722</v>
          </cell>
          <cell r="F84">
            <v>88.766666666666666</v>
          </cell>
          <cell r="G84">
            <v>96.257142857142853</v>
          </cell>
          <cell r="H84">
            <v>268.44262295081967</v>
          </cell>
          <cell r="I84">
            <v>147.93388429752068</v>
          </cell>
          <cell r="J84">
            <v>185.7</v>
          </cell>
          <cell r="K84">
            <v>166.66666666666666</v>
          </cell>
          <cell r="L84">
            <v>71.910112359550567</v>
          </cell>
          <cell r="M84">
            <v>168.48920863309354</v>
          </cell>
          <cell r="N84">
            <v>102.52000000000001</v>
          </cell>
          <cell r="O84">
            <v>200</v>
          </cell>
          <cell r="Q84">
            <v>110.7</v>
          </cell>
          <cell r="R84">
            <v>0</v>
          </cell>
          <cell r="S84">
            <v>0</v>
          </cell>
          <cell r="T84">
            <v>142.22596964586847</v>
          </cell>
          <cell r="U84">
            <v>0</v>
          </cell>
          <cell r="V84">
            <v>0</v>
          </cell>
          <cell r="W84">
            <v>130.17073170731706</v>
          </cell>
          <cell r="X84">
            <v>0</v>
          </cell>
          <cell r="Y84">
            <v>0</v>
          </cell>
          <cell r="Z84">
            <v>147.24522292993632</v>
          </cell>
          <cell r="AA84">
            <v>0</v>
          </cell>
          <cell r="AB84">
            <v>0</v>
          </cell>
        </row>
        <row r="85">
          <cell r="D85">
            <v>269.137</v>
          </cell>
          <cell r="E85">
            <v>229.5</v>
          </cell>
          <cell r="F85">
            <v>266.3</v>
          </cell>
          <cell r="G85">
            <v>336.9</v>
          </cell>
          <cell r="H85">
            <v>327.5</v>
          </cell>
          <cell r="I85">
            <v>179</v>
          </cell>
          <cell r="J85">
            <v>185.7</v>
          </cell>
          <cell r="K85">
            <v>220</v>
          </cell>
          <cell r="L85">
            <v>128</v>
          </cell>
          <cell r="M85">
            <v>234.2</v>
          </cell>
          <cell r="N85">
            <v>128.15</v>
          </cell>
          <cell r="O85">
            <v>100</v>
          </cell>
          <cell r="Q85">
            <v>764.93700000000001</v>
          </cell>
          <cell r="R85">
            <v>0</v>
          </cell>
          <cell r="S85">
            <v>0</v>
          </cell>
          <cell r="T85">
            <v>843.4</v>
          </cell>
          <cell r="U85">
            <v>0</v>
          </cell>
          <cell r="V85">
            <v>0</v>
          </cell>
          <cell r="W85">
            <v>533.70000000000005</v>
          </cell>
          <cell r="X85">
            <v>0</v>
          </cell>
          <cell r="Y85">
            <v>0</v>
          </cell>
          <cell r="Z85">
            <v>462.35</v>
          </cell>
          <cell r="AA85">
            <v>0</v>
          </cell>
          <cell r="AB85">
            <v>0</v>
          </cell>
        </row>
        <row r="86">
          <cell r="D86">
            <v>17</v>
          </cell>
          <cell r="E86">
            <v>17</v>
          </cell>
          <cell r="F86">
            <v>17</v>
          </cell>
          <cell r="G86">
            <v>17</v>
          </cell>
          <cell r="H86">
            <v>19</v>
          </cell>
          <cell r="I86">
            <v>16</v>
          </cell>
          <cell r="J86">
            <v>16</v>
          </cell>
          <cell r="K86">
            <v>15</v>
          </cell>
          <cell r="L86">
            <v>14</v>
          </cell>
          <cell r="M86">
            <v>14</v>
          </cell>
          <cell r="N86">
            <v>13</v>
          </cell>
          <cell r="O86">
            <v>13</v>
          </cell>
          <cell r="Q86">
            <v>17</v>
          </cell>
          <cell r="R86">
            <v>0</v>
          </cell>
          <cell r="S86">
            <v>0</v>
          </cell>
          <cell r="T86">
            <v>17.333333333333332</v>
          </cell>
          <cell r="U86">
            <v>0</v>
          </cell>
          <cell r="V86">
            <v>0</v>
          </cell>
          <cell r="W86">
            <v>15</v>
          </cell>
          <cell r="X86">
            <v>0</v>
          </cell>
          <cell r="Y86">
            <v>0</v>
          </cell>
          <cell r="Z86">
            <v>13.333333333333334</v>
          </cell>
          <cell r="AA86">
            <v>0</v>
          </cell>
          <cell r="AB86">
            <v>0</v>
          </cell>
        </row>
        <row r="87">
          <cell r="D87">
            <v>15.315315315315313</v>
          </cell>
          <cell r="E87">
            <v>6.0714285714285721</v>
          </cell>
          <cell r="F87">
            <v>5.666666666666667</v>
          </cell>
          <cell r="G87">
            <v>4.8571428571428568</v>
          </cell>
          <cell r="H87">
            <v>15.573770491803279</v>
          </cell>
          <cell r="I87">
            <v>13.223140495867769</v>
          </cell>
          <cell r="J87">
            <v>16</v>
          </cell>
          <cell r="K87">
            <v>11.363636363636363</v>
          </cell>
          <cell r="L87">
            <v>7.8651685393258424</v>
          </cell>
          <cell r="M87">
            <v>10.071942446043167</v>
          </cell>
          <cell r="N87">
            <v>10.4</v>
          </cell>
          <cell r="O87">
            <v>26</v>
          </cell>
          <cell r="Q87">
            <v>7.3806078147612162</v>
          </cell>
          <cell r="R87">
            <v>0</v>
          </cell>
          <cell r="S87">
            <v>0</v>
          </cell>
          <cell r="T87">
            <v>8.7689713322091052</v>
          </cell>
          <cell r="U87">
            <v>0</v>
          </cell>
          <cell r="V87">
            <v>0</v>
          </cell>
          <cell r="W87">
            <v>10.975609756097558</v>
          </cell>
          <cell r="X87">
            <v>0</v>
          </cell>
          <cell r="Y87">
            <v>0</v>
          </cell>
          <cell r="Z87">
            <v>12.738853503184714</v>
          </cell>
          <cell r="AA87">
            <v>0</v>
          </cell>
          <cell r="AB87">
            <v>0</v>
          </cell>
        </row>
        <row r="90">
          <cell r="D90">
            <v>0</v>
          </cell>
          <cell r="E90">
            <v>0</v>
          </cell>
          <cell r="F90">
            <v>0</v>
          </cell>
          <cell r="G90">
            <v>0</v>
          </cell>
          <cell r="H90">
            <v>0</v>
          </cell>
          <cell r="I90">
            <v>0</v>
          </cell>
          <cell r="J90">
            <v>0</v>
          </cell>
          <cell r="K90">
            <v>0</v>
          </cell>
          <cell r="L90">
            <v>0</v>
          </cell>
          <cell r="M90">
            <v>0</v>
          </cell>
          <cell r="N90">
            <v>0</v>
          </cell>
          <cell r="O90">
            <v>0</v>
          </cell>
          <cell r="Q90">
            <v>0</v>
          </cell>
          <cell r="R90">
            <v>0</v>
          </cell>
          <cell r="S90">
            <v>0</v>
          </cell>
          <cell r="T90">
            <v>0</v>
          </cell>
          <cell r="U90">
            <v>0</v>
          </cell>
          <cell r="V90">
            <v>0</v>
          </cell>
          <cell r="W90">
            <v>0</v>
          </cell>
          <cell r="X90">
            <v>0</v>
          </cell>
          <cell r="Y90">
            <v>0</v>
          </cell>
          <cell r="Z90">
            <v>0</v>
          </cell>
          <cell r="AA90">
            <v>0</v>
          </cell>
          <cell r="AB90">
            <v>0</v>
          </cell>
        </row>
        <row r="91">
          <cell r="D91">
            <v>0</v>
          </cell>
          <cell r="E91">
            <v>0</v>
          </cell>
          <cell r="F91">
            <v>0</v>
          </cell>
          <cell r="G91">
            <v>0</v>
          </cell>
          <cell r="H91">
            <v>0</v>
          </cell>
          <cell r="I91">
            <v>0</v>
          </cell>
          <cell r="J91">
            <v>0</v>
          </cell>
          <cell r="K91">
            <v>0</v>
          </cell>
          <cell r="L91">
            <v>0</v>
          </cell>
          <cell r="M91">
            <v>0</v>
          </cell>
          <cell r="N91">
            <v>0</v>
          </cell>
          <cell r="O91">
            <v>0</v>
          </cell>
          <cell r="Q91">
            <v>0</v>
          </cell>
          <cell r="R91">
            <v>0</v>
          </cell>
          <cell r="S91">
            <v>0</v>
          </cell>
          <cell r="T91">
            <v>0</v>
          </cell>
          <cell r="U91">
            <v>0</v>
          </cell>
          <cell r="V91">
            <v>0</v>
          </cell>
          <cell r="W91">
            <v>0</v>
          </cell>
          <cell r="X91">
            <v>0</v>
          </cell>
          <cell r="Y91">
            <v>0</v>
          </cell>
          <cell r="Z91">
            <v>0</v>
          </cell>
          <cell r="AA91">
            <v>0</v>
          </cell>
          <cell r="AB91">
            <v>0</v>
          </cell>
        </row>
        <row r="92">
          <cell r="D92">
            <v>0</v>
          </cell>
          <cell r="E92">
            <v>0</v>
          </cell>
          <cell r="F92">
            <v>0</v>
          </cell>
          <cell r="G92">
            <v>0</v>
          </cell>
          <cell r="H92">
            <v>0</v>
          </cell>
          <cell r="I92">
            <v>0</v>
          </cell>
          <cell r="J92">
            <v>0</v>
          </cell>
          <cell r="K92">
            <v>0</v>
          </cell>
          <cell r="L92">
            <v>0</v>
          </cell>
          <cell r="M92">
            <v>0</v>
          </cell>
          <cell r="N92">
            <v>0</v>
          </cell>
          <cell r="O92">
            <v>0</v>
          </cell>
          <cell r="Q92">
            <v>0</v>
          </cell>
          <cell r="R92">
            <v>0</v>
          </cell>
          <cell r="S92">
            <v>0</v>
          </cell>
          <cell r="T92">
            <v>0</v>
          </cell>
          <cell r="U92">
            <v>0</v>
          </cell>
          <cell r="V92">
            <v>0</v>
          </cell>
          <cell r="W92">
            <v>0</v>
          </cell>
          <cell r="X92">
            <v>0</v>
          </cell>
          <cell r="Y92">
            <v>0</v>
          </cell>
          <cell r="Z92">
            <v>0</v>
          </cell>
          <cell r="AA92">
            <v>0</v>
          </cell>
          <cell r="AB92">
            <v>0</v>
          </cell>
        </row>
        <row r="93">
          <cell r="D93">
            <v>0</v>
          </cell>
          <cell r="E93">
            <v>0</v>
          </cell>
          <cell r="F93">
            <v>0</v>
          </cell>
          <cell r="G93">
            <v>0</v>
          </cell>
          <cell r="H93">
            <v>0</v>
          </cell>
          <cell r="I93">
            <v>0</v>
          </cell>
          <cell r="J93">
            <v>0</v>
          </cell>
          <cell r="K93">
            <v>0</v>
          </cell>
          <cell r="L93">
            <v>0</v>
          </cell>
          <cell r="M93">
            <v>0</v>
          </cell>
          <cell r="N93">
            <v>0</v>
          </cell>
          <cell r="O93">
            <v>0</v>
          </cell>
          <cell r="Q93">
            <v>0</v>
          </cell>
          <cell r="R93">
            <v>0</v>
          </cell>
          <cell r="S93">
            <v>0</v>
          </cell>
          <cell r="T93">
            <v>0</v>
          </cell>
          <cell r="U93">
            <v>0</v>
          </cell>
          <cell r="V93">
            <v>0</v>
          </cell>
          <cell r="W93">
            <v>0</v>
          </cell>
          <cell r="X93">
            <v>0</v>
          </cell>
          <cell r="Y93">
            <v>0</v>
          </cell>
          <cell r="Z93">
            <v>0</v>
          </cell>
          <cell r="AA93">
            <v>0</v>
          </cell>
          <cell r="AB93">
            <v>0</v>
          </cell>
        </row>
        <row r="94">
          <cell r="D94">
            <v>0</v>
          </cell>
          <cell r="E94">
            <v>0</v>
          </cell>
          <cell r="F94">
            <v>0</v>
          </cell>
          <cell r="G94">
            <v>0</v>
          </cell>
          <cell r="H94">
            <v>0</v>
          </cell>
          <cell r="I94">
            <v>0</v>
          </cell>
          <cell r="J94">
            <v>0</v>
          </cell>
          <cell r="K94">
            <v>0</v>
          </cell>
          <cell r="L94">
            <v>0</v>
          </cell>
          <cell r="M94">
            <v>0</v>
          </cell>
          <cell r="N94">
            <v>0</v>
          </cell>
          <cell r="O94">
            <v>0</v>
          </cell>
          <cell r="Q94">
            <v>0</v>
          </cell>
          <cell r="R94">
            <v>0</v>
          </cell>
          <cell r="S94">
            <v>0</v>
          </cell>
          <cell r="T94">
            <v>0</v>
          </cell>
          <cell r="U94">
            <v>0</v>
          </cell>
          <cell r="V94">
            <v>0</v>
          </cell>
          <cell r="W94">
            <v>0</v>
          </cell>
          <cell r="X94">
            <v>0</v>
          </cell>
          <cell r="Y94">
            <v>0</v>
          </cell>
          <cell r="Z94">
            <v>0</v>
          </cell>
          <cell r="AA94">
            <v>0</v>
          </cell>
          <cell r="AB94">
            <v>0</v>
          </cell>
        </row>
        <row r="95">
          <cell r="D95">
            <v>0</v>
          </cell>
          <cell r="E95">
            <v>0</v>
          </cell>
          <cell r="F95">
            <v>0</v>
          </cell>
          <cell r="G95">
            <v>0</v>
          </cell>
          <cell r="H95">
            <v>0</v>
          </cell>
          <cell r="I95">
            <v>0</v>
          </cell>
          <cell r="J95">
            <v>0</v>
          </cell>
          <cell r="K95">
            <v>0</v>
          </cell>
          <cell r="L95">
            <v>0</v>
          </cell>
          <cell r="M95">
            <v>0</v>
          </cell>
          <cell r="N95">
            <v>0</v>
          </cell>
          <cell r="O95">
            <v>0</v>
          </cell>
          <cell r="Q95">
            <v>0</v>
          </cell>
          <cell r="R95">
            <v>0</v>
          </cell>
          <cell r="S95">
            <v>0</v>
          </cell>
          <cell r="T95">
            <v>0</v>
          </cell>
          <cell r="U95">
            <v>0</v>
          </cell>
          <cell r="V95">
            <v>0</v>
          </cell>
          <cell r="W95">
            <v>0</v>
          </cell>
          <cell r="X95">
            <v>0</v>
          </cell>
          <cell r="Y95">
            <v>0</v>
          </cell>
          <cell r="Z95">
            <v>0</v>
          </cell>
          <cell r="AA95">
            <v>0</v>
          </cell>
          <cell r="AB95">
            <v>0</v>
          </cell>
        </row>
        <row r="96">
          <cell r="D96">
            <v>0</v>
          </cell>
          <cell r="E96">
            <v>0</v>
          </cell>
          <cell r="F96">
            <v>0</v>
          </cell>
          <cell r="G96">
            <v>0</v>
          </cell>
          <cell r="H96">
            <v>0</v>
          </cell>
          <cell r="I96">
            <v>0</v>
          </cell>
          <cell r="J96">
            <v>2.7000000000015234E-2</v>
          </cell>
          <cell r="K96">
            <v>-5.0000000000011369E-2</v>
          </cell>
          <cell r="L96">
            <v>0</v>
          </cell>
          <cell r="M96">
            <v>0</v>
          </cell>
          <cell r="N96">
            <v>0</v>
          </cell>
          <cell r="O96">
            <v>0</v>
          </cell>
          <cell r="Q96">
            <v>0</v>
          </cell>
          <cell r="R96">
            <v>0</v>
          </cell>
          <cell r="S96">
            <v>0</v>
          </cell>
          <cell r="T96">
            <v>0</v>
          </cell>
          <cell r="U96">
            <v>0</v>
          </cell>
          <cell r="V96">
            <v>0</v>
          </cell>
          <cell r="W96">
            <v>-2.2999999999996135E-2</v>
          </cell>
          <cell r="X96">
            <v>0</v>
          </cell>
          <cell r="Y96">
            <v>0</v>
          </cell>
          <cell r="Z96">
            <v>0</v>
          </cell>
          <cell r="AA96">
            <v>0</v>
          </cell>
          <cell r="AB96">
            <v>0</v>
          </cell>
        </row>
        <row r="97">
          <cell r="D97">
            <v>269.137</v>
          </cell>
          <cell r="E97">
            <v>229.5</v>
          </cell>
          <cell r="F97">
            <v>266.3</v>
          </cell>
          <cell r="G97">
            <v>336.9</v>
          </cell>
          <cell r="H97">
            <v>327.5</v>
          </cell>
          <cell r="I97">
            <v>179</v>
          </cell>
          <cell r="J97">
            <v>185.727</v>
          </cell>
          <cell r="K97">
            <v>219.95</v>
          </cell>
          <cell r="L97">
            <v>128</v>
          </cell>
          <cell r="M97">
            <v>234.2</v>
          </cell>
          <cell r="N97">
            <v>128.15</v>
          </cell>
          <cell r="O97">
            <v>100</v>
          </cell>
          <cell r="Q97">
            <v>764.93700000000001</v>
          </cell>
          <cell r="R97">
            <v>0</v>
          </cell>
          <cell r="S97">
            <v>0</v>
          </cell>
          <cell r="T97">
            <v>843.4</v>
          </cell>
          <cell r="U97">
            <v>0</v>
          </cell>
          <cell r="V97">
            <v>0</v>
          </cell>
          <cell r="W97">
            <v>533.67700000000002</v>
          </cell>
          <cell r="X97">
            <v>0</v>
          </cell>
          <cell r="Y97">
            <v>0</v>
          </cell>
          <cell r="Z97">
            <v>462.35</v>
          </cell>
          <cell r="AA97">
            <v>0</v>
          </cell>
          <cell r="AB97">
            <v>0</v>
          </cell>
        </row>
        <row r="100">
          <cell r="D100">
            <v>0</v>
          </cell>
          <cell r="E100">
            <v>0</v>
          </cell>
          <cell r="F100">
            <v>0</v>
          </cell>
          <cell r="G100">
            <v>0</v>
          </cell>
          <cell r="H100">
            <v>0</v>
          </cell>
          <cell r="I100">
            <v>0</v>
          </cell>
          <cell r="J100">
            <v>0</v>
          </cell>
          <cell r="K100">
            <v>0</v>
          </cell>
          <cell r="L100">
            <v>0</v>
          </cell>
          <cell r="M100">
            <v>0</v>
          </cell>
          <cell r="N100">
            <v>0</v>
          </cell>
          <cell r="O100">
            <v>0</v>
          </cell>
          <cell r="Q100">
            <v>0</v>
          </cell>
          <cell r="R100">
            <v>0</v>
          </cell>
          <cell r="S100">
            <v>0</v>
          </cell>
          <cell r="T100">
            <v>0</v>
          </cell>
          <cell r="U100">
            <v>0</v>
          </cell>
          <cell r="V100">
            <v>0</v>
          </cell>
          <cell r="W100">
            <v>0</v>
          </cell>
          <cell r="X100">
            <v>0</v>
          </cell>
          <cell r="Y100">
            <v>0</v>
          </cell>
          <cell r="Z100">
            <v>0</v>
          </cell>
          <cell r="AA100">
            <v>0</v>
          </cell>
          <cell r="AB100">
            <v>0</v>
          </cell>
        </row>
        <row r="101">
          <cell r="D101">
            <v>0</v>
          </cell>
          <cell r="E101">
            <v>0</v>
          </cell>
          <cell r="F101">
            <v>0</v>
          </cell>
          <cell r="G101">
            <v>0</v>
          </cell>
          <cell r="H101">
            <v>0</v>
          </cell>
          <cell r="I101">
            <v>0</v>
          </cell>
          <cell r="J101">
            <v>0</v>
          </cell>
          <cell r="K101">
            <v>0</v>
          </cell>
          <cell r="L101">
            <v>0</v>
          </cell>
          <cell r="M101">
            <v>0</v>
          </cell>
          <cell r="N101">
            <v>0</v>
          </cell>
          <cell r="O101">
            <v>0</v>
          </cell>
          <cell r="Q101">
            <v>0</v>
          </cell>
          <cell r="R101">
            <v>0</v>
          </cell>
          <cell r="S101">
            <v>0</v>
          </cell>
          <cell r="T101">
            <v>0</v>
          </cell>
          <cell r="U101">
            <v>0</v>
          </cell>
          <cell r="V101">
            <v>0</v>
          </cell>
          <cell r="W101">
            <v>0</v>
          </cell>
          <cell r="X101">
            <v>0</v>
          </cell>
          <cell r="Y101">
            <v>0</v>
          </cell>
          <cell r="Z101">
            <v>0</v>
          </cell>
          <cell r="AA101">
            <v>0</v>
          </cell>
          <cell r="AB101">
            <v>0</v>
          </cell>
        </row>
        <row r="102">
          <cell r="D102">
            <v>0</v>
          </cell>
          <cell r="E102">
            <v>0</v>
          </cell>
          <cell r="F102">
            <v>0</v>
          </cell>
          <cell r="G102">
            <v>0</v>
          </cell>
          <cell r="H102">
            <v>0</v>
          </cell>
          <cell r="I102">
            <v>0</v>
          </cell>
          <cell r="J102">
            <v>0</v>
          </cell>
          <cell r="K102">
            <v>0</v>
          </cell>
          <cell r="L102">
            <v>0</v>
          </cell>
          <cell r="M102">
            <v>0</v>
          </cell>
          <cell r="N102">
            <v>0</v>
          </cell>
          <cell r="O102">
            <v>0</v>
          </cell>
          <cell r="Q102">
            <v>0</v>
          </cell>
          <cell r="R102">
            <v>0</v>
          </cell>
          <cell r="S102">
            <v>0</v>
          </cell>
          <cell r="T102">
            <v>0</v>
          </cell>
          <cell r="U102">
            <v>0</v>
          </cell>
          <cell r="V102">
            <v>0</v>
          </cell>
          <cell r="W102">
            <v>0</v>
          </cell>
          <cell r="X102">
            <v>0</v>
          </cell>
          <cell r="Y102">
            <v>0</v>
          </cell>
          <cell r="Z102">
            <v>0</v>
          </cell>
          <cell r="AA102">
            <v>0</v>
          </cell>
          <cell r="AB102">
            <v>0</v>
          </cell>
        </row>
        <row r="103">
          <cell r="D103">
            <v>423.34899999999999</v>
          </cell>
          <cell r="E103">
            <v>343.9</v>
          </cell>
          <cell r="F103">
            <v>469</v>
          </cell>
          <cell r="G103">
            <v>462.5</v>
          </cell>
          <cell r="H103">
            <v>497.6</v>
          </cell>
          <cell r="I103">
            <v>283</v>
          </cell>
          <cell r="J103">
            <v>269.72699999999998</v>
          </cell>
          <cell r="K103">
            <v>329.95</v>
          </cell>
          <cell r="L103">
            <v>243</v>
          </cell>
          <cell r="M103">
            <v>402</v>
          </cell>
          <cell r="N103">
            <v>228.15</v>
          </cell>
          <cell r="O103">
            <v>125</v>
          </cell>
          <cell r="Q103">
            <v>1236.249</v>
          </cell>
          <cell r="R103">
            <v>0</v>
          </cell>
          <cell r="S103">
            <v>0</v>
          </cell>
          <cell r="T103">
            <v>1243.0999999999999</v>
          </cell>
          <cell r="U103">
            <v>0</v>
          </cell>
          <cell r="V103">
            <v>0</v>
          </cell>
          <cell r="W103">
            <v>842.67700000000002</v>
          </cell>
          <cell r="X103">
            <v>0</v>
          </cell>
          <cell r="Y103">
            <v>0</v>
          </cell>
          <cell r="Z103">
            <v>755.15000000000009</v>
          </cell>
          <cell r="AA103">
            <v>0</v>
          </cell>
          <cell r="AB103">
            <v>0</v>
          </cell>
        </row>
        <row r="106">
          <cell r="D106">
            <v>0</v>
          </cell>
          <cell r="E106">
            <v>0</v>
          </cell>
          <cell r="F106">
            <v>0</v>
          </cell>
          <cell r="G106">
            <v>0</v>
          </cell>
          <cell r="H106">
            <v>0</v>
          </cell>
          <cell r="I106">
            <v>0</v>
          </cell>
          <cell r="J106">
            <v>0</v>
          </cell>
          <cell r="K106">
            <v>0</v>
          </cell>
          <cell r="L106">
            <v>0</v>
          </cell>
          <cell r="M106">
            <v>0</v>
          </cell>
          <cell r="N106">
            <v>0</v>
          </cell>
          <cell r="O106">
            <v>0</v>
          </cell>
          <cell r="Q106">
            <v>0</v>
          </cell>
          <cell r="R106">
            <v>0</v>
          </cell>
          <cell r="S106">
            <v>0</v>
          </cell>
          <cell r="T106">
            <v>0</v>
          </cell>
          <cell r="U106">
            <v>0</v>
          </cell>
          <cell r="V106">
            <v>0</v>
          </cell>
          <cell r="W106">
            <v>0</v>
          </cell>
          <cell r="X106">
            <v>0</v>
          </cell>
          <cell r="Y106">
            <v>0</v>
          </cell>
          <cell r="Z106">
            <v>0</v>
          </cell>
          <cell r="AA106">
            <v>0</v>
          </cell>
          <cell r="AB106">
            <v>0</v>
          </cell>
        </row>
        <row r="107">
          <cell r="D107">
            <v>0</v>
          </cell>
          <cell r="E107">
            <v>0</v>
          </cell>
          <cell r="F107">
            <v>0</v>
          </cell>
          <cell r="G107">
            <v>0</v>
          </cell>
          <cell r="H107">
            <v>0</v>
          </cell>
          <cell r="I107">
            <v>0</v>
          </cell>
          <cell r="J107">
            <v>0</v>
          </cell>
          <cell r="K107">
            <v>0</v>
          </cell>
          <cell r="L107">
            <v>0</v>
          </cell>
          <cell r="M107">
            <v>0</v>
          </cell>
          <cell r="N107">
            <v>0</v>
          </cell>
          <cell r="O107">
            <v>0</v>
          </cell>
          <cell r="Q107">
            <v>0</v>
          </cell>
          <cell r="R107">
            <v>0</v>
          </cell>
          <cell r="S107">
            <v>0</v>
          </cell>
          <cell r="T107">
            <v>0</v>
          </cell>
          <cell r="U107">
            <v>0</v>
          </cell>
          <cell r="V107">
            <v>0</v>
          </cell>
          <cell r="W107">
            <v>0</v>
          </cell>
          <cell r="X107">
            <v>0</v>
          </cell>
          <cell r="Y107">
            <v>0</v>
          </cell>
          <cell r="Z107">
            <v>0</v>
          </cell>
          <cell r="AA107">
            <v>0</v>
          </cell>
          <cell r="AB107">
            <v>0</v>
          </cell>
        </row>
        <row r="108">
          <cell r="D108">
            <v>0</v>
          </cell>
          <cell r="E108">
            <v>0</v>
          </cell>
          <cell r="F108">
            <v>0</v>
          </cell>
          <cell r="G108">
            <v>0</v>
          </cell>
          <cell r="H108">
            <v>0</v>
          </cell>
          <cell r="I108">
            <v>0</v>
          </cell>
          <cell r="J108">
            <v>0</v>
          </cell>
          <cell r="K108">
            <v>0</v>
          </cell>
          <cell r="L108">
            <v>0</v>
          </cell>
          <cell r="M108">
            <v>0</v>
          </cell>
          <cell r="N108">
            <v>0</v>
          </cell>
          <cell r="O108">
            <v>0</v>
          </cell>
          <cell r="Q108">
            <v>0</v>
          </cell>
          <cell r="R108">
            <v>0</v>
          </cell>
          <cell r="S108">
            <v>0</v>
          </cell>
          <cell r="T108">
            <v>0</v>
          </cell>
          <cell r="U108">
            <v>0</v>
          </cell>
          <cell r="V108">
            <v>0</v>
          </cell>
          <cell r="W108">
            <v>0</v>
          </cell>
          <cell r="X108">
            <v>0</v>
          </cell>
          <cell r="Y108">
            <v>0</v>
          </cell>
          <cell r="Z108">
            <v>0</v>
          </cell>
          <cell r="AA108">
            <v>0</v>
          </cell>
          <cell r="AB108">
            <v>0</v>
          </cell>
        </row>
        <row r="109">
          <cell r="D109">
            <v>0</v>
          </cell>
          <cell r="E109">
            <v>0</v>
          </cell>
          <cell r="F109">
            <v>0</v>
          </cell>
          <cell r="G109">
            <v>0</v>
          </cell>
          <cell r="H109">
            <v>0</v>
          </cell>
          <cell r="I109">
            <v>0</v>
          </cell>
          <cell r="J109">
            <v>0</v>
          </cell>
          <cell r="K109">
            <v>0</v>
          </cell>
          <cell r="L109">
            <v>0</v>
          </cell>
          <cell r="M109">
            <v>0</v>
          </cell>
          <cell r="N109">
            <v>0</v>
          </cell>
          <cell r="O109">
            <v>0</v>
          </cell>
          <cell r="Q109">
            <v>0</v>
          </cell>
          <cell r="R109">
            <v>0</v>
          </cell>
          <cell r="S109">
            <v>0</v>
          </cell>
          <cell r="T109">
            <v>0</v>
          </cell>
          <cell r="U109">
            <v>0</v>
          </cell>
          <cell r="V109">
            <v>0</v>
          </cell>
          <cell r="W109">
            <v>0</v>
          </cell>
          <cell r="X109">
            <v>0</v>
          </cell>
          <cell r="Y109">
            <v>0</v>
          </cell>
          <cell r="Z109">
            <v>0</v>
          </cell>
          <cell r="AA109">
            <v>0</v>
          </cell>
          <cell r="AB109">
            <v>0</v>
          </cell>
        </row>
        <row r="110">
          <cell r="D110">
            <v>0</v>
          </cell>
          <cell r="E110">
            <v>0</v>
          </cell>
          <cell r="F110">
            <v>0</v>
          </cell>
          <cell r="G110">
            <v>0</v>
          </cell>
          <cell r="H110">
            <v>0</v>
          </cell>
          <cell r="I110">
            <v>0</v>
          </cell>
          <cell r="J110">
            <v>0</v>
          </cell>
          <cell r="K110">
            <v>0</v>
          </cell>
          <cell r="L110">
            <v>0</v>
          </cell>
          <cell r="M110">
            <v>0</v>
          </cell>
          <cell r="N110">
            <v>0</v>
          </cell>
          <cell r="O110">
            <v>0</v>
          </cell>
          <cell r="Q110">
            <v>0</v>
          </cell>
          <cell r="R110">
            <v>0</v>
          </cell>
          <cell r="S110">
            <v>0</v>
          </cell>
          <cell r="T110">
            <v>0</v>
          </cell>
          <cell r="U110">
            <v>0</v>
          </cell>
          <cell r="V110">
            <v>0</v>
          </cell>
          <cell r="W110">
            <v>0</v>
          </cell>
          <cell r="X110">
            <v>0</v>
          </cell>
          <cell r="Y110">
            <v>0</v>
          </cell>
          <cell r="Z110">
            <v>0</v>
          </cell>
          <cell r="AA110">
            <v>0</v>
          </cell>
          <cell r="AB110">
            <v>0</v>
          </cell>
        </row>
        <row r="113">
          <cell r="D113">
            <v>0</v>
          </cell>
          <cell r="E113">
            <v>0</v>
          </cell>
          <cell r="F113">
            <v>0</v>
          </cell>
          <cell r="G113">
            <v>0</v>
          </cell>
          <cell r="H113">
            <v>0</v>
          </cell>
          <cell r="I113">
            <v>0</v>
          </cell>
          <cell r="J113">
            <v>0</v>
          </cell>
          <cell r="K113">
            <v>0</v>
          </cell>
          <cell r="L113">
            <v>0</v>
          </cell>
          <cell r="M113">
            <v>0</v>
          </cell>
          <cell r="N113">
            <v>0</v>
          </cell>
          <cell r="O113">
            <v>0</v>
          </cell>
          <cell r="Q113">
            <v>0</v>
          </cell>
          <cell r="T113">
            <v>0</v>
          </cell>
          <cell r="W113">
            <v>0</v>
          </cell>
          <cell r="Z113">
            <v>0</v>
          </cell>
        </row>
        <row r="114">
          <cell r="D114">
            <v>0</v>
          </cell>
          <cell r="E114">
            <v>0</v>
          </cell>
          <cell r="F114">
            <v>0</v>
          </cell>
          <cell r="G114">
            <v>0</v>
          </cell>
          <cell r="H114">
            <v>0</v>
          </cell>
          <cell r="I114">
            <v>0</v>
          </cell>
          <cell r="J114">
            <v>0</v>
          </cell>
          <cell r="K114">
            <v>0</v>
          </cell>
          <cell r="L114">
            <v>0</v>
          </cell>
          <cell r="M114">
            <v>0</v>
          </cell>
          <cell r="N114">
            <v>0</v>
          </cell>
          <cell r="O114">
            <v>0</v>
          </cell>
          <cell r="Q114">
            <v>0</v>
          </cell>
          <cell r="T114">
            <v>0</v>
          </cell>
          <cell r="W114">
            <v>0</v>
          </cell>
          <cell r="Z114">
            <v>0</v>
          </cell>
        </row>
        <row r="115">
          <cell r="D115">
            <v>0</v>
          </cell>
          <cell r="E115">
            <v>0</v>
          </cell>
          <cell r="F115">
            <v>0</v>
          </cell>
          <cell r="G115">
            <v>0</v>
          </cell>
          <cell r="H115">
            <v>0</v>
          </cell>
          <cell r="I115">
            <v>0</v>
          </cell>
          <cell r="J115">
            <v>0</v>
          </cell>
          <cell r="K115">
            <v>0</v>
          </cell>
          <cell r="L115">
            <v>0</v>
          </cell>
          <cell r="M115">
            <v>0</v>
          </cell>
          <cell r="N115">
            <v>0</v>
          </cell>
          <cell r="O115">
            <v>0</v>
          </cell>
          <cell r="Q115">
            <v>0</v>
          </cell>
          <cell r="T115">
            <v>0</v>
          </cell>
          <cell r="W115">
            <v>0</v>
          </cell>
          <cell r="Z115">
            <v>0</v>
          </cell>
        </row>
        <row r="116">
          <cell r="D116">
            <v>0</v>
          </cell>
          <cell r="E116">
            <v>0</v>
          </cell>
          <cell r="F116">
            <v>0</v>
          </cell>
          <cell r="G116">
            <v>0</v>
          </cell>
          <cell r="H116">
            <v>0</v>
          </cell>
          <cell r="I116">
            <v>0</v>
          </cell>
          <cell r="J116">
            <v>0</v>
          </cell>
          <cell r="K116">
            <v>0</v>
          </cell>
          <cell r="L116">
            <v>0</v>
          </cell>
          <cell r="M116">
            <v>0</v>
          </cell>
          <cell r="N116">
            <v>0</v>
          </cell>
          <cell r="O116">
            <v>0</v>
          </cell>
          <cell r="Q116">
            <v>0</v>
          </cell>
          <cell r="R116">
            <v>0</v>
          </cell>
          <cell r="S116">
            <v>0</v>
          </cell>
          <cell r="T116">
            <v>0</v>
          </cell>
          <cell r="U116">
            <v>0</v>
          </cell>
          <cell r="V116">
            <v>0</v>
          </cell>
          <cell r="W116">
            <v>0</v>
          </cell>
          <cell r="X116">
            <v>0</v>
          </cell>
          <cell r="Y116">
            <v>0</v>
          </cell>
          <cell r="Z116">
            <v>0</v>
          </cell>
          <cell r="AA116">
            <v>0</v>
          </cell>
          <cell r="AB116">
            <v>0</v>
          </cell>
        </row>
        <row r="117">
          <cell r="D117">
            <v>423.34899999999999</v>
          </cell>
          <cell r="E117">
            <v>343.9</v>
          </cell>
          <cell r="F117">
            <v>469</v>
          </cell>
          <cell r="G117">
            <v>462.5</v>
          </cell>
          <cell r="H117">
            <v>497.6</v>
          </cell>
          <cell r="I117">
            <v>283</v>
          </cell>
          <cell r="J117">
            <v>269.72699999999998</v>
          </cell>
          <cell r="K117">
            <v>329.95</v>
          </cell>
          <cell r="L117">
            <v>243</v>
          </cell>
          <cell r="M117">
            <v>402</v>
          </cell>
          <cell r="N117">
            <v>228.15</v>
          </cell>
          <cell r="O117">
            <v>125</v>
          </cell>
          <cell r="Q117">
            <v>1236.249</v>
          </cell>
          <cell r="R117">
            <v>0</v>
          </cell>
          <cell r="S117">
            <v>0</v>
          </cell>
          <cell r="T117">
            <v>1243.0999999999999</v>
          </cell>
          <cell r="U117">
            <v>0</v>
          </cell>
          <cell r="V117">
            <v>0</v>
          </cell>
          <cell r="W117">
            <v>842.67700000000002</v>
          </cell>
          <cell r="X117">
            <v>0</v>
          </cell>
          <cell r="Y117">
            <v>0</v>
          </cell>
          <cell r="Z117">
            <v>755.15000000000009</v>
          </cell>
          <cell r="AA117">
            <v>0</v>
          </cell>
          <cell r="AB117">
            <v>0</v>
          </cell>
        </row>
        <row r="120">
          <cell r="D120">
            <v>0</v>
          </cell>
          <cell r="E120">
            <v>0</v>
          </cell>
          <cell r="F120">
            <v>0</v>
          </cell>
          <cell r="G120">
            <v>0</v>
          </cell>
          <cell r="H120">
            <v>0</v>
          </cell>
          <cell r="I120">
            <v>0</v>
          </cell>
          <cell r="J120">
            <v>0</v>
          </cell>
          <cell r="K120">
            <v>0</v>
          </cell>
          <cell r="L120">
            <v>0</v>
          </cell>
          <cell r="M120">
            <v>0</v>
          </cell>
          <cell r="N120">
            <v>0</v>
          </cell>
          <cell r="O120">
            <v>0</v>
          </cell>
          <cell r="Q120">
            <v>0</v>
          </cell>
          <cell r="R120">
            <v>0</v>
          </cell>
          <cell r="S120">
            <v>0</v>
          </cell>
          <cell r="T120">
            <v>0</v>
          </cell>
          <cell r="U120">
            <v>0</v>
          </cell>
          <cell r="V120">
            <v>0</v>
          </cell>
          <cell r="W120">
            <v>0</v>
          </cell>
          <cell r="X120">
            <v>0</v>
          </cell>
          <cell r="Y120">
            <v>0</v>
          </cell>
          <cell r="Z120">
            <v>0</v>
          </cell>
          <cell r="AA120">
            <v>0</v>
          </cell>
          <cell r="AB120">
            <v>0</v>
          </cell>
        </row>
        <row r="122">
          <cell r="D122">
            <v>838.73699999999997</v>
          </cell>
          <cell r="E122">
            <v>697.59999999999991</v>
          </cell>
          <cell r="F122">
            <v>896.4</v>
          </cell>
          <cell r="G122">
            <v>921.09999999999991</v>
          </cell>
          <cell r="H122">
            <v>950</v>
          </cell>
          <cell r="I122">
            <v>582.9</v>
          </cell>
          <cell r="J122">
            <v>442.28199999999998</v>
          </cell>
          <cell r="K122">
            <v>591.50800000000004</v>
          </cell>
          <cell r="L122">
            <v>600.83999999999992</v>
          </cell>
          <cell r="M122">
            <v>725.9</v>
          </cell>
          <cell r="N122">
            <v>562.90199999999993</v>
          </cell>
          <cell r="O122">
            <v>257</v>
          </cell>
          <cell r="Q122">
            <v>2432.7370000000001</v>
          </cell>
          <cell r="R122">
            <v>0</v>
          </cell>
          <cell r="S122">
            <v>0</v>
          </cell>
          <cell r="T122">
            <v>2454</v>
          </cell>
          <cell r="U122">
            <v>0</v>
          </cell>
          <cell r="V122">
            <v>0</v>
          </cell>
          <cell r="W122">
            <v>1634.63</v>
          </cell>
          <cell r="X122">
            <v>0</v>
          </cell>
          <cell r="Y122">
            <v>0</v>
          </cell>
          <cell r="Z122">
            <v>1545.8020000000001</v>
          </cell>
          <cell r="AA122">
            <v>0</v>
          </cell>
          <cell r="AB122">
            <v>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sheetName val="BC INICIAL"/>
      <sheetName val="M-10"/>
      <sheetName val="IX"/>
    </sheetNames>
    <sheetDataSet>
      <sheetData sheetId="0"/>
      <sheetData sheetId="1"/>
      <sheetData sheetId="2"/>
      <sheetData sheetId="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1"/>
      <sheetName val="2"/>
      <sheetName val="6"/>
      <sheetName val="8"/>
      <sheetName val="9"/>
      <sheetName val="10"/>
      <sheetName val="13"/>
      <sheetName val="18"/>
      <sheetName val="22"/>
      <sheetName val="23"/>
      <sheetName val="24"/>
      <sheetName val="3"/>
      <sheetName val="4"/>
      <sheetName val="XREF"/>
      <sheetName val="Tickmarks"/>
      <sheetName val="#REF"/>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
      <sheetName val="MMA SI"/>
      <sheetName val="XREF"/>
      <sheetName val="Tickmarks"/>
    </sheetNames>
    <sheetDataSet>
      <sheetData sheetId="0"/>
      <sheetData sheetId="1" refreshError="1"/>
      <sheetData sheetId="2"/>
      <sheetData sheetId="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gración"/>
      <sheetName val="Nómina_1"/>
      <sheetName val="MMA"/>
      <sheetName val="Revisión Gastos"/>
      <sheetName val="Know How"/>
      <sheetName val="Revisón Travel Exp"/>
      <sheetName val="Revisión Fletes"/>
      <sheetName val="Nómina"/>
      <sheetName val="XREF"/>
      <sheetName val="Tickmarks"/>
      <sheetName val="Revisión"/>
      <sheetName val="Nomina"/>
      <sheetName val="MMA Intermedia"/>
      <sheetName val="MMA Final"/>
      <sheetName val="4"/>
      <sheetName val="Gtos integración"/>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refreshError="1"/>
      <sheetData sheetId="1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Penn"/>
      <sheetName val="DepPenn"/>
      <sheetName val="XREF"/>
      <sheetName val="Tickmarks"/>
    </sheetNames>
    <sheetDataSet>
      <sheetData sheetId="0" refreshError="1"/>
      <sheetData sheetId="1" refreshError="1"/>
      <sheetData sheetId="2"/>
      <sheetData sheetId="3"/>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de Conciliaciones"/>
      <sheetName val="Concilación 1"/>
      <sheetName val="Prueba de partidas que restan"/>
      <sheetName val="XREF"/>
      <sheetName val="Tickmarks"/>
    </sheetNames>
    <sheetDataSet>
      <sheetData sheetId="0"/>
      <sheetData sheetId="1" refreshError="1"/>
      <sheetData sheetId="2" refreshError="1"/>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Muestreo"/>
      <sheetName val="Voucheo"/>
      <sheetName val="XREF"/>
      <sheetName val="Tickmarks"/>
    </sheetNames>
    <sheetDataSet>
      <sheetData sheetId="0"/>
      <sheetData sheetId="1" refreshError="1"/>
      <sheetData sheetId="2" refreshError="1"/>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n-109"/>
      <sheetName val="cn-112"/>
      <sheetName val="CN-140"/>
      <sheetName val="cn-150"/>
      <sheetName val="cn-150-1"/>
      <sheetName val="CN-160"/>
      <sheetName val="CN-180"/>
      <sheetName val="CN-170"/>
      <sheetName val="CN-170-1"/>
      <sheetName val="CN-170-2"/>
      <sheetName val="CN-190-2SEMA"/>
      <sheetName val="CN-190-1 QUIN"/>
      <sheetName val="CN-192"/>
      <sheetName val="cn-193"/>
      <sheetName val="cn-195"/>
      <sheetName val="CN-190-1_QU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Gastos"/>
      <sheetName val="MMA"/>
      <sheetName val="Voucheos"/>
      <sheetName val="XREF"/>
      <sheetName val="Tickmarks"/>
      <sheetName val="Revisión"/>
      <sheetName val="Integ Gts (PPC)"/>
      <sheetName val="#REF"/>
      <sheetName val="Revisión de Gastos"/>
      <sheetName val=".1|Lead"/>
      <sheetName val=".2|Integración Sep"/>
      <sheetName val=".2.1|Integración Dic"/>
      <sheetName val=".3|Revisión "/>
      <sheetName val=".2.1|Integración final DIC"/>
      <sheetName val=".3|Revisión"/>
      <sheetName val=".4|Comisiones tarjetas"/>
      <sheetName val="Sheet2"/>
      <sheetName val="Sheet1"/>
      <sheetName val="Sheet3"/>
      <sheetName val="Sheet4"/>
      <sheetName val=".2|Integración Dic 08"/>
      <sheetName val=".2|Integración"/>
      <sheetName val="Revisión de Gastos Ago04"/>
      <sheetName val="Expectativa 640086 Ago04"/>
    </sheetNames>
    <sheetDataSet>
      <sheetData sheetId="0"/>
      <sheetData sheetId="1"/>
      <sheetData sheetId="2"/>
      <sheetData sheetId="3"/>
      <sheetData sheetId="4" refreshError="1"/>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refreshError="1"/>
      <sheetData sheetId="22"/>
      <sheetData sheetId="23" refreshError="1"/>
      <sheetData sheetId="24" refreshError="1"/>
      <sheetData sheetId="2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21D1A6-9C0A-4CBC-B54B-EC5E6C50FC6F}" name="Tabla1" displayName="Tabla1" ref="A6:L582" totalsRowShown="0" headerRowDxfId="98" dataDxfId="97" tableBorderDxfId="96" headerRowCellStyle="Normal 73" dataCellStyle="Moneda 3">
  <autoFilter ref="A6:L582" xr:uid="{5021D1A6-9C0A-4CBC-B54B-EC5E6C50FC6F}"/>
  <tableColumns count="12">
    <tableColumn id="9" xr3:uid="{9BABDE73-AC09-49A8-9489-7B3AE1D7E979}" name="ANEXO" dataDxfId="95" dataCellStyle="Moneda 3"/>
    <tableColumn id="1" xr3:uid="{C8370C86-BFEE-4252-AC76-E938035D29AC}" name="PARTIDA" dataDxfId="94" dataCellStyle="Normal 73"/>
    <tableColumn id="2" xr3:uid="{61A00467-8E6E-4001-BAB4-1DCE9B042914}" name="CONCEPTO" dataDxfId="93" dataCellStyle="Normal 73"/>
    <tableColumn id="3" xr3:uid="{924C87C0-A50F-42ED-8048-C30F6FDD348E}" name="UNIDAD" dataDxfId="92" dataCellStyle="Normal 73"/>
    <tableColumn id="4" xr3:uid="{F7CCB8F8-8ABF-4951-878B-B5B43C14FEA5}" name="CANTIDADES DE REFERENCIA" dataDxfId="91" dataCellStyle="Millares 5"/>
    <tableColumn id="5" xr3:uid="{FEE80E47-9B25-4524-A7CB-4918E92E3137}" name="P.U. MN" dataDxfId="90" dataCellStyle="Moneda 3"/>
    <tableColumn id="6" xr3:uid="{626C2450-DE39-4FB5-B7FE-5E7EE3EFB5A5}" name="P.U. USD" dataDxfId="89" dataCellStyle="Moneda 3"/>
    <tableColumn id="7" xr3:uid="{EDEF74CB-6A4F-4D8A-B80E-1E9E04A2AB49}" name="M.N." dataDxfId="88" dataCellStyle="Moneda 3"/>
    <tableColumn id="8" xr3:uid="{214109D5-D7D8-4557-BDC2-5E15210C7376}" name="U.S.D." dataDxfId="87" dataCellStyle="Moneda 3"/>
    <tableColumn id="10" xr3:uid="{9B06F622-FF31-4B39-B06E-13DA7784A989}" name="ID PADRE" dataDxfId="86" dataCellStyle="Moneda 3"/>
    <tableColumn id="11" xr3:uid="{511E2099-5C85-4DDC-B7DF-7C7BEB144583}" name="ID MADRE" dataDxfId="85" dataCellStyle="Moneda 3"/>
    <tableColumn id="12" xr3:uid="{3EFB9B43-52F5-4CA7-B957-AB18927F6157}" name="ID HIJO" dataDxfId="84" dataCellStyle="Moneda 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A1FB6F-F9E2-4193-89FC-811EC4954CD4}" name="Tabla2" displayName="Tabla2" ref="A6:L778" totalsRowShown="0" headerRowDxfId="83" dataDxfId="82" headerRowCellStyle="Normal 73" dataCellStyle="Normal 73">
  <autoFilter ref="A6:L778" xr:uid="{00A1FB6F-F9E2-4193-89FC-811EC4954CD4}"/>
  <tableColumns count="12">
    <tableColumn id="1" xr3:uid="{5798ED6D-E470-4C78-A0B4-C28775A1E8D4}" name="ANEXO" dataDxfId="81"/>
    <tableColumn id="2" xr3:uid="{CC785249-938B-4858-9902-13C57E019C65}" name="PARTIDA" dataDxfId="80"/>
    <tableColumn id="3" xr3:uid="{FC191711-0B9A-4578-8F02-027A9DD426F4}" name="CONCEPTO" dataDxfId="79" dataCellStyle="Normal 73"/>
    <tableColumn id="4" xr3:uid="{7EA12625-F3ED-4E0F-B752-9B69C86C9882}" name="UNIDAD" dataDxfId="78" dataCellStyle="Normal 73"/>
    <tableColumn id="5" xr3:uid="{AAA957E8-CA09-4053-A54C-728F5B75B47B}" name="CANTIDADES DE REFERENCIA" dataDxfId="77" dataCellStyle="Millares 5"/>
    <tableColumn id="6" xr3:uid="{C0373EFC-CC27-4F96-9A52-C5AF2AE7A757}" name="P.U. MN" dataDxfId="76" dataCellStyle="Moneda 3"/>
    <tableColumn id="7" xr3:uid="{615BCA91-FF7E-4EB4-B83B-1951FC4067B4}" name="P.U. USD" dataDxfId="75" dataCellStyle="Moneda 3"/>
    <tableColumn id="8" xr3:uid="{BD978AD5-3A93-4116-876A-938D30344778}" name="M.N." dataDxfId="74" dataCellStyle="Moneda 3"/>
    <tableColumn id="9" xr3:uid="{8F03C826-3640-4DBE-9699-661FADA84B9C}" name="U.S.D." dataDxfId="73" dataCellStyle="Moneda 3"/>
    <tableColumn id="10" xr3:uid="{1D10667F-5C64-4EDE-A8B9-0DAC3872F8C1}" name="ID PADRE" dataDxfId="72" dataCellStyle="Normal 73"/>
    <tableColumn id="11" xr3:uid="{FF5B9416-CB54-44D5-8F12-5969E307C931}" name="ID MADRE" dataDxfId="71" dataCellStyle="Normal 73"/>
    <tableColumn id="12" xr3:uid="{E46C69C1-F9EF-4A21-A8B5-EEF3A850B8A9}" name="ID HIJO" dataDxfId="70" dataCellStyle="Normal 73"/>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6602A1-8176-4187-9A6E-373AFCBCF585}" name="Tabla3" displayName="Tabla3" ref="A6:L50" totalsRowShown="0" headerRowDxfId="69" dataDxfId="68" headerRowCellStyle="Normal 73">
  <autoFilter ref="A6:L50" xr:uid="{7A6602A1-8176-4187-9A6E-373AFCBCF585}">
    <filterColumn colId="10">
      <filters>
        <filter val="TIERRA"/>
      </filters>
    </filterColumn>
  </autoFilter>
  <tableColumns count="12">
    <tableColumn id="1" xr3:uid="{BFF5953F-E595-4293-AE17-AE5A5D679243}" name="ANEXO" dataDxfId="67" dataCellStyle="Normal 73"/>
    <tableColumn id="2" xr3:uid="{F9E1E4D4-E326-4519-956D-BD8FFEF5D997}" name="PARTIDA" dataDxfId="66" dataCellStyle="Normal 73"/>
    <tableColumn id="3" xr3:uid="{77EA0978-9DF9-4E0F-854F-86C7A9802D51}" name="CONCEPTO" dataDxfId="65" dataCellStyle="Normal 73"/>
    <tableColumn id="4" xr3:uid="{DA72B2B0-FE51-4ED4-88F7-B6699C50E544}" name="UNIDAD" dataDxfId="64" dataCellStyle="Normal 73"/>
    <tableColumn id="5" xr3:uid="{BE629F96-8D7A-4870-A3A3-731316F0A17F}" name="CANTIDADES DE REFERENCIA" dataDxfId="63" dataCellStyle="Millares 5"/>
    <tableColumn id="6" xr3:uid="{E902C325-D46D-471B-8530-9E4707431D7C}" name="P.U. MN" dataDxfId="62" dataCellStyle="Normal 73"/>
    <tableColumn id="7" xr3:uid="{030FB511-23EB-48E9-8C04-E80C460606ED}" name="P.U. USD" dataDxfId="61" dataCellStyle="Normal 73"/>
    <tableColumn id="8" xr3:uid="{CD293785-E1E0-4146-8819-D4A48E11AAE8}" name="M.N." dataDxfId="60" dataCellStyle="Normal 73"/>
    <tableColumn id="9" xr3:uid="{AF2701CB-FDED-4E20-A2DD-7D5B16C16575}" name="U.S.D." dataDxfId="59" dataCellStyle="Normal 73"/>
    <tableColumn id="10" xr3:uid="{ACBC6D16-5972-4DC7-96EC-740106F6EAFB}" name="ID PADRE" dataDxfId="58" dataCellStyle="Normal 73"/>
    <tableColumn id="11" xr3:uid="{BCAD345D-C9F6-4DDA-88F1-1DBD6278B603}" name="ID MADRE" dataDxfId="57" dataCellStyle="Normal 73"/>
    <tableColumn id="12" xr3:uid="{512E793F-27FD-4C27-B5FA-4003B3762615}" name="ID HIJO" dataDxfId="56" dataCellStyle="Normal 73"/>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9A18037-4BB6-4AD3-AAD3-775D61C54398}" name="Tabla4" displayName="Tabla4" ref="A6:L16" totalsRowShown="0" headerRowDxfId="55" dataDxfId="54" headerRowCellStyle="Normal 73" dataCellStyle="Normal 73">
  <autoFilter ref="A6:L16" xr:uid="{69A18037-4BB6-4AD3-AAD3-775D61C54398}"/>
  <tableColumns count="12">
    <tableColumn id="1" xr3:uid="{DF628C99-8D53-4DA6-8288-423EEBF41515}" name="ANEXO" dataDxfId="53" dataCellStyle="Normal 73"/>
    <tableColumn id="2" xr3:uid="{BD39FBF8-104B-4312-9E3D-363A30B77C01}" name="PARTIDA" dataDxfId="52" dataCellStyle="Normal 73"/>
    <tableColumn id="3" xr3:uid="{8D910743-19FF-4A1E-B9A1-51937429C952}" name="CONCEPTO" dataDxfId="51" dataCellStyle="Normal 73"/>
    <tableColumn id="4" xr3:uid="{8EB09BE1-E59D-4BEC-A5FD-FB4ACE1692E2}" name="UNIDAD" dataDxfId="50" dataCellStyle="Normal 73"/>
    <tableColumn id="5" xr3:uid="{03EE1999-DA6D-4B02-97B8-CEF79A5603D9}" name="CANTIDADES DE REFERENCIA" dataDxfId="49" dataCellStyle="Millares 5"/>
    <tableColumn id="6" xr3:uid="{F2C3FA57-F7D2-4041-8BCC-902FBC1F3DB7}" name="P.U. MN" dataDxfId="48" dataCellStyle="Normal 73"/>
    <tableColumn id="7" xr3:uid="{9BCBBD91-5F09-4971-BB9A-201A1CBC7B19}" name="P.U. USD" dataDxfId="47" dataCellStyle="Normal 73"/>
    <tableColumn id="8" xr3:uid="{D3E605E4-246E-4B42-9012-339536A31E77}" name="M.N." dataDxfId="46" dataCellStyle="Normal 73"/>
    <tableColumn id="9" xr3:uid="{BA2C80F1-4EFA-44CB-8F5B-40D476BF2837}" name="U.S.D." dataDxfId="45" dataCellStyle="Normal 73"/>
    <tableColumn id="10" xr3:uid="{73C24667-DCD4-48BD-BE96-3A08CFD569AF}" name="ID PADRE" dataDxfId="44" dataCellStyle="Normal 73"/>
    <tableColumn id="11" xr3:uid="{313AEEC7-C301-423F-8B43-3F2FE234F020}" name="ID MADRE" dataDxfId="43" dataCellStyle="Normal 73"/>
    <tableColumn id="12" xr3:uid="{4A1A72C3-6ABB-4FCC-B199-60CD32141F2D}" name="ID HIJO" dataDxfId="42" dataCellStyle="Normal 73"/>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A7E7BB-2B58-48D7-99A8-AB35051D7DDF}" name="Tabla5" displayName="Tabla5" ref="A6:L216" totalsRowShown="0" headerRowDxfId="41" dataDxfId="40" headerRowCellStyle="Normal 73" dataCellStyle="Normal 73">
  <autoFilter ref="A6:L216" xr:uid="{A6A7E7BB-2B58-48D7-99A8-AB35051D7DDF}"/>
  <tableColumns count="12">
    <tableColumn id="1" xr3:uid="{FCB2B0EC-C555-4B63-892D-40DBF045195B}" name="ANEXO" dataDxfId="39" dataCellStyle="Normal 73"/>
    <tableColumn id="2" xr3:uid="{D025D09C-DC7E-4FA2-9379-4BB4FE587C32}" name="PARTIDA" dataDxfId="38" dataCellStyle="Normal 73"/>
    <tableColumn id="3" xr3:uid="{510570ED-7D14-47BB-9552-C5847CD2CE13}" name="CONCEPTO" dataDxfId="37" dataCellStyle="Normal 73"/>
    <tableColumn id="4" xr3:uid="{719157F7-B9B0-40C0-AD1A-4318D188BDAE}" name="UNIDAD" dataDxfId="36" dataCellStyle="Normal 73"/>
    <tableColumn id="5" xr3:uid="{C92E9F2F-DCAF-4234-B183-023DAA27978D}" name="CANTIDADES DE REFERENCIA" dataDxfId="35" dataCellStyle="Millares 5"/>
    <tableColumn id="6" xr3:uid="{6396B86D-DDF1-4466-8C82-E2A24925024B}" name="P.U. MN" dataDxfId="34" dataCellStyle="Normal 73"/>
    <tableColumn id="7" xr3:uid="{6C3A7139-7F4F-433A-9502-77AD2295514A}" name="P.U. USD" dataDxfId="33" dataCellStyle="Normal 73"/>
    <tableColumn id="8" xr3:uid="{BAD9D7AB-E00A-4C48-BF11-5547D7FAA535}" name="M.N." dataDxfId="32" dataCellStyle="Normal 73"/>
    <tableColumn id="9" xr3:uid="{0669EA3B-A66C-4EFA-9199-812E166D83DA}" name="U.S.D." dataDxfId="31" dataCellStyle="Normal 73"/>
    <tableColumn id="10" xr3:uid="{D2F01C3D-7582-49BF-89EF-0E399BF56E1B}" name="ID PADRE" dataDxfId="30" dataCellStyle="Normal 73"/>
    <tableColumn id="11" xr3:uid="{8C10C3E9-601D-4610-8B4D-34A9A3534FC5}" name="ID MADRE" dataDxfId="29" dataCellStyle="Normal 73"/>
    <tableColumn id="12" xr3:uid="{4598A546-7B54-4938-B414-795E35C9A419}" name="ID HIJO" dataDxfId="28" dataCellStyle="Normal 73"/>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ABC8F5-D7FD-4793-8F2F-E7B1D2FADFAA}" name="Tabla6" displayName="Tabla6" ref="A6:L17" totalsRowShown="0" headerRowDxfId="27" dataDxfId="26" headerRowCellStyle="Normal 73" dataCellStyle="Normal 73">
  <autoFilter ref="A6:L17" xr:uid="{6AABC8F5-D7FD-4793-8F2F-E7B1D2FADFAA}"/>
  <tableColumns count="12">
    <tableColumn id="1" xr3:uid="{3B34914C-6963-46F6-87A3-579AB5369242}" name="ANEXO" dataDxfId="25" dataCellStyle="Normal 73"/>
    <tableColumn id="2" xr3:uid="{D180A03E-469F-4E0A-A89A-ABB11539CC34}" name="PARTIDA" dataDxfId="24" dataCellStyle="Normal 73"/>
    <tableColumn id="3" xr3:uid="{D6FF58EB-D96C-4E49-A472-7CF1624D3236}" name="CONCEPTO" dataDxfId="23" dataCellStyle="Normal 73"/>
    <tableColumn id="4" xr3:uid="{F61559B2-65BA-4915-8C4A-CA2842636F03}" name="UNIDAD" dataDxfId="22" dataCellStyle="Normal 73"/>
    <tableColumn id="5" xr3:uid="{08CA9ABF-C985-42E6-AF96-45FE51BEBCAF}" name="CANTIDADES DE REFERENCIA" dataDxfId="21" dataCellStyle="Millares 5"/>
    <tableColumn id="6" xr3:uid="{4A4F290D-F422-4FA5-B8BD-8103BA3947AA}" name="P.U. MN" dataDxfId="20" dataCellStyle="Moneda 3"/>
    <tableColumn id="7" xr3:uid="{0A0EA098-3163-4F1B-A0FB-C3D568574A9B}" name="P.U. USD" dataDxfId="19" dataCellStyle="Moneda 3"/>
    <tableColumn id="8" xr3:uid="{9C04808F-41BE-4215-A6DA-5A5ABBC96808}" name="M.N." dataDxfId="18" dataCellStyle="Normal 73"/>
    <tableColumn id="9" xr3:uid="{9D43E61E-D286-438C-91AF-C1856359919A}" name="U.S.D." dataDxfId="17" dataCellStyle="Normal 73"/>
    <tableColumn id="10" xr3:uid="{1BA4E835-AA82-4F69-BC85-8E65AF017634}" name="ID PADRE" dataDxfId="16" dataCellStyle="Normal 73"/>
    <tableColumn id="11" xr3:uid="{C71EC6B6-FEB2-4AB3-966C-10F8376792A3}" name="ID MADRE" dataDxfId="15" dataCellStyle="Normal 73"/>
    <tableColumn id="12" xr3:uid="{F430E200-B99E-4CF4-A907-19AEA4056044}" name="ID HIJO" dataDxfId="14" dataCellStyle="Normal 73"/>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9CAF063-CE1B-478E-8572-D94D7B64C9BB}" name="Tabla7" displayName="Tabla7" ref="A6:L11" totalsRowShown="0" headerRowDxfId="13" dataDxfId="12" headerRowCellStyle="Normal 73" dataCellStyle="Normal 73">
  <autoFilter ref="A6:L11" xr:uid="{49CAF063-CE1B-478E-8572-D94D7B64C9BB}"/>
  <tableColumns count="12">
    <tableColumn id="1" xr3:uid="{EFB3154D-C160-4E63-BBA5-808C1E81FE52}" name="ANEXO" dataDxfId="11" dataCellStyle="Normal 73"/>
    <tableColumn id="2" xr3:uid="{DDA0049A-D03C-4C59-82C0-FF06B5CACA5B}" name="PARTIDA" dataDxfId="10" dataCellStyle="Normal 73"/>
    <tableColumn id="3" xr3:uid="{69CA01A4-C820-4497-9770-D3A7D44CC5EA}" name="CONCEPTO" dataDxfId="9" dataCellStyle="Normal 73"/>
    <tableColumn id="4" xr3:uid="{679CAC04-7668-4F3B-AD26-1739F4FE1523}" name="UNIDAD" dataDxfId="8" dataCellStyle="Normal 73"/>
    <tableColumn id="5" xr3:uid="{24D8E40A-B9D1-43FD-87A7-DF33274E54EA}" name="CANTIDADES DE REFERENCIA" dataDxfId="7" dataCellStyle="Normal 73"/>
    <tableColumn id="6" xr3:uid="{5E599381-F9F3-41D0-8A41-0C40AEB68732}" name="P.U. MN" dataDxfId="6" dataCellStyle="Moneda 3"/>
    <tableColumn id="7" xr3:uid="{0E97901E-F00C-4716-93D1-3143E7AA6F81}" name="P.U. USD" dataDxfId="5" dataCellStyle="Moneda 3"/>
    <tableColumn id="8" xr3:uid="{6EDA8A1A-6571-4738-A48B-782B6B82C074}" name="M.N." dataDxfId="4" dataCellStyle="Normal 73"/>
    <tableColumn id="9" xr3:uid="{B685C85E-7600-4BF5-B096-F918A06CEEAA}" name="U.S.D." dataDxfId="3" dataCellStyle="Normal 73"/>
    <tableColumn id="10" xr3:uid="{451E435A-76D2-48D3-9508-34FFE265D512}" name="ID PADRE" dataDxfId="2" dataCellStyle="Normal 73"/>
    <tableColumn id="11" xr3:uid="{490C09E3-B9BD-41BE-848E-7ACC3EA78F67}" name="ID MADRE" dataDxfId="1" dataCellStyle="Normal 73"/>
    <tableColumn id="12" xr3:uid="{18DC704B-3138-4C9E-AA6C-C81B0D20888C}" name="ID HIJO" dataDxfId="0" dataCellStyle="Normal 73"/>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328C7-25DF-4A42-B127-0C298577E27D}">
  <sheetPr>
    <tabColor theme="8" tint="-0.499984740745262"/>
  </sheetPr>
  <dimension ref="B1:I27"/>
  <sheetViews>
    <sheetView topLeftCell="A4" zoomScale="115" zoomScaleNormal="115" zoomScaleSheetLayoutView="115" workbookViewId="0">
      <selection activeCell="F11" sqref="F11"/>
    </sheetView>
  </sheetViews>
  <sheetFormatPr baseColWidth="10" defaultColWidth="11.42578125" defaultRowHeight="20.100000000000001" customHeight="1" x14ac:dyDescent="0.2"/>
  <cols>
    <col min="1" max="1" width="1.28515625" style="1" customWidth="1"/>
    <col min="2" max="2" width="11.42578125" style="1"/>
    <col min="3" max="3" width="62.5703125" style="2" customWidth="1"/>
    <col min="4" max="5" width="10.7109375" style="1" customWidth="1"/>
    <col min="6" max="6" width="14.7109375" style="1" bestFit="1" customWidth="1"/>
    <col min="7" max="7" width="11" style="1" bestFit="1" customWidth="1"/>
    <col min="8" max="8" width="37.42578125" style="1" bestFit="1" customWidth="1"/>
    <col min="9" max="9" width="13.7109375" style="1" customWidth="1"/>
    <col min="10" max="10" width="2.7109375" style="1" customWidth="1"/>
    <col min="11" max="16384" width="11.42578125" style="1"/>
  </cols>
  <sheetData>
    <row r="1" spans="2:9" ht="21.75" customHeight="1" x14ac:dyDescent="0.2">
      <c r="B1" s="16" t="s">
        <v>0</v>
      </c>
      <c r="C1" s="12"/>
      <c r="D1" s="16"/>
      <c r="E1" s="16"/>
      <c r="F1" s="16"/>
      <c r="G1" s="16"/>
      <c r="H1" s="16"/>
      <c r="I1" s="16"/>
    </row>
    <row r="2" spans="2:9" ht="20.100000000000001" customHeight="1" x14ac:dyDescent="0.2">
      <c r="B2" s="12" t="s">
        <v>1</v>
      </c>
      <c r="C2" s="12"/>
      <c r="D2" s="12"/>
      <c r="E2" s="12"/>
      <c r="F2" s="12"/>
      <c r="G2" s="12"/>
      <c r="H2" s="12"/>
      <c r="I2" s="12"/>
    </row>
    <row r="3" spans="2:9" ht="13.5" x14ac:dyDescent="0.2">
      <c r="B3" s="16" t="s">
        <v>2</v>
      </c>
      <c r="C3" s="12"/>
      <c r="D3" s="12"/>
      <c r="E3" s="12"/>
      <c r="F3" s="12"/>
      <c r="G3" s="12"/>
      <c r="H3" s="12"/>
      <c r="I3" s="12"/>
    </row>
    <row r="4" spans="2:9" ht="9" customHeight="1" x14ac:dyDescent="0.2">
      <c r="B4" s="15"/>
      <c r="C4" s="15"/>
      <c r="D4" s="15"/>
      <c r="E4" s="14"/>
      <c r="F4" s="14"/>
      <c r="G4" s="14"/>
      <c r="H4" s="14"/>
      <c r="I4" s="14"/>
    </row>
    <row r="5" spans="2:9" ht="20.100000000000001" customHeight="1" thickBot="1" x14ac:dyDescent="0.25">
      <c r="B5" s="13" t="s">
        <v>3</v>
      </c>
      <c r="C5" s="12"/>
      <c r="D5" s="12"/>
      <c r="E5" s="12"/>
      <c r="F5" s="12"/>
      <c r="G5" s="12"/>
      <c r="H5" s="12"/>
      <c r="I5" s="12"/>
    </row>
    <row r="6" spans="2:9" ht="20.100000000000001" customHeight="1" x14ac:dyDescent="0.2">
      <c r="B6" s="182" t="s">
        <v>4</v>
      </c>
      <c r="C6" s="184" t="s">
        <v>5</v>
      </c>
      <c r="D6" s="184" t="s">
        <v>6</v>
      </c>
      <c r="E6" s="184" t="s">
        <v>7</v>
      </c>
      <c r="F6" s="10" t="s">
        <v>8</v>
      </c>
      <c r="G6" s="11"/>
      <c r="H6" s="10" t="s">
        <v>9</v>
      </c>
      <c r="I6" s="9"/>
    </row>
    <row r="7" spans="2:9" ht="20.100000000000001" customHeight="1" thickBot="1" x14ac:dyDescent="0.25">
      <c r="B7" s="183"/>
      <c r="C7" s="185"/>
      <c r="D7" s="185"/>
      <c r="E7" s="185"/>
      <c r="F7" s="59" t="s">
        <v>10</v>
      </c>
      <c r="G7" s="59" t="s">
        <v>11</v>
      </c>
      <c r="H7" s="59" t="s">
        <v>10</v>
      </c>
      <c r="I7" s="60" t="s">
        <v>11</v>
      </c>
    </row>
    <row r="8" spans="2:9" ht="27" x14ac:dyDescent="0.2">
      <c r="B8" s="56">
        <v>1</v>
      </c>
      <c r="C8" s="57" t="s">
        <v>12</v>
      </c>
      <c r="D8" s="7" t="s">
        <v>14</v>
      </c>
      <c r="E8" s="41">
        <v>3653</v>
      </c>
      <c r="F8" s="58"/>
      <c r="G8" s="5">
        <v>90000</v>
      </c>
      <c r="H8" s="58"/>
      <c r="I8" s="4">
        <v>328770000</v>
      </c>
    </row>
    <row r="9" spans="2:9" s="94" customFormat="1" ht="13.5" x14ac:dyDescent="0.2">
      <c r="B9" s="88">
        <v>1.1000000000000001</v>
      </c>
      <c r="C9" s="89" t="s">
        <v>13</v>
      </c>
      <c r="D9" s="90" t="s">
        <v>14</v>
      </c>
      <c r="E9" s="91">
        <v>3653</v>
      </c>
      <c r="F9" s="92">
        <v>0</v>
      </c>
      <c r="G9" s="92">
        <v>90000</v>
      </c>
      <c r="H9" s="92">
        <v>0</v>
      </c>
      <c r="I9" s="93">
        <v>328770000</v>
      </c>
    </row>
    <row r="10" spans="2:9" ht="13.5" x14ac:dyDescent="0.2">
      <c r="B10" s="8"/>
      <c r="C10" s="40" t="s">
        <v>15</v>
      </c>
      <c r="D10" s="7"/>
      <c r="E10" s="6"/>
      <c r="F10" s="5"/>
      <c r="G10" s="5"/>
      <c r="H10" s="5"/>
      <c r="I10" s="4">
        <v>0</v>
      </c>
    </row>
    <row r="11" spans="2:9" ht="27" x14ac:dyDescent="0.2">
      <c r="B11" s="8">
        <v>2</v>
      </c>
      <c r="C11" s="40" t="s">
        <v>16</v>
      </c>
      <c r="D11" s="7" t="s">
        <v>17</v>
      </c>
      <c r="E11" s="41">
        <v>1</v>
      </c>
      <c r="F11" s="5">
        <v>1598191781.4300001</v>
      </c>
      <c r="G11" s="5">
        <v>3880004.84</v>
      </c>
      <c r="H11" s="5">
        <v>1598191781.4300001</v>
      </c>
      <c r="I11" s="4">
        <v>3880004.84</v>
      </c>
    </row>
    <row r="12" spans="2:9" ht="27" x14ac:dyDescent="0.2">
      <c r="B12" s="8">
        <v>3</v>
      </c>
      <c r="C12" s="40" t="s">
        <v>18</v>
      </c>
      <c r="D12" s="7" t="s">
        <v>17</v>
      </c>
      <c r="E12" s="41">
        <v>1</v>
      </c>
      <c r="F12" s="5">
        <v>982510062.17999995</v>
      </c>
      <c r="G12" s="5">
        <v>39256263.899999999</v>
      </c>
      <c r="H12" s="5">
        <v>982510062.17999995</v>
      </c>
      <c r="I12" s="4">
        <v>39256263.899999999</v>
      </c>
    </row>
    <row r="13" spans="2:9" ht="27" x14ac:dyDescent="0.2">
      <c r="B13" s="56">
        <v>4</v>
      </c>
      <c r="C13" s="57" t="s">
        <v>19</v>
      </c>
      <c r="D13" s="50" t="s">
        <v>17</v>
      </c>
      <c r="E13" s="80">
        <v>1</v>
      </c>
      <c r="F13" s="58">
        <v>2800063006.1399999</v>
      </c>
      <c r="G13" s="58">
        <v>0</v>
      </c>
      <c r="H13" s="5">
        <v>2800063006.1399999</v>
      </c>
      <c r="I13" s="4">
        <v>0</v>
      </c>
    </row>
    <row r="14" spans="2:9" ht="13.5" x14ac:dyDescent="0.2">
      <c r="B14" s="45" t="s">
        <v>20</v>
      </c>
      <c r="C14" s="40" t="s">
        <v>21</v>
      </c>
      <c r="D14" s="7" t="s">
        <v>14</v>
      </c>
      <c r="E14" s="41">
        <v>3653</v>
      </c>
      <c r="F14" s="5">
        <v>103246.16</v>
      </c>
      <c r="G14" s="5">
        <v>0</v>
      </c>
      <c r="H14" s="5">
        <v>377158222.48000002</v>
      </c>
      <c r="I14" s="4">
        <v>0</v>
      </c>
    </row>
    <row r="15" spans="2:9" ht="23.25" customHeight="1" x14ac:dyDescent="0.2">
      <c r="B15" s="8">
        <v>5</v>
      </c>
      <c r="C15" s="40" t="s">
        <v>22</v>
      </c>
      <c r="D15" s="7" t="s">
        <v>17</v>
      </c>
      <c r="E15" s="41">
        <v>1</v>
      </c>
      <c r="F15" s="79">
        <v>1443133988.4400001</v>
      </c>
      <c r="G15" s="79">
        <v>40570968.840000004</v>
      </c>
      <c r="H15" s="5">
        <v>1443133988.4400001</v>
      </c>
      <c r="I15" s="4">
        <v>40570968.840000004</v>
      </c>
    </row>
    <row r="16" spans="2:9" ht="13.5" x14ac:dyDescent="0.2">
      <c r="B16" s="45" t="s">
        <v>23</v>
      </c>
      <c r="C16" s="40" t="s">
        <v>24</v>
      </c>
      <c r="D16" s="7" t="s">
        <v>14</v>
      </c>
      <c r="E16" s="41">
        <v>3653</v>
      </c>
      <c r="F16" s="5">
        <v>4508.8500000000004</v>
      </c>
      <c r="G16" s="5">
        <v>0</v>
      </c>
      <c r="H16" s="5">
        <v>16470829.050000001</v>
      </c>
      <c r="I16" s="4">
        <v>0</v>
      </c>
    </row>
    <row r="17" spans="2:9" ht="14.25" thickBot="1" x14ac:dyDescent="0.25">
      <c r="B17" s="27">
        <v>6</v>
      </c>
      <c r="C17" s="65" t="s">
        <v>25</v>
      </c>
      <c r="D17" s="21" t="s">
        <v>17</v>
      </c>
      <c r="E17" s="54">
        <v>1</v>
      </c>
      <c r="F17" s="66">
        <v>513874637.5</v>
      </c>
      <c r="G17" s="66">
        <v>0</v>
      </c>
      <c r="H17" s="66">
        <v>513874637.5</v>
      </c>
      <c r="I17" s="67">
        <v>0</v>
      </c>
    </row>
    <row r="18" spans="2:9" ht="25.15" customHeight="1" x14ac:dyDescent="0.2">
      <c r="B18" s="61"/>
      <c r="C18" s="62"/>
      <c r="D18" s="62"/>
      <c r="E18" s="62"/>
      <c r="F18" s="63"/>
      <c r="G18" s="62" t="s">
        <v>26</v>
      </c>
      <c r="H18" s="64">
        <v>7731402527.2200003</v>
      </c>
      <c r="I18" s="181">
        <v>412477237.57999998</v>
      </c>
    </row>
    <row r="19" spans="2:9" ht="9.75" customHeight="1" x14ac:dyDescent="0.2">
      <c r="B19" s="72"/>
      <c r="H19" s="68"/>
      <c r="I19" s="68"/>
    </row>
    <row r="20" spans="2:9" ht="38.25" customHeight="1" x14ac:dyDescent="0.2">
      <c r="B20" s="83" t="s">
        <v>27</v>
      </c>
      <c r="C20" s="83"/>
      <c r="D20" s="83"/>
      <c r="E20" s="83"/>
      <c r="F20" s="83"/>
      <c r="G20" s="83"/>
      <c r="H20" s="83"/>
      <c r="I20" s="83"/>
    </row>
    <row r="21" spans="2:9" ht="10.5" customHeight="1" x14ac:dyDescent="0.2"/>
    <row r="22" spans="2:9" ht="20.100000000000001" customHeight="1" x14ac:dyDescent="0.2">
      <c r="B22" s="1" t="s">
        <v>28</v>
      </c>
    </row>
    <row r="23" spans="2:9" ht="20.100000000000001" customHeight="1" x14ac:dyDescent="0.2">
      <c r="B23" s="20"/>
      <c r="C23" s="81"/>
    </row>
    <row r="24" spans="2:9" ht="20.100000000000001" customHeight="1" x14ac:dyDescent="0.2">
      <c r="G24" s="35"/>
      <c r="H24" s="35"/>
      <c r="I24" s="35"/>
    </row>
    <row r="25" spans="2:9" ht="20.100000000000001" customHeight="1" x14ac:dyDescent="0.2">
      <c r="G25" s="38"/>
      <c r="H25" s="37" t="s">
        <v>29</v>
      </c>
      <c r="I25" s="36"/>
    </row>
    <row r="26" spans="2:9" ht="20.100000000000001" customHeight="1" x14ac:dyDescent="0.2">
      <c r="G26" s="69" t="s">
        <v>30</v>
      </c>
      <c r="H26" s="70"/>
      <c r="I26" s="70"/>
    </row>
    <row r="27" spans="2:9" ht="20.100000000000001" customHeight="1" x14ac:dyDescent="0.2">
      <c r="H27" s="26" t="s">
        <v>31</v>
      </c>
      <c r="I27" s="25"/>
    </row>
  </sheetData>
  <mergeCells count="4">
    <mergeCell ref="B6:B7"/>
    <mergeCell ref="C6:C7"/>
    <mergeCell ref="D6:D7"/>
    <mergeCell ref="E6:E7"/>
  </mergeCells>
  <printOptions horizontalCentered="1"/>
  <pageMargins left="0.23622047244094491" right="0.23622047244094491" top="0.55118110236220474" bottom="0.55118110236220474" header="0.31496062992125984" footer="0.31496062992125984"/>
  <pageSetup paperSize="123" scale="8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2E63D-BEA8-41FC-AC05-864FC47E52A6}">
  <sheetPr>
    <tabColor theme="8" tint="-0.499984740745262"/>
  </sheetPr>
  <dimension ref="A1:L591"/>
  <sheetViews>
    <sheetView tabSelected="1" zoomScale="85" zoomScaleNormal="85" workbookViewId="0">
      <selection activeCell="H51" sqref="H51"/>
    </sheetView>
  </sheetViews>
  <sheetFormatPr baseColWidth="10" defaultColWidth="11.42578125" defaultRowHeight="18" customHeight="1" x14ac:dyDescent="0.2"/>
  <cols>
    <col min="1" max="1" width="12.28515625" style="1" bestFit="1" customWidth="1"/>
    <col min="2" max="2" width="10.7109375" style="1" customWidth="1"/>
    <col min="3" max="3" width="70.7109375" style="2" customWidth="1"/>
    <col min="4" max="4" width="11.7109375" style="1" customWidth="1"/>
    <col min="5" max="5" width="24.7109375" style="24" customWidth="1"/>
    <col min="6" max="7" width="12.7109375" style="35" customWidth="1"/>
    <col min="8" max="9" width="15.7109375" style="35" customWidth="1"/>
    <col min="10" max="10" width="14.7109375" style="1" customWidth="1"/>
    <col min="11" max="11" width="35" style="1" customWidth="1"/>
    <col min="12" max="12" width="27.28515625" style="1" customWidth="1"/>
    <col min="13" max="23" width="11.42578125" style="1"/>
    <col min="24" max="24" width="11.42578125" style="1" customWidth="1"/>
    <col min="25" max="16384" width="11.42578125" style="1"/>
  </cols>
  <sheetData>
    <row r="1" spans="1:12" ht="21.75" customHeight="1" x14ac:dyDescent="0.2">
      <c r="B1" s="16" t="s">
        <v>0</v>
      </c>
      <c r="C1" s="12"/>
      <c r="D1" s="16"/>
      <c r="E1" s="16"/>
      <c r="F1" s="16"/>
      <c r="G1" s="16"/>
      <c r="H1" s="16"/>
      <c r="I1" s="16"/>
    </row>
    <row r="2" spans="1:12" ht="20.100000000000001" customHeight="1" x14ac:dyDescent="0.2">
      <c r="B2" s="12" t="s">
        <v>1</v>
      </c>
      <c r="C2" s="12"/>
      <c r="D2" s="12"/>
      <c r="E2" s="12"/>
      <c r="F2" s="12"/>
      <c r="G2" s="12"/>
      <c r="H2" s="12"/>
      <c r="I2" s="12"/>
    </row>
    <row r="3" spans="1:12" ht="27" x14ac:dyDescent="0.2">
      <c r="B3" s="16" t="s">
        <v>2</v>
      </c>
      <c r="C3" s="12"/>
      <c r="D3" s="12"/>
      <c r="E3" s="12"/>
      <c r="F3" s="12"/>
      <c r="G3" s="12"/>
      <c r="H3" s="12"/>
      <c r="I3" s="12"/>
    </row>
    <row r="4" spans="1:12" s="22" customFormat="1" ht="10.15" customHeight="1" x14ac:dyDescent="0.25">
      <c r="C4" s="15"/>
    </row>
    <row r="5" spans="1:12" s="22" customFormat="1" ht="20.100000000000001" customHeight="1" thickBot="1" x14ac:dyDescent="0.3">
      <c r="B5" s="53" t="s">
        <v>32</v>
      </c>
      <c r="C5" s="51"/>
      <c r="D5" s="31"/>
      <c r="E5" s="31"/>
      <c r="F5" s="31"/>
      <c r="G5" s="31"/>
      <c r="H5" s="31"/>
      <c r="I5" s="31"/>
    </row>
    <row r="6" spans="1:12" s="22" customFormat="1" ht="40.9" customHeight="1" thickBot="1" x14ac:dyDescent="0.3">
      <c r="A6" s="113" t="s">
        <v>2677</v>
      </c>
      <c r="B6" s="114" t="s">
        <v>2673</v>
      </c>
      <c r="C6" s="115" t="s">
        <v>2674</v>
      </c>
      <c r="D6" s="115" t="s">
        <v>33</v>
      </c>
      <c r="E6" s="116" t="s">
        <v>34</v>
      </c>
      <c r="F6" s="117" t="s">
        <v>2675</v>
      </c>
      <c r="G6" s="117" t="s">
        <v>2676</v>
      </c>
      <c r="H6" s="117" t="s">
        <v>10</v>
      </c>
      <c r="I6" s="118" t="s">
        <v>11</v>
      </c>
      <c r="J6" s="113" t="s">
        <v>2679</v>
      </c>
      <c r="K6" s="113" t="s">
        <v>2680</v>
      </c>
      <c r="L6" s="113" t="s">
        <v>2681</v>
      </c>
    </row>
    <row r="7" spans="1:12" s="22" customFormat="1" ht="27" x14ac:dyDescent="0.25">
      <c r="A7" s="186" t="s">
        <v>2678</v>
      </c>
      <c r="B7" s="95">
        <v>2</v>
      </c>
      <c r="C7" s="52" t="s">
        <v>35</v>
      </c>
      <c r="D7" s="42"/>
      <c r="E7" s="43"/>
      <c r="F7" s="44"/>
      <c r="G7" s="44"/>
      <c r="H7" s="44"/>
      <c r="I7" s="101"/>
      <c r="J7" s="109"/>
      <c r="K7" s="76"/>
      <c r="L7" s="112"/>
    </row>
    <row r="8" spans="1:12" s="22" customFormat="1" ht="40.9" customHeight="1" x14ac:dyDescent="0.25">
      <c r="A8" s="186" t="s">
        <v>2678</v>
      </c>
      <c r="B8" s="96"/>
      <c r="C8" s="34" t="s">
        <v>36</v>
      </c>
      <c r="D8" s="7"/>
      <c r="E8" s="41"/>
      <c r="F8" s="71"/>
      <c r="G8" s="71"/>
      <c r="H8" s="71"/>
      <c r="I8" s="102"/>
      <c r="J8" s="34"/>
      <c r="K8" s="74"/>
      <c r="L8" s="112"/>
    </row>
    <row r="9" spans="1:12" s="22" customFormat="1" ht="40.9" customHeight="1" x14ac:dyDescent="0.25">
      <c r="A9" s="186" t="s">
        <v>2678</v>
      </c>
      <c r="B9" s="96"/>
      <c r="C9" s="34" t="s">
        <v>37</v>
      </c>
      <c r="D9" s="7"/>
      <c r="E9" s="41"/>
      <c r="F9" s="71"/>
      <c r="G9" s="71"/>
      <c r="H9" s="71"/>
      <c r="I9" s="102"/>
      <c r="J9" s="34"/>
      <c r="K9" s="119"/>
      <c r="L9" s="111"/>
    </row>
    <row r="10" spans="1:12" s="22" customFormat="1" ht="40.9" customHeight="1" x14ac:dyDescent="0.25">
      <c r="A10" s="186" t="s">
        <v>2678</v>
      </c>
      <c r="B10" s="96" t="s">
        <v>38</v>
      </c>
      <c r="C10" s="32" t="s">
        <v>39</v>
      </c>
      <c r="D10" s="7" t="s">
        <v>40</v>
      </c>
      <c r="E10" s="41">
        <v>76</v>
      </c>
      <c r="F10" s="71">
        <v>11813.3</v>
      </c>
      <c r="G10" s="71">
        <v>0</v>
      </c>
      <c r="H10" s="71">
        <v>897810.79999999993</v>
      </c>
      <c r="I10" s="102">
        <v>0</v>
      </c>
      <c r="J10" s="71" t="s">
        <v>36</v>
      </c>
      <c r="K10" s="119" t="s">
        <v>37</v>
      </c>
      <c r="L10" s="111"/>
    </row>
    <row r="11" spans="1:12" s="22" customFormat="1" ht="40.9" customHeight="1" x14ac:dyDescent="0.25">
      <c r="A11" s="186" t="s">
        <v>2678</v>
      </c>
      <c r="B11" s="96" t="s">
        <v>41</v>
      </c>
      <c r="C11" s="32" t="s">
        <v>42</v>
      </c>
      <c r="D11" s="7" t="s">
        <v>43</v>
      </c>
      <c r="E11" s="41">
        <v>66</v>
      </c>
      <c r="F11" s="71">
        <v>126009.03</v>
      </c>
      <c r="G11" s="71">
        <v>0</v>
      </c>
      <c r="H11" s="71">
        <v>8316595.9799999995</v>
      </c>
      <c r="I11" s="102">
        <v>0</v>
      </c>
      <c r="J11" s="71" t="s">
        <v>36</v>
      </c>
      <c r="K11" s="119" t="s">
        <v>37</v>
      </c>
      <c r="L11" s="111"/>
    </row>
    <row r="12" spans="1:12" s="22" customFormat="1" ht="40.9" customHeight="1" x14ac:dyDescent="0.25">
      <c r="A12" s="186" t="s">
        <v>2678</v>
      </c>
      <c r="B12" s="97" t="s">
        <v>44</v>
      </c>
      <c r="C12" s="32" t="s">
        <v>45</v>
      </c>
      <c r="D12" s="7" t="s">
        <v>43</v>
      </c>
      <c r="E12" s="41">
        <v>20</v>
      </c>
      <c r="F12" s="71">
        <v>138775.26</v>
      </c>
      <c r="G12" s="71">
        <v>0</v>
      </c>
      <c r="H12" s="71">
        <v>2775505.2</v>
      </c>
      <c r="I12" s="102">
        <v>0</v>
      </c>
      <c r="J12" s="71" t="s">
        <v>36</v>
      </c>
      <c r="K12" s="119" t="s">
        <v>37</v>
      </c>
      <c r="L12" s="111"/>
    </row>
    <row r="13" spans="1:12" s="22" customFormat="1" ht="40.9" customHeight="1" x14ac:dyDescent="0.25">
      <c r="A13" s="186" t="s">
        <v>2678</v>
      </c>
      <c r="B13" s="96" t="s">
        <v>46</v>
      </c>
      <c r="C13" s="32" t="s">
        <v>47</v>
      </c>
      <c r="D13" s="7" t="s">
        <v>43</v>
      </c>
      <c r="E13" s="41">
        <v>60</v>
      </c>
      <c r="F13" s="71">
        <v>172634.6</v>
      </c>
      <c r="G13" s="71">
        <v>0</v>
      </c>
      <c r="H13" s="71">
        <v>10358076</v>
      </c>
      <c r="I13" s="102">
        <v>0</v>
      </c>
      <c r="J13" s="71" t="s">
        <v>36</v>
      </c>
      <c r="K13" s="119" t="s">
        <v>37</v>
      </c>
      <c r="L13" s="111"/>
    </row>
    <row r="14" spans="1:12" s="22" customFormat="1" ht="40.9" customHeight="1" x14ac:dyDescent="0.25">
      <c r="A14" s="186" t="s">
        <v>2678</v>
      </c>
      <c r="B14" s="96" t="s">
        <v>48</v>
      </c>
      <c r="C14" s="32" t="s">
        <v>49</v>
      </c>
      <c r="D14" s="7" t="s">
        <v>43</v>
      </c>
      <c r="E14" s="41">
        <v>216</v>
      </c>
      <c r="F14" s="71">
        <v>185818.23999999999</v>
      </c>
      <c r="G14" s="71">
        <v>0</v>
      </c>
      <c r="H14" s="71">
        <v>40136739.839999996</v>
      </c>
      <c r="I14" s="102">
        <v>0</v>
      </c>
      <c r="J14" s="71" t="s">
        <v>36</v>
      </c>
      <c r="K14" s="119" t="s">
        <v>37</v>
      </c>
      <c r="L14" s="111"/>
    </row>
    <row r="15" spans="1:12" s="22" customFormat="1" ht="40.9" customHeight="1" x14ac:dyDescent="0.25">
      <c r="A15" s="186" t="s">
        <v>2678</v>
      </c>
      <c r="B15" s="96" t="s">
        <v>50</v>
      </c>
      <c r="C15" s="32" t="s">
        <v>51</v>
      </c>
      <c r="D15" s="7" t="s">
        <v>43</v>
      </c>
      <c r="E15" s="41">
        <v>80</v>
      </c>
      <c r="F15" s="71">
        <v>156168.34</v>
      </c>
      <c r="G15" s="71">
        <v>0</v>
      </c>
      <c r="H15" s="71">
        <v>12493467.199999999</v>
      </c>
      <c r="I15" s="102">
        <v>0</v>
      </c>
      <c r="J15" s="71" t="s">
        <v>36</v>
      </c>
      <c r="K15" s="119" t="s">
        <v>37</v>
      </c>
      <c r="L15" s="111"/>
    </row>
    <row r="16" spans="1:12" s="22" customFormat="1" ht="40.9" customHeight="1" x14ac:dyDescent="0.25">
      <c r="A16" s="186" t="s">
        <v>2678</v>
      </c>
      <c r="B16" s="96" t="s">
        <v>52</v>
      </c>
      <c r="C16" s="32" t="s">
        <v>53</v>
      </c>
      <c r="D16" s="7" t="s">
        <v>40</v>
      </c>
      <c r="E16" s="41">
        <v>120</v>
      </c>
      <c r="F16" s="71">
        <v>28703.84</v>
      </c>
      <c r="G16" s="71">
        <v>0</v>
      </c>
      <c r="H16" s="71">
        <v>3444460.8</v>
      </c>
      <c r="I16" s="102">
        <v>0</v>
      </c>
      <c r="J16" s="71" t="s">
        <v>36</v>
      </c>
      <c r="K16" s="119" t="s">
        <v>37</v>
      </c>
      <c r="L16" s="111"/>
    </row>
    <row r="17" spans="1:12" s="22" customFormat="1" ht="40.9" customHeight="1" x14ac:dyDescent="0.25">
      <c r="A17" s="186" t="s">
        <v>2678</v>
      </c>
      <c r="B17" s="96" t="s">
        <v>54</v>
      </c>
      <c r="C17" s="32" t="s">
        <v>55</v>
      </c>
      <c r="D17" s="7" t="s">
        <v>40</v>
      </c>
      <c r="E17" s="41">
        <v>90</v>
      </c>
      <c r="F17" s="71">
        <v>54214.53</v>
      </c>
      <c r="G17" s="71">
        <v>0</v>
      </c>
      <c r="H17" s="71">
        <v>4879307.7</v>
      </c>
      <c r="I17" s="102">
        <v>0</v>
      </c>
      <c r="J17" s="71" t="s">
        <v>36</v>
      </c>
      <c r="K17" s="119" t="s">
        <v>37</v>
      </c>
      <c r="L17" s="111"/>
    </row>
    <row r="18" spans="1:12" s="22" customFormat="1" ht="40.9" customHeight="1" x14ac:dyDescent="0.25">
      <c r="A18" s="186" t="s">
        <v>2678</v>
      </c>
      <c r="B18" s="96" t="s">
        <v>56</v>
      </c>
      <c r="C18" s="32" t="s">
        <v>57</v>
      </c>
      <c r="D18" s="7" t="s">
        <v>40</v>
      </c>
      <c r="E18" s="41">
        <v>78</v>
      </c>
      <c r="F18" s="71">
        <v>88834.15</v>
      </c>
      <c r="G18" s="71">
        <v>0</v>
      </c>
      <c r="H18" s="71">
        <v>6929063.6999999993</v>
      </c>
      <c r="I18" s="102">
        <v>0</v>
      </c>
      <c r="J18" s="71" t="s">
        <v>36</v>
      </c>
      <c r="K18" s="119" t="s">
        <v>37</v>
      </c>
      <c r="L18" s="111"/>
    </row>
    <row r="19" spans="1:12" s="22" customFormat="1" ht="40.9" customHeight="1" x14ac:dyDescent="0.25">
      <c r="A19" s="186" t="s">
        <v>2678</v>
      </c>
      <c r="B19" s="98" t="s">
        <v>58</v>
      </c>
      <c r="C19" s="32" t="s">
        <v>59</v>
      </c>
      <c r="D19" s="7" t="s">
        <v>40</v>
      </c>
      <c r="E19" s="41">
        <v>220</v>
      </c>
      <c r="F19" s="71">
        <v>90858.46</v>
      </c>
      <c r="G19" s="71">
        <v>0</v>
      </c>
      <c r="H19" s="71">
        <v>19988861.200000003</v>
      </c>
      <c r="I19" s="102">
        <v>0</v>
      </c>
      <c r="J19" s="71" t="s">
        <v>36</v>
      </c>
      <c r="K19" s="119" t="s">
        <v>37</v>
      </c>
      <c r="L19" s="111"/>
    </row>
    <row r="20" spans="1:12" s="22" customFormat="1" ht="40.9" customHeight="1" x14ac:dyDescent="0.25">
      <c r="A20" s="186" t="s">
        <v>2678</v>
      </c>
      <c r="B20" s="96" t="s">
        <v>60</v>
      </c>
      <c r="C20" s="32" t="s">
        <v>61</v>
      </c>
      <c r="D20" s="7" t="s">
        <v>43</v>
      </c>
      <c r="E20" s="41">
        <v>60</v>
      </c>
      <c r="F20" s="71">
        <v>138260.93</v>
      </c>
      <c r="G20" s="71">
        <v>0</v>
      </c>
      <c r="H20" s="71">
        <v>8295655.7999999998</v>
      </c>
      <c r="I20" s="102">
        <v>0</v>
      </c>
      <c r="J20" s="71" t="s">
        <v>36</v>
      </c>
      <c r="K20" s="119" t="s">
        <v>37</v>
      </c>
      <c r="L20" s="111"/>
    </row>
    <row r="21" spans="1:12" s="22" customFormat="1" ht="40.9" customHeight="1" x14ac:dyDescent="0.25">
      <c r="A21" s="186" t="s">
        <v>2678</v>
      </c>
      <c r="B21" s="96" t="s">
        <v>62</v>
      </c>
      <c r="C21" s="32" t="s">
        <v>63</v>
      </c>
      <c r="D21" s="7" t="s">
        <v>40</v>
      </c>
      <c r="E21" s="41">
        <v>100</v>
      </c>
      <c r="F21" s="71">
        <v>58838.41</v>
      </c>
      <c r="G21" s="71">
        <v>0</v>
      </c>
      <c r="H21" s="71">
        <v>5883841</v>
      </c>
      <c r="I21" s="102">
        <v>0</v>
      </c>
      <c r="J21" s="71" t="s">
        <v>36</v>
      </c>
      <c r="K21" s="119" t="s">
        <v>37</v>
      </c>
      <c r="L21" s="111"/>
    </row>
    <row r="22" spans="1:12" s="22" customFormat="1" ht="40.9" customHeight="1" x14ac:dyDescent="0.25">
      <c r="A22" s="186" t="s">
        <v>2678</v>
      </c>
      <c r="B22" s="97" t="s">
        <v>64</v>
      </c>
      <c r="C22" s="32" t="s">
        <v>65</v>
      </c>
      <c r="D22" s="7" t="s">
        <v>43</v>
      </c>
      <c r="E22" s="41">
        <v>52</v>
      </c>
      <c r="F22" s="71">
        <v>180240.79</v>
      </c>
      <c r="G22" s="71">
        <v>0</v>
      </c>
      <c r="H22" s="71">
        <v>9372521.0800000001</v>
      </c>
      <c r="I22" s="102">
        <v>0</v>
      </c>
      <c r="J22" s="71" t="s">
        <v>36</v>
      </c>
      <c r="K22" s="119" t="s">
        <v>37</v>
      </c>
      <c r="L22" s="111"/>
    </row>
    <row r="23" spans="1:12" s="22" customFormat="1" ht="40.9" customHeight="1" x14ac:dyDescent="0.25">
      <c r="A23" s="186" t="s">
        <v>2678</v>
      </c>
      <c r="B23" s="96" t="s">
        <v>66</v>
      </c>
      <c r="C23" s="32" t="s">
        <v>67</v>
      </c>
      <c r="D23" s="7" t="s">
        <v>43</v>
      </c>
      <c r="E23" s="41">
        <v>40</v>
      </c>
      <c r="F23" s="71">
        <v>181205.36</v>
      </c>
      <c r="G23" s="71">
        <v>0</v>
      </c>
      <c r="H23" s="71">
        <v>7248214.3999999994</v>
      </c>
      <c r="I23" s="102">
        <v>0</v>
      </c>
      <c r="J23" s="71" t="s">
        <v>36</v>
      </c>
      <c r="K23" s="119" t="s">
        <v>37</v>
      </c>
      <c r="L23" s="111"/>
    </row>
    <row r="24" spans="1:12" s="22" customFormat="1" ht="40.9" customHeight="1" x14ac:dyDescent="0.25">
      <c r="A24" s="186" t="s">
        <v>2678</v>
      </c>
      <c r="B24" s="96" t="s">
        <v>68</v>
      </c>
      <c r="C24" s="32" t="s">
        <v>69</v>
      </c>
      <c r="D24" s="7" t="s">
        <v>40</v>
      </c>
      <c r="E24" s="41">
        <v>50</v>
      </c>
      <c r="F24" s="71">
        <v>71624.929999999993</v>
      </c>
      <c r="G24" s="71">
        <v>0</v>
      </c>
      <c r="H24" s="71">
        <v>3581246.4999999995</v>
      </c>
      <c r="I24" s="102">
        <v>0</v>
      </c>
      <c r="J24" s="71" t="s">
        <v>36</v>
      </c>
      <c r="K24" s="119" t="s">
        <v>37</v>
      </c>
      <c r="L24" s="112"/>
    </row>
    <row r="25" spans="1:12" s="22" customFormat="1" ht="40.9" customHeight="1" x14ac:dyDescent="0.25">
      <c r="A25" s="186" t="s">
        <v>2678</v>
      </c>
      <c r="B25" s="96"/>
      <c r="C25" s="34" t="s">
        <v>70</v>
      </c>
      <c r="D25" s="7"/>
      <c r="E25" s="41"/>
      <c r="F25" s="71"/>
      <c r="G25" s="71"/>
      <c r="H25" s="71"/>
      <c r="I25" s="102"/>
      <c r="J25" s="34"/>
      <c r="K25" s="110"/>
      <c r="L25" s="112"/>
    </row>
    <row r="26" spans="1:12" s="22" customFormat="1" ht="40.9" customHeight="1" x14ac:dyDescent="0.25">
      <c r="A26" s="186" t="s">
        <v>2678</v>
      </c>
      <c r="B26" s="96" t="s">
        <v>71</v>
      </c>
      <c r="C26" s="32" t="s">
        <v>72</v>
      </c>
      <c r="D26" s="7" t="s">
        <v>43</v>
      </c>
      <c r="E26" s="41">
        <v>44</v>
      </c>
      <c r="F26" s="71">
        <v>366949.19</v>
      </c>
      <c r="G26" s="71">
        <v>0</v>
      </c>
      <c r="H26" s="71">
        <v>16145764.359999999</v>
      </c>
      <c r="I26" s="102">
        <v>0</v>
      </c>
      <c r="J26" s="71" t="s">
        <v>36</v>
      </c>
      <c r="K26" s="119" t="s">
        <v>70</v>
      </c>
      <c r="L26" s="111"/>
    </row>
    <row r="27" spans="1:12" s="22" customFormat="1" ht="40.9" customHeight="1" x14ac:dyDescent="0.25">
      <c r="A27" s="186" t="s">
        <v>2678</v>
      </c>
      <c r="B27" s="96" t="s">
        <v>73</v>
      </c>
      <c r="C27" s="32" t="s">
        <v>67</v>
      </c>
      <c r="D27" s="7" t="s">
        <v>43</v>
      </c>
      <c r="E27" s="41">
        <v>70</v>
      </c>
      <c r="F27" s="71">
        <v>363540.99</v>
      </c>
      <c r="G27" s="71">
        <v>0</v>
      </c>
      <c r="H27" s="71">
        <v>25447869.300000001</v>
      </c>
      <c r="I27" s="102">
        <v>0</v>
      </c>
      <c r="J27" s="71" t="s">
        <v>36</v>
      </c>
      <c r="K27" s="119" t="s">
        <v>70</v>
      </c>
      <c r="L27" s="111"/>
    </row>
    <row r="28" spans="1:12" s="22" customFormat="1" ht="40.9" customHeight="1" x14ac:dyDescent="0.25">
      <c r="A28" s="186" t="s">
        <v>2678</v>
      </c>
      <c r="B28" s="96"/>
      <c r="C28" s="34" t="s">
        <v>74</v>
      </c>
      <c r="D28" s="7"/>
      <c r="E28" s="41"/>
      <c r="F28" s="71"/>
      <c r="G28" s="71"/>
      <c r="H28" s="71"/>
      <c r="I28" s="102"/>
      <c r="J28" s="34"/>
      <c r="K28" s="110"/>
      <c r="L28" s="74"/>
    </row>
    <row r="29" spans="1:12" s="22" customFormat="1" ht="40.9" customHeight="1" x14ac:dyDescent="0.25">
      <c r="A29" s="186" t="s">
        <v>2678</v>
      </c>
      <c r="B29" s="96" t="s">
        <v>75</v>
      </c>
      <c r="C29" s="32" t="s">
        <v>53</v>
      </c>
      <c r="D29" s="7" t="s">
        <v>43</v>
      </c>
      <c r="E29" s="41">
        <v>54</v>
      </c>
      <c r="F29" s="71">
        <v>167321.43</v>
      </c>
      <c r="G29" s="71">
        <v>0</v>
      </c>
      <c r="H29" s="71">
        <v>9035357.2199999988</v>
      </c>
      <c r="I29" s="102">
        <v>0</v>
      </c>
      <c r="J29" s="71" t="s">
        <v>36</v>
      </c>
      <c r="K29" s="34" t="s">
        <v>74</v>
      </c>
      <c r="L29" s="34"/>
    </row>
    <row r="30" spans="1:12" s="22" customFormat="1" ht="40.9" customHeight="1" x14ac:dyDescent="0.25">
      <c r="A30" s="186" t="s">
        <v>2678</v>
      </c>
      <c r="B30" s="96" t="s">
        <v>76</v>
      </c>
      <c r="C30" s="32" t="s">
        <v>55</v>
      </c>
      <c r="D30" s="7" t="s">
        <v>43</v>
      </c>
      <c r="E30" s="41">
        <v>54</v>
      </c>
      <c r="F30" s="71">
        <v>277345.91999999998</v>
      </c>
      <c r="G30" s="71">
        <v>0</v>
      </c>
      <c r="H30" s="71">
        <v>14976679.68</v>
      </c>
      <c r="I30" s="102">
        <v>0</v>
      </c>
      <c r="J30" s="71" t="s">
        <v>36</v>
      </c>
      <c r="K30" s="34" t="s">
        <v>74</v>
      </c>
      <c r="L30" s="34"/>
    </row>
    <row r="31" spans="1:12" s="22" customFormat="1" ht="40.9" customHeight="1" x14ac:dyDescent="0.25">
      <c r="A31" s="186" t="s">
        <v>2678</v>
      </c>
      <c r="B31" s="96"/>
      <c r="C31" s="34" t="s">
        <v>77</v>
      </c>
      <c r="D31" s="7"/>
      <c r="E31" s="41"/>
      <c r="F31" s="71"/>
      <c r="G31" s="71"/>
      <c r="H31" s="71"/>
      <c r="I31" s="102"/>
      <c r="J31" s="34"/>
      <c r="K31" s="110"/>
      <c r="L31" s="74"/>
    </row>
    <row r="32" spans="1:12" s="22" customFormat="1" ht="40.9" customHeight="1" x14ac:dyDescent="0.25">
      <c r="A32" s="186" t="s">
        <v>2678</v>
      </c>
      <c r="B32" s="97" t="s">
        <v>78</v>
      </c>
      <c r="C32" s="32" t="s">
        <v>79</v>
      </c>
      <c r="D32" s="7" t="s">
        <v>40</v>
      </c>
      <c r="E32" s="41">
        <v>60</v>
      </c>
      <c r="F32" s="71">
        <v>863.63</v>
      </c>
      <c r="G32" s="71">
        <v>746.25</v>
      </c>
      <c r="H32" s="71">
        <v>51817.8</v>
      </c>
      <c r="I32" s="102">
        <v>44775</v>
      </c>
      <c r="J32" s="71" t="s">
        <v>36</v>
      </c>
      <c r="K32" s="34" t="s">
        <v>77</v>
      </c>
      <c r="L32" s="34"/>
    </row>
    <row r="33" spans="1:12" s="22" customFormat="1" ht="40.9" customHeight="1" x14ac:dyDescent="0.25">
      <c r="A33" s="186" t="s">
        <v>2678</v>
      </c>
      <c r="B33" s="96" t="s">
        <v>80</v>
      </c>
      <c r="C33" s="32" t="s">
        <v>81</v>
      </c>
      <c r="D33" s="7" t="s">
        <v>40</v>
      </c>
      <c r="E33" s="41">
        <v>318</v>
      </c>
      <c r="F33" s="71">
        <v>2204.09</v>
      </c>
      <c r="G33" s="71">
        <v>995</v>
      </c>
      <c r="H33" s="71">
        <v>700900.62</v>
      </c>
      <c r="I33" s="102">
        <v>316410</v>
      </c>
      <c r="J33" s="71" t="s">
        <v>36</v>
      </c>
      <c r="K33" s="34" t="s">
        <v>77</v>
      </c>
      <c r="L33" s="34"/>
    </row>
    <row r="34" spans="1:12" s="22" customFormat="1" ht="40.9" customHeight="1" x14ac:dyDescent="0.25">
      <c r="A34" s="186" t="s">
        <v>2678</v>
      </c>
      <c r="B34" s="96"/>
      <c r="C34" s="34" t="s">
        <v>82</v>
      </c>
      <c r="D34" s="7"/>
      <c r="E34" s="41"/>
      <c r="F34" s="71"/>
      <c r="G34" s="71"/>
      <c r="H34" s="71"/>
      <c r="I34" s="102"/>
      <c r="J34" s="34"/>
      <c r="K34" s="110"/>
      <c r="L34" s="74"/>
    </row>
    <row r="35" spans="1:12" s="22" customFormat="1" ht="40.9" customHeight="1" x14ac:dyDescent="0.25">
      <c r="A35" s="186" t="s">
        <v>2678</v>
      </c>
      <c r="B35" s="96" t="s">
        <v>83</v>
      </c>
      <c r="C35" s="32" t="s">
        <v>84</v>
      </c>
      <c r="D35" s="7" t="s">
        <v>40</v>
      </c>
      <c r="E35" s="41">
        <v>162</v>
      </c>
      <c r="F35" s="71">
        <v>914.89</v>
      </c>
      <c r="G35" s="71">
        <v>0</v>
      </c>
      <c r="H35" s="71">
        <v>148212.18</v>
      </c>
      <c r="I35" s="102">
        <v>0</v>
      </c>
      <c r="J35" s="71" t="s">
        <v>36</v>
      </c>
      <c r="K35" s="34" t="s">
        <v>82</v>
      </c>
      <c r="L35" s="34"/>
    </row>
    <row r="36" spans="1:12" s="22" customFormat="1" ht="40.9" customHeight="1" x14ac:dyDescent="0.25">
      <c r="A36" s="186" t="s">
        <v>2678</v>
      </c>
      <c r="B36" s="96" t="s">
        <v>85</v>
      </c>
      <c r="C36" s="32" t="s">
        <v>86</v>
      </c>
      <c r="D36" s="7" t="s">
        <v>40</v>
      </c>
      <c r="E36" s="41">
        <v>50</v>
      </c>
      <c r="F36" s="71">
        <v>996.14</v>
      </c>
      <c r="G36" s="71">
        <v>0</v>
      </c>
      <c r="H36" s="71">
        <v>49807</v>
      </c>
      <c r="I36" s="102">
        <v>0</v>
      </c>
      <c r="J36" s="71" t="s">
        <v>36</v>
      </c>
      <c r="K36" s="34" t="s">
        <v>82</v>
      </c>
      <c r="L36" s="34"/>
    </row>
    <row r="37" spans="1:12" s="22" customFormat="1" ht="40.9" customHeight="1" x14ac:dyDescent="0.25">
      <c r="A37" s="186" t="s">
        <v>2678</v>
      </c>
      <c r="B37" s="96" t="s">
        <v>87</v>
      </c>
      <c r="C37" s="32" t="s">
        <v>88</v>
      </c>
      <c r="D37" s="7" t="s">
        <v>40</v>
      </c>
      <c r="E37" s="41">
        <v>400</v>
      </c>
      <c r="F37" s="71">
        <v>1041.3</v>
      </c>
      <c r="G37" s="71">
        <v>0</v>
      </c>
      <c r="H37" s="71">
        <v>416520</v>
      </c>
      <c r="I37" s="102">
        <v>0</v>
      </c>
      <c r="J37" s="71" t="s">
        <v>36</v>
      </c>
      <c r="K37" s="34" t="s">
        <v>82</v>
      </c>
      <c r="L37" s="34"/>
    </row>
    <row r="38" spans="1:12" s="22" customFormat="1" ht="40.9" customHeight="1" x14ac:dyDescent="0.25">
      <c r="A38" s="186" t="s">
        <v>2678</v>
      </c>
      <c r="B38" s="96" t="s">
        <v>89</v>
      </c>
      <c r="C38" s="32" t="s">
        <v>90</v>
      </c>
      <c r="D38" s="7" t="s">
        <v>40</v>
      </c>
      <c r="E38" s="41">
        <v>245.1</v>
      </c>
      <c r="F38" s="71">
        <v>1557.8</v>
      </c>
      <c r="G38" s="71">
        <v>0</v>
      </c>
      <c r="H38" s="71">
        <v>381816.77999999997</v>
      </c>
      <c r="I38" s="102">
        <v>0</v>
      </c>
      <c r="J38" s="71" t="s">
        <v>36</v>
      </c>
      <c r="K38" s="34" t="s">
        <v>82</v>
      </c>
      <c r="L38" s="34"/>
    </row>
    <row r="39" spans="1:12" s="22" customFormat="1" ht="40.9" customHeight="1" x14ac:dyDescent="0.25">
      <c r="A39" s="186" t="s">
        <v>2678</v>
      </c>
      <c r="B39" s="98" t="s">
        <v>91</v>
      </c>
      <c r="C39" s="32" t="s">
        <v>92</v>
      </c>
      <c r="D39" s="7" t="s">
        <v>40</v>
      </c>
      <c r="E39" s="41">
        <v>136</v>
      </c>
      <c r="F39" s="71">
        <v>2976.09</v>
      </c>
      <c r="G39" s="71">
        <v>0</v>
      </c>
      <c r="H39" s="71">
        <v>404748.24</v>
      </c>
      <c r="I39" s="102">
        <v>0</v>
      </c>
      <c r="J39" s="71" t="s">
        <v>36</v>
      </c>
      <c r="K39" s="34" t="s">
        <v>82</v>
      </c>
      <c r="L39" s="34"/>
    </row>
    <row r="40" spans="1:12" s="22" customFormat="1" ht="40.9" customHeight="1" x14ac:dyDescent="0.25">
      <c r="A40" s="186" t="s">
        <v>2678</v>
      </c>
      <c r="B40" s="96" t="s">
        <v>93</v>
      </c>
      <c r="C40" s="32" t="s">
        <v>94</v>
      </c>
      <c r="D40" s="7" t="s">
        <v>40</v>
      </c>
      <c r="E40" s="41">
        <v>500</v>
      </c>
      <c r="F40" s="71">
        <v>3089.83</v>
      </c>
      <c r="G40" s="71">
        <v>0</v>
      </c>
      <c r="H40" s="71">
        <v>1544915</v>
      </c>
      <c r="I40" s="102">
        <v>0</v>
      </c>
      <c r="J40" s="71" t="s">
        <v>36</v>
      </c>
      <c r="K40" s="34" t="s">
        <v>82</v>
      </c>
      <c r="L40" s="34"/>
    </row>
    <row r="41" spans="1:12" s="22" customFormat="1" ht="40.9" customHeight="1" x14ac:dyDescent="0.25">
      <c r="A41" s="186" t="s">
        <v>2678</v>
      </c>
      <c r="B41" s="96" t="s">
        <v>95</v>
      </c>
      <c r="C41" s="32" t="s">
        <v>96</v>
      </c>
      <c r="D41" s="7" t="s">
        <v>40</v>
      </c>
      <c r="E41" s="41">
        <v>240</v>
      </c>
      <c r="F41" s="71">
        <v>3580.09</v>
      </c>
      <c r="G41" s="71">
        <v>0</v>
      </c>
      <c r="H41" s="71">
        <v>859221.60000000009</v>
      </c>
      <c r="I41" s="102">
        <v>0</v>
      </c>
      <c r="J41" s="71" t="s">
        <v>36</v>
      </c>
      <c r="K41" s="34" t="s">
        <v>82</v>
      </c>
      <c r="L41" s="34"/>
    </row>
    <row r="42" spans="1:12" s="22" customFormat="1" ht="40.9" customHeight="1" x14ac:dyDescent="0.25">
      <c r="A42" s="186" t="s">
        <v>2678</v>
      </c>
      <c r="B42" s="97" t="s">
        <v>97</v>
      </c>
      <c r="C42" s="32" t="s">
        <v>98</v>
      </c>
      <c r="D42" s="7" t="s">
        <v>40</v>
      </c>
      <c r="E42" s="41">
        <v>50</v>
      </c>
      <c r="F42" s="71">
        <v>3976.13</v>
      </c>
      <c r="G42" s="71">
        <v>0</v>
      </c>
      <c r="H42" s="71">
        <v>198806.5</v>
      </c>
      <c r="I42" s="102">
        <v>0</v>
      </c>
      <c r="J42" s="71" t="s">
        <v>36</v>
      </c>
      <c r="K42" s="34" t="s">
        <v>82</v>
      </c>
      <c r="L42" s="34"/>
    </row>
    <row r="43" spans="1:12" s="22" customFormat="1" ht="40.9" customHeight="1" x14ac:dyDescent="0.25">
      <c r="A43" s="186" t="s">
        <v>2678</v>
      </c>
      <c r="B43" s="96" t="s">
        <v>99</v>
      </c>
      <c r="C43" s="32" t="s">
        <v>100</v>
      </c>
      <c r="D43" s="7" t="s">
        <v>40</v>
      </c>
      <c r="E43" s="41">
        <v>300</v>
      </c>
      <c r="F43" s="71">
        <v>3359.09</v>
      </c>
      <c r="G43" s="71">
        <v>0</v>
      </c>
      <c r="H43" s="71">
        <v>1007727</v>
      </c>
      <c r="I43" s="102">
        <v>0</v>
      </c>
      <c r="J43" s="71" t="s">
        <v>36</v>
      </c>
      <c r="K43" s="34" t="s">
        <v>82</v>
      </c>
      <c r="L43" s="34"/>
    </row>
    <row r="44" spans="1:12" s="22" customFormat="1" ht="40.9" customHeight="1" x14ac:dyDescent="0.25">
      <c r="A44" s="186" t="s">
        <v>2678</v>
      </c>
      <c r="B44" s="96" t="s">
        <v>101</v>
      </c>
      <c r="C44" s="32" t="s">
        <v>102</v>
      </c>
      <c r="D44" s="7" t="s">
        <v>40</v>
      </c>
      <c r="E44" s="41">
        <v>100</v>
      </c>
      <c r="F44" s="71">
        <v>3253.84</v>
      </c>
      <c r="G44" s="71">
        <v>0</v>
      </c>
      <c r="H44" s="71">
        <v>325384</v>
      </c>
      <c r="I44" s="102">
        <v>0</v>
      </c>
      <c r="J44" s="71" t="s">
        <v>36</v>
      </c>
      <c r="K44" s="34" t="s">
        <v>82</v>
      </c>
      <c r="L44" s="34"/>
    </row>
    <row r="45" spans="1:12" s="22" customFormat="1" ht="40.9" customHeight="1" x14ac:dyDescent="0.25">
      <c r="A45" s="186" t="s">
        <v>2678</v>
      </c>
      <c r="B45" s="96" t="s">
        <v>103</v>
      </c>
      <c r="C45" s="32" t="s">
        <v>104</v>
      </c>
      <c r="D45" s="7" t="s">
        <v>40</v>
      </c>
      <c r="E45" s="41">
        <v>180</v>
      </c>
      <c r="F45" s="71">
        <v>4697.66</v>
      </c>
      <c r="G45" s="71">
        <v>0</v>
      </c>
      <c r="H45" s="71">
        <v>845578.79999999993</v>
      </c>
      <c r="I45" s="102">
        <v>0</v>
      </c>
      <c r="J45" s="71" t="s">
        <v>36</v>
      </c>
      <c r="K45" s="34" t="s">
        <v>82</v>
      </c>
      <c r="L45" s="34"/>
    </row>
    <row r="46" spans="1:12" s="22" customFormat="1" ht="40.9" customHeight="1" x14ac:dyDescent="0.25">
      <c r="A46" s="186" t="s">
        <v>2678</v>
      </c>
      <c r="B46" s="96" t="s">
        <v>105</v>
      </c>
      <c r="C46" s="32" t="s">
        <v>106</v>
      </c>
      <c r="D46" s="7" t="s">
        <v>40</v>
      </c>
      <c r="E46" s="41">
        <v>228</v>
      </c>
      <c r="F46" s="71">
        <v>5576.7</v>
      </c>
      <c r="G46" s="71">
        <v>0</v>
      </c>
      <c r="H46" s="71">
        <v>1271487.5999999999</v>
      </c>
      <c r="I46" s="102">
        <v>0</v>
      </c>
      <c r="J46" s="71" t="s">
        <v>36</v>
      </c>
      <c r="K46" s="34" t="s">
        <v>82</v>
      </c>
      <c r="L46" s="34"/>
    </row>
    <row r="47" spans="1:12" s="22" customFormat="1" ht="40.9" customHeight="1" x14ac:dyDescent="0.25">
      <c r="A47" s="186" t="s">
        <v>2678</v>
      </c>
      <c r="B47" s="96" t="s">
        <v>107</v>
      </c>
      <c r="C47" s="32" t="s">
        <v>108</v>
      </c>
      <c r="D47" s="7" t="s">
        <v>40</v>
      </c>
      <c r="E47" s="41">
        <v>40</v>
      </c>
      <c r="F47" s="71">
        <v>7040.53</v>
      </c>
      <c r="G47" s="71">
        <v>0</v>
      </c>
      <c r="H47" s="71">
        <v>281621.2</v>
      </c>
      <c r="I47" s="102">
        <v>0</v>
      </c>
      <c r="J47" s="71" t="s">
        <v>36</v>
      </c>
      <c r="K47" s="34" t="s">
        <v>82</v>
      </c>
      <c r="L47" s="34"/>
    </row>
    <row r="48" spans="1:12" s="22" customFormat="1" ht="40.9" customHeight="1" x14ac:dyDescent="0.25">
      <c r="A48" s="186" t="s">
        <v>2678</v>
      </c>
      <c r="B48" s="96" t="s">
        <v>109</v>
      </c>
      <c r="C48" s="32" t="s">
        <v>110</v>
      </c>
      <c r="D48" s="7" t="s">
        <v>40</v>
      </c>
      <c r="E48" s="41">
        <v>180</v>
      </c>
      <c r="F48" s="71">
        <v>5573.69</v>
      </c>
      <c r="G48" s="71">
        <v>0</v>
      </c>
      <c r="H48" s="71">
        <v>1003264.2</v>
      </c>
      <c r="I48" s="102">
        <v>0</v>
      </c>
      <c r="J48" s="71" t="s">
        <v>36</v>
      </c>
      <c r="K48" s="34" t="s">
        <v>82</v>
      </c>
      <c r="L48" s="34"/>
    </row>
    <row r="49" spans="1:12" s="22" customFormat="1" ht="40.9" customHeight="1" x14ac:dyDescent="0.25">
      <c r="A49" s="186" t="s">
        <v>2678</v>
      </c>
      <c r="B49" s="96" t="s">
        <v>111</v>
      </c>
      <c r="C49" s="32" t="s">
        <v>112</v>
      </c>
      <c r="D49" s="7" t="s">
        <v>40</v>
      </c>
      <c r="E49" s="41">
        <v>198</v>
      </c>
      <c r="F49" s="71">
        <v>8495.0499999999993</v>
      </c>
      <c r="G49" s="71">
        <v>0</v>
      </c>
      <c r="H49" s="71">
        <v>1682019.9</v>
      </c>
      <c r="I49" s="102">
        <v>0</v>
      </c>
      <c r="J49" s="71" t="s">
        <v>36</v>
      </c>
      <c r="K49" s="34" t="s">
        <v>82</v>
      </c>
      <c r="L49" s="34"/>
    </row>
    <row r="50" spans="1:12" s="22" customFormat="1" ht="40.9" customHeight="1" x14ac:dyDescent="0.25">
      <c r="A50" s="186" t="s">
        <v>2678</v>
      </c>
      <c r="B50" s="96" t="s">
        <v>113</v>
      </c>
      <c r="C50" s="32" t="s">
        <v>114</v>
      </c>
      <c r="D50" s="7" t="s">
        <v>40</v>
      </c>
      <c r="E50" s="41">
        <v>240</v>
      </c>
      <c r="F50" s="71">
        <v>12405.5</v>
      </c>
      <c r="G50" s="71">
        <v>0</v>
      </c>
      <c r="H50" s="71">
        <v>2977320</v>
      </c>
      <c r="I50" s="102">
        <v>0</v>
      </c>
      <c r="J50" s="71" t="s">
        <v>36</v>
      </c>
      <c r="K50" s="34" t="s">
        <v>82</v>
      </c>
      <c r="L50" s="34"/>
    </row>
    <row r="51" spans="1:12" s="22" customFormat="1" ht="40.9" customHeight="1" x14ac:dyDescent="0.25">
      <c r="A51" s="186" t="s">
        <v>2678</v>
      </c>
      <c r="B51" s="96" t="s">
        <v>115</v>
      </c>
      <c r="C51" s="32" t="s">
        <v>116</v>
      </c>
      <c r="D51" s="7" t="s">
        <v>40</v>
      </c>
      <c r="E51" s="41">
        <v>240</v>
      </c>
      <c r="F51" s="71">
        <v>8562.1299999999992</v>
      </c>
      <c r="G51" s="71">
        <v>0</v>
      </c>
      <c r="H51" s="71">
        <v>2054911.1999999997</v>
      </c>
      <c r="I51" s="102">
        <v>0</v>
      </c>
      <c r="J51" s="71" t="s">
        <v>36</v>
      </c>
      <c r="K51" s="34" t="s">
        <v>82</v>
      </c>
      <c r="L51" s="34"/>
    </row>
    <row r="52" spans="1:12" s="22" customFormat="1" ht="40.9" customHeight="1" x14ac:dyDescent="0.25">
      <c r="A52" s="186" t="s">
        <v>2678</v>
      </c>
      <c r="B52" s="97" t="s">
        <v>117</v>
      </c>
      <c r="C52" s="33" t="s">
        <v>39</v>
      </c>
      <c r="D52" s="7" t="s">
        <v>40</v>
      </c>
      <c r="E52" s="41">
        <v>200</v>
      </c>
      <c r="F52" s="71">
        <v>11813.3</v>
      </c>
      <c r="G52" s="71">
        <v>0</v>
      </c>
      <c r="H52" s="71">
        <v>2362660</v>
      </c>
      <c r="I52" s="102">
        <v>0</v>
      </c>
      <c r="J52" s="71" t="s">
        <v>36</v>
      </c>
      <c r="K52" s="34" t="s">
        <v>82</v>
      </c>
      <c r="L52" s="34"/>
    </row>
    <row r="53" spans="1:12" s="22" customFormat="1" ht="40.9" customHeight="1" x14ac:dyDescent="0.25">
      <c r="A53" s="186" t="s">
        <v>2678</v>
      </c>
      <c r="B53" s="96" t="s">
        <v>118</v>
      </c>
      <c r="C53" s="33" t="s">
        <v>119</v>
      </c>
      <c r="D53" s="7" t="s">
        <v>40</v>
      </c>
      <c r="E53" s="41">
        <v>200</v>
      </c>
      <c r="F53" s="71">
        <v>16523.04</v>
      </c>
      <c r="G53" s="71">
        <v>0</v>
      </c>
      <c r="H53" s="71">
        <v>3304608</v>
      </c>
      <c r="I53" s="102">
        <v>0</v>
      </c>
      <c r="J53" s="71" t="s">
        <v>36</v>
      </c>
      <c r="K53" s="34" t="s">
        <v>82</v>
      </c>
      <c r="L53" s="34"/>
    </row>
    <row r="54" spans="1:12" s="22" customFormat="1" ht="40.9" customHeight="1" x14ac:dyDescent="0.25">
      <c r="A54" s="186" t="s">
        <v>2678</v>
      </c>
      <c r="B54" s="96" t="s">
        <v>120</v>
      </c>
      <c r="C54" s="33" t="s">
        <v>42</v>
      </c>
      <c r="D54" s="7" t="s">
        <v>40</v>
      </c>
      <c r="E54" s="41">
        <v>72</v>
      </c>
      <c r="F54" s="71">
        <v>11519.44</v>
      </c>
      <c r="G54" s="71">
        <v>0</v>
      </c>
      <c r="H54" s="71">
        <v>829399.68</v>
      </c>
      <c r="I54" s="102">
        <v>0</v>
      </c>
      <c r="J54" s="71" t="s">
        <v>36</v>
      </c>
      <c r="K54" s="34" t="s">
        <v>82</v>
      </c>
      <c r="L54" s="34"/>
    </row>
    <row r="55" spans="1:12" s="22" customFormat="1" ht="40.9" customHeight="1" x14ac:dyDescent="0.25">
      <c r="A55" s="186" t="s">
        <v>2678</v>
      </c>
      <c r="B55" s="96" t="s">
        <v>121</v>
      </c>
      <c r="C55" s="33" t="s">
        <v>122</v>
      </c>
      <c r="D55" s="7" t="s">
        <v>40</v>
      </c>
      <c r="E55" s="41">
        <v>110</v>
      </c>
      <c r="F55" s="71">
        <v>54085.440000000002</v>
      </c>
      <c r="G55" s="71">
        <v>0</v>
      </c>
      <c r="H55" s="71">
        <v>5949398.4000000004</v>
      </c>
      <c r="I55" s="102">
        <v>0</v>
      </c>
      <c r="J55" s="71" t="s">
        <v>36</v>
      </c>
      <c r="K55" s="34" t="s">
        <v>82</v>
      </c>
      <c r="L55" s="34"/>
    </row>
    <row r="56" spans="1:12" s="22" customFormat="1" ht="40.9" customHeight="1" x14ac:dyDescent="0.25">
      <c r="A56" s="186" t="s">
        <v>2678</v>
      </c>
      <c r="B56" s="96" t="s">
        <v>123</v>
      </c>
      <c r="C56" s="33" t="s">
        <v>124</v>
      </c>
      <c r="D56" s="7" t="s">
        <v>40</v>
      </c>
      <c r="E56" s="41">
        <v>160</v>
      </c>
      <c r="F56" s="71">
        <v>60623.85</v>
      </c>
      <c r="G56" s="71">
        <v>0</v>
      </c>
      <c r="H56" s="71">
        <v>9699816</v>
      </c>
      <c r="I56" s="102">
        <v>0</v>
      </c>
      <c r="J56" s="71" t="s">
        <v>36</v>
      </c>
      <c r="K56" s="34" t="s">
        <v>82</v>
      </c>
      <c r="L56" s="34"/>
    </row>
    <row r="57" spans="1:12" s="22" customFormat="1" ht="40.9" customHeight="1" x14ac:dyDescent="0.25">
      <c r="A57" s="186" t="s">
        <v>2678</v>
      </c>
      <c r="B57" s="96" t="s">
        <v>125</v>
      </c>
      <c r="C57" s="33" t="s">
        <v>59</v>
      </c>
      <c r="D57" s="7" t="s">
        <v>40</v>
      </c>
      <c r="E57" s="41">
        <v>200</v>
      </c>
      <c r="F57" s="71">
        <v>90858.46</v>
      </c>
      <c r="G57" s="71">
        <v>0</v>
      </c>
      <c r="H57" s="71">
        <v>18171692</v>
      </c>
      <c r="I57" s="102">
        <v>0</v>
      </c>
      <c r="J57" s="71" t="s">
        <v>36</v>
      </c>
      <c r="K57" s="34" t="s">
        <v>82</v>
      </c>
      <c r="L57" s="34"/>
    </row>
    <row r="58" spans="1:12" s="22" customFormat="1" ht="40.9" customHeight="1" x14ac:dyDescent="0.25">
      <c r="A58" s="186" t="s">
        <v>2678</v>
      </c>
      <c r="B58" s="96" t="s">
        <v>126</v>
      </c>
      <c r="C58" s="32" t="s">
        <v>127</v>
      </c>
      <c r="D58" s="7" t="s">
        <v>40</v>
      </c>
      <c r="E58" s="41">
        <v>200</v>
      </c>
      <c r="F58" s="71">
        <v>118036.54</v>
      </c>
      <c r="G58" s="71">
        <v>0</v>
      </c>
      <c r="H58" s="71">
        <v>23607308</v>
      </c>
      <c r="I58" s="102">
        <v>0</v>
      </c>
      <c r="J58" s="71" t="s">
        <v>36</v>
      </c>
      <c r="K58" s="34" t="s">
        <v>82</v>
      </c>
      <c r="L58" s="34"/>
    </row>
    <row r="59" spans="1:12" s="22" customFormat="1" ht="13.5" x14ac:dyDescent="0.25">
      <c r="A59" s="186" t="s">
        <v>2678</v>
      </c>
      <c r="B59" s="96"/>
      <c r="C59" s="34" t="s">
        <v>128</v>
      </c>
      <c r="D59" s="7"/>
      <c r="E59" s="41"/>
      <c r="F59" s="71"/>
      <c r="G59" s="71"/>
      <c r="H59" s="71"/>
      <c r="I59" s="102"/>
      <c r="J59" s="34"/>
      <c r="K59" s="34"/>
      <c r="L59" s="112"/>
    </row>
    <row r="60" spans="1:12" s="22" customFormat="1" ht="40.5" x14ac:dyDescent="0.25">
      <c r="A60" s="186" t="s">
        <v>2678</v>
      </c>
      <c r="B60" s="96"/>
      <c r="C60" s="34" t="s">
        <v>129</v>
      </c>
      <c r="D60" s="7"/>
      <c r="E60" s="41"/>
      <c r="F60" s="71"/>
      <c r="G60" s="71"/>
      <c r="H60" s="71"/>
      <c r="I60" s="102"/>
      <c r="J60" s="34"/>
      <c r="K60" s="34"/>
      <c r="L60" s="112"/>
    </row>
    <row r="61" spans="1:12" s="22" customFormat="1" ht="27" x14ac:dyDescent="0.25">
      <c r="A61" s="186" t="s">
        <v>2678</v>
      </c>
      <c r="B61" s="96"/>
      <c r="C61" s="34" t="s">
        <v>130</v>
      </c>
      <c r="D61" s="7"/>
      <c r="E61" s="41"/>
      <c r="F61" s="71"/>
      <c r="G61" s="71"/>
      <c r="H61" s="71"/>
      <c r="I61" s="102"/>
      <c r="J61" s="34"/>
      <c r="K61" s="34"/>
      <c r="L61" s="112"/>
    </row>
    <row r="62" spans="1:12" s="22" customFormat="1" ht="67.5" x14ac:dyDescent="0.25">
      <c r="A62" s="186" t="s">
        <v>2678</v>
      </c>
      <c r="B62" s="97" t="s">
        <v>131</v>
      </c>
      <c r="C62" s="32" t="s">
        <v>132</v>
      </c>
      <c r="D62" s="7" t="s">
        <v>133</v>
      </c>
      <c r="E62" s="41">
        <v>160</v>
      </c>
      <c r="F62" s="71">
        <v>1338.28</v>
      </c>
      <c r="G62" s="71">
        <v>13.05</v>
      </c>
      <c r="H62" s="71">
        <v>214124.79999999999</v>
      </c>
      <c r="I62" s="102">
        <v>2088</v>
      </c>
      <c r="J62" s="34" t="s">
        <v>128</v>
      </c>
      <c r="K62" s="34" t="s">
        <v>129</v>
      </c>
      <c r="L62" s="34" t="s">
        <v>130</v>
      </c>
    </row>
    <row r="63" spans="1:12" s="22" customFormat="1" ht="67.5" x14ac:dyDescent="0.25">
      <c r="A63" s="186" t="s">
        <v>2678</v>
      </c>
      <c r="B63" s="98" t="s">
        <v>134</v>
      </c>
      <c r="C63" s="32" t="s">
        <v>135</v>
      </c>
      <c r="D63" s="7" t="s">
        <v>133</v>
      </c>
      <c r="E63" s="41">
        <v>52</v>
      </c>
      <c r="F63" s="71">
        <v>1348.6</v>
      </c>
      <c r="G63" s="71">
        <v>3.33</v>
      </c>
      <c r="H63" s="71">
        <v>70127.199999999997</v>
      </c>
      <c r="I63" s="102">
        <v>173.16</v>
      </c>
      <c r="J63" s="34" t="s">
        <v>128</v>
      </c>
      <c r="K63" s="34" t="s">
        <v>129</v>
      </c>
      <c r="L63" s="34" t="s">
        <v>130</v>
      </c>
    </row>
    <row r="64" spans="1:12" s="22" customFormat="1" ht="67.5" x14ac:dyDescent="0.25">
      <c r="A64" s="186" t="s">
        <v>2678</v>
      </c>
      <c r="B64" s="96" t="s">
        <v>136</v>
      </c>
      <c r="C64" s="32" t="s">
        <v>137</v>
      </c>
      <c r="D64" s="7" t="s">
        <v>133</v>
      </c>
      <c r="E64" s="41">
        <v>162</v>
      </c>
      <c r="F64" s="71">
        <v>1406.18</v>
      </c>
      <c r="G64" s="71">
        <v>6.75</v>
      </c>
      <c r="H64" s="71">
        <v>227801.16</v>
      </c>
      <c r="I64" s="102">
        <v>1093.5</v>
      </c>
      <c r="J64" s="34" t="s">
        <v>128</v>
      </c>
      <c r="K64" s="34" t="s">
        <v>129</v>
      </c>
      <c r="L64" s="34" t="s">
        <v>130</v>
      </c>
    </row>
    <row r="65" spans="1:12" s="22" customFormat="1" ht="67.5" x14ac:dyDescent="0.25">
      <c r="A65" s="186" t="s">
        <v>2678</v>
      </c>
      <c r="B65" s="96" t="s">
        <v>138</v>
      </c>
      <c r="C65" s="32" t="s">
        <v>139</v>
      </c>
      <c r="D65" s="7" t="s">
        <v>133</v>
      </c>
      <c r="E65" s="41">
        <v>100</v>
      </c>
      <c r="F65" s="71">
        <v>1406.18</v>
      </c>
      <c r="G65" s="71">
        <v>13.25</v>
      </c>
      <c r="H65" s="71">
        <v>140618</v>
      </c>
      <c r="I65" s="102">
        <v>1325</v>
      </c>
      <c r="J65" s="34" t="s">
        <v>128</v>
      </c>
      <c r="K65" s="34" t="s">
        <v>129</v>
      </c>
      <c r="L65" s="34" t="s">
        <v>130</v>
      </c>
    </row>
    <row r="66" spans="1:12" s="22" customFormat="1" ht="67.5" x14ac:dyDescent="0.25">
      <c r="A66" s="186" t="s">
        <v>2678</v>
      </c>
      <c r="B66" s="96" t="s">
        <v>140</v>
      </c>
      <c r="C66" s="32" t="s">
        <v>141</v>
      </c>
      <c r="D66" s="7" t="s">
        <v>133</v>
      </c>
      <c r="E66" s="41">
        <v>62</v>
      </c>
      <c r="F66" s="71">
        <v>2945.06</v>
      </c>
      <c r="G66" s="71">
        <v>9.58</v>
      </c>
      <c r="H66" s="71">
        <v>182593.72</v>
      </c>
      <c r="I66" s="102">
        <v>593.96</v>
      </c>
      <c r="J66" s="34" t="s">
        <v>128</v>
      </c>
      <c r="K66" s="34" t="s">
        <v>129</v>
      </c>
      <c r="L66" s="34" t="s">
        <v>130</v>
      </c>
    </row>
    <row r="67" spans="1:12" s="22" customFormat="1" ht="67.5" x14ac:dyDescent="0.25">
      <c r="A67" s="186" t="s">
        <v>2678</v>
      </c>
      <c r="B67" s="96" t="s">
        <v>142</v>
      </c>
      <c r="C67" s="32" t="s">
        <v>143</v>
      </c>
      <c r="D67" s="7" t="s">
        <v>133</v>
      </c>
      <c r="E67" s="41">
        <v>200</v>
      </c>
      <c r="F67" s="71">
        <v>2897.5</v>
      </c>
      <c r="G67" s="71">
        <v>23.14</v>
      </c>
      <c r="H67" s="71">
        <v>579500</v>
      </c>
      <c r="I67" s="102">
        <v>4628</v>
      </c>
      <c r="J67" s="34" t="s">
        <v>128</v>
      </c>
      <c r="K67" s="34" t="s">
        <v>129</v>
      </c>
      <c r="L67" s="34" t="s">
        <v>130</v>
      </c>
    </row>
    <row r="68" spans="1:12" s="22" customFormat="1" ht="67.5" x14ac:dyDescent="0.25">
      <c r="A68" s="186" t="s">
        <v>2678</v>
      </c>
      <c r="B68" s="96" t="s">
        <v>144</v>
      </c>
      <c r="C68" s="32" t="s">
        <v>145</v>
      </c>
      <c r="D68" s="7" t="s">
        <v>133</v>
      </c>
      <c r="E68" s="41">
        <v>158</v>
      </c>
      <c r="F68" s="71">
        <v>3098.76</v>
      </c>
      <c r="G68" s="71">
        <v>43.16</v>
      </c>
      <c r="H68" s="71">
        <v>489604.08</v>
      </c>
      <c r="I68" s="102">
        <v>6819.28</v>
      </c>
      <c r="J68" s="34" t="s">
        <v>128</v>
      </c>
      <c r="K68" s="34" t="s">
        <v>129</v>
      </c>
      <c r="L68" s="34" t="s">
        <v>130</v>
      </c>
    </row>
    <row r="69" spans="1:12" s="22" customFormat="1" ht="67.5" x14ac:dyDescent="0.25">
      <c r="A69" s="186" t="s">
        <v>2678</v>
      </c>
      <c r="B69" s="96" t="s">
        <v>146</v>
      </c>
      <c r="C69" s="32" t="s">
        <v>147</v>
      </c>
      <c r="D69" s="7" t="s">
        <v>133</v>
      </c>
      <c r="E69" s="41">
        <v>60</v>
      </c>
      <c r="F69" s="71">
        <v>3512.03</v>
      </c>
      <c r="G69" s="71">
        <v>0</v>
      </c>
      <c r="H69" s="71">
        <v>210721.80000000002</v>
      </c>
      <c r="I69" s="102">
        <v>0</v>
      </c>
      <c r="J69" s="34" t="s">
        <v>128</v>
      </c>
      <c r="K69" s="34" t="s">
        <v>129</v>
      </c>
      <c r="L69" s="34" t="s">
        <v>130</v>
      </c>
    </row>
    <row r="70" spans="1:12" s="22" customFormat="1" ht="67.5" x14ac:dyDescent="0.25">
      <c r="A70" s="186" t="s">
        <v>2678</v>
      </c>
      <c r="B70" s="96" t="s">
        <v>148</v>
      </c>
      <c r="C70" s="32" t="s">
        <v>149</v>
      </c>
      <c r="D70" s="7" t="s">
        <v>133</v>
      </c>
      <c r="E70" s="41">
        <v>64</v>
      </c>
      <c r="F70" s="71">
        <v>1971.84</v>
      </c>
      <c r="G70" s="71">
        <v>0</v>
      </c>
      <c r="H70" s="71">
        <v>126197.75999999999</v>
      </c>
      <c r="I70" s="102">
        <v>0</v>
      </c>
      <c r="J70" s="34" t="s">
        <v>128</v>
      </c>
      <c r="K70" s="34" t="s">
        <v>129</v>
      </c>
      <c r="L70" s="34" t="s">
        <v>130</v>
      </c>
    </row>
    <row r="71" spans="1:12" s="22" customFormat="1" ht="67.5" x14ac:dyDescent="0.25">
      <c r="A71" s="186" t="s">
        <v>2678</v>
      </c>
      <c r="B71" s="96" t="s">
        <v>150</v>
      </c>
      <c r="C71" s="32" t="s">
        <v>151</v>
      </c>
      <c r="D71" s="7" t="s">
        <v>133</v>
      </c>
      <c r="E71" s="41">
        <v>44</v>
      </c>
      <c r="F71" s="71">
        <v>4470.51</v>
      </c>
      <c r="G71" s="71">
        <v>0</v>
      </c>
      <c r="H71" s="71">
        <v>196702.44</v>
      </c>
      <c r="I71" s="102">
        <v>0</v>
      </c>
      <c r="J71" s="34" t="s">
        <v>128</v>
      </c>
      <c r="K71" s="34" t="s">
        <v>129</v>
      </c>
      <c r="L71" s="34" t="s">
        <v>130</v>
      </c>
    </row>
    <row r="72" spans="1:12" s="22" customFormat="1" ht="67.5" x14ac:dyDescent="0.25">
      <c r="A72" s="186" t="s">
        <v>2678</v>
      </c>
      <c r="B72" s="97" t="s">
        <v>152</v>
      </c>
      <c r="C72" s="32" t="s">
        <v>153</v>
      </c>
      <c r="D72" s="7" t="s">
        <v>133</v>
      </c>
      <c r="E72" s="41">
        <v>36</v>
      </c>
      <c r="F72" s="71">
        <v>4783.01</v>
      </c>
      <c r="G72" s="71">
        <v>0</v>
      </c>
      <c r="H72" s="71">
        <v>172188.36000000002</v>
      </c>
      <c r="I72" s="102">
        <v>0</v>
      </c>
      <c r="J72" s="34" t="s">
        <v>128</v>
      </c>
      <c r="K72" s="34" t="s">
        <v>129</v>
      </c>
      <c r="L72" s="34" t="s">
        <v>130</v>
      </c>
    </row>
    <row r="73" spans="1:12" s="22" customFormat="1" ht="27" x14ac:dyDescent="0.25">
      <c r="A73" s="186" t="s">
        <v>2678</v>
      </c>
      <c r="B73" s="96"/>
      <c r="C73" s="34" t="s">
        <v>154</v>
      </c>
      <c r="D73" s="7"/>
      <c r="E73" s="41"/>
      <c r="F73" s="71"/>
      <c r="G73" s="71"/>
      <c r="H73" s="71"/>
      <c r="I73" s="102"/>
      <c r="J73" s="34"/>
      <c r="K73" s="34"/>
      <c r="L73" s="112"/>
    </row>
    <row r="74" spans="1:12" s="22" customFormat="1" ht="81" x14ac:dyDescent="0.25">
      <c r="A74" s="186" t="s">
        <v>2678</v>
      </c>
      <c r="B74" s="96" t="s">
        <v>155</v>
      </c>
      <c r="C74" s="32" t="s">
        <v>156</v>
      </c>
      <c r="D74" s="7" t="s">
        <v>133</v>
      </c>
      <c r="E74" s="41">
        <v>180</v>
      </c>
      <c r="F74" s="71">
        <v>13778.09</v>
      </c>
      <c r="G74" s="71">
        <v>62.19</v>
      </c>
      <c r="H74" s="71">
        <v>2480056.2000000002</v>
      </c>
      <c r="I74" s="102">
        <v>11194.199999999999</v>
      </c>
      <c r="J74" s="34" t="s">
        <v>128</v>
      </c>
      <c r="K74" s="34" t="s">
        <v>129</v>
      </c>
      <c r="L74" s="34" t="s">
        <v>154</v>
      </c>
    </row>
    <row r="75" spans="1:12" s="22" customFormat="1" ht="81" x14ac:dyDescent="0.25">
      <c r="A75" s="186" t="s">
        <v>2678</v>
      </c>
      <c r="B75" s="96" t="s">
        <v>157</v>
      </c>
      <c r="C75" s="32" t="s">
        <v>158</v>
      </c>
      <c r="D75" s="7" t="s">
        <v>133</v>
      </c>
      <c r="E75" s="41">
        <v>30</v>
      </c>
      <c r="F75" s="71">
        <v>12868.04</v>
      </c>
      <c r="G75" s="71">
        <v>87.06</v>
      </c>
      <c r="H75" s="71">
        <v>386041.2</v>
      </c>
      <c r="I75" s="102">
        <v>2611.8000000000002</v>
      </c>
      <c r="J75" s="34" t="s">
        <v>128</v>
      </c>
      <c r="K75" s="34" t="s">
        <v>129</v>
      </c>
      <c r="L75" s="34" t="s">
        <v>154</v>
      </c>
    </row>
    <row r="76" spans="1:12" s="22" customFormat="1" ht="27" x14ac:dyDescent="0.25">
      <c r="A76" s="186" t="s">
        <v>2678</v>
      </c>
      <c r="B76" s="96"/>
      <c r="C76" s="34" t="s">
        <v>159</v>
      </c>
      <c r="D76" s="7"/>
      <c r="E76" s="41"/>
      <c r="F76" s="71"/>
      <c r="G76" s="71"/>
      <c r="H76" s="71"/>
      <c r="I76" s="102"/>
      <c r="J76" s="34"/>
      <c r="K76" s="34"/>
      <c r="L76" s="112"/>
    </row>
    <row r="77" spans="1:12" s="22" customFormat="1" ht="81" x14ac:dyDescent="0.25">
      <c r="A77" s="186" t="s">
        <v>2678</v>
      </c>
      <c r="B77" s="96" t="s">
        <v>160</v>
      </c>
      <c r="C77" s="32" t="s">
        <v>161</v>
      </c>
      <c r="D77" s="7" t="s">
        <v>133</v>
      </c>
      <c r="E77" s="41">
        <v>54</v>
      </c>
      <c r="F77" s="71">
        <v>4305.8</v>
      </c>
      <c r="G77" s="71">
        <v>16.260000000000002</v>
      </c>
      <c r="H77" s="71">
        <v>232513.2</v>
      </c>
      <c r="I77" s="102">
        <v>878.04000000000008</v>
      </c>
      <c r="J77" s="34" t="s">
        <v>128</v>
      </c>
      <c r="K77" s="34" t="s">
        <v>129</v>
      </c>
      <c r="L77" s="34" t="s">
        <v>159</v>
      </c>
    </row>
    <row r="78" spans="1:12" s="22" customFormat="1" ht="81" x14ac:dyDescent="0.25">
      <c r="A78" s="186" t="s">
        <v>2678</v>
      </c>
      <c r="B78" s="96" t="s">
        <v>162</v>
      </c>
      <c r="C78" s="32" t="s">
        <v>163</v>
      </c>
      <c r="D78" s="7" t="s">
        <v>133</v>
      </c>
      <c r="E78" s="41">
        <v>230</v>
      </c>
      <c r="F78" s="71">
        <v>5216.6000000000004</v>
      </c>
      <c r="G78" s="71">
        <v>16.260000000000002</v>
      </c>
      <c r="H78" s="71">
        <v>1199818</v>
      </c>
      <c r="I78" s="102">
        <v>3739.8</v>
      </c>
      <c r="J78" s="34" t="s">
        <v>128</v>
      </c>
      <c r="K78" s="34" t="s">
        <v>129</v>
      </c>
      <c r="L78" s="34" t="s">
        <v>159</v>
      </c>
    </row>
    <row r="79" spans="1:12" s="22" customFormat="1" ht="81" x14ac:dyDescent="0.25">
      <c r="A79" s="186" t="s">
        <v>2678</v>
      </c>
      <c r="B79" s="96" t="s">
        <v>164</v>
      </c>
      <c r="C79" s="32" t="s">
        <v>165</v>
      </c>
      <c r="D79" s="7" t="s">
        <v>133</v>
      </c>
      <c r="E79" s="41">
        <v>88</v>
      </c>
      <c r="F79" s="71">
        <v>10743.08</v>
      </c>
      <c r="G79" s="71">
        <v>0</v>
      </c>
      <c r="H79" s="71">
        <v>945391.04</v>
      </c>
      <c r="I79" s="102">
        <v>0</v>
      </c>
      <c r="J79" s="34" t="s">
        <v>128</v>
      </c>
      <c r="K79" s="34" t="s">
        <v>129</v>
      </c>
      <c r="L79" s="34" t="s">
        <v>159</v>
      </c>
    </row>
    <row r="80" spans="1:12" s="22" customFormat="1" ht="81" x14ac:dyDescent="0.25">
      <c r="A80" s="186" t="s">
        <v>2678</v>
      </c>
      <c r="B80" s="98" t="s">
        <v>166</v>
      </c>
      <c r="C80" s="32" t="s">
        <v>167</v>
      </c>
      <c r="D80" s="7" t="s">
        <v>133</v>
      </c>
      <c r="E80" s="41">
        <v>120</v>
      </c>
      <c r="F80" s="71">
        <v>6124.21</v>
      </c>
      <c r="G80" s="71">
        <v>26.96</v>
      </c>
      <c r="H80" s="71">
        <v>734905.2</v>
      </c>
      <c r="I80" s="102">
        <v>3235.2000000000003</v>
      </c>
      <c r="J80" s="34" t="s">
        <v>128</v>
      </c>
      <c r="K80" s="34" t="s">
        <v>129</v>
      </c>
      <c r="L80" s="34" t="s">
        <v>159</v>
      </c>
    </row>
    <row r="81" spans="1:12" s="22" customFormat="1" ht="81" x14ac:dyDescent="0.25">
      <c r="A81" s="186" t="s">
        <v>2678</v>
      </c>
      <c r="B81" s="96" t="s">
        <v>168</v>
      </c>
      <c r="C81" s="32" t="s">
        <v>169</v>
      </c>
      <c r="D81" s="7" t="s">
        <v>133</v>
      </c>
      <c r="E81" s="41">
        <v>110</v>
      </c>
      <c r="F81" s="71">
        <v>6608.15</v>
      </c>
      <c r="G81" s="71">
        <v>40.53</v>
      </c>
      <c r="H81" s="71">
        <v>726896.5</v>
      </c>
      <c r="I81" s="102">
        <v>4458.3</v>
      </c>
      <c r="J81" s="34" t="s">
        <v>128</v>
      </c>
      <c r="K81" s="34" t="s">
        <v>129</v>
      </c>
      <c r="L81" s="34" t="s">
        <v>159</v>
      </c>
    </row>
    <row r="82" spans="1:12" s="22" customFormat="1" ht="81" x14ac:dyDescent="0.25">
      <c r="A82" s="186" t="s">
        <v>2678</v>
      </c>
      <c r="B82" s="97" t="s">
        <v>170</v>
      </c>
      <c r="C82" s="32" t="s">
        <v>171</v>
      </c>
      <c r="D82" s="7" t="s">
        <v>133</v>
      </c>
      <c r="E82" s="41">
        <v>42</v>
      </c>
      <c r="F82" s="71">
        <v>68953.91</v>
      </c>
      <c r="G82" s="71">
        <v>0</v>
      </c>
      <c r="H82" s="71">
        <v>2896064.22</v>
      </c>
      <c r="I82" s="102">
        <v>0</v>
      </c>
      <c r="J82" s="34" t="s">
        <v>128</v>
      </c>
      <c r="K82" s="34" t="s">
        <v>129</v>
      </c>
      <c r="L82" s="34" t="s">
        <v>159</v>
      </c>
    </row>
    <row r="83" spans="1:12" s="22" customFormat="1" ht="81" x14ac:dyDescent="0.25">
      <c r="A83" s="186" t="s">
        <v>2678</v>
      </c>
      <c r="B83" s="96" t="s">
        <v>172</v>
      </c>
      <c r="C83" s="32" t="s">
        <v>173</v>
      </c>
      <c r="D83" s="7" t="s">
        <v>133</v>
      </c>
      <c r="E83" s="41">
        <v>60</v>
      </c>
      <c r="F83" s="71">
        <v>6608.15</v>
      </c>
      <c r="G83" s="71">
        <v>18.489999999999998</v>
      </c>
      <c r="H83" s="71">
        <v>396489</v>
      </c>
      <c r="I83" s="102">
        <v>1109.3999999999999</v>
      </c>
      <c r="J83" s="34" t="s">
        <v>128</v>
      </c>
      <c r="K83" s="34" t="s">
        <v>129</v>
      </c>
      <c r="L83" s="34" t="s">
        <v>159</v>
      </c>
    </row>
    <row r="84" spans="1:12" s="22" customFormat="1" ht="81" x14ac:dyDescent="0.25">
      <c r="A84" s="186" t="s">
        <v>2678</v>
      </c>
      <c r="B84" s="96" t="s">
        <v>174</v>
      </c>
      <c r="C84" s="32" t="s">
        <v>175</v>
      </c>
      <c r="D84" s="7" t="s">
        <v>133</v>
      </c>
      <c r="E84" s="41">
        <v>44</v>
      </c>
      <c r="F84" s="71">
        <v>5468.1</v>
      </c>
      <c r="G84" s="71">
        <v>70.55</v>
      </c>
      <c r="H84" s="71">
        <v>240596.40000000002</v>
      </c>
      <c r="I84" s="102">
        <v>3104.2</v>
      </c>
      <c r="J84" s="34" t="s">
        <v>128</v>
      </c>
      <c r="K84" s="34" t="s">
        <v>129</v>
      </c>
      <c r="L84" s="34" t="s">
        <v>159</v>
      </c>
    </row>
    <row r="85" spans="1:12" s="22" customFormat="1" ht="81" x14ac:dyDescent="0.25">
      <c r="A85" s="186" t="s">
        <v>2678</v>
      </c>
      <c r="B85" s="96" t="s">
        <v>176</v>
      </c>
      <c r="C85" s="32" t="s">
        <v>177</v>
      </c>
      <c r="D85" s="7" t="s">
        <v>133</v>
      </c>
      <c r="E85" s="41">
        <v>240</v>
      </c>
      <c r="F85" s="71">
        <v>8335.35</v>
      </c>
      <c r="G85" s="71">
        <v>93.03</v>
      </c>
      <c r="H85" s="71">
        <v>2000484</v>
      </c>
      <c r="I85" s="102">
        <v>22327.200000000001</v>
      </c>
      <c r="J85" s="34" t="s">
        <v>128</v>
      </c>
      <c r="K85" s="34" t="s">
        <v>129</v>
      </c>
      <c r="L85" s="34" t="s">
        <v>159</v>
      </c>
    </row>
    <row r="86" spans="1:12" s="22" customFormat="1" ht="81" x14ac:dyDescent="0.25">
      <c r="A86" s="186" t="s">
        <v>2678</v>
      </c>
      <c r="B86" s="96" t="s">
        <v>178</v>
      </c>
      <c r="C86" s="32" t="s">
        <v>179</v>
      </c>
      <c r="D86" s="7" t="s">
        <v>133</v>
      </c>
      <c r="E86" s="41">
        <v>200</v>
      </c>
      <c r="F86" s="71">
        <v>15575.05</v>
      </c>
      <c r="G86" s="71">
        <v>93.03</v>
      </c>
      <c r="H86" s="71">
        <v>3115010</v>
      </c>
      <c r="I86" s="102">
        <v>18606</v>
      </c>
      <c r="J86" s="34" t="s">
        <v>128</v>
      </c>
      <c r="K86" s="34" t="s">
        <v>129</v>
      </c>
      <c r="L86" s="34" t="s">
        <v>159</v>
      </c>
    </row>
    <row r="87" spans="1:12" s="22" customFormat="1" ht="81" x14ac:dyDescent="0.25">
      <c r="A87" s="186" t="s">
        <v>2678</v>
      </c>
      <c r="B87" s="96" t="s">
        <v>180</v>
      </c>
      <c r="C87" s="32" t="s">
        <v>181</v>
      </c>
      <c r="D87" s="7" t="s">
        <v>133</v>
      </c>
      <c r="E87" s="41">
        <v>110</v>
      </c>
      <c r="F87" s="71">
        <v>69032.009999999995</v>
      </c>
      <c r="G87" s="71">
        <v>0</v>
      </c>
      <c r="H87" s="71">
        <v>7593521.0999999996</v>
      </c>
      <c r="I87" s="102">
        <v>0</v>
      </c>
      <c r="J87" s="34" t="s">
        <v>128</v>
      </c>
      <c r="K87" s="34" t="s">
        <v>129</v>
      </c>
      <c r="L87" s="34" t="s">
        <v>159</v>
      </c>
    </row>
    <row r="88" spans="1:12" s="22" customFormat="1" ht="81" x14ac:dyDescent="0.25">
      <c r="A88" s="186" t="s">
        <v>2678</v>
      </c>
      <c r="B88" s="96" t="s">
        <v>182</v>
      </c>
      <c r="C88" s="32" t="s">
        <v>183</v>
      </c>
      <c r="D88" s="7" t="s">
        <v>133</v>
      </c>
      <c r="E88" s="41">
        <v>74</v>
      </c>
      <c r="F88" s="71">
        <v>8468.68</v>
      </c>
      <c r="G88" s="71">
        <v>131.18</v>
      </c>
      <c r="H88" s="71">
        <v>626682.32000000007</v>
      </c>
      <c r="I88" s="102">
        <v>9707.32</v>
      </c>
      <c r="J88" s="34" t="s">
        <v>128</v>
      </c>
      <c r="K88" s="34" t="s">
        <v>129</v>
      </c>
      <c r="L88" s="34" t="s">
        <v>159</v>
      </c>
    </row>
    <row r="89" spans="1:12" s="22" customFormat="1" ht="81" x14ac:dyDescent="0.25">
      <c r="A89" s="186" t="s">
        <v>2678</v>
      </c>
      <c r="B89" s="96" t="s">
        <v>184</v>
      </c>
      <c r="C89" s="32" t="s">
        <v>185</v>
      </c>
      <c r="D89" s="7" t="s">
        <v>133</v>
      </c>
      <c r="E89" s="41">
        <v>74</v>
      </c>
      <c r="F89" s="71">
        <v>10389.68</v>
      </c>
      <c r="G89" s="71">
        <v>196.39</v>
      </c>
      <c r="H89" s="71">
        <v>768836.32000000007</v>
      </c>
      <c r="I89" s="102">
        <v>14532.859999999999</v>
      </c>
      <c r="J89" s="34" t="s">
        <v>128</v>
      </c>
      <c r="K89" s="34" t="s">
        <v>129</v>
      </c>
      <c r="L89" s="34" t="s">
        <v>159</v>
      </c>
    </row>
    <row r="90" spans="1:12" s="22" customFormat="1" ht="81" x14ac:dyDescent="0.25">
      <c r="A90" s="186" t="s">
        <v>2678</v>
      </c>
      <c r="B90" s="98" t="s">
        <v>186</v>
      </c>
      <c r="C90" s="32" t="s">
        <v>187</v>
      </c>
      <c r="D90" s="7" t="s">
        <v>133</v>
      </c>
      <c r="E90" s="41">
        <v>40</v>
      </c>
      <c r="F90" s="71">
        <v>74070.210000000006</v>
      </c>
      <c r="G90" s="71">
        <v>0</v>
      </c>
      <c r="H90" s="71">
        <v>2962808.4000000004</v>
      </c>
      <c r="I90" s="102">
        <v>0</v>
      </c>
      <c r="J90" s="34" t="s">
        <v>128</v>
      </c>
      <c r="K90" s="34" t="s">
        <v>129</v>
      </c>
      <c r="L90" s="34" t="s">
        <v>159</v>
      </c>
    </row>
    <row r="91" spans="1:12" s="22" customFormat="1" ht="81" x14ac:dyDescent="0.25">
      <c r="A91" s="186" t="s">
        <v>2678</v>
      </c>
      <c r="B91" s="96" t="s">
        <v>188</v>
      </c>
      <c r="C91" s="32" t="s">
        <v>189</v>
      </c>
      <c r="D91" s="7" t="s">
        <v>133</v>
      </c>
      <c r="E91" s="41">
        <v>34</v>
      </c>
      <c r="F91" s="71">
        <v>8468.68</v>
      </c>
      <c r="G91" s="71">
        <v>68.84</v>
      </c>
      <c r="H91" s="71">
        <v>287935.12</v>
      </c>
      <c r="I91" s="102">
        <v>2340.56</v>
      </c>
      <c r="J91" s="34" t="s">
        <v>128</v>
      </c>
      <c r="K91" s="34" t="s">
        <v>129</v>
      </c>
      <c r="L91" s="34" t="s">
        <v>159</v>
      </c>
    </row>
    <row r="92" spans="1:12" s="22" customFormat="1" ht="81" x14ac:dyDescent="0.25">
      <c r="A92" s="186" t="s">
        <v>2678</v>
      </c>
      <c r="B92" s="97" t="s">
        <v>190</v>
      </c>
      <c r="C92" s="32" t="s">
        <v>191</v>
      </c>
      <c r="D92" s="7" t="s">
        <v>133</v>
      </c>
      <c r="E92" s="41">
        <v>42</v>
      </c>
      <c r="F92" s="71">
        <v>10108.26</v>
      </c>
      <c r="G92" s="71">
        <v>218.23</v>
      </c>
      <c r="H92" s="71">
        <v>424546.92</v>
      </c>
      <c r="I92" s="102">
        <v>9165.66</v>
      </c>
      <c r="J92" s="34" t="s">
        <v>128</v>
      </c>
      <c r="K92" s="34" t="s">
        <v>129</v>
      </c>
      <c r="L92" s="34" t="s">
        <v>159</v>
      </c>
    </row>
    <row r="93" spans="1:12" s="22" customFormat="1" ht="81" x14ac:dyDescent="0.25">
      <c r="A93" s="186" t="s">
        <v>2678</v>
      </c>
      <c r="B93" s="96" t="s">
        <v>192</v>
      </c>
      <c r="C93" s="32" t="s">
        <v>193</v>
      </c>
      <c r="D93" s="7" t="s">
        <v>133</v>
      </c>
      <c r="E93" s="41">
        <v>30</v>
      </c>
      <c r="F93" s="71">
        <v>10108.26</v>
      </c>
      <c r="G93" s="71">
        <v>126.46</v>
      </c>
      <c r="H93" s="71">
        <v>303247.8</v>
      </c>
      <c r="I93" s="102">
        <v>3793.7999999999997</v>
      </c>
      <c r="J93" s="34" t="s">
        <v>128</v>
      </c>
      <c r="K93" s="34" t="s">
        <v>129</v>
      </c>
      <c r="L93" s="34" t="s">
        <v>159</v>
      </c>
    </row>
    <row r="94" spans="1:12" s="22" customFormat="1" ht="81" x14ac:dyDescent="0.25">
      <c r="A94" s="186" t="s">
        <v>2678</v>
      </c>
      <c r="B94" s="96" t="s">
        <v>194</v>
      </c>
      <c r="C94" s="32" t="s">
        <v>195</v>
      </c>
      <c r="D94" s="7" t="s">
        <v>133</v>
      </c>
      <c r="E94" s="41">
        <v>92</v>
      </c>
      <c r="F94" s="71">
        <v>57574.73</v>
      </c>
      <c r="G94" s="71">
        <v>1203.48</v>
      </c>
      <c r="H94" s="71">
        <v>5296875.16</v>
      </c>
      <c r="I94" s="102">
        <v>110720.16</v>
      </c>
      <c r="J94" s="34" t="s">
        <v>128</v>
      </c>
      <c r="K94" s="34" t="s">
        <v>129</v>
      </c>
      <c r="L94" s="34" t="s">
        <v>159</v>
      </c>
    </row>
    <row r="95" spans="1:12" s="22" customFormat="1" ht="81" x14ac:dyDescent="0.25">
      <c r="A95" s="186" t="s">
        <v>2678</v>
      </c>
      <c r="B95" s="96" t="s">
        <v>196</v>
      </c>
      <c r="C95" s="32" t="s">
        <v>197</v>
      </c>
      <c r="D95" s="7" t="s">
        <v>133</v>
      </c>
      <c r="E95" s="41">
        <v>44</v>
      </c>
      <c r="F95" s="71">
        <v>57578.28</v>
      </c>
      <c r="G95" s="71">
        <v>995</v>
      </c>
      <c r="H95" s="71">
        <v>2533444.3199999998</v>
      </c>
      <c r="I95" s="102">
        <v>43780</v>
      </c>
      <c r="J95" s="34" t="s">
        <v>128</v>
      </c>
      <c r="K95" s="34" t="s">
        <v>129</v>
      </c>
      <c r="L95" s="34" t="s">
        <v>159</v>
      </c>
    </row>
    <row r="96" spans="1:12" s="22" customFormat="1" ht="81" x14ac:dyDescent="0.25">
      <c r="A96" s="186" t="s">
        <v>2678</v>
      </c>
      <c r="B96" s="96" t="s">
        <v>198</v>
      </c>
      <c r="C96" s="32" t="s">
        <v>199</v>
      </c>
      <c r="D96" s="7" t="s">
        <v>133</v>
      </c>
      <c r="E96" s="41">
        <v>66</v>
      </c>
      <c r="F96" s="71">
        <v>154273.95000000001</v>
      </c>
      <c r="G96" s="71">
        <v>0</v>
      </c>
      <c r="H96" s="71">
        <v>10182080.700000001</v>
      </c>
      <c r="I96" s="102">
        <v>0</v>
      </c>
      <c r="J96" s="34" t="s">
        <v>128</v>
      </c>
      <c r="K96" s="34" t="s">
        <v>129</v>
      </c>
      <c r="L96" s="34" t="s">
        <v>159</v>
      </c>
    </row>
    <row r="97" spans="1:12" s="22" customFormat="1" ht="81" x14ac:dyDescent="0.25">
      <c r="A97" s="186" t="s">
        <v>2678</v>
      </c>
      <c r="B97" s="96" t="s">
        <v>200</v>
      </c>
      <c r="C97" s="32" t="s">
        <v>201</v>
      </c>
      <c r="D97" s="7" t="s">
        <v>133</v>
      </c>
      <c r="E97" s="41">
        <v>64</v>
      </c>
      <c r="F97" s="71">
        <v>73871.460000000006</v>
      </c>
      <c r="G97" s="71">
        <v>1889.04</v>
      </c>
      <c r="H97" s="71">
        <v>4727773.4400000004</v>
      </c>
      <c r="I97" s="102">
        <v>120898.56</v>
      </c>
      <c r="J97" s="34" t="s">
        <v>128</v>
      </c>
      <c r="K97" s="34" t="s">
        <v>129</v>
      </c>
      <c r="L97" s="34" t="s">
        <v>159</v>
      </c>
    </row>
    <row r="98" spans="1:12" s="22" customFormat="1" ht="81" x14ac:dyDescent="0.25">
      <c r="A98" s="186" t="s">
        <v>2678</v>
      </c>
      <c r="B98" s="96" t="s">
        <v>202</v>
      </c>
      <c r="C98" s="32" t="s">
        <v>203</v>
      </c>
      <c r="D98" s="7" t="s">
        <v>133</v>
      </c>
      <c r="E98" s="41">
        <v>112</v>
      </c>
      <c r="F98" s="71">
        <v>85068.69</v>
      </c>
      <c r="G98" s="71">
        <v>0</v>
      </c>
      <c r="H98" s="71">
        <v>9527693.2800000012</v>
      </c>
      <c r="I98" s="102">
        <v>0</v>
      </c>
      <c r="J98" s="34" t="s">
        <v>128</v>
      </c>
      <c r="K98" s="34" t="s">
        <v>129</v>
      </c>
      <c r="L98" s="34" t="s">
        <v>159</v>
      </c>
    </row>
    <row r="99" spans="1:12" s="22" customFormat="1" ht="81" x14ac:dyDescent="0.25">
      <c r="A99" s="186" t="s">
        <v>2678</v>
      </c>
      <c r="B99" s="96" t="s">
        <v>204</v>
      </c>
      <c r="C99" s="32" t="s">
        <v>205</v>
      </c>
      <c r="D99" s="7" t="s">
        <v>133</v>
      </c>
      <c r="E99" s="41">
        <v>44</v>
      </c>
      <c r="F99" s="71">
        <v>134470.89000000001</v>
      </c>
      <c r="G99" s="71">
        <v>0</v>
      </c>
      <c r="H99" s="71">
        <v>5916719.1600000001</v>
      </c>
      <c r="I99" s="102">
        <v>0</v>
      </c>
      <c r="J99" s="34" t="s">
        <v>128</v>
      </c>
      <c r="K99" s="34" t="s">
        <v>129</v>
      </c>
      <c r="L99" s="34" t="s">
        <v>159</v>
      </c>
    </row>
    <row r="100" spans="1:12" s="22" customFormat="1" ht="81" x14ac:dyDescent="0.25">
      <c r="A100" s="186" t="s">
        <v>2678</v>
      </c>
      <c r="B100" s="96" t="s">
        <v>206</v>
      </c>
      <c r="C100" s="32" t="s">
        <v>207</v>
      </c>
      <c r="D100" s="7" t="s">
        <v>133</v>
      </c>
      <c r="E100" s="41">
        <v>34</v>
      </c>
      <c r="F100" s="71">
        <v>102925.96</v>
      </c>
      <c r="G100" s="71">
        <v>0</v>
      </c>
      <c r="H100" s="71">
        <v>3499482.64</v>
      </c>
      <c r="I100" s="102">
        <v>0</v>
      </c>
      <c r="J100" s="34" t="s">
        <v>128</v>
      </c>
      <c r="K100" s="34" t="s">
        <v>129</v>
      </c>
      <c r="L100" s="34" t="s">
        <v>159</v>
      </c>
    </row>
    <row r="101" spans="1:12" s="22" customFormat="1" ht="81" x14ac:dyDescent="0.25">
      <c r="A101" s="186" t="s">
        <v>2678</v>
      </c>
      <c r="B101" s="96" t="s">
        <v>208</v>
      </c>
      <c r="C101" s="32" t="s">
        <v>209</v>
      </c>
      <c r="D101" s="7" t="s">
        <v>133</v>
      </c>
      <c r="E101" s="41">
        <v>40</v>
      </c>
      <c r="F101" s="71">
        <v>124414.99</v>
      </c>
      <c r="G101" s="71">
        <v>0</v>
      </c>
      <c r="H101" s="71">
        <v>4976599.6000000006</v>
      </c>
      <c r="I101" s="102">
        <v>0</v>
      </c>
      <c r="J101" s="34" t="s">
        <v>128</v>
      </c>
      <c r="K101" s="34" t="s">
        <v>129</v>
      </c>
      <c r="L101" s="34" t="s">
        <v>159</v>
      </c>
    </row>
    <row r="102" spans="1:12" s="22" customFormat="1" ht="27" x14ac:dyDescent="0.25">
      <c r="A102" s="186" t="s">
        <v>2678</v>
      </c>
      <c r="B102" s="99"/>
      <c r="C102" s="34" t="s">
        <v>210</v>
      </c>
      <c r="D102" s="7"/>
      <c r="E102" s="41"/>
      <c r="F102" s="71"/>
      <c r="G102" s="71"/>
      <c r="H102" s="71"/>
      <c r="I102" s="102"/>
      <c r="J102" s="34"/>
      <c r="K102" s="34"/>
      <c r="L102" s="112"/>
    </row>
    <row r="103" spans="1:12" s="22" customFormat="1" ht="67.5" x14ac:dyDescent="0.25">
      <c r="A103" s="186" t="s">
        <v>2678</v>
      </c>
      <c r="B103" s="96" t="s">
        <v>211</v>
      </c>
      <c r="C103" s="32" t="s">
        <v>212</v>
      </c>
      <c r="D103" s="7" t="s">
        <v>133</v>
      </c>
      <c r="E103" s="41">
        <v>52</v>
      </c>
      <c r="F103" s="71">
        <v>699.46</v>
      </c>
      <c r="G103" s="71">
        <v>11.56</v>
      </c>
      <c r="H103" s="71">
        <v>36371.919999999998</v>
      </c>
      <c r="I103" s="102">
        <v>601.12</v>
      </c>
      <c r="J103" s="34" t="s">
        <v>128</v>
      </c>
      <c r="K103" s="34" t="s">
        <v>129</v>
      </c>
      <c r="L103" s="34" t="s">
        <v>210</v>
      </c>
    </row>
    <row r="104" spans="1:12" s="22" customFormat="1" ht="67.5" x14ac:dyDescent="0.25">
      <c r="A104" s="186" t="s">
        <v>2678</v>
      </c>
      <c r="B104" s="96" t="s">
        <v>213</v>
      </c>
      <c r="C104" s="32" t="s">
        <v>214</v>
      </c>
      <c r="D104" s="7" t="s">
        <v>133</v>
      </c>
      <c r="E104" s="41">
        <v>60</v>
      </c>
      <c r="F104" s="71">
        <v>1471.3</v>
      </c>
      <c r="G104" s="71">
        <v>13.88</v>
      </c>
      <c r="H104" s="71">
        <v>88278</v>
      </c>
      <c r="I104" s="102">
        <v>832.80000000000007</v>
      </c>
      <c r="J104" s="34" t="s">
        <v>128</v>
      </c>
      <c r="K104" s="34" t="s">
        <v>129</v>
      </c>
      <c r="L104" s="34" t="s">
        <v>210</v>
      </c>
    </row>
    <row r="105" spans="1:12" s="22" customFormat="1" ht="67.5" x14ac:dyDescent="0.25">
      <c r="A105" s="186" t="s">
        <v>2678</v>
      </c>
      <c r="B105" s="96" t="s">
        <v>215</v>
      </c>
      <c r="C105" s="32" t="s">
        <v>216</v>
      </c>
      <c r="D105" s="7" t="s">
        <v>133</v>
      </c>
      <c r="E105" s="41">
        <v>52</v>
      </c>
      <c r="F105" s="71">
        <v>1581.71</v>
      </c>
      <c r="G105" s="71">
        <v>18.66</v>
      </c>
      <c r="H105" s="71">
        <v>82248.92</v>
      </c>
      <c r="I105" s="102">
        <v>970.32</v>
      </c>
      <c r="J105" s="34" t="s">
        <v>128</v>
      </c>
      <c r="K105" s="34" t="s">
        <v>129</v>
      </c>
      <c r="L105" s="34" t="s">
        <v>210</v>
      </c>
    </row>
    <row r="106" spans="1:12" s="22" customFormat="1" ht="67.5" x14ac:dyDescent="0.25">
      <c r="A106" s="186" t="s">
        <v>2678</v>
      </c>
      <c r="B106" s="96" t="s">
        <v>217</v>
      </c>
      <c r="C106" s="32" t="s">
        <v>218</v>
      </c>
      <c r="D106" s="7" t="s">
        <v>133</v>
      </c>
      <c r="E106" s="41">
        <v>66</v>
      </c>
      <c r="F106" s="71">
        <v>61336.76</v>
      </c>
      <c r="G106" s="71">
        <v>0</v>
      </c>
      <c r="H106" s="71">
        <v>4048226.16</v>
      </c>
      <c r="I106" s="102">
        <v>0</v>
      </c>
      <c r="J106" s="34" t="s">
        <v>128</v>
      </c>
      <c r="K106" s="34" t="s">
        <v>129</v>
      </c>
      <c r="L106" s="34" t="s">
        <v>210</v>
      </c>
    </row>
    <row r="107" spans="1:12" s="22" customFormat="1" ht="67.5" x14ac:dyDescent="0.25">
      <c r="A107" s="186" t="s">
        <v>2678</v>
      </c>
      <c r="B107" s="96" t="s">
        <v>219</v>
      </c>
      <c r="C107" s="32" t="s">
        <v>220</v>
      </c>
      <c r="D107" s="7" t="s">
        <v>133</v>
      </c>
      <c r="E107" s="41">
        <v>90</v>
      </c>
      <c r="F107" s="71">
        <v>62216.639999999999</v>
      </c>
      <c r="G107" s="71">
        <v>0</v>
      </c>
      <c r="H107" s="71">
        <v>5599497.5999999996</v>
      </c>
      <c r="I107" s="102">
        <v>0</v>
      </c>
      <c r="J107" s="34" t="s">
        <v>128</v>
      </c>
      <c r="K107" s="34" t="s">
        <v>129</v>
      </c>
      <c r="L107" s="34" t="s">
        <v>210</v>
      </c>
    </row>
    <row r="108" spans="1:12" s="22" customFormat="1" ht="27" x14ac:dyDescent="0.25">
      <c r="A108" s="186" t="s">
        <v>2678</v>
      </c>
      <c r="B108" s="96"/>
      <c r="C108" s="34" t="s">
        <v>221</v>
      </c>
      <c r="D108" s="7"/>
      <c r="E108" s="41"/>
      <c r="F108" s="71"/>
      <c r="G108" s="71"/>
      <c r="H108" s="71"/>
      <c r="I108" s="102"/>
      <c r="J108" s="34"/>
      <c r="K108" s="34"/>
      <c r="L108" s="112"/>
    </row>
    <row r="109" spans="1:12" s="22" customFormat="1" ht="67.5" x14ac:dyDescent="0.25">
      <c r="A109" s="186" t="s">
        <v>2678</v>
      </c>
      <c r="B109" s="98" t="s">
        <v>222</v>
      </c>
      <c r="C109" s="32" t="s">
        <v>223</v>
      </c>
      <c r="D109" s="7" t="s">
        <v>133</v>
      </c>
      <c r="E109" s="41">
        <v>62</v>
      </c>
      <c r="F109" s="71">
        <v>665.51</v>
      </c>
      <c r="G109" s="71">
        <v>9.33</v>
      </c>
      <c r="H109" s="71">
        <v>41261.620000000003</v>
      </c>
      <c r="I109" s="102">
        <v>578.46</v>
      </c>
      <c r="J109" s="34" t="s">
        <v>128</v>
      </c>
      <c r="K109" s="34" t="s">
        <v>129</v>
      </c>
      <c r="L109" s="34" t="s">
        <v>221</v>
      </c>
    </row>
    <row r="110" spans="1:12" s="22" customFormat="1" ht="67.5" x14ac:dyDescent="0.25">
      <c r="A110" s="186" t="s">
        <v>2678</v>
      </c>
      <c r="B110" s="96" t="s">
        <v>224</v>
      </c>
      <c r="C110" s="32" t="s">
        <v>225</v>
      </c>
      <c r="D110" s="7" t="s">
        <v>133</v>
      </c>
      <c r="E110" s="41">
        <v>82</v>
      </c>
      <c r="F110" s="71">
        <v>1581.71</v>
      </c>
      <c r="G110" s="71">
        <v>22.14</v>
      </c>
      <c r="H110" s="71">
        <v>129700.22</v>
      </c>
      <c r="I110" s="102">
        <v>1815.48</v>
      </c>
      <c r="J110" s="34" t="s">
        <v>128</v>
      </c>
      <c r="K110" s="34" t="s">
        <v>129</v>
      </c>
      <c r="L110" s="34" t="s">
        <v>221</v>
      </c>
    </row>
    <row r="111" spans="1:12" s="22" customFormat="1" ht="27" x14ac:dyDescent="0.25">
      <c r="A111" s="186" t="s">
        <v>2678</v>
      </c>
      <c r="B111" s="96"/>
      <c r="C111" s="34" t="s">
        <v>226</v>
      </c>
      <c r="D111" s="7"/>
      <c r="E111" s="41"/>
      <c r="F111" s="71"/>
      <c r="G111" s="71"/>
      <c r="H111" s="71"/>
      <c r="I111" s="102"/>
      <c r="J111" s="34"/>
      <c r="K111" s="34"/>
      <c r="L111" s="112"/>
    </row>
    <row r="112" spans="1:12" s="22" customFormat="1" ht="67.5" x14ac:dyDescent="0.25">
      <c r="A112" s="186" t="s">
        <v>2678</v>
      </c>
      <c r="B112" s="100" t="s">
        <v>227</v>
      </c>
      <c r="C112" s="32" t="s">
        <v>228</v>
      </c>
      <c r="D112" s="7" t="s">
        <v>133</v>
      </c>
      <c r="E112" s="41">
        <v>80</v>
      </c>
      <c r="F112" s="71">
        <v>1581.71</v>
      </c>
      <c r="G112" s="71">
        <v>62.19</v>
      </c>
      <c r="H112" s="71">
        <v>126536.8</v>
      </c>
      <c r="I112" s="102">
        <v>4975.2</v>
      </c>
      <c r="J112" s="34" t="s">
        <v>128</v>
      </c>
      <c r="K112" s="34" t="s">
        <v>129</v>
      </c>
      <c r="L112" s="34" t="s">
        <v>226</v>
      </c>
    </row>
    <row r="113" spans="1:12" s="22" customFormat="1" ht="27" x14ac:dyDescent="0.25">
      <c r="A113" s="186" t="s">
        <v>2678</v>
      </c>
      <c r="B113" s="96"/>
      <c r="C113" s="34" t="s">
        <v>229</v>
      </c>
      <c r="D113" s="7"/>
      <c r="E113" s="41"/>
      <c r="F113" s="71"/>
      <c r="G113" s="71"/>
      <c r="H113" s="71"/>
      <c r="I113" s="102"/>
      <c r="J113" s="34"/>
      <c r="K113" s="34"/>
      <c r="L113" s="112"/>
    </row>
    <row r="114" spans="1:12" s="22" customFormat="1" ht="67.5" x14ac:dyDescent="0.25">
      <c r="A114" s="186" t="s">
        <v>2678</v>
      </c>
      <c r="B114" s="96" t="s">
        <v>230</v>
      </c>
      <c r="C114" s="32" t="s">
        <v>231</v>
      </c>
      <c r="D114" s="7" t="s">
        <v>133</v>
      </c>
      <c r="E114" s="41">
        <v>62</v>
      </c>
      <c r="F114" s="71">
        <v>2593.1</v>
      </c>
      <c r="G114" s="71">
        <v>51.35</v>
      </c>
      <c r="H114" s="71">
        <v>160772.19999999998</v>
      </c>
      <c r="I114" s="102">
        <v>3183.7000000000003</v>
      </c>
      <c r="J114" s="34" t="s">
        <v>128</v>
      </c>
      <c r="K114" s="34" t="s">
        <v>129</v>
      </c>
      <c r="L114" s="34" t="s">
        <v>229</v>
      </c>
    </row>
    <row r="115" spans="1:12" s="22" customFormat="1" ht="67.5" x14ac:dyDescent="0.25">
      <c r="A115" s="186" t="s">
        <v>2678</v>
      </c>
      <c r="B115" s="96" t="s">
        <v>232</v>
      </c>
      <c r="C115" s="32" t="s">
        <v>233</v>
      </c>
      <c r="D115" s="7" t="s">
        <v>133</v>
      </c>
      <c r="E115" s="41">
        <v>60</v>
      </c>
      <c r="F115" s="71">
        <v>2626.29</v>
      </c>
      <c r="G115" s="71">
        <v>24.56</v>
      </c>
      <c r="H115" s="71">
        <v>157577.4</v>
      </c>
      <c r="I115" s="102">
        <v>1473.6</v>
      </c>
      <c r="J115" s="34" t="s">
        <v>128</v>
      </c>
      <c r="K115" s="34" t="s">
        <v>129</v>
      </c>
      <c r="L115" s="34" t="s">
        <v>229</v>
      </c>
    </row>
    <row r="116" spans="1:12" s="22" customFormat="1" ht="67.5" x14ac:dyDescent="0.25">
      <c r="A116" s="186" t="s">
        <v>2678</v>
      </c>
      <c r="B116" s="96" t="s">
        <v>234</v>
      </c>
      <c r="C116" s="32" t="s">
        <v>235</v>
      </c>
      <c r="D116" s="7" t="s">
        <v>133</v>
      </c>
      <c r="E116" s="41">
        <v>60</v>
      </c>
      <c r="F116" s="71">
        <v>3251.03</v>
      </c>
      <c r="G116" s="71">
        <v>44.05</v>
      </c>
      <c r="H116" s="71">
        <v>195061.80000000002</v>
      </c>
      <c r="I116" s="102">
        <v>2643</v>
      </c>
      <c r="J116" s="34" t="s">
        <v>128</v>
      </c>
      <c r="K116" s="34" t="s">
        <v>129</v>
      </c>
      <c r="L116" s="34" t="s">
        <v>229</v>
      </c>
    </row>
    <row r="117" spans="1:12" s="22" customFormat="1" ht="67.5" x14ac:dyDescent="0.25">
      <c r="A117" s="186" t="s">
        <v>2678</v>
      </c>
      <c r="B117" s="96" t="s">
        <v>236</v>
      </c>
      <c r="C117" s="32" t="s">
        <v>237</v>
      </c>
      <c r="D117" s="7" t="s">
        <v>133</v>
      </c>
      <c r="E117" s="41">
        <v>186</v>
      </c>
      <c r="F117" s="71">
        <v>3301.29</v>
      </c>
      <c r="G117" s="71">
        <v>66.5</v>
      </c>
      <c r="H117" s="71">
        <v>614039.93999999994</v>
      </c>
      <c r="I117" s="102">
        <v>12369</v>
      </c>
      <c r="J117" s="34" t="s">
        <v>128</v>
      </c>
      <c r="K117" s="34" t="s">
        <v>129</v>
      </c>
      <c r="L117" s="34" t="s">
        <v>229</v>
      </c>
    </row>
    <row r="118" spans="1:12" s="22" customFormat="1" ht="67.5" x14ac:dyDescent="0.25">
      <c r="A118" s="186" t="s">
        <v>2678</v>
      </c>
      <c r="B118" s="96" t="s">
        <v>238</v>
      </c>
      <c r="C118" s="32" t="s">
        <v>239</v>
      </c>
      <c r="D118" s="7" t="s">
        <v>133</v>
      </c>
      <c r="E118" s="41">
        <v>30</v>
      </c>
      <c r="F118" s="71">
        <v>4078.16</v>
      </c>
      <c r="G118" s="71">
        <v>69.28</v>
      </c>
      <c r="H118" s="71">
        <v>122344.79999999999</v>
      </c>
      <c r="I118" s="102">
        <v>2078.4</v>
      </c>
      <c r="J118" s="34" t="s">
        <v>128</v>
      </c>
      <c r="K118" s="34" t="s">
        <v>129</v>
      </c>
      <c r="L118" s="34" t="s">
        <v>229</v>
      </c>
    </row>
    <row r="119" spans="1:12" s="22" customFormat="1" ht="67.5" x14ac:dyDescent="0.25">
      <c r="A119" s="186" t="s">
        <v>2678</v>
      </c>
      <c r="B119" s="96" t="s">
        <v>240</v>
      </c>
      <c r="C119" s="32" t="s">
        <v>241</v>
      </c>
      <c r="D119" s="7" t="s">
        <v>133</v>
      </c>
      <c r="E119" s="41">
        <v>104</v>
      </c>
      <c r="F119" s="71">
        <v>4161.03</v>
      </c>
      <c r="G119" s="71">
        <v>108.44</v>
      </c>
      <c r="H119" s="71">
        <v>432747.12</v>
      </c>
      <c r="I119" s="102">
        <v>11277.76</v>
      </c>
      <c r="J119" s="34" t="s">
        <v>128</v>
      </c>
      <c r="K119" s="34" t="s">
        <v>129</v>
      </c>
      <c r="L119" s="34" t="s">
        <v>229</v>
      </c>
    </row>
    <row r="120" spans="1:12" s="22" customFormat="1" ht="67.5" x14ac:dyDescent="0.25">
      <c r="A120" s="186" t="s">
        <v>2678</v>
      </c>
      <c r="B120" s="96" t="s">
        <v>242</v>
      </c>
      <c r="C120" s="32" t="s">
        <v>243</v>
      </c>
      <c r="D120" s="7" t="s">
        <v>133</v>
      </c>
      <c r="E120" s="41">
        <v>40</v>
      </c>
      <c r="F120" s="71">
        <v>4968.04</v>
      </c>
      <c r="G120" s="71">
        <v>133.31</v>
      </c>
      <c r="H120" s="71">
        <v>198721.6</v>
      </c>
      <c r="I120" s="102">
        <v>5332.4</v>
      </c>
      <c r="J120" s="34" t="s">
        <v>128</v>
      </c>
      <c r="K120" s="34" t="s">
        <v>129</v>
      </c>
      <c r="L120" s="34" t="s">
        <v>229</v>
      </c>
    </row>
    <row r="121" spans="1:12" s="22" customFormat="1" ht="67.5" x14ac:dyDescent="0.25">
      <c r="A121" s="186" t="s">
        <v>2678</v>
      </c>
      <c r="B121" s="98" t="s">
        <v>244</v>
      </c>
      <c r="C121" s="32" t="s">
        <v>245</v>
      </c>
      <c r="D121" s="7" t="s">
        <v>133</v>
      </c>
      <c r="E121" s="41">
        <v>30</v>
      </c>
      <c r="F121" s="71">
        <v>6677.91</v>
      </c>
      <c r="G121" s="71">
        <v>143.85</v>
      </c>
      <c r="H121" s="71">
        <v>200337.3</v>
      </c>
      <c r="I121" s="102">
        <v>4315.5</v>
      </c>
      <c r="J121" s="34" t="s">
        <v>128</v>
      </c>
      <c r="K121" s="34" t="s">
        <v>129</v>
      </c>
      <c r="L121" s="34" t="s">
        <v>229</v>
      </c>
    </row>
    <row r="122" spans="1:12" s="22" customFormat="1" ht="67.5" x14ac:dyDescent="0.25">
      <c r="A122" s="186" t="s">
        <v>2678</v>
      </c>
      <c r="B122" s="100" t="s">
        <v>246</v>
      </c>
      <c r="C122" s="32" t="s">
        <v>247</v>
      </c>
      <c r="D122" s="7" t="s">
        <v>133</v>
      </c>
      <c r="E122" s="41">
        <v>30</v>
      </c>
      <c r="F122" s="71">
        <v>85324.83</v>
      </c>
      <c r="G122" s="71">
        <v>0</v>
      </c>
      <c r="H122" s="71">
        <v>2559744.9</v>
      </c>
      <c r="I122" s="102">
        <v>0</v>
      </c>
      <c r="J122" s="34" t="s">
        <v>128</v>
      </c>
      <c r="K122" s="34" t="s">
        <v>129</v>
      </c>
      <c r="L122" s="34" t="s">
        <v>229</v>
      </c>
    </row>
    <row r="123" spans="1:12" s="22" customFormat="1" ht="27" x14ac:dyDescent="0.25">
      <c r="A123" s="186" t="s">
        <v>2678</v>
      </c>
      <c r="B123" s="96"/>
      <c r="C123" s="34" t="s">
        <v>248</v>
      </c>
      <c r="D123" s="7"/>
      <c r="E123" s="41"/>
      <c r="F123" s="71"/>
      <c r="G123" s="71"/>
      <c r="H123" s="71"/>
      <c r="I123" s="102"/>
      <c r="J123" s="34"/>
      <c r="K123" s="34"/>
      <c r="L123" s="112"/>
    </row>
    <row r="124" spans="1:12" s="22" customFormat="1" ht="67.5" x14ac:dyDescent="0.25">
      <c r="A124" s="186" t="s">
        <v>2678</v>
      </c>
      <c r="B124" s="96" t="s">
        <v>249</v>
      </c>
      <c r="C124" s="32" t="s">
        <v>250</v>
      </c>
      <c r="D124" s="7" t="s">
        <v>133</v>
      </c>
      <c r="E124" s="41">
        <v>70</v>
      </c>
      <c r="F124" s="71">
        <v>2210.5300000000002</v>
      </c>
      <c r="G124" s="71">
        <v>58.83</v>
      </c>
      <c r="H124" s="71">
        <v>154737.1</v>
      </c>
      <c r="I124" s="102">
        <v>4118.0999999999995</v>
      </c>
      <c r="J124" s="34" t="s">
        <v>128</v>
      </c>
      <c r="K124" s="34" t="s">
        <v>129</v>
      </c>
      <c r="L124" s="34" t="s">
        <v>248</v>
      </c>
    </row>
    <row r="125" spans="1:12" s="22" customFormat="1" ht="67.5" x14ac:dyDescent="0.25">
      <c r="A125" s="186" t="s">
        <v>2678</v>
      </c>
      <c r="B125" s="96" t="s">
        <v>251</v>
      </c>
      <c r="C125" s="32" t="s">
        <v>252</v>
      </c>
      <c r="D125" s="7" t="s">
        <v>133</v>
      </c>
      <c r="E125" s="41">
        <v>44</v>
      </c>
      <c r="F125" s="71">
        <v>3062.01</v>
      </c>
      <c r="G125" s="71">
        <v>64.33</v>
      </c>
      <c r="H125" s="71">
        <v>134728.44</v>
      </c>
      <c r="I125" s="102">
        <v>2830.52</v>
      </c>
      <c r="J125" s="34" t="s">
        <v>128</v>
      </c>
      <c r="K125" s="34" t="s">
        <v>129</v>
      </c>
      <c r="L125" s="34" t="s">
        <v>248</v>
      </c>
    </row>
    <row r="126" spans="1:12" s="22" customFormat="1" ht="67.5" x14ac:dyDescent="0.25">
      <c r="A126" s="186" t="s">
        <v>2678</v>
      </c>
      <c r="B126" s="96" t="s">
        <v>253</v>
      </c>
      <c r="C126" s="32" t="s">
        <v>254</v>
      </c>
      <c r="D126" s="7" t="s">
        <v>133</v>
      </c>
      <c r="E126" s="41">
        <v>50</v>
      </c>
      <c r="F126" s="71">
        <v>2983.39</v>
      </c>
      <c r="G126" s="71">
        <v>100.21</v>
      </c>
      <c r="H126" s="71">
        <v>149169.5</v>
      </c>
      <c r="I126" s="102">
        <v>5010.5</v>
      </c>
      <c r="J126" s="34" t="s">
        <v>128</v>
      </c>
      <c r="K126" s="34" t="s">
        <v>129</v>
      </c>
      <c r="L126" s="34" t="s">
        <v>248</v>
      </c>
    </row>
    <row r="127" spans="1:12" s="22" customFormat="1" ht="67.5" x14ac:dyDescent="0.25">
      <c r="A127" s="186" t="s">
        <v>2678</v>
      </c>
      <c r="B127" s="96" t="s">
        <v>255</v>
      </c>
      <c r="C127" s="32" t="s">
        <v>256</v>
      </c>
      <c r="D127" s="7" t="s">
        <v>133</v>
      </c>
      <c r="E127" s="41">
        <v>50</v>
      </c>
      <c r="F127" s="71">
        <v>6716.23</v>
      </c>
      <c r="G127" s="71">
        <v>121.26</v>
      </c>
      <c r="H127" s="71">
        <v>335811.5</v>
      </c>
      <c r="I127" s="102">
        <v>6063</v>
      </c>
      <c r="J127" s="34" t="s">
        <v>128</v>
      </c>
      <c r="K127" s="34" t="s">
        <v>129</v>
      </c>
      <c r="L127" s="34" t="s">
        <v>248</v>
      </c>
    </row>
    <row r="128" spans="1:12" s="22" customFormat="1" ht="67.5" x14ac:dyDescent="0.25">
      <c r="A128" s="186" t="s">
        <v>2678</v>
      </c>
      <c r="B128" s="96" t="s">
        <v>257</v>
      </c>
      <c r="C128" s="32" t="s">
        <v>258</v>
      </c>
      <c r="D128" s="7" t="s">
        <v>133</v>
      </c>
      <c r="E128" s="41">
        <v>60</v>
      </c>
      <c r="F128" s="71">
        <v>5051.13</v>
      </c>
      <c r="G128" s="71">
        <v>203.63</v>
      </c>
      <c r="H128" s="71">
        <v>303067.8</v>
      </c>
      <c r="I128" s="102">
        <v>12217.8</v>
      </c>
      <c r="J128" s="34" t="s">
        <v>128</v>
      </c>
      <c r="K128" s="34" t="s">
        <v>129</v>
      </c>
      <c r="L128" s="34" t="s">
        <v>248</v>
      </c>
    </row>
    <row r="129" spans="1:12" s="22" customFormat="1" ht="67.5" x14ac:dyDescent="0.25">
      <c r="A129" s="186" t="s">
        <v>2678</v>
      </c>
      <c r="B129" s="96" t="s">
        <v>259</v>
      </c>
      <c r="C129" s="32" t="s">
        <v>260</v>
      </c>
      <c r="D129" s="7" t="s">
        <v>133</v>
      </c>
      <c r="E129" s="41">
        <v>30</v>
      </c>
      <c r="F129" s="71">
        <v>20917.66</v>
      </c>
      <c r="G129" s="71">
        <v>310.94</v>
      </c>
      <c r="H129" s="71">
        <v>627529.80000000005</v>
      </c>
      <c r="I129" s="102">
        <v>9328.2000000000007</v>
      </c>
      <c r="J129" s="34" t="s">
        <v>128</v>
      </c>
      <c r="K129" s="34" t="s">
        <v>129</v>
      </c>
      <c r="L129" s="34" t="s">
        <v>248</v>
      </c>
    </row>
    <row r="130" spans="1:12" s="22" customFormat="1" ht="27" x14ac:dyDescent="0.25">
      <c r="A130" s="186" t="s">
        <v>2678</v>
      </c>
      <c r="B130" s="96"/>
      <c r="C130" s="34" t="s">
        <v>261</v>
      </c>
      <c r="D130" s="7"/>
      <c r="E130" s="41"/>
      <c r="F130" s="71"/>
      <c r="G130" s="71"/>
      <c r="H130" s="71"/>
      <c r="I130" s="102"/>
      <c r="J130" s="34"/>
      <c r="K130" s="34"/>
      <c r="L130" s="112"/>
    </row>
    <row r="131" spans="1:12" s="22" customFormat="1" ht="67.5" x14ac:dyDescent="0.25">
      <c r="A131" s="186" t="s">
        <v>2678</v>
      </c>
      <c r="B131" s="96" t="s">
        <v>262</v>
      </c>
      <c r="C131" s="32" t="s">
        <v>263</v>
      </c>
      <c r="D131" s="7" t="s">
        <v>133</v>
      </c>
      <c r="E131" s="41">
        <v>52</v>
      </c>
      <c r="F131" s="71">
        <v>895.64</v>
      </c>
      <c r="G131" s="71">
        <v>111.94</v>
      </c>
      <c r="H131" s="71">
        <v>46573.279999999999</v>
      </c>
      <c r="I131" s="102">
        <v>5820.88</v>
      </c>
      <c r="J131" s="34" t="s">
        <v>128</v>
      </c>
      <c r="K131" s="34" t="s">
        <v>129</v>
      </c>
      <c r="L131" s="34" t="s">
        <v>261</v>
      </c>
    </row>
    <row r="132" spans="1:12" s="22" customFormat="1" ht="67.5" x14ac:dyDescent="0.25">
      <c r="A132" s="186" t="s">
        <v>2678</v>
      </c>
      <c r="B132" s="96" t="s">
        <v>264</v>
      </c>
      <c r="C132" s="32" t="s">
        <v>265</v>
      </c>
      <c r="D132" s="7" t="s">
        <v>133</v>
      </c>
      <c r="E132" s="41">
        <v>78</v>
      </c>
      <c r="F132" s="71">
        <v>3251.03</v>
      </c>
      <c r="G132" s="71">
        <v>172.19</v>
      </c>
      <c r="H132" s="71">
        <v>253580.34000000003</v>
      </c>
      <c r="I132" s="102">
        <v>13430.82</v>
      </c>
      <c r="J132" s="34" t="s">
        <v>128</v>
      </c>
      <c r="K132" s="34" t="s">
        <v>129</v>
      </c>
      <c r="L132" s="34" t="s">
        <v>261</v>
      </c>
    </row>
    <row r="133" spans="1:12" s="22" customFormat="1" ht="67.5" x14ac:dyDescent="0.25">
      <c r="A133" s="186" t="s">
        <v>2678</v>
      </c>
      <c r="B133" s="96" t="s">
        <v>266</v>
      </c>
      <c r="C133" s="33" t="s">
        <v>267</v>
      </c>
      <c r="D133" s="7" t="s">
        <v>133</v>
      </c>
      <c r="E133" s="41">
        <v>220</v>
      </c>
      <c r="F133" s="71">
        <v>4324.79</v>
      </c>
      <c r="G133" s="71">
        <v>371.2</v>
      </c>
      <c r="H133" s="71">
        <v>951453.8</v>
      </c>
      <c r="I133" s="102">
        <v>81664</v>
      </c>
      <c r="J133" s="34" t="s">
        <v>128</v>
      </c>
      <c r="K133" s="34" t="s">
        <v>129</v>
      </c>
      <c r="L133" s="34" t="s">
        <v>261</v>
      </c>
    </row>
    <row r="134" spans="1:12" s="22" customFormat="1" ht="67.5" x14ac:dyDescent="0.25">
      <c r="A134" s="186" t="s">
        <v>2678</v>
      </c>
      <c r="B134" s="96" t="s">
        <v>268</v>
      </c>
      <c r="C134" s="33" t="s">
        <v>269</v>
      </c>
      <c r="D134" s="7" t="s">
        <v>133</v>
      </c>
      <c r="E134" s="41">
        <v>50</v>
      </c>
      <c r="F134" s="71">
        <v>4161.03</v>
      </c>
      <c r="G134" s="71">
        <v>192.95</v>
      </c>
      <c r="H134" s="71">
        <v>208051.5</v>
      </c>
      <c r="I134" s="102">
        <v>9647.5</v>
      </c>
      <c r="J134" s="34" t="s">
        <v>128</v>
      </c>
      <c r="K134" s="34" t="s">
        <v>129</v>
      </c>
      <c r="L134" s="34" t="s">
        <v>261</v>
      </c>
    </row>
    <row r="135" spans="1:12" s="22" customFormat="1" ht="67.5" x14ac:dyDescent="0.25">
      <c r="A135" s="186" t="s">
        <v>2678</v>
      </c>
      <c r="B135" s="96" t="s">
        <v>270</v>
      </c>
      <c r="C135" s="33" t="s">
        <v>271</v>
      </c>
      <c r="D135" s="7" t="s">
        <v>133</v>
      </c>
      <c r="E135" s="41">
        <v>34</v>
      </c>
      <c r="F135" s="71">
        <v>6716.23</v>
      </c>
      <c r="G135" s="71">
        <v>429.94</v>
      </c>
      <c r="H135" s="71">
        <v>228351.81999999998</v>
      </c>
      <c r="I135" s="102">
        <v>14617.96</v>
      </c>
      <c r="J135" s="34" t="s">
        <v>128</v>
      </c>
      <c r="K135" s="34" t="s">
        <v>129</v>
      </c>
      <c r="L135" s="34" t="s">
        <v>261</v>
      </c>
    </row>
    <row r="136" spans="1:12" s="22" customFormat="1" ht="67.5" x14ac:dyDescent="0.25">
      <c r="A136" s="186" t="s">
        <v>2678</v>
      </c>
      <c r="B136" s="96" t="s">
        <v>272</v>
      </c>
      <c r="C136" s="33" t="s">
        <v>273</v>
      </c>
      <c r="D136" s="7" t="s">
        <v>133</v>
      </c>
      <c r="E136" s="41">
        <v>100</v>
      </c>
      <c r="F136" s="71">
        <v>20832.259999999998</v>
      </c>
      <c r="G136" s="71">
        <v>1951.94</v>
      </c>
      <c r="H136" s="71">
        <v>2083225.9999999998</v>
      </c>
      <c r="I136" s="102">
        <v>195194</v>
      </c>
      <c r="J136" s="34" t="s">
        <v>128</v>
      </c>
      <c r="K136" s="34" t="s">
        <v>129</v>
      </c>
      <c r="L136" s="34" t="s">
        <v>261</v>
      </c>
    </row>
    <row r="137" spans="1:12" s="22" customFormat="1" ht="67.5" x14ac:dyDescent="0.25">
      <c r="A137" s="186" t="s">
        <v>2678</v>
      </c>
      <c r="B137" s="96" t="s">
        <v>274</v>
      </c>
      <c r="C137" s="33" t="s">
        <v>275</v>
      </c>
      <c r="D137" s="7" t="s">
        <v>133</v>
      </c>
      <c r="E137" s="41">
        <v>40</v>
      </c>
      <c r="F137" s="71">
        <v>46684.26</v>
      </c>
      <c r="G137" s="71">
        <v>2487.5</v>
      </c>
      <c r="H137" s="71">
        <v>1867370.4000000001</v>
      </c>
      <c r="I137" s="102">
        <v>99500</v>
      </c>
      <c r="J137" s="34" t="s">
        <v>128</v>
      </c>
      <c r="K137" s="34" t="s">
        <v>129</v>
      </c>
      <c r="L137" s="34" t="s">
        <v>261</v>
      </c>
    </row>
    <row r="138" spans="1:12" s="22" customFormat="1" ht="67.5" x14ac:dyDescent="0.25">
      <c r="A138" s="186" t="s">
        <v>2678</v>
      </c>
      <c r="B138" s="96" t="s">
        <v>276</v>
      </c>
      <c r="C138" s="33" t="s">
        <v>277</v>
      </c>
      <c r="D138" s="7" t="s">
        <v>133</v>
      </c>
      <c r="E138" s="41">
        <v>96</v>
      </c>
      <c r="F138" s="71">
        <v>78938.34</v>
      </c>
      <c r="G138" s="71">
        <v>3109.38</v>
      </c>
      <c r="H138" s="71">
        <v>7578080.6399999997</v>
      </c>
      <c r="I138" s="102">
        <v>298500.47999999998</v>
      </c>
      <c r="J138" s="34" t="s">
        <v>128</v>
      </c>
      <c r="K138" s="34" t="s">
        <v>129</v>
      </c>
      <c r="L138" s="34" t="s">
        <v>261</v>
      </c>
    </row>
    <row r="139" spans="1:12" s="22" customFormat="1" ht="67.5" x14ac:dyDescent="0.25">
      <c r="A139" s="186" t="s">
        <v>2678</v>
      </c>
      <c r="B139" s="96" t="s">
        <v>278</v>
      </c>
      <c r="C139" s="32" t="s">
        <v>279</v>
      </c>
      <c r="D139" s="7" t="s">
        <v>133</v>
      </c>
      <c r="E139" s="41">
        <v>30</v>
      </c>
      <c r="F139" s="71">
        <v>72227.83</v>
      </c>
      <c r="G139" s="71">
        <v>3731.25</v>
      </c>
      <c r="H139" s="71">
        <v>2166834.9</v>
      </c>
      <c r="I139" s="102">
        <v>111937.5</v>
      </c>
      <c r="J139" s="34" t="s">
        <v>128</v>
      </c>
      <c r="K139" s="34" t="s">
        <v>129</v>
      </c>
      <c r="L139" s="34" t="s">
        <v>261</v>
      </c>
    </row>
    <row r="140" spans="1:12" s="22" customFormat="1" ht="27" x14ac:dyDescent="0.25">
      <c r="A140" s="186" t="s">
        <v>2678</v>
      </c>
      <c r="B140" s="96"/>
      <c r="C140" s="34" t="s">
        <v>280</v>
      </c>
      <c r="D140" s="7"/>
      <c r="E140" s="41"/>
      <c r="F140" s="71"/>
      <c r="G140" s="71"/>
      <c r="H140" s="71"/>
      <c r="I140" s="102"/>
      <c r="J140" s="34"/>
      <c r="K140" s="34"/>
      <c r="L140" s="112"/>
    </row>
    <row r="141" spans="1:12" s="22" customFormat="1" ht="67.5" x14ac:dyDescent="0.25">
      <c r="A141" s="186" t="s">
        <v>2678</v>
      </c>
      <c r="B141" s="96" t="s">
        <v>281</v>
      </c>
      <c r="C141" s="32" t="s">
        <v>282</v>
      </c>
      <c r="D141" s="7" t="s">
        <v>133</v>
      </c>
      <c r="E141" s="41">
        <v>44</v>
      </c>
      <c r="F141" s="71">
        <v>7874.64</v>
      </c>
      <c r="G141" s="71">
        <v>0</v>
      </c>
      <c r="H141" s="71">
        <v>346484.16000000003</v>
      </c>
      <c r="I141" s="102">
        <v>0</v>
      </c>
      <c r="J141" s="34" t="s">
        <v>128</v>
      </c>
      <c r="K141" s="34" t="s">
        <v>129</v>
      </c>
      <c r="L141" s="34" t="s">
        <v>280</v>
      </c>
    </row>
    <row r="142" spans="1:12" s="22" customFormat="1" ht="67.5" x14ac:dyDescent="0.25">
      <c r="A142" s="186" t="s">
        <v>2678</v>
      </c>
      <c r="B142" s="96" t="s">
        <v>283</v>
      </c>
      <c r="C142" s="32" t="s">
        <v>284</v>
      </c>
      <c r="D142" s="7" t="s">
        <v>133</v>
      </c>
      <c r="E142" s="41">
        <v>174</v>
      </c>
      <c r="F142" s="71">
        <v>3388.83</v>
      </c>
      <c r="G142" s="71">
        <v>301.13</v>
      </c>
      <c r="H142" s="71">
        <v>589656.42000000004</v>
      </c>
      <c r="I142" s="102">
        <v>52396.62</v>
      </c>
      <c r="J142" s="34" t="s">
        <v>128</v>
      </c>
      <c r="K142" s="34" t="s">
        <v>129</v>
      </c>
      <c r="L142" s="34" t="s">
        <v>280</v>
      </c>
    </row>
    <row r="143" spans="1:12" s="22" customFormat="1" ht="67.5" x14ac:dyDescent="0.25">
      <c r="A143" s="186" t="s">
        <v>2678</v>
      </c>
      <c r="B143" s="96" t="s">
        <v>285</v>
      </c>
      <c r="C143" s="32" t="s">
        <v>286</v>
      </c>
      <c r="D143" s="7" t="s">
        <v>133</v>
      </c>
      <c r="E143" s="41">
        <v>220</v>
      </c>
      <c r="F143" s="71">
        <v>32787.25</v>
      </c>
      <c r="G143" s="71">
        <v>0</v>
      </c>
      <c r="H143" s="71">
        <v>7213195</v>
      </c>
      <c r="I143" s="102">
        <v>0</v>
      </c>
      <c r="J143" s="34" t="s">
        <v>128</v>
      </c>
      <c r="K143" s="34" t="s">
        <v>129</v>
      </c>
      <c r="L143" s="34" t="s">
        <v>280</v>
      </c>
    </row>
    <row r="144" spans="1:12" s="22" customFormat="1" ht="67.5" x14ac:dyDescent="0.25">
      <c r="A144" s="186" t="s">
        <v>2678</v>
      </c>
      <c r="B144" s="98" t="s">
        <v>287</v>
      </c>
      <c r="C144" s="32" t="s">
        <v>288</v>
      </c>
      <c r="D144" s="7" t="s">
        <v>133</v>
      </c>
      <c r="E144" s="41">
        <v>92</v>
      </c>
      <c r="F144" s="71">
        <v>56925.71</v>
      </c>
      <c r="G144" s="71">
        <v>0</v>
      </c>
      <c r="H144" s="71">
        <v>5237165.32</v>
      </c>
      <c r="I144" s="102">
        <v>0</v>
      </c>
      <c r="J144" s="34" t="s">
        <v>128</v>
      </c>
      <c r="K144" s="34" t="s">
        <v>129</v>
      </c>
      <c r="L144" s="34" t="s">
        <v>280</v>
      </c>
    </row>
    <row r="145" spans="1:12" s="22" customFormat="1" ht="67.5" x14ac:dyDescent="0.25">
      <c r="A145" s="186" t="s">
        <v>2678</v>
      </c>
      <c r="B145" s="96" t="s">
        <v>289</v>
      </c>
      <c r="C145" s="32" t="s">
        <v>290</v>
      </c>
      <c r="D145" s="7" t="s">
        <v>133</v>
      </c>
      <c r="E145" s="41">
        <v>132</v>
      </c>
      <c r="F145" s="71">
        <v>54243.39</v>
      </c>
      <c r="G145" s="71">
        <v>0</v>
      </c>
      <c r="H145" s="71">
        <v>7160127.4799999995</v>
      </c>
      <c r="I145" s="102">
        <v>0</v>
      </c>
      <c r="J145" s="34" t="s">
        <v>128</v>
      </c>
      <c r="K145" s="34" t="s">
        <v>129</v>
      </c>
      <c r="L145" s="34" t="s">
        <v>280</v>
      </c>
    </row>
    <row r="146" spans="1:12" s="22" customFormat="1" ht="67.5" x14ac:dyDescent="0.25">
      <c r="A146" s="186" t="s">
        <v>2678</v>
      </c>
      <c r="B146" s="96" t="s">
        <v>291</v>
      </c>
      <c r="C146" s="32" t="s">
        <v>292</v>
      </c>
      <c r="D146" s="7" t="s">
        <v>133</v>
      </c>
      <c r="E146" s="41">
        <v>54</v>
      </c>
      <c r="F146" s="71">
        <v>32504</v>
      </c>
      <c r="G146" s="71">
        <v>194.96</v>
      </c>
      <c r="H146" s="71">
        <v>1755216</v>
      </c>
      <c r="I146" s="102">
        <v>10527.84</v>
      </c>
      <c r="J146" s="34" t="s">
        <v>128</v>
      </c>
      <c r="K146" s="34" t="s">
        <v>129</v>
      </c>
      <c r="L146" s="34" t="s">
        <v>280</v>
      </c>
    </row>
    <row r="147" spans="1:12" s="22" customFormat="1" ht="40.5" x14ac:dyDescent="0.25">
      <c r="A147" s="186" t="s">
        <v>2678</v>
      </c>
      <c r="B147" s="96"/>
      <c r="C147" s="34" t="s">
        <v>293</v>
      </c>
      <c r="D147" s="7"/>
      <c r="E147" s="41"/>
      <c r="F147" s="71"/>
      <c r="G147" s="71"/>
      <c r="H147" s="71"/>
      <c r="I147" s="102"/>
      <c r="J147" s="34"/>
      <c r="K147" s="34"/>
      <c r="L147" s="112"/>
    </row>
    <row r="148" spans="1:12" s="22" customFormat="1" ht="81" x14ac:dyDescent="0.25">
      <c r="A148" s="186" t="s">
        <v>2678</v>
      </c>
      <c r="B148" s="96" t="s">
        <v>294</v>
      </c>
      <c r="C148" s="32" t="s">
        <v>295</v>
      </c>
      <c r="D148" s="7" t="s">
        <v>133</v>
      </c>
      <c r="E148" s="41">
        <v>50</v>
      </c>
      <c r="F148" s="71">
        <v>6628.01</v>
      </c>
      <c r="G148" s="71">
        <v>36.46</v>
      </c>
      <c r="H148" s="71">
        <v>331400.5</v>
      </c>
      <c r="I148" s="102">
        <v>1823</v>
      </c>
      <c r="J148" s="34" t="s">
        <v>128</v>
      </c>
      <c r="K148" s="34" t="s">
        <v>129</v>
      </c>
      <c r="L148" s="34" t="s">
        <v>293</v>
      </c>
    </row>
    <row r="149" spans="1:12" s="22" customFormat="1" ht="81" x14ac:dyDescent="0.25">
      <c r="A149" s="186" t="s">
        <v>2678</v>
      </c>
      <c r="B149" s="96" t="s">
        <v>296</v>
      </c>
      <c r="C149" s="32" t="s">
        <v>297</v>
      </c>
      <c r="D149" s="7" t="s">
        <v>133</v>
      </c>
      <c r="E149" s="41">
        <v>62</v>
      </c>
      <c r="F149" s="71">
        <v>11627.1</v>
      </c>
      <c r="G149" s="71">
        <v>237.3</v>
      </c>
      <c r="H149" s="71">
        <v>720880.20000000007</v>
      </c>
      <c r="I149" s="102">
        <v>14712.6</v>
      </c>
      <c r="J149" s="34" t="s">
        <v>128</v>
      </c>
      <c r="K149" s="34" t="s">
        <v>129</v>
      </c>
      <c r="L149" s="34" t="s">
        <v>293</v>
      </c>
    </row>
    <row r="150" spans="1:12" s="22" customFormat="1" ht="81" x14ac:dyDescent="0.25">
      <c r="A150" s="186" t="s">
        <v>2678</v>
      </c>
      <c r="B150" s="96" t="s">
        <v>298</v>
      </c>
      <c r="C150" s="32" t="s">
        <v>299</v>
      </c>
      <c r="D150" s="7" t="s">
        <v>133</v>
      </c>
      <c r="E150" s="41">
        <v>70</v>
      </c>
      <c r="F150" s="71">
        <v>9190.34</v>
      </c>
      <c r="G150" s="71">
        <v>45.38</v>
      </c>
      <c r="H150" s="71">
        <v>643323.80000000005</v>
      </c>
      <c r="I150" s="102">
        <v>3176.6000000000004</v>
      </c>
      <c r="J150" s="34" t="s">
        <v>128</v>
      </c>
      <c r="K150" s="34" t="s">
        <v>129</v>
      </c>
      <c r="L150" s="34" t="s">
        <v>293</v>
      </c>
    </row>
    <row r="151" spans="1:12" s="22" customFormat="1" ht="81" x14ac:dyDescent="0.25">
      <c r="A151" s="186" t="s">
        <v>2678</v>
      </c>
      <c r="B151" s="96" t="s">
        <v>300</v>
      </c>
      <c r="C151" s="32" t="s">
        <v>301</v>
      </c>
      <c r="D151" s="7" t="s">
        <v>133</v>
      </c>
      <c r="E151" s="41">
        <v>64</v>
      </c>
      <c r="F151" s="71">
        <v>9918.59</v>
      </c>
      <c r="G151" s="71">
        <v>83.01</v>
      </c>
      <c r="H151" s="71">
        <v>634789.76</v>
      </c>
      <c r="I151" s="102">
        <v>5312.64</v>
      </c>
      <c r="J151" s="34" t="s">
        <v>128</v>
      </c>
      <c r="K151" s="34" t="s">
        <v>129</v>
      </c>
      <c r="L151" s="34" t="s">
        <v>293</v>
      </c>
    </row>
    <row r="152" spans="1:12" s="22" customFormat="1" ht="81" x14ac:dyDescent="0.25">
      <c r="A152" s="186" t="s">
        <v>2678</v>
      </c>
      <c r="B152" s="96" t="s">
        <v>302</v>
      </c>
      <c r="C152" s="32" t="s">
        <v>303</v>
      </c>
      <c r="D152" s="7" t="s">
        <v>133</v>
      </c>
      <c r="E152" s="41">
        <v>60</v>
      </c>
      <c r="F152" s="71">
        <v>12484.69</v>
      </c>
      <c r="G152" s="71">
        <v>104.46</v>
      </c>
      <c r="H152" s="71">
        <v>749081.4</v>
      </c>
      <c r="I152" s="102">
        <v>6267.5999999999995</v>
      </c>
      <c r="J152" s="34" t="s">
        <v>128</v>
      </c>
      <c r="K152" s="34" t="s">
        <v>129</v>
      </c>
      <c r="L152" s="34" t="s">
        <v>293</v>
      </c>
    </row>
    <row r="153" spans="1:12" s="22" customFormat="1" ht="81" x14ac:dyDescent="0.25">
      <c r="A153" s="186" t="s">
        <v>2678</v>
      </c>
      <c r="B153" s="96" t="s">
        <v>304</v>
      </c>
      <c r="C153" s="32" t="s">
        <v>305</v>
      </c>
      <c r="D153" s="7" t="s">
        <v>133</v>
      </c>
      <c r="E153" s="41">
        <v>54</v>
      </c>
      <c r="F153" s="71">
        <v>8198.6</v>
      </c>
      <c r="G153" s="71">
        <v>98.49</v>
      </c>
      <c r="H153" s="71">
        <v>442724.4</v>
      </c>
      <c r="I153" s="102">
        <v>5318.46</v>
      </c>
      <c r="J153" s="34" t="s">
        <v>128</v>
      </c>
      <c r="K153" s="34" t="s">
        <v>129</v>
      </c>
      <c r="L153" s="34" t="s">
        <v>293</v>
      </c>
    </row>
    <row r="154" spans="1:12" s="22" customFormat="1" ht="81" x14ac:dyDescent="0.25">
      <c r="A154" s="186" t="s">
        <v>2678</v>
      </c>
      <c r="B154" s="96" t="s">
        <v>306</v>
      </c>
      <c r="C154" s="32" t="s">
        <v>307</v>
      </c>
      <c r="D154" s="7" t="s">
        <v>133</v>
      </c>
      <c r="E154" s="41">
        <v>62</v>
      </c>
      <c r="F154" s="71">
        <v>12501.98</v>
      </c>
      <c r="G154" s="71">
        <v>115.31</v>
      </c>
      <c r="H154" s="71">
        <v>775122.76</v>
      </c>
      <c r="I154" s="102">
        <v>7149.22</v>
      </c>
      <c r="J154" s="34" t="s">
        <v>128</v>
      </c>
      <c r="K154" s="34" t="s">
        <v>129</v>
      </c>
      <c r="L154" s="34" t="s">
        <v>293</v>
      </c>
    </row>
    <row r="155" spans="1:12" s="22" customFormat="1" ht="81" x14ac:dyDescent="0.25">
      <c r="A155" s="186" t="s">
        <v>2678</v>
      </c>
      <c r="B155" s="96" t="s">
        <v>308</v>
      </c>
      <c r="C155" s="32" t="s">
        <v>309</v>
      </c>
      <c r="D155" s="7" t="s">
        <v>133</v>
      </c>
      <c r="E155" s="41">
        <v>110</v>
      </c>
      <c r="F155" s="71">
        <v>20859.36</v>
      </c>
      <c r="G155" s="71">
        <v>120.64</v>
      </c>
      <c r="H155" s="71">
        <v>2294529.6</v>
      </c>
      <c r="I155" s="102">
        <v>13270.4</v>
      </c>
      <c r="J155" s="34" t="s">
        <v>128</v>
      </c>
      <c r="K155" s="34" t="s">
        <v>129</v>
      </c>
      <c r="L155" s="34" t="s">
        <v>293</v>
      </c>
    </row>
    <row r="156" spans="1:12" s="22" customFormat="1" ht="81" x14ac:dyDescent="0.25">
      <c r="A156" s="186" t="s">
        <v>2678</v>
      </c>
      <c r="B156" s="96" t="s">
        <v>310</v>
      </c>
      <c r="C156" s="32" t="s">
        <v>311</v>
      </c>
      <c r="D156" s="7" t="s">
        <v>133</v>
      </c>
      <c r="E156" s="41">
        <v>80</v>
      </c>
      <c r="F156" s="71">
        <v>13282.49</v>
      </c>
      <c r="G156" s="71">
        <v>218.9</v>
      </c>
      <c r="H156" s="71">
        <v>1062599.2</v>
      </c>
      <c r="I156" s="102">
        <v>17512</v>
      </c>
      <c r="J156" s="34" t="s">
        <v>128</v>
      </c>
      <c r="K156" s="34" t="s">
        <v>129</v>
      </c>
      <c r="L156" s="34" t="s">
        <v>293</v>
      </c>
    </row>
    <row r="157" spans="1:12" s="22" customFormat="1" ht="81" x14ac:dyDescent="0.25">
      <c r="A157" s="186" t="s">
        <v>2678</v>
      </c>
      <c r="B157" s="96" t="s">
        <v>312</v>
      </c>
      <c r="C157" s="32" t="s">
        <v>313</v>
      </c>
      <c r="D157" s="7" t="s">
        <v>133</v>
      </c>
      <c r="E157" s="41">
        <v>30</v>
      </c>
      <c r="F157" s="71">
        <v>20158.009999999998</v>
      </c>
      <c r="G157" s="71">
        <v>226.36</v>
      </c>
      <c r="H157" s="71">
        <v>604740.29999999993</v>
      </c>
      <c r="I157" s="102">
        <v>6790.8</v>
      </c>
      <c r="J157" s="34" t="s">
        <v>128</v>
      </c>
      <c r="K157" s="34" t="s">
        <v>129</v>
      </c>
      <c r="L157" s="34" t="s">
        <v>293</v>
      </c>
    </row>
    <row r="158" spans="1:12" s="22" customFormat="1" ht="81" x14ac:dyDescent="0.25">
      <c r="A158" s="186" t="s">
        <v>2678</v>
      </c>
      <c r="B158" s="96" t="s">
        <v>314</v>
      </c>
      <c r="C158" s="32" t="s">
        <v>315</v>
      </c>
      <c r="D158" s="7" t="s">
        <v>133</v>
      </c>
      <c r="E158" s="41">
        <v>30</v>
      </c>
      <c r="F158" s="71">
        <v>33120.1</v>
      </c>
      <c r="G158" s="71">
        <v>2363.13</v>
      </c>
      <c r="H158" s="71">
        <v>993603</v>
      </c>
      <c r="I158" s="102">
        <v>70893.900000000009</v>
      </c>
      <c r="J158" s="34" t="s">
        <v>128</v>
      </c>
      <c r="K158" s="34" t="s">
        <v>129</v>
      </c>
      <c r="L158" s="34" t="s">
        <v>293</v>
      </c>
    </row>
    <row r="159" spans="1:12" s="22" customFormat="1" ht="81" x14ac:dyDescent="0.25">
      <c r="A159" s="186" t="s">
        <v>2678</v>
      </c>
      <c r="B159" s="96" t="s">
        <v>316</v>
      </c>
      <c r="C159" s="32" t="s">
        <v>317</v>
      </c>
      <c r="D159" s="7" t="s">
        <v>133</v>
      </c>
      <c r="E159" s="41">
        <v>76</v>
      </c>
      <c r="F159" s="71">
        <v>50882.879999999997</v>
      </c>
      <c r="G159" s="71">
        <v>2753.66</v>
      </c>
      <c r="H159" s="71">
        <v>3867098.88</v>
      </c>
      <c r="I159" s="102">
        <v>209278.15999999997</v>
      </c>
      <c r="J159" s="34" t="s">
        <v>128</v>
      </c>
      <c r="K159" s="34" t="s">
        <v>129</v>
      </c>
      <c r="L159" s="34" t="s">
        <v>293</v>
      </c>
    </row>
    <row r="160" spans="1:12" s="22" customFormat="1" ht="81" x14ac:dyDescent="0.25">
      <c r="A160" s="186" t="s">
        <v>2678</v>
      </c>
      <c r="B160" s="96" t="s">
        <v>318</v>
      </c>
      <c r="C160" s="32" t="s">
        <v>319</v>
      </c>
      <c r="D160" s="7" t="s">
        <v>133</v>
      </c>
      <c r="E160" s="41">
        <v>52</v>
      </c>
      <c r="F160" s="71">
        <v>97308.68</v>
      </c>
      <c r="G160" s="71">
        <v>4800.88</v>
      </c>
      <c r="H160" s="71">
        <v>5060051.3599999994</v>
      </c>
      <c r="I160" s="102">
        <v>249645.76</v>
      </c>
      <c r="J160" s="34" t="s">
        <v>128</v>
      </c>
      <c r="K160" s="34" t="s">
        <v>129</v>
      </c>
      <c r="L160" s="34" t="s">
        <v>293</v>
      </c>
    </row>
    <row r="161" spans="1:12" s="22" customFormat="1" ht="81" x14ac:dyDescent="0.25">
      <c r="A161" s="186" t="s">
        <v>2678</v>
      </c>
      <c r="B161" s="98" t="s">
        <v>320</v>
      </c>
      <c r="C161" s="32" t="s">
        <v>321</v>
      </c>
      <c r="D161" s="7" t="s">
        <v>133</v>
      </c>
      <c r="E161" s="41">
        <v>24</v>
      </c>
      <c r="F161" s="71">
        <v>63831.79</v>
      </c>
      <c r="G161" s="71">
        <v>4800.88</v>
      </c>
      <c r="H161" s="71">
        <v>1531962.96</v>
      </c>
      <c r="I161" s="102">
        <v>115221.12</v>
      </c>
      <c r="J161" s="34" t="s">
        <v>128</v>
      </c>
      <c r="K161" s="34" t="s">
        <v>129</v>
      </c>
      <c r="L161" s="34" t="s">
        <v>293</v>
      </c>
    </row>
    <row r="162" spans="1:12" s="22" customFormat="1" ht="40.5" x14ac:dyDescent="0.25">
      <c r="A162" s="186" t="s">
        <v>2678</v>
      </c>
      <c r="B162" s="96"/>
      <c r="C162" s="34" t="s">
        <v>322</v>
      </c>
      <c r="D162" s="7"/>
      <c r="E162" s="41"/>
      <c r="F162" s="71"/>
      <c r="G162" s="71"/>
      <c r="H162" s="71"/>
      <c r="I162" s="102"/>
      <c r="J162" s="34"/>
      <c r="K162" s="34"/>
      <c r="L162" s="112"/>
    </row>
    <row r="163" spans="1:12" s="22" customFormat="1" ht="94.5" x14ac:dyDescent="0.25">
      <c r="A163" s="186" t="s">
        <v>2678</v>
      </c>
      <c r="B163" s="96" t="s">
        <v>323</v>
      </c>
      <c r="C163" s="32" t="s">
        <v>324</v>
      </c>
      <c r="D163" s="7" t="s">
        <v>133</v>
      </c>
      <c r="E163" s="41">
        <v>100</v>
      </c>
      <c r="F163" s="71">
        <v>2003.76</v>
      </c>
      <c r="G163" s="71">
        <v>5.51</v>
      </c>
      <c r="H163" s="71">
        <v>200376</v>
      </c>
      <c r="I163" s="102">
        <v>551</v>
      </c>
      <c r="J163" s="34" t="s">
        <v>128</v>
      </c>
      <c r="K163" s="34" t="s">
        <v>129</v>
      </c>
      <c r="L163" s="34" t="s">
        <v>322</v>
      </c>
    </row>
    <row r="164" spans="1:12" s="22" customFormat="1" ht="94.5" x14ac:dyDescent="0.25">
      <c r="A164" s="186" t="s">
        <v>2678</v>
      </c>
      <c r="B164" s="96" t="s">
        <v>325</v>
      </c>
      <c r="C164" s="32" t="s">
        <v>326</v>
      </c>
      <c r="D164" s="7" t="s">
        <v>133</v>
      </c>
      <c r="E164" s="41">
        <v>30</v>
      </c>
      <c r="F164" s="71">
        <v>4467.1400000000003</v>
      </c>
      <c r="G164" s="71">
        <v>21.76</v>
      </c>
      <c r="H164" s="71">
        <v>134014.20000000001</v>
      </c>
      <c r="I164" s="102">
        <v>652.80000000000007</v>
      </c>
      <c r="J164" s="34" t="s">
        <v>128</v>
      </c>
      <c r="K164" s="34" t="s">
        <v>129</v>
      </c>
      <c r="L164" s="34" t="s">
        <v>322</v>
      </c>
    </row>
    <row r="165" spans="1:12" s="22" customFormat="1" ht="27" x14ac:dyDescent="0.25">
      <c r="A165" s="186" t="s">
        <v>2678</v>
      </c>
      <c r="B165" s="97"/>
      <c r="C165" s="34" t="s">
        <v>327</v>
      </c>
      <c r="D165" s="7"/>
      <c r="E165" s="41"/>
      <c r="F165" s="71"/>
      <c r="G165" s="71"/>
      <c r="H165" s="71"/>
      <c r="I165" s="102"/>
      <c r="J165" s="34"/>
      <c r="K165" s="34"/>
      <c r="L165" s="112"/>
    </row>
    <row r="166" spans="1:12" s="22" customFormat="1" ht="67.5" x14ac:dyDescent="0.25">
      <c r="A166" s="186" t="s">
        <v>2678</v>
      </c>
      <c r="B166" s="96" t="s">
        <v>328</v>
      </c>
      <c r="C166" s="32" t="s">
        <v>329</v>
      </c>
      <c r="D166" s="7" t="s">
        <v>133</v>
      </c>
      <c r="E166" s="41">
        <v>44</v>
      </c>
      <c r="F166" s="71">
        <v>15110.79</v>
      </c>
      <c r="G166" s="71">
        <v>151.86000000000001</v>
      </c>
      <c r="H166" s="71">
        <v>664874.76</v>
      </c>
      <c r="I166" s="102">
        <v>6681.84</v>
      </c>
      <c r="J166" s="34" t="s">
        <v>128</v>
      </c>
      <c r="K166" s="34" t="s">
        <v>129</v>
      </c>
      <c r="L166" s="34" t="s">
        <v>327</v>
      </c>
    </row>
    <row r="167" spans="1:12" s="22" customFormat="1" ht="67.5" x14ac:dyDescent="0.25">
      <c r="A167" s="186" t="s">
        <v>2678</v>
      </c>
      <c r="B167" s="96" t="s">
        <v>330</v>
      </c>
      <c r="C167" s="32" t="s">
        <v>331</v>
      </c>
      <c r="D167" s="7" t="s">
        <v>133</v>
      </c>
      <c r="E167" s="41">
        <v>88</v>
      </c>
      <c r="F167" s="71">
        <v>8959.15</v>
      </c>
      <c r="G167" s="71">
        <v>151.86000000000001</v>
      </c>
      <c r="H167" s="71">
        <v>788405.2</v>
      </c>
      <c r="I167" s="102">
        <v>13363.68</v>
      </c>
      <c r="J167" s="34" t="s">
        <v>128</v>
      </c>
      <c r="K167" s="34" t="s">
        <v>129</v>
      </c>
      <c r="L167" s="34" t="s">
        <v>327</v>
      </c>
    </row>
    <row r="168" spans="1:12" s="22" customFormat="1" ht="67.5" x14ac:dyDescent="0.25">
      <c r="A168" s="186" t="s">
        <v>2678</v>
      </c>
      <c r="B168" s="96" t="s">
        <v>332</v>
      </c>
      <c r="C168" s="32" t="s">
        <v>333</v>
      </c>
      <c r="D168" s="7" t="s">
        <v>133</v>
      </c>
      <c r="E168" s="41">
        <v>48</v>
      </c>
      <c r="F168" s="71">
        <v>14560.46</v>
      </c>
      <c r="G168" s="71">
        <v>141.94</v>
      </c>
      <c r="H168" s="71">
        <v>698902.08</v>
      </c>
      <c r="I168" s="102">
        <v>6813.12</v>
      </c>
      <c r="J168" s="34" t="s">
        <v>128</v>
      </c>
      <c r="K168" s="34" t="s">
        <v>129</v>
      </c>
      <c r="L168" s="34" t="s">
        <v>327</v>
      </c>
    </row>
    <row r="169" spans="1:12" s="22" customFormat="1" ht="67.5" x14ac:dyDescent="0.25">
      <c r="A169" s="186" t="s">
        <v>2678</v>
      </c>
      <c r="B169" s="96" t="s">
        <v>334</v>
      </c>
      <c r="C169" s="32" t="s">
        <v>335</v>
      </c>
      <c r="D169" s="7" t="s">
        <v>133</v>
      </c>
      <c r="E169" s="41">
        <v>66</v>
      </c>
      <c r="F169" s="71">
        <v>20461.009999999998</v>
      </c>
      <c r="G169" s="71">
        <v>141.94</v>
      </c>
      <c r="H169" s="71">
        <v>1350426.66</v>
      </c>
      <c r="I169" s="102">
        <v>9368.0399999999991</v>
      </c>
      <c r="J169" s="34" t="s">
        <v>128</v>
      </c>
      <c r="K169" s="34" t="s">
        <v>129</v>
      </c>
      <c r="L169" s="34" t="s">
        <v>327</v>
      </c>
    </row>
    <row r="170" spans="1:12" s="22" customFormat="1" ht="67.5" x14ac:dyDescent="0.25">
      <c r="A170" s="186" t="s">
        <v>2678</v>
      </c>
      <c r="B170" s="96" t="s">
        <v>336</v>
      </c>
      <c r="C170" s="32" t="s">
        <v>337</v>
      </c>
      <c r="D170" s="7" t="s">
        <v>133</v>
      </c>
      <c r="E170" s="41">
        <v>96</v>
      </c>
      <c r="F170" s="71">
        <v>13020</v>
      </c>
      <c r="G170" s="71">
        <v>230.61</v>
      </c>
      <c r="H170" s="71">
        <v>1249920</v>
      </c>
      <c r="I170" s="102">
        <v>22138.560000000001</v>
      </c>
      <c r="J170" s="34" t="s">
        <v>128</v>
      </c>
      <c r="K170" s="34" t="s">
        <v>129</v>
      </c>
      <c r="L170" s="34" t="s">
        <v>327</v>
      </c>
    </row>
    <row r="171" spans="1:12" s="22" customFormat="1" ht="67.5" x14ac:dyDescent="0.25">
      <c r="A171" s="186" t="s">
        <v>2678</v>
      </c>
      <c r="B171" s="98" t="s">
        <v>338</v>
      </c>
      <c r="C171" s="32" t="s">
        <v>339</v>
      </c>
      <c r="D171" s="7" t="s">
        <v>133</v>
      </c>
      <c r="E171" s="41">
        <v>50</v>
      </c>
      <c r="F171" s="71">
        <v>13264.68</v>
      </c>
      <c r="G171" s="71">
        <v>230.61</v>
      </c>
      <c r="H171" s="71">
        <v>663234</v>
      </c>
      <c r="I171" s="102">
        <v>11530.5</v>
      </c>
      <c r="J171" s="34" t="s">
        <v>128</v>
      </c>
      <c r="K171" s="34" t="s">
        <v>129</v>
      </c>
      <c r="L171" s="34" t="s">
        <v>327</v>
      </c>
    </row>
    <row r="172" spans="1:12" s="22" customFormat="1" ht="67.5" x14ac:dyDescent="0.25">
      <c r="A172" s="186" t="s">
        <v>2678</v>
      </c>
      <c r="B172" s="96" t="s">
        <v>340</v>
      </c>
      <c r="C172" s="32" t="s">
        <v>341</v>
      </c>
      <c r="D172" s="7" t="s">
        <v>133</v>
      </c>
      <c r="E172" s="41">
        <v>60</v>
      </c>
      <c r="F172" s="71">
        <v>12638.41</v>
      </c>
      <c r="G172" s="71">
        <v>234.7</v>
      </c>
      <c r="H172" s="71">
        <v>758304.6</v>
      </c>
      <c r="I172" s="102">
        <v>14082</v>
      </c>
      <c r="J172" s="34" t="s">
        <v>128</v>
      </c>
      <c r="K172" s="34" t="s">
        <v>129</v>
      </c>
      <c r="L172" s="34" t="s">
        <v>327</v>
      </c>
    </row>
    <row r="173" spans="1:12" s="22" customFormat="1" ht="67.5" x14ac:dyDescent="0.25">
      <c r="A173" s="186" t="s">
        <v>2678</v>
      </c>
      <c r="B173" s="96" t="s">
        <v>342</v>
      </c>
      <c r="C173" s="32" t="s">
        <v>343</v>
      </c>
      <c r="D173" s="7" t="s">
        <v>133</v>
      </c>
      <c r="E173" s="41">
        <v>48</v>
      </c>
      <c r="F173" s="71">
        <v>17598.09</v>
      </c>
      <c r="G173" s="71">
        <v>234.7</v>
      </c>
      <c r="H173" s="71">
        <v>844708.32000000007</v>
      </c>
      <c r="I173" s="102">
        <v>11265.599999999999</v>
      </c>
      <c r="J173" s="34" t="s">
        <v>128</v>
      </c>
      <c r="K173" s="34" t="s">
        <v>129</v>
      </c>
      <c r="L173" s="34" t="s">
        <v>327</v>
      </c>
    </row>
    <row r="174" spans="1:12" s="22" customFormat="1" ht="67.5" x14ac:dyDescent="0.25">
      <c r="A174" s="186" t="s">
        <v>2678</v>
      </c>
      <c r="B174" s="96" t="s">
        <v>344</v>
      </c>
      <c r="C174" s="32" t="s">
        <v>345</v>
      </c>
      <c r="D174" s="7" t="s">
        <v>133</v>
      </c>
      <c r="E174" s="41">
        <v>70</v>
      </c>
      <c r="F174" s="71">
        <v>43693.440000000002</v>
      </c>
      <c r="G174" s="71">
        <v>310.94</v>
      </c>
      <c r="H174" s="71">
        <v>3058540.8000000003</v>
      </c>
      <c r="I174" s="102">
        <v>21765.8</v>
      </c>
      <c r="J174" s="34" t="s">
        <v>128</v>
      </c>
      <c r="K174" s="34" t="s">
        <v>129</v>
      </c>
      <c r="L174" s="34" t="s">
        <v>327</v>
      </c>
    </row>
    <row r="175" spans="1:12" s="22" customFormat="1" ht="67.5" x14ac:dyDescent="0.25">
      <c r="A175" s="186" t="s">
        <v>2678</v>
      </c>
      <c r="B175" s="96" t="s">
        <v>346</v>
      </c>
      <c r="C175" s="32" t="s">
        <v>347</v>
      </c>
      <c r="D175" s="7" t="s">
        <v>133</v>
      </c>
      <c r="E175" s="41">
        <v>92</v>
      </c>
      <c r="F175" s="71">
        <v>33192.050000000003</v>
      </c>
      <c r="G175" s="71">
        <v>348.25</v>
      </c>
      <c r="H175" s="71">
        <v>3053668.6</v>
      </c>
      <c r="I175" s="102">
        <v>32039</v>
      </c>
      <c r="J175" s="34" t="s">
        <v>128</v>
      </c>
      <c r="K175" s="34" t="s">
        <v>129</v>
      </c>
      <c r="L175" s="34" t="s">
        <v>327</v>
      </c>
    </row>
    <row r="176" spans="1:12" s="22" customFormat="1" ht="67.5" x14ac:dyDescent="0.25">
      <c r="A176" s="186" t="s">
        <v>2678</v>
      </c>
      <c r="B176" s="97" t="s">
        <v>348</v>
      </c>
      <c r="C176" s="32" t="s">
        <v>349</v>
      </c>
      <c r="D176" s="7" t="s">
        <v>133</v>
      </c>
      <c r="E176" s="41">
        <v>158</v>
      </c>
      <c r="F176" s="71">
        <v>57869.68</v>
      </c>
      <c r="G176" s="71">
        <v>348.25</v>
      </c>
      <c r="H176" s="71">
        <v>9143409.4399999995</v>
      </c>
      <c r="I176" s="102">
        <v>55023.5</v>
      </c>
      <c r="J176" s="34" t="s">
        <v>128</v>
      </c>
      <c r="K176" s="34" t="s">
        <v>129</v>
      </c>
      <c r="L176" s="34" t="s">
        <v>327</v>
      </c>
    </row>
    <row r="177" spans="1:12" s="22" customFormat="1" ht="67.5" x14ac:dyDescent="0.25">
      <c r="A177" s="186" t="s">
        <v>2678</v>
      </c>
      <c r="B177" s="96" t="s">
        <v>350</v>
      </c>
      <c r="C177" s="32" t="s">
        <v>351</v>
      </c>
      <c r="D177" s="7" t="s">
        <v>133</v>
      </c>
      <c r="E177" s="41">
        <v>40</v>
      </c>
      <c r="F177" s="71">
        <v>86447.6</v>
      </c>
      <c r="G177" s="71">
        <v>398</v>
      </c>
      <c r="H177" s="71">
        <v>3457904</v>
      </c>
      <c r="I177" s="102">
        <v>15920</v>
      </c>
      <c r="J177" s="34" t="s">
        <v>128</v>
      </c>
      <c r="K177" s="34" t="s">
        <v>129</v>
      </c>
      <c r="L177" s="34" t="s">
        <v>327</v>
      </c>
    </row>
    <row r="178" spans="1:12" s="22" customFormat="1" ht="67.5" x14ac:dyDescent="0.25">
      <c r="A178" s="186" t="s">
        <v>2678</v>
      </c>
      <c r="B178" s="96" t="s">
        <v>352</v>
      </c>
      <c r="C178" s="32" t="s">
        <v>353</v>
      </c>
      <c r="D178" s="7" t="s">
        <v>133</v>
      </c>
      <c r="E178" s="41">
        <v>66</v>
      </c>
      <c r="F178" s="71">
        <v>197373.57</v>
      </c>
      <c r="G178" s="71">
        <v>435.31</v>
      </c>
      <c r="H178" s="71">
        <v>13026655.620000001</v>
      </c>
      <c r="I178" s="102">
        <v>28730.46</v>
      </c>
      <c r="J178" s="34" t="s">
        <v>128</v>
      </c>
      <c r="K178" s="34" t="s">
        <v>129</v>
      </c>
      <c r="L178" s="34" t="s">
        <v>327</v>
      </c>
    </row>
    <row r="179" spans="1:12" s="22" customFormat="1" ht="67.5" x14ac:dyDescent="0.25">
      <c r="A179" s="186" t="s">
        <v>2678</v>
      </c>
      <c r="B179" s="96" t="s">
        <v>354</v>
      </c>
      <c r="C179" s="32" t="s">
        <v>355</v>
      </c>
      <c r="D179" s="7" t="s">
        <v>133</v>
      </c>
      <c r="E179" s="41">
        <v>36</v>
      </c>
      <c r="F179" s="71">
        <v>219089.35</v>
      </c>
      <c r="G179" s="71">
        <v>435.31</v>
      </c>
      <c r="H179" s="71">
        <v>7887216.6000000006</v>
      </c>
      <c r="I179" s="102">
        <v>15671.16</v>
      </c>
      <c r="J179" s="34" t="s">
        <v>128</v>
      </c>
      <c r="K179" s="34" t="s">
        <v>129</v>
      </c>
      <c r="L179" s="34" t="s">
        <v>327</v>
      </c>
    </row>
    <row r="180" spans="1:12" s="22" customFormat="1" ht="67.5" x14ac:dyDescent="0.25">
      <c r="A180" s="186" t="s">
        <v>2678</v>
      </c>
      <c r="B180" s="96" t="s">
        <v>356</v>
      </c>
      <c r="C180" s="32" t="s">
        <v>357</v>
      </c>
      <c r="D180" s="7" t="s">
        <v>133</v>
      </c>
      <c r="E180" s="41">
        <v>34</v>
      </c>
      <c r="F180" s="71">
        <v>201599.95</v>
      </c>
      <c r="G180" s="71">
        <v>590.78</v>
      </c>
      <c r="H180" s="71">
        <v>6854398.3000000007</v>
      </c>
      <c r="I180" s="102">
        <v>20086.52</v>
      </c>
      <c r="J180" s="34" t="s">
        <v>128</v>
      </c>
      <c r="K180" s="34" t="s">
        <v>129</v>
      </c>
      <c r="L180" s="34" t="s">
        <v>327</v>
      </c>
    </row>
    <row r="181" spans="1:12" s="22" customFormat="1" ht="67.5" x14ac:dyDescent="0.25">
      <c r="A181" s="186" t="s">
        <v>2678</v>
      </c>
      <c r="B181" s="96" t="s">
        <v>358</v>
      </c>
      <c r="C181" s="32" t="s">
        <v>359</v>
      </c>
      <c r="D181" s="7" t="s">
        <v>133</v>
      </c>
      <c r="E181" s="41">
        <v>38</v>
      </c>
      <c r="F181" s="71">
        <v>232054.34</v>
      </c>
      <c r="G181" s="71">
        <v>590.78</v>
      </c>
      <c r="H181" s="71">
        <v>8818064.9199999999</v>
      </c>
      <c r="I181" s="102">
        <v>22449.64</v>
      </c>
      <c r="J181" s="34" t="s">
        <v>128</v>
      </c>
      <c r="K181" s="34" t="s">
        <v>129</v>
      </c>
      <c r="L181" s="34" t="s">
        <v>327</v>
      </c>
    </row>
    <row r="182" spans="1:12" s="22" customFormat="1" ht="27" x14ac:dyDescent="0.25">
      <c r="A182" s="186" t="s">
        <v>2678</v>
      </c>
      <c r="B182" s="96"/>
      <c r="C182" s="34" t="s">
        <v>360</v>
      </c>
      <c r="D182" s="7"/>
      <c r="E182" s="41"/>
      <c r="F182" s="71"/>
      <c r="G182" s="71"/>
      <c r="H182" s="71"/>
      <c r="I182" s="102"/>
      <c r="J182" s="34"/>
      <c r="K182" s="34"/>
      <c r="L182" s="112"/>
    </row>
    <row r="183" spans="1:12" s="22" customFormat="1" ht="81" x14ac:dyDescent="0.25">
      <c r="A183" s="186" t="s">
        <v>2678</v>
      </c>
      <c r="B183" s="98" t="s">
        <v>361</v>
      </c>
      <c r="C183" s="32" t="s">
        <v>362</v>
      </c>
      <c r="D183" s="7" t="s">
        <v>133</v>
      </c>
      <c r="E183" s="41">
        <v>58</v>
      </c>
      <c r="F183" s="71">
        <v>2003.76</v>
      </c>
      <c r="G183" s="71">
        <v>25.36</v>
      </c>
      <c r="H183" s="71">
        <v>116218.08</v>
      </c>
      <c r="I183" s="102">
        <v>1470.8799999999999</v>
      </c>
      <c r="J183" s="34" t="s">
        <v>128</v>
      </c>
      <c r="K183" s="34" t="s">
        <v>129</v>
      </c>
      <c r="L183" s="34" t="s">
        <v>360</v>
      </c>
    </row>
    <row r="184" spans="1:12" s="22" customFormat="1" ht="81" x14ac:dyDescent="0.25">
      <c r="A184" s="186" t="s">
        <v>2678</v>
      </c>
      <c r="B184" s="96" t="s">
        <v>363</v>
      </c>
      <c r="C184" s="32" t="s">
        <v>364</v>
      </c>
      <c r="D184" s="7" t="s">
        <v>133</v>
      </c>
      <c r="E184" s="41">
        <v>90</v>
      </c>
      <c r="F184" s="71">
        <v>3389.16</v>
      </c>
      <c r="G184" s="71">
        <v>61.1</v>
      </c>
      <c r="H184" s="71">
        <v>305024.39999999997</v>
      </c>
      <c r="I184" s="102">
        <v>5499</v>
      </c>
      <c r="J184" s="34" t="s">
        <v>128</v>
      </c>
      <c r="K184" s="34" t="s">
        <v>129</v>
      </c>
      <c r="L184" s="34" t="s">
        <v>360</v>
      </c>
    </row>
    <row r="185" spans="1:12" s="22" customFormat="1" ht="81" x14ac:dyDescent="0.25">
      <c r="A185" s="186" t="s">
        <v>2678</v>
      </c>
      <c r="B185" s="96" t="s">
        <v>365</v>
      </c>
      <c r="C185" s="32" t="s">
        <v>366</v>
      </c>
      <c r="D185" s="7" t="s">
        <v>133</v>
      </c>
      <c r="E185" s="41">
        <v>88</v>
      </c>
      <c r="F185" s="71">
        <v>3832.45</v>
      </c>
      <c r="G185" s="71">
        <v>79.13</v>
      </c>
      <c r="H185" s="71">
        <v>337255.6</v>
      </c>
      <c r="I185" s="102">
        <v>6963.44</v>
      </c>
      <c r="J185" s="34" t="s">
        <v>128</v>
      </c>
      <c r="K185" s="34" t="s">
        <v>129</v>
      </c>
      <c r="L185" s="34" t="s">
        <v>360</v>
      </c>
    </row>
    <row r="186" spans="1:12" s="22" customFormat="1" ht="81" x14ac:dyDescent="0.25">
      <c r="A186" s="186" t="s">
        <v>2678</v>
      </c>
      <c r="B186" s="97" t="s">
        <v>367</v>
      </c>
      <c r="C186" s="32" t="s">
        <v>368</v>
      </c>
      <c r="D186" s="7" t="s">
        <v>133</v>
      </c>
      <c r="E186" s="41">
        <v>52</v>
      </c>
      <c r="F186" s="71">
        <v>3602.31</v>
      </c>
      <c r="G186" s="71">
        <v>79.13</v>
      </c>
      <c r="H186" s="71">
        <v>187320.12</v>
      </c>
      <c r="I186" s="102">
        <v>4114.76</v>
      </c>
      <c r="J186" s="34" t="s">
        <v>128</v>
      </c>
      <c r="K186" s="34" t="s">
        <v>129</v>
      </c>
      <c r="L186" s="34" t="s">
        <v>360</v>
      </c>
    </row>
    <row r="187" spans="1:12" s="22" customFormat="1" ht="81" x14ac:dyDescent="0.25">
      <c r="A187" s="186" t="s">
        <v>2678</v>
      </c>
      <c r="B187" s="96" t="s">
        <v>369</v>
      </c>
      <c r="C187" s="32" t="s">
        <v>370</v>
      </c>
      <c r="D187" s="7" t="s">
        <v>133</v>
      </c>
      <c r="E187" s="41">
        <v>96</v>
      </c>
      <c r="F187" s="71">
        <v>3832.45</v>
      </c>
      <c r="G187" s="71">
        <v>79.13</v>
      </c>
      <c r="H187" s="71">
        <v>367915.19999999995</v>
      </c>
      <c r="I187" s="102">
        <v>7596.48</v>
      </c>
      <c r="J187" s="34" t="s">
        <v>128</v>
      </c>
      <c r="K187" s="34" t="s">
        <v>129</v>
      </c>
      <c r="L187" s="34" t="s">
        <v>360</v>
      </c>
    </row>
    <row r="188" spans="1:12" s="22" customFormat="1" ht="27" x14ac:dyDescent="0.25">
      <c r="A188" s="186" t="s">
        <v>2678</v>
      </c>
      <c r="B188" s="96"/>
      <c r="C188" s="34" t="s">
        <v>371</v>
      </c>
      <c r="D188" s="7"/>
      <c r="E188" s="41"/>
      <c r="F188" s="71"/>
      <c r="G188" s="71"/>
      <c r="H188" s="71"/>
      <c r="I188" s="102"/>
      <c r="J188" s="34"/>
      <c r="K188" s="34"/>
      <c r="L188" s="112"/>
    </row>
    <row r="189" spans="1:12" s="22" customFormat="1" ht="67.5" x14ac:dyDescent="0.25">
      <c r="A189" s="186" t="s">
        <v>2678</v>
      </c>
      <c r="B189" s="96" t="s">
        <v>372</v>
      </c>
      <c r="C189" s="32" t="s">
        <v>373</v>
      </c>
      <c r="D189" s="7" t="s">
        <v>133</v>
      </c>
      <c r="E189" s="41">
        <v>48</v>
      </c>
      <c r="F189" s="71">
        <v>4541.1400000000003</v>
      </c>
      <c r="G189" s="71">
        <v>54.23</v>
      </c>
      <c r="H189" s="71">
        <v>217974.72000000003</v>
      </c>
      <c r="I189" s="102">
        <v>2603.04</v>
      </c>
      <c r="J189" s="34" t="s">
        <v>128</v>
      </c>
      <c r="K189" s="34" t="s">
        <v>129</v>
      </c>
      <c r="L189" s="34" t="s">
        <v>371</v>
      </c>
    </row>
    <row r="190" spans="1:12" s="22" customFormat="1" ht="67.5" x14ac:dyDescent="0.25">
      <c r="A190" s="186" t="s">
        <v>2678</v>
      </c>
      <c r="B190" s="96" t="s">
        <v>374</v>
      </c>
      <c r="C190" s="32" t="s">
        <v>375</v>
      </c>
      <c r="D190" s="7" t="s">
        <v>133</v>
      </c>
      <c r="E190" s="41">
        <v>76</v>
      </c>
      <c r="F190" s="71">
        <v>6075.69</v>
      </c>
      <c r="G190" s="71">
        <v>54.23</v>
      </c>
      <c r="H190" s="71">
        <v>461752.43999999994</v>
      </c>
      <c r="I190" s="102">
        <v>4121.4799999999996</v>
      </c>
      <c r="J190" s="34" t="s">
        <v>128</v>
      </c>
      <c r="K190" s="34" t="s">
        <v>129</v>
      </c>
      <c r="L190" s="34" t="s">
        <v>371</v>
      </c>
    </row>
    <row r="191" spans="1:12" s="22" customFormat="1" ht="67.5" x14ac:dyDescent="0.25">
      <c r="A191" s="186" t="s">
        <v>2678</v>
      </c>
      <c r="B191" s="96" t="s">
        <v>376</v>
      </c>
      <c r="C191" s="32" t="s">
        <v>377</v>
      </c>
      <c r="D191" s="7" t="s">
        <v>133</v>
      </c>
      <c r="E191" s="41">
        <v>68</v>
      </c>
      <c r="F191" s="71">
        <v>7177.04</v>
      </c>
      <c r="G191" s="71">
        <v>54.23</v>
      </c>
      <c r="H191" s="71">
        <v>488038.72</v>
      </c>
      <c r="I191" s="102">
        <v>3687.64</v>
      </c>
      <c r="J191" s="34" t="s">
        <v>128</v>
      </c>
      <c r="K191" s="34" t="s">
        <v>129</v>
      </c>
      <c r="L191" s="34" t="s">
        <v>371</v>
      </c>
    </row>
    <row r="192" spans="1:12" s="22" customFormat="1" ht="67.5" x14ac:dyDescent="0.25">
      <c r="A192" s="186" t="s">
        <v>2678</v>
      </c>
      <c r="B192" s="96" t="s">
        <v>378</v>
      </c>
      <c r="C192" s="32" t="s">
        <v>379</v>
      </c>
      <c r="D192" s="7" t="s">
        <v>133</v>
      </c>
      <c r="E192" s="41">
        <v>58</v>
      </c>
      <c r="F192" s="71">
        <v>4942.29</v>
      </c>
      <c r="G192" s="71">
        <v>54.23</v>
      </c>
      <c r="H192" s="71">
        <v>286652.82</v>
      </c>
      <c r="I192" s="102">
        <v>3145.3399999999997</v>
      </c>
      <c r="J192" s="34" t="s">
        <v>128</v>
      </c>
      <c r="K192" s="34" t="s">
        <v>129</v>
      </c>
      <c r="L192" s="34" t="s">
        <v>371</v>
      </c>
    </row>
    <row r="193" spans="1:12" s="22" customFormat="1" ht="67.5" x14ac:dyDescent="0.25">
      <c r="A193" s="186" t="s">
        <v>2678</v>
      </c>
      <c r="B193" s="96" t="s">
        <v>380</v>
      </c>
      <c r="C193" s="32" t="s">
        <v>381</v>
      </c>
      <c r="D193" s="7" t="s">
        <v>133</v>
      </c>
      <c r="E193" s="41">
        <v>54</v>
      </c>
      <c r="F193" s="71">
        <v>5611.95</v>
      </c>
      <c r="G193" s="71">
        <v>50.59</v>
      </c>
      <c r="H193" s="71">
        <v>303045.3</v>
      </c>
      <c r="I193" s="102">
        <v>2731.86</v>
      </c>
      <c r="J193" s="34" t="s">
        <v>128</v>
      </c>
      <c r="K193" s="34" t="s">
        <v>129</v>
      </c>
      <c r="L193" s="34" t="s">
        <v>371</v>
      </c>
    </row>
    <row r="194" spans="1:12" s="22" customFormat="1" ht="67.5" x14ac:dyDescent="0.25">
      <c r="A194" s="186" t="s">
        <v>2678</v>
      </c>
      <c r="B194" s="96" t="s">
        <v>382</v>
      </c>
      <c r="C194" s="32" t="s">
        <v>383</v>
      </c>
      <c r="D194" s="7" t="s">
        <v>133</v>
      </c>
      <c r="E194" s="41">
        <v>48</v>
      </c>
      <c r="F194" s="71">
        <v>6790.89</v>
      </c>
      <c r="G194" s="71">
        <v>79.75</v>
      </c>
      <c r="H194" s="71">
        <v>325962.72000000003</v>
      </c>
      <c r="I194" s="102">
        <v>3828</v>
      </c>
      <c r="J194" s="34" t="s">
        <v>128</v>
      </c>
      <c r="K194" s="34" t="s">
        <v>129</v>
      </c>
      <c r="L194" s="34" t="s">
        <v>371</v>
      </c>
    </row>
    <row r="195" spans="1:12" s="22" customFormat="1" ht="67.5" x14ac:dyDescent="0.25">
      <c r="A195" s="186" t="s">
        <v>2678</v>
      </c>
      <c r="B195" s="96" t="s">
        <v>384</v>
      </c>
      <c r="C195" s="32" t="s">
        <v>385</v>
      </c>
      <c r="D195" s="7" t="s">
        <v>133</v>
      </c>
      <c r="E195" s="41">
        <v>140</v>
      </c>
      <c r="F195" s="71">
        <v>7468.94</v>
      </c>
      <c r="G195" s="71">
        <v>73.38</v>
      </c>
      <c r="H195" s="71">
        <v>1045651.6</v>
      </c>
      <c r="I195" s="102">
        <v>10273.199999999999</v>
      </c>
      <c r="J195" s="34" t="s">
        <v>128</v>
      </c>
      <c r="K195" s="34" t="s">
        <v>129</v>
      </c>
      <c r="L195" s="34" t="s">
        <v>371</v>
      </c>
    </row>
    <row r="196" spans="1:12" s="22" customFormat="1" ht="67.5" x14ac:dyDescent="0.25">
      <c r="A196" s="186" t="s">
        <v>2678</v>
      </c>
      <c r="B196" s="97" t="s">
        <v>386</v>
      </c>
      <c r="C196" s="33" t="s">
        <v>387</v>
      </c>
      <c r="D196" s="7" t="s">
        <v>133</v>
      </c>
      <c r="E196" s="41">
        <v>150</v>
      </c>
      <c r="F196" s="71">
        <v>4133.7</v>
      </c>
      <c r="G196" s="71">
        <v>73.38</v>
      </c>
      <c r="H196" s="71">
        <v>620055</v>
      </c>
      <c r="I196" s="102">
        <v>11007</v>
      </c>
      <c r="J196" s="34" t="s">
        <v>128</v>
      </c>
      <c r="K196" s="34" t="s">
        <v>129</v>
      </c>
      <c r="L196" s="34" t="s">
        <v>371</v>
      </c>
    </row>
    <row r="197" spans="1:12" s="22" customFormat="1" ht="67.5" x14ac:dyDescent="0.25">
      <c r="A197" s="186" t="s">
        <v>2678</v>
      </c>
      <c r="B197" s="96" t="s">
        <v>388</v>
      </c>
      <c r="C197" s="33" t="s">
        <v>389</v>
      </c>
      <c r="D197" s="7" t="s">
        <v>133</v>
      </c>
      <c r="E197" s="41">
        <v>30</v>
      </c>
      <c r="F197" s="71">
        <v>27737.35</v>
      </c>
      <c r="G197" s="71">
        <v>4975</v>
      </c>
      <c r="H197" s="71">
        <v>832120.5</v>
      </c>
      <c r="I197" s="102">
        <v>149250</v>
      </c>
      <c r="J197" s="34" t="s">
        <v>128</v>
      </c>
      <c r="K197" s="34" t="s">
        <v>129</v>
      </c>
      <c r="L197" s="34" t="s">
        <v>371</v>
      </c>
    </row>
    <row r="198" spans="1:12" s="22" customFormat="1" ht="67.5" x14ac:dyDescent="0.25">
      <c r="A198" s="186" t="s">
        <v>2678</v>
      </c>
      <c r="B198" s="96" t="s">
        <v>390</v>
      </c>
      <c r="C198" s="33" t="s">
        <v>391</v>
      </c>
      <c r="D198" s="7" t="s">
        <v>133</v>
      </c>
      <c r="E198" s="41">
        <v>36</v>
      </c>
      <c r="F198" s="71">
        <v>30848.09</v>
      </c>
      <c r="G198" s="71">
        <v>5989.55</v>
      </c>
      <c r="H198" s="71">
        <v>1110531.24</v>
      </c>
      <c r="I198" s="102">
        <v>215623.80000000002</v>
      </c>
      <c r="J198" s="34" t="s">
        <v>128</v>
      </c>
      <c r="K198" s="34" t="s">
        <v>129</v>
      </c>
      <c r="L198" s="34" t="s">
        <v>371</v>
      </c>
    </row>
    <row r="199" spans="1:12" s="22" customFormat="1" ht="67.5" x14ac:dyDescent="0.25">
      <c r="A199" s="186" t="s">
        <v>2678</v>
      </c>
      <c r="B199" s="96" t="s">
        <v>392</v>
      </c>
      <c r="C199" s="33" t="s">
        <v>393</v>
      </c>
      <c r="D199" s="7" t="s">
        <v>133</v>
      </c>
      <c r="E199" s="41">
        <v>30</v>
      </c>
      <c r="F199" s="71">
        <v>31313.31</v>
      </c>
      <c r="G199" s="71">
        <v>5989.55</v>
      </c>
      <c r="H199" s="71">
        <v>939399.3</v>
      </c>
      <c r="I199" s="102">
        <v>179686.5</v>
      </c>
      <c r="J199" s="34" t="s">
        <v>128</v>
      </c>
      <c r="K199" s="34" t="s">
        <v>129</v>
      </c>
      <c r="L199" s="34" t="s">
        <v>371</v>
      </c>
    </row>
    <row r="200" spans="1:12" s="22" customFormat="1" ht="67.5" x14ac:dyDescent="0.25">
      <c r="A200" s="186" t="s">
        <v>2678</v>
      </c>
      <c r="B200" s="96" t="s">
        <v>394</v>
      </c>
      <c r="C200" s="33" t="s">
        <v>395</v>
      </c>
      <c r="D200" s="7" t="s">
        <v>133</v>
      </c>
      <c r="E200" s="41">
        <v>22</v>
      </c>
      <c r="F200" s="71">
        <v>36201.449999999997</v>
      </c>
      <c r="G200" s="71">
        <v>5989.55</v>
      </c>
      <c r="H200" s="71">
        <v>796431.89999999991</v>
      </c>
      <c r="I200" s="102">
        <v>131770.1</v>
      </c>
      <c r="J200" s="34" t="s">
        <v>128</v>
      </c>
      <c r="K200" s="34" t="s">
        <v>129</v>
      </c>
      <c r="L200" s="34" t="s">
        <v>371</v>
      </c>
    </row>
    <row r="201" spans="1:12" s="22" customFormat="1" ht="27" x14ac:dyDescent="0.25">
      <c r="A201" s="186" t="s">
        <v>2678</v>
      </c>
      <c r="B201" s="96"/>
      <c r="C201" s="82" t="s">
        <v>396</v>
      </c>
      <c r="D201" s="7"/>
      <c r="E201" s="41"/>
      <c r="F201" s="71"/>
      <c r="G201" s="71"/>
      <c r="H201" s="71"/>
      <c r="I201" s="102"/>
      <c r="J201" s="34"/>
      <c r="K201" s="34"/>
      <c r="L201" s="112"/>
    </row>
    <row r="202" spans="1:12" s="22" customFormat="1" ht="67.5" x14ac:dyDescent="0.25">
      <c r="A202" s="186" t="s">
        <v>2678</v>
      </c>
      <c r="B202" s="96" t="s">
        <v>397</v>
      </c>
      <c r="C202" s="32" t="s">
        <v>398</v>
      </c>
      <c r="D202" s="7" t="s">
        <v>133</v>
      </c>
      <c r="E202" s="41">
        <v>36</v>
      </c>
      <c r="F202" s="71">
        <v>9285.24</v>
      </c>
      <c r="G202" s="71">
        <v>73.66</v>
      </c>
      <c r="H202" s="71">
        <v>334268.64</v>
      </c>
      <c r="I202" s="102">
        <v>2651.7599999999998</v>
      </c>
      <c r="J202" s="34" t="s">
        <v>128</v>
      </c>
      <c r="K202" s="34" t="s">
        <v>129</v>
      </c>
      <c r="L202" s="82" t="s">
        <v>396</v>
      </c>
    </row>
    <row r="203" spans="1:12" s="22" customFormat="1" ht="67.5" x14ac:dyDescent="0.25">
      <c r="A203" s="186" t="s">
        <v>2678</v>
      </c>
      <c r="B203" s="96" t="s">
        <v>399</v>
      </c>
      <c r="C203" s="32" t="s">
        <v>400</v>
      </c>
      <c r="D203" s="7" t="s">
        <v>133</v>
      </c>
      <c r="E203" s="41">
        <v>52</v>
      </c>
      <c r="F203" s="71">
        <v>55656.11</v>
      </c>
      <c r="G203" s="71">
        <v>186.56</v>
      </c>
      <c r="H203" s="71">
        <v>2894117.72</v>
      </c>
      <c r="I203" s="102">
        <v>9701.1200000000008</v>
      </c>
      <c r="J203" s="34" t="s">
        <v>128</v>
      </c>
      <c r="K203" s="34" t="s">
        <v>129</v>
      </c>
      <c r="L203" s="82" t="s">
        <v>396</v>
      </c>
    </row>
    <row r="204" spans="1:12" s="22" customFormat="1" ht="27" x14ac:dyDescent="0.25">
      <c r="A204" s="186" t="s">
        <v>2678</v>
      </c>
      <c r="B204" s="96"/>
      <c r="C204" s="34" t="s">
        <v>401</v>
      </c>
      <c r="D204" s="7"/>
      <c r="E204" s="41"/>
      <c r="F204" s="71"/>
      <c r="G204" s="71"/>
      <c r="H204" s="71"/>
      <c r="I204" s="102"/>
      <c r="J204" s="34"/>
      <c r="K204" s="34"/>
      <c r="L204" s="112"/>
    </row>
    <row r="205" spans="1:12" s="22" customFormat="1" ht="81" x14ac:dyDescent="0.25">
      <c r="A205" s="186" t="s">
        <v>2678</v>
      </c>
      <c r="B205" s="96" t="s">
        <v>402</v>
      </c>
      <c r="C205" s="32" t="s">
        <v>403</v>
      </c>
      <c r="D205" s="7" t="s">
        <v>133</v>
      </c>
      <c r="E205" s="41">
        <v>62</v>
      </c>
      <c r="F205" s="71">
        <v>5179.79</v>
      </c>
      <c r="G205" s="71">
        <v>62.19</v>
      </c>
      <c r="H205" s="71">
        <v>321146.98</v>
      </c>
      <c r="I205" s="102">
        <v>3855.7799999999997</v>
      </c>
      <c r="J205" s="34" t="s">
        <v>128</v>
      </c>
      <c r="K205" s="34" t="s">
        <v>129</v>
      </c>
      <c r="L205" s="34" t="s">
        <v>401</v>
      </c>
    </row>
    <row r="206" spans="1:12" s="22" customFormat="1" ht="81" x14ac:dyDescent="0.25">
      <c r="A206" s="186" t="s">
        <v>2678</v>
      </c>
      <c r="B206" s="97" t="s">
        <v>404</v>
      </c>
      <c r="C206" s="32" t="s">
        <v>405</v>
      </c>
      <c r="D206" s="7" t="s">
        <v>133</v>
      </c>
      <c r="E206" s="41">
        <v>64</v>
      </c>
      <c r="F206" s="71">
        <v>6452.74</v>
      </c>
      <c r="G206" s="71">
        <v>74.63</v>
      </c>
      <c r="H206" s="71">
        <v>412975.35999999999</v>
      </c>
      <c r="I206" s="102">
        <v>4776.32</v>
      </c>
      <c r="J206" s="34" t="s">
        <v>128</v>
      </c>
      <c r="K206" s="34" t="s">
        <v>129</v>
      </c>
      <c r="L206" s="34" t="s">
        <v>401</v>
      </c>
    </row>
    <row r="207" spans="1:12" s="22" customFormat="1" ht="81" x14ac:dyDescent="0.25">
      <c r="A207" s="186" t="s">
        <v>2678</v>
      </c>
      <c r="B207" s="98" t="s">
        <v>406</v>
      </c>
      <c r="C207" s="32" t="s">
        <v>407</v>
      </c>
      <c r="D207" s="7" t="s">
        <v>133</v>
      </c>
      <c r="E207" s="41">
        <v>68</v>
      </c>
      <c r="F207" s="71">
        <v>9088.44</v>
      </c>
      <c r="G207" s="71">
        <v>87.06</v>
      </c>
      <c r="H207" s="71">
        <v>618013.92000000004</v>
      </c>
      <c r="I207" s="102">
        <v>5920.08</v>
      </c>
      <c r="J207" s="34" t="s">
        <v>128</v>
      </c>
      <c r="K207" s="34" t="s">
        <v>129</v>
      </c>
      <c r="L207" s="34" t="s">
        <v>401</v>
      </c>
    </row>
    <row r="208" spans="1:12" s="22" customFormat="1" ht="27" x14ac:dyDescent="0.25">
      <c r="A208" s="186" t="s">
        <v>2678</v>
      </c>
      <c r="B208" s="96"/>
      <c r="C208" s="34" t="s">
        <v>408</v>
      </c>
      <c r="D208" s="7"/>
      <c r="E208" s="41"/>
      <c r="F208" s="71"/>
      <c r="G208" s="71"/>
      <c r="H208" s="71"/>
      <c r="I208" s="102"/>
      <c r="J208" s="34"/>
      <c r="K208" s="34"/>
      <c r="L208" s="112"/>
    </row>
    <row r="209" spans="1:12" s="22" customFormat="1" ht="81" x14ac:dyDescent="0.25">
      <c r="A209" s="186" t="s">
        <v>2678</v>
      </c>
      <c r="B209" s="96" t="s">
        <v>409</v>
      </c>
      <c r="C209" s="32" t="s">
        <v>410</v>
      </c>
      <c r="D209" s="7" t="s">
        <v>133</v>
      </c>
      <c r="E209" s="41">
        <v>66</v>
      </c>
      <c r="F209" s="71">
        <v>3237.4</v>
      </c>
      <c r="G209" s="71">
        <v>49.75</v>
      </c>
      <c r="H209" s="71">
        <v>213668.4</v>
      </c>
      <c r="I209" s="102">
        <v>3283.5</v>
      </c>
      <c r="J209" s="34" t="s">
        <v>128</v>
      </c>
      <c r="K209" s="34" t="s">
        <v>129</v>
      </c>
      <c r="L209" s="34" t="s">
        <v>408</v>
      </c>
    </row>
    <row r="210" spans="1:12" s="22" customFormat="1" ht="27" x14ac:dyDescent="0.25">
      <c r="A210" s="186" t="s">
        <v>2678</v>
      </c>
      <c r="B210" s="96"/>
      <c r="C210" s="34" t="s">
        <v>411</v>
      </c>
      <c r="D210" s="7"/>
      <c r="E210" s="41"/>
      <c r="F210" s="71"/>
      <c r="G210" s="71"/>
      <c r="H210" s="71"/>
      <c r="I210" s="102"/>
      <c r="J210" s="34"/>
      <c r="K210" s="34"/>
      <c r="L210" s="112"/>
    </row>
    <row r="211" spans="1:12" s="22" customFormat="1" ht="67.5" x14ac:dyDescent="0.25">
      <c r="A211" s="186" t="s">
        <v>2678</v>
      </c>
      <c r="B211" s="96" t="s">
        <v>412</v>
      </c>
      <c r="C211" s="32" t="s">
        <v>413</v>
      </c>
      <c r="D211" s="7" t="s">
        <v>133</v>
      </c>
      <c r="E211" s="41">
        <v>40</v>
      </c>
      <c r="F211" s="71">
        <v>1718.05</v>
      </c>
      <c r="G211" s="71">
        <v>37.31</v>
      </c>
      <c r="H211" s="71">
        <v>68722</v>
      </c>
      <c r="I211" s="102">
        <v>1492.4</v>
      </c>
      <c r="J211" s="34" t="s">
        <v>128</v>
      </c>
      <c r="K211" s="34" t="s">
        <v>129</v>
      </c>
      <c r="L211" s="34" t="s">
        <v>411</v>
      </c>
    </row>
    <row r="212" spans="1:12" s="22" customFormat="1" ht="67.5" x14ac:dyDescent="0.25">
      <c r="A212" s="186" t="s">
        <v>2678</v>
      </c>
      <c r="B212" s="96" t="s">
        <v>414</v>
      </c>
      <c r="C212" s="32" t="s">
        <v>415</v>
      </c>
      <c r="D212" s="7" t="s">
        <v>133</v>
      </c>
      <c r="E212" s="41">
        <v>40</v>
      </c>
      <c r="F212" s="71">
        <v>1718.05</v>
      </c>
      <c r="G212" s="71">
        <v>37.31</v>
      </c>
      <c r="H212" s="71">
        <v>68722</v>
      </c>
      <c r="I212" s="102">
        <v>1492.4</v>
      </c>
      <c r="J212" s="34" t="s">
        <v>128</v>
      </c>
      <c r="K212" s="34" t="s">
        <v>129</v>
      </c>
      <c r="L212" s="34" t="s">
        <v>411</v>
      </c>
    </row>
    <row r="213" spans="1:12" s="22" customFormat="1" ht="67.5" x14ac:dyDescent="0.25">
      <c r="A213" s="186" t="s">
        <v>2678</v>
      </c>
      <c r="B213" s="96" t="s">
        <v>416</v>
      </c>
      <c r="C213" s="32" t="s">
        <v>417</v>
      </c>
      <c r="D213" s="7" t="s">
        <v>133</v>
      </c>
      <c r="E213" s="41">
        <v>36</v>
      </c>
      <c r="F213" s="71">
        <v>1886.34</v>
      </c>
      <c r="G213" s="71">
        <v>37.31</v>
      </c>
      <c r="H213" s="71">
        <v>67908.239999999991</v>
      </c>
      <c r="I213" s="102">
        <v>1343.16</v>
      </c>
      <c r="J213" s="34" t="s">
        <v>128</v>
      </c>
      <c r="K213" s="34" t="s">
        <v>129</v>
      </c>
      <c r="L213" s="34" t="s">
        <v>411</v>
      </c>
    </row>
    <row r="214" spans="1:12" s="22" customFormat="1" ht="67.5" x14ac:dyDescent="0.25">
      <c r="A214" s="186" t="s">
        <v>2678</v>
      </c>
      <c r="B214" s="96" t="s">
        <v>418</v>
      </c>
      <c r="C214" s="32" t="s">
        <v>419</v>
      </c>
      <c r="D214" s="7" t="s">
        <v>133</v>
      </c>
      <c r="E214" s="41">
        <v>30</v>
      </c>
      <c r="F214" s="71">
        <v>4462.95</v>
      </c>
      <c r="G214" s="71">
        <v>37.31</v>
      </c>
      <c r="H214" s="71">
        <v>133888.5</v>
      </c>
      <c r="I214" s="102">
        <v>1119.3000000000002</v>
      </c>
      <c r="J214" s="34" t="s">
        <v>128</v>
      </c>
      <c r="K214" s="34" t="s">
        <v>129</v>
      </c>
      <c r="L214" s="34" t="s">
        <v>411</v>
      </c>
    </row>
    <row r="215" spans="1:12" s="22" customFormat="1" ht="67.5" x14ac:dyDescent="0.25">
      <c r="A215" s="186" t="s">
        <v>2678</v>
      </c>
      <c r="B215" s="96" t="s">
        <v>420</v>
      </c>
      <c r="C215" s="32" t="s">
        <v>421</v>
      </c>
      <c r="D215" s="7" t="s">
        <v>133</v>
      </c>
      <c r="E215" s="41">
        <v>34</v>
      </c>
      <c r="F215" s="71">
        <v>4462.95</v>
      </c>
      <c r="G215" s="71">
        <v>59.45</v>
      </c>
      <c r="H215" s="71">
        <v>151740.29999999999</v>
      </c>
      <c r="I215" s="102">
        <v>2021.3000000000002</v>
      </c>
      <c r="J215" s="34" t="s">
        <v>128</v>
      </c>
      <c r="K215" s="34" t="s">
        <v>129</v>
      </c>
      <c r="L215" s="34" t="s">
        <v>411</v>
      </c>
    </row>
    <row r="216" spans="1:12" s="22" customFormat="1" ht="27" x14ac:dyDescent="0.25">
      <c r="A216" s="186" t="s">
        <v>2678</v>
      </c>
      <c r="B216" s="97"/>
      <c r="C216" s="34" t="s">
        <v>422</v>
      </c>
      <c r="D216" s="7"/>
      <c r="E216" s="41"/>
      <c r="F216" s="71"/>
      <c r="G216" s="71"/>
      <c r="H216" s="71"/>
      <c r="I216" s="102"/>
      <c r="J216" s="34"/>
      <c r="K216" s="34"/>
      <c r="L216" s="112"/>
    </row>
    <row r="217" spans="1:12" s="22" customFormat="1" ht="67.5" x14ac:dyDescent="0.25">
      <c r="A217" s="186" t="s">
        <v>2678</v>
      </c>
      <c r="B217" s="96" t="s">
        <v>423</v>
      </c>
      <c r="C217" s="32" t="s">
        <v>424</v>
      </c>
      <c r="D217" s="7" t="s">
        <v>133</v>
      </c>
      <c r="E217" s="41">
        <v>50</v>
      </c>
      <c r="F217" s="71">
        <v>1487.49</v>
      </c>
      <c r="G217" s="71">
        <v>43.53</v>
      </c>
      <c r="H217" s="71">
        <v>74374.5</v>
      </c>
      <c r="I217" s="102">
        <v>2176.5</v>
      </c>
      <c r="J217" s="34" t="s">
        <v>128</v>
      </c>
      <c r="K217" s="34" t="s">
        <v>129</v>
      </c>
      <c r="L217" s="34" t="s">
        <v>422</v>
      </c>
    </row>
    <row r="218" spans="1:12" s="22" customFormat="1" ht="67.5" x14ac:dyDescent="0.25">
      <c r="A218" s="186" t="s">
        <v>2678</v>
      </c>
      <c r="B218" s="96" t="s">
        <v>425</v>
      </c>
      <c r="C218" s="32" t="s">
        <v>426</v>
      </c>
      <c r="D218" s="7" t="s">
        <v>133</v>
      </c>
      <c r="E218" s="41">
        <v>60</v>
      </c>
      <c r="F218" s="71">
        <v>1487.49</v>
      </c>
      <c r="G218" s="71">
        <v>49.75</v>
      </c>
      <c r="H218" s="71">
        <v>89249.4</v>
      </c>
      <c r="I218" s="102">
        <v>2985</v>
      </c>
      <c r="J218" s="34" t="s">
        <v>128</v>
      </c>
      <c r="K218" s="34" t="s">
        <v>129</v>
      </c>
      <c r="L218" s="34" t="s">
        <v>422</v>
      </c>
    </row>
    <row r="219" spans="1:12" s="22" customFormat="1" ht="27" x14ac:dyDescent="0.25">
      <c r="A219" s="186" t="s">
        <v>2678</v>
      </c>
      <c r="B219" s="96"/>
      <c r="C219" s="34" t="s">
        <v>427</v>
      </c>
      <c r="D219" s="7"/>
      <c r="E219" s="41"/>
      <c r="F219" s="71"/>
      <c r="G219" s="71"/>
      <c r="H219" s="71"/>
      <c r="I219" s="102"/>
      <c r="J219" s="34"/>
      <c r="K219" s="34"/>
      <c r="L219" s="112"/>
    </row>
    <row r="220" spans="1:12" s="22" customFormat="1" ht="67.5" x14ac:dyDescent="0.25">
      <c r="A220" s="186" t="s">
        <v>2678</v>
      </c>
      <c r="B220" s="96" t="s">
        <v>428</v>
      </c>
      <c r="C220" s="32" t="s">
        <v>429</v>
      </c>
      <c r="D220" s="7" t="s">
        <v>133</v>
      </c>
      <c r="E220" s="41">
        <v>70</v>
      </c>
      <c r="F220" s="71">
        <v>663.79</v>
      </c>
      <c r="G220" s="71">
        <v>18.66</v>
      </c>
      <c r="H220" s="71">
        <v>46465.299999999996</v>
      </c>
      <c r="I220" s="102">
        <v>1306.2</v>
      </c>
      <c r="J220" s="34" t="s">
        <v>128</v>
      </c>
      <c r="K220" s="34" t="s">
        <v>129</v>
      </c>
      <c r="L220" s="34" t="s">
        <v>427</v>
      </c>
    </row>
    <row r="221" spans="1:12" s="22" customFormat="1" ht="67.5" x14ac:dyDescent="0.25">
      <c r="A221" s="186" t="s">
        <v>2678</v>
      </c>
      <c r="B221" s="96" t="s">
        <v>430</v>
      </c>
      <c r="C221" s="32" t="s">
        <v>431</v>
      </c>
      <c r="D221" s="7" t="s">
        <v>133</v>
      </c>
      <c r="E221" s="41">
        <v>64</v>
      </c>
      <c r="F221" s="71">
        <v>663.79</v>
      </c>
      <c r="G221" s="71">
        <v>18.66</v>
      </c>
      <c r="H221" s="71">
        <v>42482.559999999998</v>
      </c>
      <c r="I221" s="102">
        <v>1194.24</v>
      </c>
      <c r="J221" s="34" t="s">
        <v>128</v>
      </c>
      <c r="K221" s="34" t="s">
        <v>129</v>
      </c>
      <c r="L221" s="34" t="s">
        <v>427</v>
      </c>
    </row>
    <row r="222" spans="1:12" s="22" customFormat="1" ht="67.5" x14ac:dyDescent="0.25">
      <c r="A222" s="186" t="s">
        <v>2678</v>
      </c>
      <c r="B222" s="96" t="s">
        <v>432</v>
      </c>
      <c r="C222" s="32" t="s">
        <v>433</v>
      </c>
      <c r="D222" s="7" t="s">
        <v>133</v>
      </c>
      <c r="E222" s="41">
        <v>160</v>
      </c>
      <c r="F222" s="71">
        <v>663.79</v>
      </c>
      <c r="G222" s="71">
        <v>18.66</v>
      </c>
      <c r="H222" s="71">
        <v>106206.39999999999</v>
      </c>
      <c r="I222" s="102">
        <v>2985.6</v>
      </c>
      <c r="J222" s="34" t="s">
        <v>128</v>
      </c>
      <c r="K222" s="34" t="s">
        <v>129</v>
      </c>
      <c r="L222" s="34" t="s">
        <v>427</v>
      </c>
    </row>
    <row r="223" spans="1:12" s="22" customFormat="1" ht="67.5" x14ac:dyDescent="0.25">
      <c r="A223" s="186" t="s">
        <v>2678</v>
      </c>
      <c r="B223" s="96" t="s">
        <v>434</v>
      </c>
      <c r="C223" s="32" t="s">
        <v>435</v>
      </c>
      <c r="D223" s="7" t="s">
        <v>133</v>
      </c>
      <c r="E223" s="41">
        <v>54</v>
      </c>
      <c r="F223" s="71">
        <v>2207.54</v>
      </c>
      <c r="G223" s="71">
        <v>43.53</v>
      </c>
      <c r="H223" s="71">
        <v>119207.16</v>
      </c>
      <c r="I223" s="102">
        <v>2350.62</v>
      </c>
      <c r="J223" s="34" t="s">
        <v>128</v>
      </c>
      <c r="K223" s="34" t="s">
        <v>129</v>
      </c>
      <c r="L223" s="34" t="s">
        <v>427</v>
      </c>
    </row>
    <row r="224" spans="1:12" s="22" customFormat="1" ht="67.5" x14ac:dyDescent="0.25">
      <c r="A224" s="186" t="s">
        <v>2678</v>
      </c>
      <c r="B224" s="98" t="s">
        <v>436</v>
      </c>
      <c r="C224" s="32" t="s">
        <v>437</v>
      </c>
      <c r="D224" s="7" t="s">
        <v>133</v>
      </c>
      <c r="E224" s="41">
        <v>50</v>
      </c>
      <c r="F224" s="71">
        <v>2207.54</v>
      </c>
      <c r="G224" s="71">
        <v>49.75</v>
      </c>
      <c r="H224" s="71">
        <v>110377</v>
      </c>
      <c r="I224" s="102">
        <v>2487.5</v>
      </c>
      <c r="J224" s="34" t="s">
        <v>128</v>
      </c>
      <c r="K224" s="34" t="s">
        <v>129</v>
      </c>
      <c r="L224" s="34" t="s">
        <v>427</v>
      </c>
    </row>
    <row r="225" spans="1:12" s="22" customFormat="1" ht="67.5" x14ac:dyDescent="0.25">
      <c r="A225" s="186" t="s">
        <v>2678</v>
      </c>
      <c r="B225" s="96" t="s">
        <v>438</v>
      </c>
      <c r="C225" s="32" t="s">
        <v>439</v>
      </c>
      <c r="D225" s="7" t="s">
        <v>133</v>
      </c>
      <c r="E225" s="41">
        <v>44</v>
      </c>
      <c r="F225" s="71">
        <v>3249.3</v>
      </c>
      <c r="G225" s="71">
        <v>54.71</v>
      </c>
      <c r="H225" s="71">
        <v>142969.20000000001</v>
      </c>
      <c r="I225" s="102">
        <v>2407.2400000000002</v>
      </c>
      <c r="J225" s="34" t="s">
        <v>128</v>
      </c>
      <c r="K225" s="34" t="s">
        <v>129</v>
      </c>
      <c r="L225" s="34" t="s">
        <v>427</v>
      </c>
    </row>
    <row r="226" spans="1:12" s="22" customFormat="1" ht="27" x14ac:dyDescent="0.25">
      <c r="A226" s="186" t="s">
        <v>2678</v>
      </c>
      <c r="B226" s="97"/>
      <c r="C226" s="34" t="s">
        <v>440</v>
      </c>
      <c r="D226" s="7"/>
      <c r="E226" s="41"/>
      <c r="F226" s="71"/>
      <c r="G226" s="71"/>
      <c r="H226" s="71"/>
      <c r="I226" s="102"/>
      <c r="J226" s="34"/>
      <c r="K226" s="34"/>
      <c r="L226" s="112"/>
    </row>
    <row r="227" spans="1:12" s="22" customFormat="1" ht="67.5" x14ac:dyDescent="0.25">
      <c r="A227" s="186" t="s">
        <v>2678</v>
      </c>
      <c r="B227" s="96" t="s">
        <v>441</v>
      </c>
      <c r="C227" s="32" t="s">
        <v>442</v>
      </c>
      <c r="D227" s="7" t="s">
        <v>133</v>
      </c>
      <c r="E227" s="41">
        <v>40</v>
      </c>
      <c r="F227" s="71">
        <v>2207.54</v>
      </c>
      <c r="G227" s="71">
        <v>62.19</v>
      </c>
      <c r="H227" s="71">
        <v>88301.6</v>
      </c>
      <c r="I227" s="102">
        <v>2487.6</v>
      </c>
      <c r="J227" s="34" t="s">
        <v>128</v>
      </c>
      <c r="K227" s="34" t="s">
        <v>129</v>
      </c>
      <c r="L227" s="34" t="s">
        <v>440</v>
      </c>
    </row>
    <row r="228" spans="1:12" s="22" customFormat="1" ht="27" x14ac:dyDescent="0.25">
      <c r="A228" s="186" t="s">
        <v>2678</v>
      </c>
      <c r="B228" s="96"/>
      <c r="C228" s="34" t="s">
        <v>443</v>
      </c>
      <c r="D228" s="7"/>
      <c r="E228" s="41"/>
      <c r="F228" s="71"/>
      <c r="G228" s="71"/>
      <c r="H228" s="71"/>
      <c r="I228" s="102"/>
      <c r="J228" s="34"/>
      <c r="K228" s="34"/>
      <c r="L228" s="112"/>
    </row>
    <row r="229" spans="1:12" s="22" customFormat="1" ht="67.5" x14ac:dyDescent="0.25">
      <c r="A229" s="186" t="s">
        <v>2678</v>
      </c>
      <c r="B229" s="96" t="s">
        <v>444</v>
      </c>
      <c r="C229" s="32" t="s">
        <v>445</v>
      </c>
      <c r="D229" s="7" t="s">
        <v>133</v>
      </c>
      <c r="E229" s="41">
        <v>54</v>
      </c>
      <c r="F229" s="71">
        <v>1299.58</v>
      </c>
      <c r="G229" s="71">
        <v>18.66</v>
      </c>
      <c r="H229" s="71">
        <v>70177.319999999992</v>
      </c>
      <c r="I229" s="102">
        <v>1007.64</v>
      </c>
      <c r="J229" s="34" t="s">
        <v>128</v>
      </c>
      <c r="K229" s="34" t="s">
        <v>129</v>
      </c>
      <c r="L229" s="34" t="s">
        <v>443</v>
      </c>
    </row>
    <row r="230" spans="1:12" s="22" customFormat="1" ht="67.5" x14ac:dyDescent="0.25">
      <c r="A230" s="186" t="s">
        <v>2678</v>
      </c>
      <c r="B230" s="96" t="s">
        <v>446</v>
      </c>
      <c r="C230" s="32" t="s">
        <v>447</v>
      </c>
      <c r="D230" s="7" t="s">
        <v>133</v>
      </c>
      <c r="E230" s="41">
        <v>36</v>
      </c>
      <c r="F230" s="71">
        <v>3645.5</v>
      </c>
      <c r="G230" s="71">
        <v>31.09</v>
      </c>
      <c r="H230" s="71">
        <v>131238</v>
      </c>
      <c r="I230" s="102">
        <v>1119.24</v>
      </c>
      <c r="J230" s="34" t="s">
        <v>128</v>
      </c>
      <c r="K230" s="34" t="s">
        <v>129</v>
      </c>
      <c r="L230" s="34" t="s">
        <v>443</v>
      </c>
    </row>
    <row r="231" spans="1:12" s="22" customFormat="1" ht="67.5" x14ac:dyDescent="0.25">
      <c r="A231" s="186" t="s">
        <v>2678</v>
      </c>
      <c r="B231" s="96" t="s">
        <v>448</v>
      </c>
      <c r="C231" s="32" t="s">
        <v>449</v>
      </c>
      <c r="D231" s="7" t="s">
        <v>133</v>
      </c>
      <c r="E231" s="41">
        <v>40</v>
      </c>
      <c r="F231" s="71">
        <v>2985.08</v>
      </c>
      <c r="G231" s="71">
        <v>28.61</v>
      </c>
      <c r="H231" s="71">
        <v>119403.2</v>
      </c>
      <c r="I231" s="102">
        <v>1144.4000000000001</v>
      </c>
      <c r="J231" s="34" t="s">
        <v>128</v>
      </c>
      <c r="K231" s="34" t="s">
        <v>129</v>
      </c>
      <c r="L231" s="34" t="s">
        <v>443</v>
      </c>
    </row>
    <row r="232" spans="1:12" s="22" customFormat="1" ht="67.5" x14ac:dyDescent="0.25">
      <c r="A232" s="186" t="s">
        <v>2678</v>
      </c>
      <c r="B232" s="96" t="s">
        <v>450</v>
      </c>
      <c r="C232" s="32" t="s">
        <v>451</v>
      </c>
      <c r="D232" s="7" t="s">
        <v>133</v>
      </c>
      <c r="E232" s="41">
        <v>64</v>
      </c>
      <c r="F232" s="71">
        <v>2800.3</v>
      </c>
      <c r="G232" s="71">
        <v>43.53</v>
      </c>
      <c r="H232" s="71">
        <v>179219.20000000001</v>
      </c>
      <c r="I232" s="102">
        <v>2785.92</v>
      </c>
      <c r="J232" s="34" t="s">
        <v>128</v>
      </c>
      <c r="K232" s="34" t="s">
        <v>129</v>
      </c>
      <c r="L232" s="34" t="s">
        <v>443</v>
      </c>
    </row>
    <row r="233" spans="1:12" s="22" customFormat="1" ht="67.5" x14ac:dyDescent="0.25">
      <c r="A233" s="186" t="s">
        <v>2678</v>
      </c>
      <c r="B233" s="96" t="s">
        <v>452</v>
      </c>
      <c r="C233" s="32" t="s">
        <v>453</v>
      </c>
      <c r="D233" s="7" t="s">
        <v>133</v>
      </c>
      <c r="E233" s="41">
        <v>52</v>
      </c>
      <c r="F233" s="71">
        <v>5026.18</v>
      </c>
      <c r="G233" s="71">
        <v>34.81</v>
      </c>
      <c r="H233" s="71">
        <v>261361.36000000002</v>
      </c>
      <c r="I233" s="102">
        <v>1810.1200000000001</v>
      </c>
      <c r="J233" s="34" t="s">
        <v>128</v>
      </c>
      <c r="K233" s="34" t="s">
        <v>129</v>
      </c>
      <c r="L233" s="34" t="s">
        <v>443</v>
      </c>
    </row>
    <row r="234" spans="1:12" s="22" customFormat="1" ht="67.5" x14ac:dyDescent="0.25">
      <c r="A234" s="186" t="s">
        <v>2678</v>
      </c>
      <c r="B234" s="98" t="s">
        <v>454</v>
      </c>
      <c r="C234" s="32" t="s">
        <v>455</v>
      </c>
      <c r="D234" s="7" t="s">
        <v>133</v>
      </c>
      <c r="E234" s="41">
        <v>54</v>
      </c>
      <c r="F234" s="71">
        <v>6131.28</v>
      </c>
      <c r="G234" s="71">
        <v>68.41</v>
      </c>
      <c r="H234" s="71">
        <v>331089.12</v>
      </c>
      <c r="I234" s="102">
        <v>3694.14</v>
      </c>
      <c r="J234" s="34" t="s">
        <v>128</v>
      </c>
      <c r="K234" s="34" t="s">
        <v>129</v>
      </c>
      <c r="L234" s="34" t="s">
        <v>443</v>
      </c>
    </row>
    <row r="235" spans="1:12" s="22" customFormat="1" ht="67.5" x14ac:dyDescent="0.25">
      <c r="A235" s="186" t="s">
        <v>2678</v>
      </c>
      <c r="B235" s="96" t="s">
        <v>456</v>
      </c>
      <c r="C235" s="32" t="s">
        <v>457</v>
      </c>
      <c r="D235" s="7" t="s">
        <v>133</v>
      </c>
      <c r="E235" s="41">
        <v>82</v>
      </c>
      <c r="F235" s="71">
        <v>9125.7800000000007</v>
      </c>
      <c r="G235" s="71">
        <v>87.06</v>
      </c>
      <c r="H235" s="71">
        <v>748313.96000000008</v>
      </c>
      <c r="I235" s="102">
        <v>7138.92</v>
      </c>
      <c r="J235" s="34" t="s">
        <v>128</v>
      </c>
      <c r="K235" s="34" t="s">
        <v>129</v>
      </c>
      <c r="L235" s="34" t="s">
        <v>443</v>
      </c>
    </row>
    <row r="236" spans="1:12" s="22" customFormat="1" ht="67.5" x14ac:dyDescent="0.25">
      <c r="A236" s="186" t="s">
        <v>2678</v>
      </c>
      <c r="B236" s="97" t="s">
        <v>458</v>
      </c>
      <c r="C236" s="32" t="s">
        <v>459</v>
      </c>
      <c r="D236" s="7" t="s">
        <v>133</v>
      </c>
      <c r="E236" s="41">
        <v>74</v>
      </c>
      <c r="F236" s="71">
        <v>6245.41</v>
      </c>
      <c r="G236" s="71">
        <v>99.5</v>
      </c>
      <c r="H236" s="71">
        <v>462160.33999999997</v>
      </c>
      <c r="I236" s="102">
        <v>7363</v>
      </c>
      <c r="J236" s="34" t="s">
        <v>128</v>
      </c>
      <c r="K236" s="34" t="s">
        <v>129</v>
      </c>
      <c r="L236" s="34" t="s">
        <v>443</v>
      </c>
    </row>
    <row r="237" spans="1:12" s="22" customFormat="1" ht="67.5" x14ac:dyDescent="0.25">
      <c r="A237" s="186" t="s">
        <v>2678</v>
      </c>
      <c r="B237" s="96" t="s">
        <v>460</v>
      </c>
      <c r="C237" s="32" t="s">
        <v>461</v>
      </c>
      <c r="D237" s="7" t="s">
        <v>133</v>
      </c>
      <c r="E237" s="41">
        <v>36</v>
      </c>
      <c r="F237" s="71">
        <v>7222.11</v>
      </c>
      <c r="G237" s="71">
        <v>111.94</v>
      </c>
      <c r="H237" s="71">
        <v>259995.96</v>
      </c>
      <c r="I237" s="102">
        <v>4029.84</v>
      </c>
      <c r="J237" s="34" t="s">
        <v>128</v>
      </c>
      <c r="K237" s="34" t="s">
        <v>129</v>
      </c>
      <c r="L237" s="34" t="s">
        <v>443</v>
      </c>
    </row>
    <row r="238" spans="1:12" s="22" customFormat="1" ht="27" x14ac:dyDescent="0.25">
      <c r="A238" s="186" t="s">
        <v>2678</v>
      </c>
      <c r="B238" s="96"/>
      <c r="C238" s="34" t="s">
        <v>462</v>
      </c>
      <c r="D238" s="7"/>
      <c r="E238" s="41"/>
      <c r="F238" s="71"/>
      <c r="G238" s="71"/>
      <c r="H238" s="71"/>
      <c r="I238" s="102"/>
      <c r="J238" s="34"/>
      <c r="K238" s="34"/>
      <c r="L238" s="112"/>
    </row>
    <row r="239" spans="1:12" s="22" customFormat="1" ht="67.5" x14ac:dyDescent="0.25">
      <c r="A239" s="186" t="s">
        <v>2678</v>
      </c>
      <c r="B239" s="96" t="s">
        <v>463</v>
      </c>
      <c r="C239" s="32" t="s">
        <v>464</v>
      </c>
      <c r="D239" s="7" t="s">
        <v>133</v>
      </c>
      <c r="E239" s="41">
        <v>80</v>
      </c>
      <c r="F239" s="71">
        <v>4116.43</v>
      </c>
      <c r="G239" s="71">
        <v>0</v>
      </c>
      <c r="H239" s="71">
        <v>329314.40000000002</v>
      </c>
      <c r="I239" s="102">
        <v>0</v>
      </c>
      <c r="J239" s="34" t="s">
        <v>128</v>
      </c>
      <c r="K239" s="34" t="s">
        <v>129</v>
      </c>
      <c r="L239" s="34" t="s">
        <v>462</v>
      </c>
    </row>
    <row r="240" spans="1:12" s="22" customFormat="1" ht="67.5" x14ac:dyDescent="0.25">
      <c r="A240" s="186" t="s">
        <v>2678</v>
      </c>
      <c r="B240" s="96" t="s">
        <v>465</v>
      </c>
      <c r="C240" s="32" t="s">
        <v>466</v>
      </c>
      <c r="D240" s="7" t="s">
        <v>133</v>
      </c>
      <c r="E240" s="41">
        <v>44</v>
      </c>
      <c r="F240" s="71">
        <v>1828.53</v>
      </c>
      <c r="G240" s="71">
        <v>0</v>
      </c>
      <c r="H240" s="71">
        <v>80455.319999999992</v>
      </c>
      <c r="I240" s="102">
        <v>0</v>
      </c>
      <c r="J240" s="34" t="s">
        <v>128</v>
      </c>
      <c r="K240" s="34" t="s">
        <v>129</v>
      </c>
      <c r="L240" s="34" t="s">
        <v>462</v>
      </c>
    </row>
    <row r="241" spans="1:12" s="22" customFormat="1" ht="67.5" x14ac:dyDescent="0.25">
      <c r="A241" s="186" t="s">
        <v>2678</v>
      </c>
      <c r="B241" s="96" t="s">
        <v>467</v>
      </c>
      <c r="C241" s="32" t="s">
        <v>468</v>
      </c>
      <c r="D241" s="7" t="s">
        <v>133</v>
      </c>
      <c r="E241" s="41">
        <v>84</v>
      </c>
      <c r="F241" s="71">
        <v>4611.24</v>
      </c>
      <c r="G241" s="71">
        <v>0</v>
      </c>
      <c r="H241" s="71">
        <v>387344.16</v>
      </c>
      <c r="I241" s="102">
        <v>0</v>
      </c>
      <c r="J241" s="34" t="s">
        <v>128</v>
      </c>
      <c r="K241" s="34" t="s">
        <v>129</v>
      </c>
      <c r="L241" s="34" t="s">
        <v>462</v>
      </c>
    </row>
    <row r="242" spans="1:12" s="22" customFormat="1" ht="67.5" x14ac:dyDescent="0.25">
      <c r="A242" s="186" t="s">
        <v>2678</v>
      </c>
      <c r="B242" s="96" t="s">
        <v>469</v>
      </c>
      <c r="C242" s="32" t="s">
        <v>470</v>
      </c>
      <c r="D242" s="7" t="s">
        <v>133</v>
      </c>
      <c r="E242" s="41">
        <v>74</v>
      </c>
      <c r="F242" s="71">
        <v>4053.93</v>
      </c>
      <c r="G242" s="71">
        <v>0</v>
      </c>
      <c r="H242" s="71">
        <v>299990.82</v>
      </c>
      <c r="I242" s="102">
        <v>0</v>
      </c>
      <c r="J242" s="34" t="s">
        <v>128</v>
      </c>
      <c r="K242" s="34" t="s">
        <v>129</v>
      </c>
      <c r="L242" s="34" t="s">
        <v>462</v>
      </c>
    </row>
    <row r="243" spans="1:12" s="22" customFormat="1" ht="67.5" x14ac:dyDescent="0.25">
      <c r="A243" s="186" t="s">
        <v>2678</v>
      </c>
      <c r="B243" s="96" t="s">
        <v>471</v>
      </c>
      <c r="C243" s="32" t="s">
        <v>472</v>
      </c>
      <c r="D243" s="7" t="s">
        <v>133</v>
      </c>
      <c r="E243" s="41">
        <v>200</v>
      </c>
      <c r="F243" s="71">
        <v>2091.15</v>
      </c>
      <c r="G243" s="71">
        <v>0</v>
      </c>
      <c r="H243" s="71">
        <v>418230</v>
      </c>
      <c r="I243" s="102">
        <v>0</v>
      </c>
      <c r="J243" s="34" t="s">
        <v>128</v>
      </c>
      <c r="K243" s="34" t="s">
        <v>129</v>
      </c>
      <c r="L243" s="34" t="s">
        <v>462</v>
      </c>
    </row>
    <row r="244" spans="1:12" s="22" customFormat="1" ht="67.5" x14ac:dyDescent="0.25">
      <c r="A244" s="186" t="s">
        <v>2678</v>
      </c>
      <c r="B244" s="96" t="s">
        <v>473</v>
      </c>
      <c r="C244" s="32" t="s">
        <v>474</v>
      </c>
      <c r="D244" s="7" t="s">
        <v>133</v>
      </c>
      <c r="E244" s="41">
        <v>68</v>
      </c>
      <c r="F244" s="71">
        <v>4759.25</v>
      </c>
      <c r="G244" s="71">
        <v>0</v>
      </c>
      <c r="H244" s="71">
        <v>323629</v>
      </c>
      <c r="I244" s="102">
        <v>0</v>
      </c>
      <c r="J244" s="34" t="s">
        <v>128</v>
      </c>
      <c r="K244" s="34" t="s">
        <v>129</v>
      </c>
      <c r="L244" s="34" t="s">
        <v>462</v>
      </c>
    </row>
    <row r="245" spans="1:12" s="22" customFormat="1" ht="67.5" x14ac:dyDescent="0.25">
      <c r="A245" s="186" t="s">
        <v>2678</v>
      </c>
      <c r="B245" s="96" t="s">
        <v>475</v>
      </c>
      <c r="C245" s="32" t="s">
        <v>476</v>
      </c>
      <c r="D245" s="7" t="s">
        <v>133</v>
      </c>
      <c r="E245" s="41">
        <v>58</v>
      </c>
      <c r="F245" s="71">
        <v>2057.6</v>
      </c>
      <c r="G245" s="71">
        <v>0</v>
      </c>
      <c r="H245" s="71">
        <v>119340.79999999999</v>
      </c>
      <c r="I245" s="102">
        <v>0</v>
      </c>
      <c r="J245" s="34" t="s">
        <v>128</v>
      </c>
      <c r="K245" s="34" t="s">
        <v>129</v>
      </c>
      <c r="L245" s="34" t="s">
        <v>462</v>
      </c>
    </row>
    <row r="246" spans="1:12" s="22" customFormat="1" ht="67.5" x14ac:dyDescent="0.25">
      <c r="A246" s="186" t="s">
        <v>2678</v>
      </c>
      <c r="B246" s="99" t="s">
        <v>477</v>
      </c>
      <c r="C246" s="32" t="s">
        <v>478</v>
      </c>
      <c r="D246" s="7" t="s">
        <v>133</v>
      </c>
      <c r="E246" s="41">
        <v>52</v>
      </c>
      <c r="F246" s="71">
        <v>2448.63</v>
      </c>
      <c r="G246" s="71">
        <v>0</v>
      </c>
      <c r="H246" s="71">
        <v>127328.76000000001</v>
      </c>
      <c r="I246" s="102">
        <v>0</v>
      </c>
      <c r="J246" s="34" t="s">
        <v>128</v>
      </c>
      <c r="K246" s="34" t="s">
        <v>129</v>
      </c>
      <c r="L246" s="34" t="s">
        <v>462</v>
      </c>
    </row>
    <row r="247" spans="1:12" s="22" customFormat="1" ht="67.5" x14ac:dyDescent="0.25">
      <c r="A247" s="186" t="s">
        <v>2678</v>
      </c>
      <c r="B247" s="96" t="s">
        <v>479</v>
      </c>
      <c r="C247" s="32" t="s">
        <v>480</v>
      </c>
      <c r="D247" s="7" t="s">
        <v>133</v>
      </c>
      <c r="E247" s="41">
        <v>42</v>
      </c>
      <c r="F247" s="71">
        <v>2693.09</v>
      </c>
      <c r="G247" s="71">
        <v>0</v>
      </c>
      <c r="H247" s="71">
        <v>113109.78</v>
      </c>
      <c r="I247" s="102">
        <v>0</v>
      </c>
      <c r="J247" s="34" t="s">
        <v>128</v>
      </c>
      <c r="K247" s="34" t="s">
        <v>129</v>
      </c>
      <c r="L247" s="34" t="s">
        <v>462</v>
      </c>
    </row>
    <row r="248" spans="1:12" s="22" customFormat="1" ht="67.5" x14ac:dyDescent="0.25">
      <c r="A248" s="186" t="s">
        <v>2678</v>
      </c>
      <c r="B248" s="96" t="s">
        <v>481</v>
      </c>
      <c r="C248" s="32" t="s">
        <v>482</v>
      </c>
      <c r="D248" s="7" t="s">
        <v>133</v>
      </c>
      <c r="E248" s="41">
        <v>44</v>
      </c>
      <c r="F248" s="71">
        <v>2976.16</v>
      </c>
      <c r="G248" s="71">
        <v>0</v>
      </c>
      <c r="H248" s="71">
        <v>130951.03999999999</v>
      </c>
      <c r="I248" s="102">
        <v>0</v>
      </c>
      <c r="J248" s="34" t="s">
        <v>128</v>
      </c>
      <c r="K248" s="34" t="s">
        <v>129</v>
      </c>
      <c r="L248" s="34" t="s">
        <v>462</v>
      </c>
    </row>
    <row r="249" spans="1:12" s="22" customFormat="1" ht="67.5" x14ac:dyDescent="0.25">
      <c r="A249" s="186" t="s">
        <v>2678</v>
      </c>
      <c r="B249" s="96" t="s">
        <v>483</v>
      </c>
      <c r="C249" s="32" t="s">
        <v>484</v>
      </c>
      <c r="D249" s="7" t="s">
        <v>133</v>
      </c>
      <c r="E249" s="41">
        <v>30</v>
      </c>
      <c r="F249" s="71">
        <v>3340.86</v>
      </c>
      <c r="G249" s="71">
        <v>0</v>
      </c>
      <c r="H249" s="71">
        <v>100225.8</v>
      </c>
      <c r="I249" s="102">
        <v>0</v>
      </c>
      <c r="J249" s="34" t="s">
        <v>128</v>
      </c>
      <c r="K249" s="34" t="s">
        <v>129</v>
      </c>
      <c r="L249" s="34" t="s">
        <v>462</v>
      </c>
    </row>
    <row r="250" spans="1:12" s="22" customFormat="1" ht="27" x14ac:dyDescent="0.25">
      <c r="A250" s="186" t="s">
        <v>2678</v>
      </c>
      <c r="B250" s="96"/>
      <c r="C250" s="34" t="s">
        <v>485</v>
      </c>
      <c r="D250" s="7"/>
      <c r="E250" s="41"/>
      <c r="F250" s="71"/>
      <c r="G250" s="71"/>
      <c r="H250" s="71"/>
      <c r="I250" s="102"/>
      <c r="J250" s="34"/>
      <c r="K250" s="34"/>
      <c r="L250" s="112"/>
    </row>
    <row r="251" spans="1:12" s="22" customFormat="1" ht="81" x14ac:dyDescent="0.25">
      <c r="A251" s="186" t="s">
        <v>2678</v>
      </c>
      <c r="B251" s="96" t="s">
        <v>486</v>
      </c>
      <c r="C251" s="32" t="s">
        <v>487</v>
      </c>
      <c r="D251" s="7" t="s">
        <v>133</v>
      </c>
      <c r="E251" s="41">
        <v>70</v>
      </c>
      <c r="F251" s="71">
        <v>3104.61</v>
      </c>
      <c r="G251" s="71">
        <v>0</v>
      </c>
      <c r="H251" s="71">
        <v>217322.7</v>
      </c>
      <c r="I251" s="102">
        <v>0</v>
      </c>
      <c r="J251" s="34" t="s">
        <v>128</v>
      </c>
      <c r="K251" s="34" t="s">
        <v>129</v>
      </c>
      <c r="L251" s="34" t="s">
        <v>485</v>
      </c>
    </row>
    <row r="252" spans="1:12" s="22" customFormat="1" ht="81" x14ac:dyDescent="0.25">
      <c r="A252" s="186" t="s">
        <v>2678</v>
      </c>
      <c r="B252" s="96" t="s">
        <v>488</v>
      </c>
      <c r="C252" s="32" t="s">
        <v>489</v>
      </c>
      <c r="D252" s="7" t="s">
        <v>133</v>
      </c>
      <c r="E252" s="41">
        <v>60</v>
      </c>
      <c r="F252" s="71">
        <v>3252.56</v>
      </c>
      <c r="G252" s="71">
        <v>0</v>
      </c>
      <c r="H252" s="71">
        <v>195153.6</v>
      </c>
      <c r="I252" s="102">
        <v>0</v>
      </c>
      <c r="J252" s="34" t="s">
        <v>128</v>
      </c>
      <c r="K252" s="34" t="s">
        <v>129</v>
      </c>
      <c r="L252" s="34" t="s">
        <v>485</v>
      </c>
    </row>
    <row r="253" spans="1:12" s="22" customFormat="1" ht="81" x14ac:dyDescent="0.25">
      <c r="A253" s="186" t="s">
        <v>2678</v>
      </c>
      <c r="B253" s="98" t="s">
        <v>490</v>
      </c>
      <c r="C253" s="32" t="s">
        <v>491</v>
      </c>
      <c r="D253" s="7" t="s">
        <v>133</v>
      </c>
      <c r="E253" s="41">
        <v>56</v>
      </c>
      <c r="F253" s="71">
        <v>4010.16</v>
      </c>
      <c r="G253" s="71">
        <v>0</v>
      </c>
      <c r="H253" s="71">
        <v>224568.95999999999</v>
      </c>
      <c r="I253" s="102">
        <v>0</v>
      </c>
      <c r="J253" s="34" t="s">
        <v>128</v>
      </c>
      <c r="K253" s="34" t="s">
        <v>129</v>
      </c>
      <c r="L253" s="34" t="s">
        <v>485</v>
      </c>
    </row>
    <row r="254" spans="1:12" s="22" customFormat="1" ht="81" x14ac:dyDescent="0.25">
      <c r="A254" s="186" t="s">
        <v>2678</v>
      </c>
      <c r="B254" s="96" t="s">
        <v>492</v>
      </c>
      <c r="C254" s="32" t="s">
        <v>493</v>
      </c>
      <c r="D254" s="7" t="s">
        <v>133</v>
      </c>
      <c r="E254" s="41">
        <v>74</v>
      </c>
      <c r="F254" s="71">
        <v>1703.83</v>
      </c>
      <c r="G254" s="71">
        <v>0</v>
      </c>
      <c r="H254" s="71">
        <v>126083.42</v>
      </c>
      <c r="I254" s="102">
        <v>0</v>
      </c>
      <c r="J254" s="34" t="s">
        <v>128</v>
      </c>
      <c r="K254" s="34" t="s">
        <v>129</v>
      </c>
      <c r="L254" s="34" t="s">
        <v>485</v>
      </c>
    </row>
    <row r="255" spans="1:12" s="22" customFormat="1" ht="81" x14ac:dyDescent="0.25">
      <c r="A255" s="186" t="s">
        <v>2678</v>
      </c>
      <c r="B255" s="96" t="s">
        <v>494</v>
      </c>
      <c r="C255" s="32" t="s">
        <v>495</v>
      </c>
      <c r="D255" s="7" t="s">
        <v>133</v>
      </c>
      <c r="E255" s="41">
        <v>94</v>
      </c>
      <c r="F255" s="71">
        <v>3396.13</v>
      </c>
      <c r="G255" s="71">
        <v>0</v>
      </c>
      <c r="H255" s="71">
        <v>319236.22000000003</v>
      </c>
      <c r="I255" s="102">
        <v>0</v>
      </c>
      <c r="J255" s="34" t="s">
        <v>128</v>
      </c>
      <c r="K255" s="34" t="s">
        <v>129</v>
      </c>
      <c r="L255" s="34" t="s">
        <v>485</v>
      </c>
    </row>
    <row r="256" spans="1:12" s="22" customFormat="1" ht="81" x14ac:dyDescent="0.25">
      <c r="A256" s="186" t="s">
        <v>2678</v>
      </c>
      <c r="B256" s="100" t="s">
        <v>496</v>
      </c>
      <c r="C256" s="32" t="s">
        <v>497</v>
      </c>
      <c r="D256" s="7" t="s">
        <v>133</v>
      </c>
      <c r="E256" s="41">
        <v>40</v>
      </c>
      <c r="F256" s="71">
        <v>2379.44</v>
      </c>
      <c r="G256" s="71">
        <v>0</v>
      </c>
      <c r="H256" s="71">
        <v>95177.600000000006</v>
      </c>
      <c r="I256" s="102">
        <v>0</v>
      </c>
      <c r="J256" s="34" t="s">
        <v>128</v>
      </c>
      <c r="K256" s="34" t="s">
        <v>129</v>
      </c>
      <c r="L256" s="34" t="s">
        <v>485</v>
      </c>
    </row>
    <row r="257" spans="1:12" s="22" customFormat="1" ht="81" x14ac:dyDescent="0.25">
      <c r="A257" s="186" t="s">
        <v>2678</v>
      </c>
      <c r="B257" s="96" t="s">
        <v>498</v>
      </c>
      <c r="C257" s="32" t="s">
        <v>499</v>
      </c>
      <c r="D257" s="7" t="s">
        <v>133</v>
      </c>
      <c r="E257" s="41">
        <v>88</v>
      </c>
      <c r="F257" s="71">
        <v>32676.86</v>
      </c>
      <c r="G257" s="71">
        <v>0</v>
      </c>
      <c r="H257" s="71">
        <v>2875563.68</v>
      </c>
      <c r="I257" s="102">
        <v>0</v>
      </c>
      <c r="J257" s="34" t="s">
        <v>128</v>
      </c>
      <c r="K257" s="34" t="s">
        <v>129</v>
      </c>
      <c r="L257" s="34" t="s">
        <v>485</v>
      </c>
    </row>
    <row r="258" spans="1:12" s="22" customFormat="1" ht="81" x14ac:dyDescent="0.25">
      <c r="A258" s="186" t="s">
        <v>2678</v>
      </c>
      <c r="B258" s="96" t="s">
        <v>500</v>
      </c>
      <c r="C258" s="32" t="s">
        <v>501</v>
      </c>
      <c r="D258" s="7" t="s">
        <v>133</v>
      </c>
      <c r="E258" s="41">
        <v>40</v>
      </c>
      <c r="F258" s="71">
        <v>74074.05</v>
      </c>
      <c r="G258" s="71">
        <v>0</v>
      </c>
      <c r="H258" s="71">
        <v>2962962</v>
      </c>
      <c r="I258" s="102">
        <v>0</v>
      </c>
      <c r="J258" s="34" t="s">
        <v>128</v>
      </c>
      <c r="K258" s="34" t="s">
        <v>129</v>
      </c>
      <c r="L258" s="34" t="s">
        <v>485</v>
      </c>
    </row>
    <row r="259" spans="1:12" s="22" customFormat="1" ht="81" x14ac:dyDescent="0.25">
      <c r="A259" s="186" t="s">
        <v>2678</v>
      </c>
      <c r="B259" s="96" t="s">
        <v>502</v>
      </c>
      <c r="C259" s="32" t="s">
        <v>503</v>
      </c>
      <c r="D259" s="7" t="s">
        <v>133</v>
      </c>
      <c r="E259" s="41">
        <v>40</v>
      </c>
      <c r="F259" s="71">
        <v>33204.79</v>
      </c>
      <c r="G259" s="71">
        <v>0</v>
      </c>
      <c r="H259" s="71">
        <v>1328191.6000000001</v>
      </c>
      <c r="I259" s="102">
        <v>0</v>
      </c>
      <c r="J259" s="34" t="s">
        <v>128</v>
      </c>
      <c r="K259" s="34" t="s">
        <v>129</v>
      </c>
      <c r="L259" s="34" t="s">
        <v>485</v>
      </c>
    </row>
    <row r="260" spans="1:12" s="22" customFormat="1" ht="27" x14ac:dyDescent="0.25">
      <c r="A260" s="186" t="s">
        <v>2678</v>
      </c>
      <c r="B260" s="96"/>
      <c r="C260" s="34" t="s">
        <v>504</v>
      </c>
      <c r="D260" s="7"/>
      <c r="E260" s="41"/>
      <c r="F260" s="71"/>
      <c r="G260" s="71"/>
      <c r="H260" s="71"/>
      <c r="I260" s="102"/>
      <c r="J260" s="34"/>
      <c r="K260" s="34"/>
      <c r="L260" s="112"/>
    </row>
    <row r="261" spans="1:12" s="22" customFormat="1" ht="67.5" x14ac:dyDescent="0.25">
      <c r="A261" s="186" t="s">
        <v>2678</v>
      </c>
      <c r="B261" s="96" t="s">
        <v>505</v>
      </c>
      <c r="C261" s="32" t="s">
        <v>506</v>
      </c>
      <c r="D261" s="7" t="s">
        <v>133</v>
      </c>
      <c r="E261" s="41">
        <v>136</v>
      </c>
      <c r="F261" s="71">
        <v>1165.5899999999999</v>
      </c>
      <c r="G261" s="71">
        <v>0</v>
      </c>
      <c r="H261" s="71">
        <v>158520.24</v>
      </c>
      <c r="I261" s="102">
        <v>0</v>
      </c>
      <c r="J261" s="34" t="s">
        <v>128</v>
      </c>
      <c r="K261" s="34" t="s">
        <v>129</v>
      </c>
      <c r="L261" s="34" t="s">
        <v>504</v>
      </c>
    </row>
    <row r="262" spans="1:12" s="22" customFormat="1" ht="67.5" x14ac:dyDescent="0.25">
      <c r="A262" s="186" t="s">
        <v>2678</v>
      </c>
      <c r="B262" s="96" t="s">
        <v>507</v>
      </c>
      <c r="C262" s="32" t="s">
        <v>508</v>
      </c>
      <c r="D262" s="7" t="s">
        <v>133</v>
      </c>
      <c r="E262" s="41">
        <v>44</v>
      </c>
      <c r="F262" s="71">
        <v>1165.5899999999999</v>
      </c>
      <c r="G262" s="71">
        <v>0</v>
      </c>
      <c r="H262" s="71">
        <v>51285.96</v>
      </c>
      <c r="I262" s="102">
        <v>0</v>
      </c>
      <c r="J262" s="34" t="s">
        <v>128</v>
      </c>
      <c r="K262" s="34" t="s">
        <v>129</v>
      </c>
      <c r="L262" s="34" t="s">
        <v>504</v>
      </c>
    </row>
    <row r="263" spans="1:12" s="22" customFormat="1" ht="67.5" x14ac:dyDescent="0.25">
      <c r="A263" s="186" t="s">
        <v>2678</v>
      </c>
      <c r="B263" s="96" t="s">
        <v>509</v>
      </c>
      <c r="C263" s="32" t="s">
        <v>510</v>
      </c>
      <c r="D263" s="7" t="s">
        <v>133</v>
      </c>
      <c r="E263" s="41">
        <v>70</v>
      </c>
      <c r="F263" s="71">
        <v>1270.45</v>
      </c>
      <c r="G263" s="71">
        <v>0</v>
      </c>
      <c r="H263" s="71">
        <v>88931.5</v>
      </c>
      <c r="I263" s="102">
        <v>0</v>
      </c>
      <c r="J263" s="34" t="s">
        <v>128</v>
      </c>
      <c r="K263" s="34" t="s">
        <v>129</v>
      </c>
      <c r="L263" s="34" t="s">
        <v>504</v>
      </c>
    </row>
    <row r="264" spans="1:12" s="22" customFormat="1" ht="67.5" x14ac:dyDescent="0.25">
      <c r="A264" s="186" t="s">
        <v>2678</v>
      </c>
      <c r="B264" s="96" t="s">
        <v>511</v>
      </c>
      <c r="C264" s="32" t="s">
        <v>512</v>
      </c>
      <c r="D264" s="7" t="s">
        <v>133</v>
      </c>
      <c r="E264" s="41">
        <v>76</v>
      </c>
      <c r="F264" s="71">
        <v>2940.83</v>
      </c>
      <c r="G264" s="71">
        <v>0</v>
      </c>
      <c r="H264" s="71">
        <v>223503.08</v>
      </c>
      <c r="I264" s="102">
        <v>0</v>
      </c>
      <c r="J264" s="34" t="s">
        <v>128</v>
      </c>
      <c r="K264" s="34" t="s">
        <v>129</v>
      </c>
      <c r="L264" s="34" t="s">
        <v>504</v>
      </c>
    </row>
    <row r="265" spans="1:12" s="22" customFormat="1" ht="27" x14ac:dyDescent="0.25">
      <c r="A265" s="186" t="s">
        <v>2678</v>
      </c>
      <c r="B265" s="98"/>
      <c r="C265" s="34" t="s">
        <v>513</v>
      </c>
      <c r="D265" s="7"/>
      <c r="E265" s="41"/>
      <c r="F265" s="71"/>
      <c r="G265" s="71"/>
      <c r="H265" s="71"/>
      <c r="I265" s="102"/>
      <c r="J265" s="34"/>
      <c r="K265" s="34"/>
      <c r="L265" s="112"/>
    </row>
    <row r="266" spans="1:12" s="22" customFormat="1" ht="67.5" x14ac:dyDescent="0.25">
      <c r="A266" s="186" t="s">
        <v>2678</v>
      </c>
      <c r="B266" s="100" t="s">
        <v>514</v>
      </c>
      <c r="C266" s="32" t="s">
        <v>515</v>
      </c>
      <c r="D266" s="7" t="s">
        <v>133</v>
      </c>
      <c r="E266" s="41">
        <v>178</v>
      </c>
      <c r="F266" s="71">
        <v>847.79</v>
      </c>
      <c r="G266" s="71">
        <v>0</v>
      </c>
      <c r="H266" s="71">
        <v>150906.62</v>
      </c>
      <c r="I266" s="102">
        <v>0</v>
      </c>
      <c r="J266" s="34" t="s">
        <v>128</v>
      </c>
      <c r="K266" s="34" t="s">
        <v>129</v>
      </c>
      <c r="L266" s="34" t="s">
        <v>513</v>
      </c>
    </row>
    <row r="267" spans="1:12" s="22" customFormat="1" ht="67.5" x14ac:dyDescent="0.25">
      <c r="A267" s="186" t="s">
        <v>2678</v>
      </c>
      <c r="B267" s="96" t="s">
        <v>516</v>
      </c>
      <c r="C267" s="32" t="s">
        <v>517</v>
      </c>
      <c r="D267" s="7" t="s">
        <v>133</v>
      </c>
      <c r="E267" s="41">
        <v>222</v>
      </c>
      <c r="F267" s="71">
        <v>1460.11</v>
      </c>
      <c r="G267" s="71">
        <v>0</v>
      </c>
      <c r="H267" s="71">
        <v>324144.42</v>
      </c>
      <c r="I267" s="102">
        <v>0</v>
      </c>
      <c r="J267" s="34" t="s">
        <v>128</v>
      </c>
      <c r="K267" s="34" t="s">
        <v>129</v>
      </c>
      <c r="L267" s="34" t="s">
        <v>513</v>
      </c>
    </row>
    <row r="268" spans="1:12" s="22" customFormat="1" ht="67.5" x14ac:dyDescent="0.25">
      <c r="A268" s="186" t="s">
        <v>2678</v>
      </c>
      <c r="B268" s="96" t="s">
        <v>518</v>
      </c>
      <c r="C268" s="32" t="s">
        <v>519</v>
      </c>
      <c r="D268" s="7" t="s">
        <v>133</v>
      </c>
      <c r="E268" s="41">
        <v>148</v>
      </c>
      <c r="F268" s="71">
        <v>852.04</v>
      </c>
      <c r="G268" s="71">
        <v>0</v>
      </c>
      <c r="H268" s="71">
        <v>126101.92</v>
      </c>
      <c r="I268" s="102">
        <v>0</v>
      </c>
      <c r="J268" s="34" t="s">
        <v>128</v>
      </c>
      <c r="K268" s="34" t="s">
        <v>129</v>
      </c>
      <c r="L268" s="34" t="s">
        <v>513</v>
      </c>
    </row>
    <row r="269" spans="1:12" s="22" customFormat="1" ht="67.5" x14ac:dyDescent="0.25">
      <c r="A269" s="186" t="s">
        <v>2678</v>
      </c>
      <c r="B269" s="96" t="s">
        <v>520</v>
      </c>
      <c r="C269" s="32" t="s">
        <v>521</v>
      </c>
      <c r="D269" s="7" t="s">
        <v>133</v>
      </c>
      <c r="E269" s="41">
        <v>214</v>
      </c>
      <c r="F269" s="71">
        <v>1464.36</v>
      </c>
      <c r="G269" s="71">
        <v>0</v>
      </c>
      <c r="H269" s="71">
        <v>313373.03999999998</v>
      </c>
      <c r="I269" s="102">
        <v>0</v>
      </c>
      <c r="J269" s="34" t="s">
        <v>128</v>
      </c>
      <c r="K269" s="34" t="s">
        <v>129</v>
      </c>
      <c r="L269" s="34" t="s">
        <v>513</v>
      </c>
    </row>
    <row r="270" spans="1:12" s="22" customFormat="1" ht="67.5" x14ac:dyDescent="0.25">
      <c r="A270" s="186" t="s">
        <v>2678</v>
      </c>
      <c r="B270" s="96" t="s">
        <v>522</v>
      </c>
      <c r="C270" s="32" t="s">
        <v>523</v>
      </c>
      <c r="D270" s="7" t="s">
        <v>133</v>
      </c>
      <c r="E270" s="41">
        <v>62</v>
      </c>
      <c r="F270" s="71">
        <v>1831.99</v>
      </c>
      <c r="G270" s="71">
        <v>0</v>
      </c>
      <c r="H270" s="71">
        <v>113583.38</v>
      </c>
      <c r="I270" s="102">
        <v>0</v>
      </c>
      <c r="J270" s="34" t="s">
        <v>128</v>
      </c>
      <c r="K270" s="34" t="s">
        <v>129</v>
      </c>
      <c r="L270" s="34" t="s">
        <v>513</v>
      </c>
    </row>
    <row r="271" spans="1:12" s="22" customFormat="1" ht="67.5" x14ac:dyDescent="0.25">
      <c r="A271" s="186" t="s">
        <v>2678</v>
      </c>
      <c r="B271" s="96" t="s">
        <v>524</v>
      </c>
      <c r="C271" s="32" t="s">
        <v>525</v>
      </c>
      <c r="D271" s="7" t="s">
        <v>133</v>
      </c>
      <c r="E271" s="41">
        <v>100</v>
      </c>
      <c r="F271" s="71">
        <v>1363.93</v>
      </c>
      <c r="G271" s="71">
        <v>0</v>
      </c>
      <c r="H271" s="71">
        <v>136393</v>
      </c>
      <c r="I271" s="102">
        <v>0</v>
      </c>
      <c r="J271" s="34" t="s">
        <v>128</v>
      </c>
      <c r="K271" s="34" t="s">
        <v>129</v>
      </c>
      <c r="L271" s="34" t="s">
        <v>513</v>
      </c>
    </row>
    <row r="272" spans="1:12" s="22" customFormat="1" ht="27" x14ac:dyDescent="0.25">
      <c r="A272" s="186" t="s">
        <v>2678</v>
      </c>
      <c r="B272" s="96"/>
      <c r="C272" s="34" t="s">
        <v>526</v>
      </c>
      <c r="D272" s="7"/>
      <c r="E272" s="41"/>
      <c r="F272" s="71"/>
      <c r="G272" s="71"/>
      <c r="H272" s="71"/>
      <c r="I272" s="102"/>
      <c r="J272" s="34"/>
      <c r="K272" s="34"/>
      <c r="L272" s="112"/>
    </row>
    <row r="273" spans="1:12" s="22" customFormat="1" ht="81" x14ac:dyDescent="0.25">
      <c r="A273" s="186" t="s">
        <v>2678</v>
      </c>
      <c r="B273" s="96" t="s">
        <v>527</v>
      </c>
      <c r="C273" s="32" t="s">
        <v>528</v>
      </c>
      <c r="D273" s="7" t="s">
        <v>133</v>
      </c>
      <c r="E273" s="41">
        <v>220</v>
      </c>
      <c r="F273" s="71">
        <v>5320.09</v>
      </c>
      <c r="G273" s="71">
        <v>62.19</v>
      </c>
      <c r="H273" s="71">
        <v>1170419.8</v>
      </c>
      <c r="I273" s="102">
        <v>13681.8</v>
      </c>
      <c r="J273" s="34" t="s">
        <v>128</v>
      </c>
      <c r="K273" s="34" t="s">
        <v>129</v>
      </c>
      <c r="L273" s="34" t="s">
        <v>526</v>
      </c>
    </row>
    <row r="274" spans="1:12" s="22" customFormat="1" ht="81" x14ac:dyDescent="0.25">
      <c r="A274" s="186" t="s">
        <v>2678</v>
      </c>
      <c r="B274" s="96" t="s">
        <v>529</v>
      </c>
      <c r="C274" s="32" t="s">
        <v>530</v>
      </c>
      <c r="D274" s="7" t="s">
        <v>133</v>
      </c>
      <c r="E274" s="41">
        <v>88</v>
      </c>
      <c r="F274" s="71">
        <v>62009.35</v>
      </c>
      <c r="G274" s="71">
        <v>62.19</v>
      </c>
      <c r="H274" s="71">
        <v>5456822.7999999998</v>
      </c>
      <c r="I274" s="102">
        <v>5472.7199999999993</v>
      </c>
      <c r="J274" s="34" t="s">
        <v>128</v>
      </c>
      <c r="K274" s="34" t="s">
        <v>129</v>
      </c>
      <c r="L274" s="34" t="s">
        <v>526</v>
      </c>
    </row>
    <row r="275" spans="1:12" s="22" customFormat="1" ht="27" x14ac:dyDescent="0.25">
      <c r="A275" s="186" t="s">
        <v>2678</v>
      </c>
      <c r="B275" s="96"/>
      <c r="C275" s="34" t="s">
        <v>531</v>
      </c>
      <c r="D275" s="7"/>
      <c r="E275" s="41"/>
      <c r="F275" s="71"/>
      <c r="G275" s="71"/>
      <c r="H275" s="71"/>
      <c r="I275" s="102"/>
      <c r="J275" s="34"/>
      <c r="K275" s="34"/>
      <c r="L275" s="112"/>
    </row>
    <row r="276" spans="1:12" s="22" customFormat="1" ht="81" x14ac:dyDescent="0.25">
      <c r="A276" s="186" t="s">
        <v>2678</v>
      </c>
      <c r="B276" s="96" t="s">
        <v>532</v>
      </c>
      <c r="C276" s="32" t="s">
        <v>533</v>
      </c>
      <c r="D276" s="7" t="s">
        <v>133</v>
      </c>
      <c r="E276" s="41">
        <v>36</v>
      </c>
      <c r="F276" s="71">
        <v>6908.74</v>
      </c>
      <c r="G276" s="71">
        <v>62.19</v>
      </c>
      <c r="H276" s="71">
        <v>248714.63999999998</v>
      </c>
      <c r="I276" s="102">
        <v>2238.84</v>
      </c>
      <c r="J276" s="34" t="s">
        <v>128</v>
      </c>
      <c r="K276" s="34" t="s">
        <v>129</v>
      </c>
      <c r="L276" s="34" t="s">
        <v>531</v>
      </c>
    </row>
    <row r="277" spans="1:12" s="22" customFormat="1" ht="81" x14ac:dyDescent="0.25">
      <c r="A277" s="186" t="s">
        <v>2678</v>
      </c>
      <c r="B277" s="96" t="s">
        <v>534</v>
      </c>
      <c r="C277" s="33" t="s">
        <v>535</v>
      </c>
      <c r="D277" s="7" t="s">
        <v>133</v>
      </c>
      <c r="E277" s="41">
        <v>32</v>
      </c>
      <c r="F277" s="71">
        <v>7868.3</v>
      </c>
      <c r="G277" s="71">
        <v>74.63</v>
      </c>
      <c r="H277" s="71">
        <v>251785.60000000001</v>
      </c>
      <c r="I277" s="102">
        <v>2388.16</v>
      </c>
      <c r="J277" s="34" t="s">
        <v>128</v>
      </c>
      <c r="K277" s="34" t="s">
        <v>129</v>
      </c>
      <c r="L277" s="34" t="s">
        <v>531</v>
      </c>
    </row>
    <row r="278" spans="1:12" s="22" customFormat="1" ht="27" x14ac:dyDescent="0.25">
      <c r="A278" s="186" t="s">
        <v>2678</v>
      </c>
      <c r="B278" s="96"/>
      <c r="C278" s="82" t="s">
        <v>536</v>
      </c>
      <c r="D278" s="7"/>
      <c r="E278" s="41"/>
      <c r="F278" s="71"/>
      <c r="G278" s="71"/>
      <c r="H278" s="71"/>
      <c r="I278" s="102"/>
      <c r="J278" s="34"/>
      <c r="K278" s="34"/>
      <c r="L278" s="112"/>
    </row>
    <row r="279" spans="1:12" s="22" customFormat="1" ht="67.5" x14ac:dyDescent="0.25">
      <c r="A279" s="186" t="s">
        <v>2678</v>
      </c>
      <c r="B279" s="96" t="s">
        <v>537</v>
      </c>
      <c r="C279" s="33" t="s">
        <v>538</v>
      </c>
      <c r="D279" s="7" t="s">
        <v>133</v>
      </c>
      <c r="E279" s="41">
        <v>60</v>
      </c>
      <c r="F279" s="71">
        <v>1138.43</v>
      </c>
      <c r="G279" s="71">
        <v>0</v>
      </c>
      <c r="H279" s="71">
        <v>68305.8</v>
      </c>
      <c r="I279" s="102">
        <v>0</v>
      </c>
      <c r="J279" s="34" t="s">
        <v>128</v>
      </c>
      <c r="K279" s="34" t="s">
        <v>129</v>
      </c>
      <c r="L279" s="82" t="s">
        <v>536</v>
      </c>
    </row>
    <row r="280" spans="1:12" s="22" customFormat="1" ht="67.5" x14ac:dyDescent="0.25">
      <c r="A280" s="186" t="s">
        <v>2678</v>
      </c>
      <c r="B280" s="96" t="s">
        <v>539</v>
      </c>
      <c r="C280" s="33" t="s">
        <v>540</v>
      </c>
      <c r="D280" s="7" t="s">
        <v>133</v>
      </c>
      <c r="E280" s="41">
        <v>50</v>
      </c>
      <c r="F280" s="71">
        <v>3110.55</v>
      </c>
      <c r="G280" s="71">
        <v>27.86</v>
      </c>
      <c r="H280" s="71">
        <v>155527.5</v>
      </c>
      <c r="I280" s="102">
        <v>1393</v>
      </c>
      <c r="J280" s="34" t="s">
        <v>128</v>
      </c>
      <c r="K280" s="34" t="s">
        <v>129</v>
      </c>
      <c r="L280" s="82" t="s">
        <v>536</v>
      </c>
    </row>
    <row r="281" spans="1:12" s="22" customFormat="1" ht="67.5" x14ac:dyDescent="0.25">
      <c r="A281" s="186" t="s">
        <v>2678</v>
      </c>
      <c r="B281" s="96" t="s">
        <v>541</v>
      </c>
      <c r="C281" s="33" t="s">
        <v>542</v>
      </c>
      <c r="D281" s="7" t="s">
        <v>133</v>
      </c>
      <c r="E281" s="41">
        <v>40</v>
      </c>
      <c r="F281" s="71">
        <v>4422.1000000000004</v>
      </c>
      <c r="G281" s="71">
        <v>108.21</v>
      </c>
      <c r="H281" s="71">
        <v>176884</v>
      </c>
      <c r="I281" s="102">
        <v>4328.3999999999996</v>
      </c>
      <c r="J281" s="34" t="s">
        <v>128</v>
      </c>
      <c r="K281" s="34" t="s">
        <v>129</v>
      </c>
      <c r="L281" s="82" t="s">
        <v>536</v>
      </c>
    </row>
    <row r="282" spans="1:12" s="22" customFormat="1" ht="67.5" x14ac:dyDescent="0.25">
      <c r="A282" s="186" t="s">
        <v>2678</v>
      </c>
      <c r="B282" s="96" t="s">
        <v>543</v>
      </c>
      <c r="C282" s="33" t="s">
        <v>544</v>
      </c>
      <c r="D282" s="7" t="s">
        <v>133</v>
      </c>
      <c r="E282" s="41">
        <v>48</v>
      </c>
      <c r="F282" s="71">
        <v>5193.1400000000003</v>
      </c>
      <c r="G282" s="71">
        <v>78.36</v>
      </c>
      <c r="H282" s="71">
        <v>249270.72000000003</v>
      </c>
      <c r="I282" s="102">
        <v>3761.2799999999997</v>
      </c>
      <c r="J282" s="34" t="s">
        <v>128</v>
      </c>
      <c r="K282" s="34" t="s">
        <v>129</v>
      </c>
      <c r="L282" s="82" t="s">
        <v>536</v>
      </c>
    </row>
    <row r="283" spans="1:12" s="22" customFormat="1" ht="67.5" x14ac:dyDescent="0.25">
      <c r="A283" s="186" t="s">
        <v>2678</v>
      </c>
      <c r="B283" s="96" t="s">
        <v>545</v>
      </c>
      <c r="C283" s="32" t="s">
        <v>546</v>
      </c>
      <c r="D283" s="7" t="s">
        <v>133</v>
      </c>
      <c r="E283" s="41">
        <v>42</v>
      </c>
      <c r="F283" s="71">
        <v>6727.49</v>
      </c>
      <c r="G283" s="71">
        <v>78.36</v>
      </c>
      <c r="H283" s="71">
        <v>282554.58</v>
      </c>
      <c r="I283" s="102">
        <v>3291.12</v>
      </c>
      <c r="J283" s="34" t="s">
        <v>128</v>
      </c>
      <c r="K283" s="34" t="s">
        <v>129</v>
      </c>
      <c r="L283" s="82" t="s">
        <v>536</v>
      </c>
    </row>
    <row r="284" spans="1:12" s="22" customFormat="1" ht="67.5" x14ac:dyDescent="0.25">
      <c r="A284" s="186" t="s">
        <v>2678</v>
      </c>
      <c r="B284" s="96" t="s">
        <v>547</v>
      </c>
      <c r="C284" s="32" t="s">
        <v>548</v>
      </c>
      <c r="D284" s="7" t="s">
        <v>133</v>
      </c>
      <c r="E284" s="41">
        <v>40</v>
      </c>
      <c r="F284" s="71">
        <v>20560.23</v>
      </c>
      <c r="G284" s="71">
        <v>186.56</v>
      </c>
      <c r="H284" s="71">
        <v>822409.2</v>
      </c>
      <c r="I284" s="102">
        <v>7462.4</v>
      </c>
      <c r="J284" s="34" t="s">
        <v>128</v>
      </c>
      <c r="K284" s="34" t="s">
        <v>129</v>
      </c>
      <c r="L284" s="82" t="s">
        <v>536</v>
      </c>
    </row>
    <row r="285" spans="1:12" s="22" customFormat="1" ht="67.5" x14ac:dyDescent="0.25">
      <c r="A285" s="186" t="s">
        <v>2678</v>
      </c>
      <c r="B285" s="96" t="s">
        <v>549</v>
      </c>
      <c r="C285" s="32" t="s">
        <v>550</v>
      </c>
      <c r="D285" s="7" t="s">
        <v>133</v>
      </c>
      <c r="E285" s="41">
        <v>36</v>
      </c>
      <c r="F285" s="71">
        <v>23144.41</v>
      </c>
      <c r="G285" s="71">
        <v>186.56</v>
      </c>
      <c r="H285" s="71">
        <v>833198.76</v>
      </c>
      <c r="I285" s="102">
        <v>6716.16</v>
      </c>
      <c r="J285" s="34" t="s">
        <v>128</v>
      </c>
      <c r="K285" s="34" t="s">
        <v>129</v>
      </c>
      <c r="L285" s="82" t="s">
        <v>536</v>
      </c>
    </row>
    <row r="286" spans="1:12" s="22" customFormat="1" ht="67.5" x14ac:dyDescent="0.25">
      <c r="A286" s="186" t="s">
        <v>2678</v>
      </c>
      <c r="B286" s="96" t="s">
        <v>551</v>
      </c>
      <c r="C286" s="32" t="s">
        <v>552</v>
      </c>
      <c r="D286" s="7" t="s">
        <v>133</v>
      </c>
      <c r="E286" s="41">
        <v>34</v>
      </c>
      <c r="F286" s="71">
        <v>78177.94</v>
      </c>
      <c r="G286" s="71">
        <v>435.31</v>
      </c>
      <c r="H286" s="71">
        <v>2658049.96</v>
      </c>
      <c r="I286" s="102">
        <v>14800.54</v>
      </c>
      <c r="J286" s="34" t="s">
        <v>128</v>
      </c>
      <c r="K286" s="34" t="s">
        <v>129</v>
      </c>
      <c r="L286" s="82" t="s">
        <v>536</v>
      </c>
    </row>
    <row r="287" spans="1:12" s="22" customFormat="1" ht="27" x14ac:dyDescent="0.25">
      <c r="A287" s="186" t="s">
        <v>2678</v>
      </c>
      <c r="B287" s="96"/>
      <c r="C287" s="34" t="s">
        <v>553</v>
      </c>
      <c r="D287" s="7"/>
      <c r="E287" s="41"/>
      <c r="F287" s="71"/>
      <c r="G287" s="71"/>
      <c r="H287" s="71"/>
      <c r="I287" s="102"/>
      <c r="J287" s="34"/>
      <c r="K287" s="34"/>
      <c r="L287" s="112"/>
    </row>
    <row r="288" spans="1:12" s="22" customFormat="1" ht="67.5" x14ac:dyDescent="0.25">
      <c r="A288" s="186" t="s">
        <v>2678</v>
      </c>
      <c r="B288" s="98" t="s">
        <v>554</v>
      </c>
      <c r="C288" s="32" t="s">
        <v>555</v>
      </c>
      <c r="D288" s="7" t="s">
        <v>133</v>
      </c>
      <c r="E288" s="41">
        <v>74</v>
      </c>
      <c r="F288" s="71">
        <v>186.38</v>
      </c>
      <c r="G288" s="71">
        <v>37.31</v>
      </c>
      <c r="H288" s="71">
        <v>13792.119999999999</v>
      </c>
      <c r="I288" s="102">
        <v>2760.94</v>
      </c>
      <c r="J288" s="34" t="s">
        <v>128</v>
      </c>
      <c r="K288" s="34" t="s">
        <v>129</v>
      </c>
      <c r="L288" s="34" t="s">
        <v>553</v>
      </c>
    </row>
    <row r="289" spans="1:12" s="22" customFormat="1" ht="67.5" x14ac:dyDescent="0.25">
      <c r="A289" s="186" t="s">
        <v>2678</v>
      </c>
      <c r="B289" s="96" t="s">
        <v>556</v>
      </c>
      <c r="C289" s="32" t="s">
        <v>557</v>
      </c>
      <c r="D289" s="7" t="s">
        <v>133</v>
      </c>
      <c r="E289" s="41">
        <v>192</v>
      </c>
      <c r="F289" s="71">
        <v>186.38</v>
      </c>
      <c r="G289" s="71">
        <v>49.75</v>
      </c>
      <c r="H289" s="71">
        <v>35784.959999999999</v>
      </c>
      <c r="I289" s="102">
        <v>9552</v>
      </c>
      <c r="J289" s="34" t="s">
        <v>128</v>
      </c>
      <c r="K289" s="34" t="s">
        <v>129</v>
      </c>
      <c r="L289" s="34" t="s">
        <v>553</v>
      </c>
    </row>
    <row r="290" spans="1:12" s="22" customFormat="1" ht="67.5" x14ac:dyDescent="0.25">
      <c r="A290" s="186" t="s">
        <v>2678</v>
      </c>
      <c r="B290" s="96" t="s">
        <v>558</v>
      </c>
      <c r="C290" s="32" t="s">
        <v>559</v>
      </c>
      <c r="D290" s="7" t="s">
        <v>133</v>
      </c>
      <c r="E290" s="41">
        <v>66</v>
      </c>
      <c r="F290" s="71">
        <v>186.38</v>
      </c>
      <c r="G290" s="71">
        <v>54.71</v>
      </c>
      <c r="H290" s="71">
        <v>12301.08</v>
      </c>
      <c r="I290" s="102">
        <v>3610.86</v>
      </c>
      <c r="J290" s="34" t="s">
        <v>128</v>
      </c>
      <c r="K290" s="34" t="s">
        <v>129</v>
      </c>
      <c r="L290" s="34" t="s">
        <v>553</v>
      </c>
    </row>
    <row r="291" spans="1:12" s="22" customFormat="1" ht="27" x14ac:dyDescent="0.25">
      <c r="A291" s="186" t="s">
        <v>2678</v>
      </c>
      <c r="B291" s="96"/>
      <c r="C291" s="34" t="s">
        <v>560</v>
      </c>
      <c r="D291" s="7"/>
      <c r="E291" s="41"/>
      <c r="F291" s="71"/>
      <c r="G291" s="71"/>
      <c r="H291" s="71"/>
      <c r="I291" s="102"/>
      <c r="J291" s="34"/>
      <c r="K291" s="34"/>
      <c r="L291" s="112"/>
    </row>
    <row r="292" spans="1:12" s="22" customFormat="1" ht="81" x14ac:dyDescent="0.25">
      <c r="A292" s="186" t="s">
        <v>2678</v>
      </c>
      <c r="B292" s="96" t="s">
        <v>561</v>
      </c>
      <c r="C292" s="32" t="s">
        <v>562</v>
      </c>
      <c r="D292" s="7" t="s">
        <v>133</v>
      </c>
      <c r="E292" s="41">
        <v>60</v>
      </c>
      <c r="F292" s="71">
        <v>186.38</v>
      </c>
      <c r="G292" s="71">
        <v>87.86</v>
      </c>
      <c r="H292" s="71">
        <v>11182.8</v>
      </c>
      <c r="I292" s="102">
        <v>5271.6</v>
      </c>
      <c r="J292" s="34" t="s">
        <v>128</v>
      </c>
      <c r="K292" s="34" t="s">
        <v>129</v>
      </c>
      <c r="L292" s="34" t="s">
        <v>560</v>
      </c>
    </row>
    <row r="293" spans="1:12" s="22" customFormat="1" ht="40.5" x14ac:dyDescent="0.25">
      <c r="A293" s="186" t="s">
        <v>2678</v>
      </c>
      <c r="B293" s="96"/>
      <c r="C293" s="34" t="s">
        <v>563</v>
      </c>
      <c r="D293" s="7"/>
      <c r="E293" s="41"/>
      <c r="F293" s="71"/>
      <c r="G293" s="71"/>
      <c r="H293" s="71"/>
      <c r="I293" s="102"/>
      <c r="J293" s="34"/>
      <c r="K293" s="34"/>
      <c r="L293" s="112"/>
    </row>
    <row r="294" spans="1:12" s="22" customFormat="1" ht="94.5" x14ac:dyDescent="0.25">
      <c r="A294" s="186" t="s">
        <v>2678</v>
      </c>
      <c r="B294" s="96" t="s">
        <v>564</v>
      </c>
      <c r="C294" s="32" t="s">
        <v>565</v>
      </c>
      <c r="D294" s="7" t="s">
        <v>133</v>
      </c>
      <c r="E294" s="41">
        <v>92</v>
      </c>
      <c r="F294" s="71">
        <v>186.38</v>
      </c>
      <c r="G294" s="71">
        <v>310.94</v>
      </c>
      <c r="H294" s="71">
        <v>17146.96</v>
      </c>
      <c r="I294" s="102">
        <v>28606.48</v>
      </c>
      <c r="J294" s="34" t="s">
        <v>128</v>
      </c>
      <c r="K294" s="34" t="s">
        <v>129</v>
      </c>
      <c r="L294" s="34" t="s">
        <v>563</v>
      </c>
    </row>
    <row r="295" spans="1:12" s="22" customFormat="1" ht="27" x14ac:dyDescent="0.25">
      <c r="A295" s="186" t="s">
        <v>2678</v>
      </c>
      <c r="B295" s="96"/>
      <c r="C295" s="34" t="s">
        <v>566</v>
      </c>
      <c r="D295" s="7"/>
      <c r="E295" s="41"/>
      <c r="F295" s="71"/>
      <c r="G295" s="71"/>
      <c r="H295" s="71"/>
      <c r="I295" s="102"/>
      <c r="J295" s="34"/>
      <c r="K295" s="34"/>
      <c r="L295" s="112"/>
    </row>
    <row r="296" spans="1:12" s="22" customFormat="1" ht="67.5" x14ac:dyDescent="0.25">
      <c r="A296" s="186" t="s">
        <v>2678</v>
      </c>
      <c r="B296" s="96" t="s">
        <v>567</v>
      </c>
      <c r="C296" s="32" t="s">
        <v>568</v>
      </c>
      <c r="D296" s="7" t="s">
        <v>133</v>
      </c>
      <c r="E296" s="41">
        <v>88</v>
      </c>
      <c r="F296" s="71">
        <v>186.38</v>
      </c>
      <c r="G296" s="71">
        <v>37.94</v>
      </c>
      <c r="H296" s="71">
        <v>16401.439999999999</v>
      </c>
      <c r="I296" s="102">
        <v>3338.72</v>
      </c>
      <c r="J296" s="34" t="s">
        <v>128</v>
      </c>
      <c r="K296" s="34" t="s">
        <v>129</v>
      </c>
      <c r="L296" s="34" t="s">
        <v>566</v>
      </c>
    </row>
    <row r="297" spans="1:12" s="22" customFormat="1" ht="27" x14ac:dyDescent="0.25">
      <c r="A297" s="186" t="s">
        <v>2678</v>
      </c>
      <c r="B297" s="96"/>
      <c r="C297" s="34" t="s">
        <v>569</v>
      </c>
      <c r="D297" s="7"/>
      <c r="E297" s="41"/>
      <c r="F297" s="71"/>
      <c r="G297" s="71"/>
      <c r="H297" s="71"/>
      <c r="I297" s="102"/>
      <c r="J297" s="34"/>
      <c r="K297" s="34"/>
      <c r="L297" s="112"/>
    </row>
    <row r="298" spans="1:12" s="22" customFormat="1" ht="67.5" x14ac:dyDescent="0.25">
      <c r="A298" s="186" t="s">
        <v>2678</v>
      </c>
      <c r="B298" s="96" t="s">
        <v>570</v>
      </c>
      <c r="C298" s="32" t="s">
        <v>368</v>
      </c>
      <c r="D298" s="7" t="s">
        <v>133</v>
      </c>
      <c r="E298" s="41">
        <v>50</v>
      </c>
      <c r="F298" s="71">
        <v>186.38</v>
      </c>
      <c r="G298" s="71">
        <v>76.900000000000006</v>
      </c>
      <c r="H298" s="71">
        <v>9319</v>
      </c>
      <c r="I298" s="102">
        <v>3845.0000000000005</v>
      </c>
      <c r="J298" s="34" t="s">
        <v>128</v>
      </c>
      <c r="K298" s="34" t="s">
        <v>129</v>
      </c>
      <c r="L298" s="34" t="s">
        <v>569</v>
      </c>
    </row>
    <row r="299" spans="1:12" s="22" customFormat="1" ht="27" x14ac:dyDescent="0.25">
      <c r="A299" s="186" t="s">
        <v>2678</v>
      </c>
      <c r="B299" s="96"/>
      <c r="C299" s="34" t="s">
        <v>571</v>
      </c>
      <c r="D299" s="7"/>
      <c r="E299" s="41"/>
      <c r="F299" s="71"/>
      <c r="G299" s="71"/>
      <c r="H299" s="71"/>
      <c r="I299" s="102"/>
      <c r="J299" s="34"/>
      <c r="K299" s="34"/>
      <c r="L299" s="112"/>
    </row>
    <row r="300" spans="1:12" s="22" customFormat="1" ht="67.5" x14ac:dyDescent="0.25">
      <c r="A300" s="186" t="s">
        <v>2678</v>
      </c>
      <c r="B300" s="96" t="s">
        <v>572</v>
      </c>
      <c r="C300" s="32" t="s">
        <v>573</v>
      </c>
      <c r="D300" s="7" t="s">
        <v>133</v>
      </c>
      <c r="E300" s="41">
        <v>54</v>
      </c>
      <c r="F300" s="71">
        <v>199.34</v>
      </c>
      <c r="G300" s="71">
        <v>0</v>
      </c>
      <c r="H300" s="71">
        <v>10764.36</v>
      </c>
      <c r="I300" s="102">
        <v>0</v>
      </c>
      <c r="J300" s="34" t="s">
        <v>128</v>
      </c>
      <c r="K300" s="34" t="s">
        <v>129</v>
      </c>
      <c r="L300" s="34" t="s">
        <v>571</v>
      </c>
    </row>
    <row r="301" spans="1:12" s="22" customFormat="1" ht="27" x14ac:dyDescent="0.25">
      <c r="A301" s="186" t="s">
        <v>2678</v>
      </c>
      <c r="B301" s="96"/>
      <c r="C301" s="34" t="s">
        <v>574</v>
      </c>
      <c r="D301" s="7"/>
      <c r="E301" s="41"/>
      <c r="F301" s="71"/>
      <c r="G301" s="71"/>
      <c r="H301" s="71"/>
      <c r="I301" s="102"/>
      <c r="J301" s="34"/>
      <c r="K301" s="34"/>
      <c r="L301" s="112"/>
    </row>
    <row r="302" spans="1:12" s="22" customFormat="1" ht="67.5" x14ac:dyDescent="0.25">
      <c r="A302" s="186" t="s">
        <v>2678</v>
      </c>
      <c r="B302" s="96" t="s">
        <v>575</v>
      </c>
      <c r="C302" s="32" t="s">
        <v>576</v>
      </c>
      <c r="D302" s="7" t="s">
        <v>133</v>
      </c>
      <c r="E302" s="41">
        <v>42</v>
      </c>
      <c r="F302" s="71">
        <v>186.38</v>
      </c>
      <c r="G302" s="71">
        <v>43.53</v>
      </c>
      <c r="H302" s="71">
        <v>7827.96</v>
      </c>
      <c r="I302" s="102">
        <v>1828.26</v>
      </c>
      <c r="J302" s="34" t="s">
        <v>128</v>
      </c>
      <c r="K302" s="34" t="s">
        <v>129</v>
      </c>
      <c r="L302" s="34" t="s">
        <v>574</v>
      </c>
    </row>
    <row r="303" spans="1:12" s="22" customFormat="1" ht="67.5" x14ac:dyDescent="0.25">
      <c r="A303" s="186" t="s">
        <v>2678</v>
      </c>
      <c r="B303" s="96" t="s">
        <v>577</v>
      </c>
      <c r="C303" s="32" t="s">
        <v>578</v>
      </c>
      <c r="D303" s="7" t="s">
        <v>133</v>
      </c>
      <c r="E303" s="41">
        <v>52</v>
      </c>
      <c r="F303" s="71">
        <v>972</v>
      </c>
      <c r="G303" s="71">
        <v>0</v>
      </c>
      <c r="H303" s="71">
        <v>50544</v>
      </c>
      <c r="I303" s="102">
        <v>0</v>
      </c>
      <c r="J303" s="34" t="s">
        <v>128</v>
      </c>
      <c r="K303" s="34" t="s">
        <v>129</v>
      </c>
      <c r="L303" s="34" t="s">
        <v>574</v>
      </c>
    </row>
    <row r="304" spans="1:12" s="22" customFormat="1" ht="27" x14ac:dyDescent="0.25">
      <c r="A304" s="186" t="s">
        <v>2678</v>
      </c>
      <c r="B304" s="96"/>
      <c r="C304" s="34" t="s">
        <v>579</v>
      </c>
      <c r="D304" s="7"/>
      <c r="E304" s="41"/>
      <c r="F304" s="71"/>
      <c r="G304" s="71"/>
      <c r="H304" s="71"/>
      <c r="I304" s="102"/>
      <c r="J304" s="34"/>
      <c r="K304" s="34"/>
      <c r="L304" s="112"/>
    </row>
    <row r="305" spans="1:12" s="22" customFormat="1" ht="67.5" x14ac:dyDescent="0.25">
      <c r="A305" s="186" t="s">
        <v>2678</v>
      </c>
      <c r="B305" s="98" t="s">
        <v>580</v>
      </c>
      <c r="C305" s="32" t="s">
        <v>581</v>
      </c>
      <c r="D305" s="7" t="s">
        <v>133</v>
      </c>
      <c r="E305" s="41">
        <v>70</v>
      </c>
      <c r="F305" s="71">
        <v>89.69</v>
      </c>
      <c r="G305" s="71">
        <v>18.66</v>
      </c>
      <c r="H305" s="71">
        <v>6278.3</v>
      </c>
      <c r="I305" s="102">
        <v>1306.2</v>
      </c>
      <c r="J305" s="34" t="s">
        <v>128</v>
      </c>
      <c r="K305" s="34" t="s">
        <v>129</v>
      </c>
      <c r="L305" s="34" t="s">
        <v>579</v>
      </c>
    </row>
    <row r="306" spans="1:12" s="22" customFormat="1" ht="67.5" x14ac:dyDescent="0.25">
      <c r="A306" s="186" t="s">
        <v>2678</v>
      </c>
      <c r="B306" s="96" t="s">
        <v>582</v>
      </c>
      <c r="C306" s="32" t="s">
        <v>583</v>
      </c>
      <c r="D306" s="7" t="s">
        <v>133</v>
      </c>
      <c r="E306" s="41">
        <v>52</v>
      </c>
      <c r="F306" s="71">
        <v>89.69</v>
      </c>
      <c r="G306" s="71">
        <v>18.66</v>
      </c>
      <c r="H306" s="71">
        <v>4663.88</v>
      </c>
      <c r="I306" s="102">
        <v>970.32</v>
      </c>
      <c r="J306" s="34" t="s">
        <v>128</v>
      </c>
      <c r="K306" s="34" t="s">
        <v>129</v>
      </c>
      <c r="L306" s="34" t="s">
        <v>579</v>
      </c>
    </row>
    <row r="307" spans="1:12" s="22" customFormat="1" ht="67.5" x14ac:dyDescent="0.25">
      <c r="A307" s="186" t="s">
        <v>2678</v>
      </c>
      <c r="B307" s="96" t="s">
        <v>584</v>
      </c>
      <c r="C307" s="32" t="s">
        <v>585</v>
      </c>
      <c r="D307" s="7" t="s">
        <v>133</v>
      </c>
      <c r="E307" s="41">
        <v>68</v>
      </c>
      <c r="F307" s="71">
        <v>89.69</v>
      </c>
      <c r="G307" s="71">
        <v>31.09</v>
      </c>
      <c r="H307" s="71">
        <v>6098.92</v>
      </c>
      <c r="I307" s="102">
        <v>2114.12</v>
      </c>
      <c r="J307" s="34" t="s">
        <v>128</v>
      </c>
      <c r="K307" s="34" t="s">
        <v>129</v>
      </c>
      <c r="L307" s="34" t="s">
        <v>579</v>
      </c>
    </row>
    <row r="308" spans="1:12" s="22" customFormat="1" ht="67.5" x14ac:dyDescent="0.25">
      <c r="A308" s="186" t="s">
        <v>2678</v>
      </c>
      <c r="B308" s="96" t="s">
        <v>586</v>
      </c>
      <c r="C308" s="32" t="s">
        <v>587</v>
      </c>
      <c r="D308" s="7" t="s">
        <v>133</v>
      </c>
      <c r="E308" s="41">
        <v>78</v>
      </c>
      <c r="F308" s="71">
        <v>89.69</v>
      </c>
      <c r="G308" s="71">
        <v>37.31</v>
      </c>
      <c r="H308" s="71">
        <v>6995.82</v>
      </c>
      <c r="I308" s="102">
        <v>2910.1800000000003</v>
      </c>
      <c r="J308" s="34" t="s">
        <v>128</v>
      </c>
      <c r="K308" s="34" t="s">
        <v>129</v>
      </c>
      <c r="L308" s="34" t="s">
        <v>579</v>
      </c>
    </row>
    <row r="309" spans="1:12" s="22" customFormat="1" ht="67.5" x14ac:dyDescent="0.25">
      <c r="A309" s="186" t="s">
        <v>2678</v>
      </c>
      <c r="B309" s="97" t="s">
        <v>588</v>
      </c>
      <c r="C309" s="32" t="s">
        <v>589</v>
      </c>
      <c r="D309" s="7" t="s">
        <v>133</v>
      </c>
      <c r="E309" s="41">
        <v>78</v>
      </c>
      <c r="F309" s="71">
        <v>186.38</v>
      </c>
      <c r="G309" s="71">
        <v>49.75</v>
      </c>
      <c r="H309" s="71">
        <v>14537.64</v>
      </c>
      <c r="I309" s="102">
        <v>3880.5</v>
      </c>
      <c r="J309" s="34" t="s">
        <v>128</v>
      </c>
      <c r="K309" s="34" t="s">
        <v>129</v>
      </c>
      <c r="L309" s="34" t="s">
        <v>579</v>
      </c>
    </row>
    <row r="310" spans="1:12" s="22" customFormat="1" ht="40.5" x14ac:dyDescent="0.25">
      <c r="A310" s="186" t="s">
        <v>2678</v>
      </c>
      <c r="B310" s="96"/>
      <c r="C310" s="34" t="s">
        <v>590</v>
      </c>
      <c r="D310" s="7"/>
      <c r="E310" s="41"/>
      <c r="F310" s="71"/>
      <c r="G310" s="71"/>
      <c r="H310" s="71"/>
      <c r="I310" s="102"/>
      <c r="J310" s="34"/>
      <c r="K310" s="34"/>
      <c r="L310" s="112"/>
    </row>
    <row r="311" spans="1:12" s="22" customFormat="1" ht="94.5" x14ac:dyDescent="0.25">
      <c r="A311" s="186" t="s">
        <v>2678</v>
      </c>
      <c r="B311" s="96" t="s">
        <v>591</v>
      </c>
      <c r="C311" s="32" t="s">
        <v>592</v>
      </c>
      <c r="D311" s="7" t="s">
        <v>133</v>
      </c>
      <c r="E311" s="41">
        <v>78</v>
      </c>
      <c r="F311" s="71">
        <v>200.53</v>
      </c>
      <c r="G311" s="71">
        <v>0</v>
      </c>
      <c r="H311" s="71">
        <v>15641.34</v>
      </c>
      <c r="I311" s="102">
        <v>0</v>
      </c>
      <c r="J311" s="34" t="s">
        <v>128</v>
      </c>
      <c r="K311" s="34" t="s">
        <v>129</v>
      </c>
      <c r="L311" s="34" t="s">
        <v>590</v>
      </c>
    </row>
    <row r="312" spans="1:12" s="22" customFormat="1" ht="94.5" x14ac:dyDescent="0.25">
      <c r="A312" s="186" t="s">
        <v>2678</v>
      </c>
      <c r="B312" s="96" t="s">
        <v>593</v>
      </c>
      <c r="C312" s="32" t="s">
        <v>594</v>
      </c>
      <c r="D312" s="7" t="s">
        <v>133</v>
      </c>
      <c r="E312" s="41">
        <v>100</v>
      </c>
      <c r="F312" s="71">
        <v>443.01</v>
      </c>
      <c r="G312" s="71">
        <v>0</v>
      </c>
      <c r="H312" s="71">
        <v>44301</v>
      </c>
      <c r="I312" s="102">
        <v>0</v>
      </c>
      <c r="J312" s="34" t="s">
        <v>128</v>
      </c>
      <c r="K312" s="34" t="s">
        <v>129</v>
      </c>
      <c r="L312" s="34" t="s">
        <v>590</v>
      </c>
    </row>
    <row r="313" spans="1:12" s="22" customFormat="1" ht="94.5" x14ac:dyDescent="0.25">
      <c r="A313" s="186" t="s">
        <v>2678</v>
      </c>
      <c r="B313" s="96" t="s">
        <v>595</v>
      </c>
      <c r="C313" s="32" t="s">
        <v>596</v>
      </c>
      <c r="D313" s="7" t="s">
        <v>133</v>
      </c>
      <c r="E313" s="41">
        <v>100</v>
      </c>
      <c r="F313" s="71">
        <v>217.73</v>
      </c>
      <c r="G313" s="71">
        <v>0</v>
      </c>
      <c r="H313" s="71">
        <v>21773</v>
      </c>
      <c r="I313" s="102">
        <v>0</v>
      </c>
      <c r="J313" s="34" t="s">
        <v>128</v>
      </c>
      <c r="K313" s="34" t="s">
        <v>129</v>
      </c>
      <c r="L313" s="34" t="s">
        <v>590</v>
      </c>
    </row>
    <row r="314" spans="1:12" s="22" customFormat="1" ht="94.5" x14ac:dyDescent="0.25">
      <c r="A314" s="186" t="s">
        <v>2678</v>
      </c>
      <c r="B314" s="96" t="s">
        <v>597</v>
      </c>
      <c r="C314" s="32" t="s">
        <v>598</v>
      </c>
      <c r="D314" s="7" t="s">
        <v>133</v>
      </c>
      <c r="E314" s="41">
        <v>34</v>
      </c>
      <c r="F314" s="71">
        <v>334.76</v>
      </c>
      <c r="G314" s="71">
        <v>0</v>
      </c>
      <c r="H314" s="71">
        <v>11381.84</v>
      </c>
      <c r="I314" s="102">
        <v>0</v>
      </c>
      <c r="J314" s="34" t="s">
        <v>128</v>
      </c>
      <c r="K314" s="34" t="s">
        <v>129</v>
      </c>
      <c r="L314" s="34" t="s">
        <v>590</v>
      </c>
    </row>
    <row r="315" spans="1:12" s="22" customFormat="1" ht="27" x14ac:dyDescent="0.25">
      <c r="A315" s="186" t="s">
        <v>2678</v>
      </c>
      <c r="B315" s="98"/>
      <c r="C315" s="34" t="s">
        <v>599</v>
      </c>
      <c r="D315" s="7"/>
      <c r="E315" s="41"/>
      <c r="F315" s="71"/>
      <c r="G315" s="71"/>
      <c r="H315" s="71"/>
      <c r="I315" s="102"/>
      <c r="J315" s="34"/>
      <c r="K315" s="34"/>
      <c r="L315" s="112"/>
    </row>
    <row r="316" spans="1:12" s="22" customFormat="1" ht="81" x14ac:dyDescent="0.25">
      <c r="A316" s="186" t="s">
        <v>2678</v>
      </c>
      <c r="B316" s="96" t="s">
        <v>600</v>
      </c>
      <c r="C316" s="32" t="s">
        <v>601</v>
      </c>
      <c r="D316" s="7" t="s">
        <v>133</v>
      </c>
      <c r="E316" s="41">
        <v>40</v>
      </c>
      <c r="F316" s="71">
        <v>428.91</v>
      </c>
      <c r="G316" s="71">
        <v>0</v>
      </c>
      <c r="H316" s="71">
        <v>17156.400000000001</v>
      </c>
      <c r="I316" s="102">
        <v>0</v>
      </c>
      <c r="J316" s="34" t="s">
        <v>128</v>
      </c>
      <c r="K316" s="34" t="s">
        <v>129</v>
      </c>
      <c r="L316" s="34" t="s">
        <v>599</v>
      </c>
    </row>
    <row r="317" spans="1:12" s="22" customFormat="1" ht="81" x14ac:dyDescent="0.25">
      <c r="A317" s="186" t="s">
        <v>2678</v>
      </c>
      <c r="B317" s="96" t="s">
        <v>602</v>
      </c>
      <c r="C317" s="32" t="s">
        <v>603</v>
      </c>
      <c r="D317" s="7" t="s">
        <v>133</v>
      </c>
      <c r="E317" s="41">
        <v>74</v>
      </c>
      <c r="F317" s="71">
        <v>226.31</v>
      </c>
      <c r="G317" s="71">
        <v>0</v>
      </c>
      <c r="H317" s="71">
        <v>16746.939999999999</v>
      </c>
      <c r="I317" s="102">
        <v>0</v>
      </c>
      <c r="J317" s="34" t="s">
        <v>128</v>
      </c>
      <c r="K317" s="34" t="s">
        <v>129</v>
      </c>
      <c r="L317" s="34" t="s">
        <v>599</v>
      </c>
    </row>
    <row r="318" spans="1:12" s="22" customFormat="1" ht="81" x14ac:dyDescent="0.25">
      <c r="A318" s="186" t="s">
        <v>2678</v>
      </c>
      <c r="B318" s="96" t="s">
        <v>604</v>
      </c>
      <c r="C318" s="32" t="s">
        <v>605</v>
      </c>
      <c r="D318" s="7" t="s">
        <v>133</v>
      </c>
      <c r="E318" s="41">
        <v>108</v>
      </c>
      <c r="F318" s="71">
        <v>238.01</v>
      </c>
      <c r="G318" s="71">
        <v>0</v>
      </c>
      <c r="H318" s="71">
        <v>25705.079999999998</v>
      </c>
      <c r="I318" s="102">
        <v>0</v>
      </c>
      <c r="J318" s="34" t="s">
        <v>128</v>
      </c>
      <c r="K318" s="34" t="s">
        <v>129</v>
      </c>
      <c r="L318" s="34" t="s">
        <v>599</v>
      </c>
    </row>
    <row r="319" spans="1:12" s="22" customFormat="1" ht="81" x14ac:dyDescent="0.25">
      <c r="A319" s="186" t="s">
        <v>2678</v>
      </c>
      <c r="B319" s="96" t="s">
        <v>606</v>
      </c>
      <c r="C319" s="32" t="s">
        <v>607</v>
      </c>
      <c r="D319" s="7" t="s">
        <v>133</v>
      </c>
      <c r="E319" s="41">
        <v>100</v>
      </c>
      <c r="F319" s="71">
        <v>326.19</v>
      </c>
      <c r="G319" s="71">
        <v>0</v>
      </c>
      <c r="H319" s="71">
        <v>32619</v>
      </c>
      <c r="I319" s="102">
        <v>0</v>
      </c>
      <c r="J319" s="34" t="s">
        <v>128</v>
      </c>
      <c r="K319" s="34" t="s">
        <v>129</v>
      </c>
      <c r="L319" s="34" t="s">
        <v>599</v>
      </c>
    </row>
    <row r="320" spans="1:12" s="22" customFormat="1" ht="27" x14ac:dyDescent="0.25">
      <c r="A320" s="186" t="s">
        <v>2678</v>
      </c>
      <c r="B320" s="97"/>
      <c r="C320" s="34" t="s">
        <v>608</v>
      </c>
      <c r="D320" s="7"/>
      <c r="E320" s="41"/>
      <c r="F320" s="71"/>
      <c r="G320" s="71"/>
      <c r="H320" s="71"/>
      <c r="I320" s="102"/>
      <c r="J320" s="34"/>
      <c r="K320" s="34"/>
      <c r="L320" s="112"/>
    </row>
    <row r="321" spans="1:12" s="22" customFormat="1" ht="67.5" x14ac:dyDescent="0.25">
      <c r="A321" s="186" t="s">
        <v>2678</v>
      </c>
      <c r="B321" s="96" t="s">
        <v>609</v>
      </c>
      <c r="C321" s="32" t="s">
        <v>610</v>
      </c>
      <c r="D321" s="7" t="s">
        <v>133</v>
      </c>
      <c r="E321" s="41">
        <v>66</v>
      </c>
      <c r="F321" s="71">
        <v>16131.2</v>
      </c>
      <c r="G321" s="71">
        <v>262.8</v>
      </c>
      <c r="H321" s="71">
        <v>1064659.2</v>
      </c>
      <c r="I321" s="102">
        <v>17344.8</v>
      </c>
      <c r="J321" s="34" t="s">
        <v>128</v>
      </c>
      <c r="K321" s="34" t="s">
        <v>129</v>
      </c>
      <c r="L321" s="34" t="s">
        <v>608</v>
      </c>
    </row>
    <row r="322" spans="1:12" s="22" customFormat="1" ht="67.5" x14ac:dyDescent="0.25">
      <c r="A322" s="186" t="s">
        <v>2678</v>
      </c>
      <c r="B322" s="96" t="s">
        <v>611</v>
      </c>
      <c r="C322" s="32" t="s">
        <v>612</v>
      </c>
      <c r="D322" s="7" t="s">
        <v>133</v>
      </c>
      <c r="E322" s="41">
        <v>66</v>
      </c>
      <c r="F322" s="71">
        <v>344.39</v>
      </c>
      <c r="G322" s="71">
        <v>118.09</v>
      </c>
      <c r="H322" s="71">
        <v>22729.739999999998</v>
      </c>
      <c r="I322" s="102">
        <v>7793.9400000000005</v>
      </c>
      <c r="J322" s="34" t="s">
        <v>128</v>
      </c>
      <c r="K322" s="34" t="s">
        <v>129</v>
      </c>
      <c r="L322" s="34" t="s">
        <v>608</v>
      </c>
    </row>
    <row r="323" spans="1:12" s="22" customFormat="1" ht="67.5" x14ac:dyDescent="0.25">
      <c r="A323" s="186" t="s">
        <v>2678</v>
      </c>
      <c r="B323" s="96" t="s">
        <v>613</v>
      </c>
      <c r="C323" s="32" t="s">
        <v>614</v>
      </c>
      <c r="D323" s="7" t="s">
        <v>133</v>
      </c>
      <c r="E323" s="41">
        <v>72</v>
      </c>
      <c r="F323" s="71">
        <v>420.83</v>
      </c>
      <c r="G323" s="71">
        <v>153.5</v>
      </c>
      <c r="H323" s="71">
        <v>30299.759999999998</v>
      </c>
      <c r="I323" s="102">
        <v>11052</v>
      </c>
      <c r="J323" s="34" t="s">
        <v>128</v>
      </c>
      <c r="K323" s="34" t="s">
        <v>129</v>
      </c>
      <c r="L323" s="34" t="s">
        <v>608</v>
      </c>
    </row>
    <row r="324" spans="1:12" s="22" customFormat="1" ht="67.5" x14ac:dyDescent="0.25">
      <c r="A324" s="186" t="s">
        <v>2678</v>
      </c>
      <c r="B324" s="96" t="s">
        <v>615</v>
      </c>
      <c r="C324" s="32" t="s">
        <v>616</v>
      </c>
      <c r="D324" s="7" t="s">
        <v>133</v>
      </c>
      <c r="E324" s="41">
        <v>56</v>
      </c>
      <c r="F324" s="71">
        <v>497.26</v>
      </c>
      <c r="G324" s="71">
        <v>180.11</v>
      </c>
      <c r="H324" s="71">
        <v>27846.559999999998</v>
      </c>
      <c r="I324" s="102">
        <v>10086.16</v>
      </c>
      <c r="J324" s="34" t="s">
        <v>128</v>
      </c>
      <c r="K324" s="34" t="s">
        <v>129</v>
      </c>
      <c r="L324" s="34" t="s">
        <v>608</v>
      </c>
    </row>
    <row r="325" spans="1:12" s="22" customFormat="1" ht="27" x14ac:dyDescent="0.25">
      <c r="A325" s="186" t="s">
        <v>2678</v>
      </c>
      <c r="B325" s="96"/>
      <c r="C325" s="34" t="s">
        <v>617</v>
      </c>
      <c r="D325" s="7"/>
      <c r="E325" s="41"/>
      <c r="F325" s="71"/>
      <c r="G325" s="71"/>
      <c r="H325" s="71"/>
      <c r="I325" s="102"/>
      <c r="J325" s="34" t="s">
        <v>128</v>
      </c>
      <c r="K325" s="34"/>
      <c r="L325" s="112"/>
    </row>
    <row r="326" spans="1:12" s="22" customFormat="1" ht="27" x14ac:dyDescent="0.25">
      <c r="A326" s="186" t="s">
        <v>2678</v>
      </c>
      <c r="B326" s="96"/>
      <c r="C326" s="34" t="s">
        <v>618</v>
      </c>
      <c r="D326" s="7"/>
      <c r="E326" s="41"/>
      <c r="F326" s="71"/>
      <c r="G326" s="71"/>
      <c r="H326" s="71"/>
      <c r="I326" s="102"/>
      <c r="J326" s="34" t="s">
        <v>128</v>
      </c>
      <c r="K326" s="34"/>
      <c r="L326" s="112"/>
    </row>
    <row r="327" spans="1:12" s="22" customFormat="1" ht="54" x14ac:dyDescent="0.25">
      <c r="A327" s="186" t="s">
        <v>2678</v>
      </c>
      <c r="B327" s="98" t="s">
        <v>619</v>
      </c>
      <c r="C327" s="32" t="s">
        <v>620</v>
      </c>
      <c r="D327" s="7" t="s">
        <v>133</v>
      </c>
      <c r="E327" s="41">
        <v>244</v>
      </c>
      <c r="F327" s="71">
        <v>87.73</v>
      </c>
      <c r="G327" s="71">
        <v>42.29</v>
      </c>
      <c r="H327" s="71">
        <v>21406.120000000003</v>
      </c>
      <c r="I327" s="102">
        <v>10318.76</v>
      </c>
      <c r="J327" s="34" t="s">
        <v>128</v>
      </c>
      <c r="K327" s="34" t="s">
        <v>617</v>
      </c>
      <c r="L327" s="34" t="s">
        <v>2682</v>
      </c>
    </row>
    <row r="328" spans="1:12" s="22" customFormat="1" ht="54" x14ac:dyDescent="0.25">
      <c r="A328" s="186" t="s">
        <v>2678</v>
      </c>
      <c r="B328" s="96" t="s">
        <v>621</v>
      </c>
      <c r="C328" s="32" t="s">
        <v>622</v>
      </c>
      <c r="D328" s="7" t="s">
        <v>133</v>
      </c>
      <c r="E328" s="41">
        <v>488</v>
      </c>
      <c r="F328" s="71">
        <v>87.73</v>
      </c>
      <c r="G328" s="71">
        <v>77.11</v>
      </c>
      <c r="H328" s="71">
        <v>42812.240000000005</v>
      </c>
      <c r="I328" s="102">
        <v>37629.68</v>
      </c>
      <c r="J328" s="34" t="s">
        <v>128</v>
      </c>
      <c r="K328" s="34" t="s">
        <v>617</v>
      </c>
      <c r="L328" s="34" t="s">
        <v>2682</v>
      </c>
    </row>
    <row r="329" spans="1:12" s="22" customFormat="1" ht="54" x14ac:dyDescent="0.25">
      <c r="A329" s="186" t="s">
        <v>2678</v>
      </c>
      <c r="B329" s="96" t="s">
        <v>623</v>
      </c>
      <c r="C329" s="32" t="s">
        <v>624</v>
      </c>
      <c r="D329" s="7" t="s">
        <v>133</v>
      </c>
      <c r="E329" s="41">
        <v>280</v>
      </c>
      <c r="F329" s="71">
        <v>87.73</v>
      </c>
      <c r="G329" s="71">
        <v>49.75</v>
      </c>
      <c r="H329" s="71">
        <v>24564.400000000001</v>
      </c>
      <c r="I329" s="102">
        <v>13930</v>
      </c>
      <c r="J329" s="34" t="s">
        <v>128</v>
      </c>
      <c r="K329" s="34" t="s">
        <v>617</v>
      </c>
      <c r="L329" s="34" t="s">
        <v>2682</v>
      </c>
    </row>
    <row r="330" spans="1:12" s="22" customFormat="1" ht="54" x14ac:dyDescent="0.25">
      <c r="A330" s="186" t="s">
        <v>2678</v>
      </c>
      <c r="B330" s="97" t="s">
        <v>625</v>
      </c>
      <c r="C330" s="32" t="s">
        <v>626</v>
      </c>
      <c r="D330" s="7" t="s">
        <v>133</v>
      </c>
      <c r="E330" s="41">
        <v>300</v>
      </c>
      <c r="F330" s="71">
        <v>87.73</v>
      </c>
      <c r="G330" s="71">
        <v>62.19</v>
      </c>
      <c r="H330" s="71">
        <v>26319</v>
      </c>
      <c r="I330" s="102">
        <v>18657</v>
      </c>
      <c r="J330" s="34" t="s">
        <v>128</v>
      </c>
      <c r="K330" s="34" t="s">
        <v>617</v>
      </c>
      <c r="L330" s="34" t="s">
        <v>2682</v>
      </c>
    </row>
    <row r="331" spans="1:12" s="22" customFormat="1" ht="27" x14ac:dyDescent="0.25">
      <c r="A331" s="186" t="s">
        <v>2678</v>
      </c>
      <c r="B331" s="96"/>
      <c r="C331" s="34" t="s">
        <v>627</v>
      </c>
      <c r="D331" s="7"/>
      <c r="E331" s="41"/>
      <c r="F331" s="71"/>
      <c r="G331" s="71"/>
      <c r="H331" s="71"/>
      <c r="I331" s="102"/>
      <c r="J331" s="34" t="s">
        <v>128</v>
      </c>
      <c r="K331" s="34"/>
      <c r="L331" s="74"/>
    </row>
    <row r="332" spans="1:12" s="22" customFormat="1" ht="27" x14ac:dyDescent="0.25">
      <c r="A332" s="186" t="s">
        <v>2678</v>
      </c>
      <c r="B332" s="96" t="s">
        <v>628</v>
      </c>
      <c r="C332" s="32" t="s">
        <v>629</v>
      </c>
      <c r="D332" s="7" t="s">
        <v>133</v>
      </c>
      <c r="E332" s="41">
        <v>104</v>
      </c>
      <c r="F332" s="71">
        <v>442.26</v>
      </c>
      <c r="G332" s="71">
        <v>3.56</v>
      </c>
      <c r="H332" s="71">
        <v>45995.040000000001</v>
      </c>
      <c r="I332" s="102">
        <v>370.24</v>
      </c>
      <c r="J332" s="34" t="s">
        <v>128</v>
      </c>
      <c r="K332" s="34" t="s">
        <v>617</v>
      </c>
      <c r="L332" s="34" t="s">
        <v>627</v>
      </c>
    </row>
    <row r="333" spans="1:12" s="22" customFormat="1" ht="40.5" x14ac:dyDescent="0.25">
      <c r="A333" s="186" t="s">
        <v>2678</v>
      </c>
      <c r="B333" s="96" t="s">
        <v>630</v>
      </c>
      <c r="C333" s="32" t="s">
        <v>631</v>
      </c>
      <c r="D333" s="7" t="s">
        <v>133</v>
      </c>
      <c r="E333" s="41">
        <v>70</v>
      </c>
      <c r="F333" s="71">
        <v>442.26</v>
      </c>
      <c r="G333" s="71">
        <v>3.56</v>
      </c>
      <c r="H333" s="71">
        <v>30958.2</v>
      </c>
      <c r="I333" s="102">
        <v>249.20000000000002</v>
      </c>
      <c r="J333" s="34" t="s">
        <v>128</v>
      </c>
      <c r="K333" s="34" t="s">
        <v>617</v>
      </c>
      <c r="L333" s="34" t="s">
        <v>627</v>
      </c>
    </row>
    <row r="334" spans="1:12" s="22" customFormat="1" ht="40.5" x14ac:dyDescent="0.25">
      <c r="A334" s="186" t="s">
        <v>2678</v>
      </c>
      <c r="B334" s="96" t="s">
        <v>632</v>
      </c>
      <c r="C334" s="32" t="s">
        <v>633</v>
      </c>
      <c r="D334" s="7" t="s">
        <v>133</v>
      </c>
      <c r="E334" s="41">
        <v>70</v>
      </c>
      <c r="F334" s="71">
        <v>442.26</v>
      </c>
      <c r="G334" s="71">
        <v>3.56</v>
      </c>
      <c r="H334" s="71">
        <v>30958.2</v>
      </c>
      <c r="I334" s="102">
        <v>249.20000000000002</v>
      </c>
      <c r="J334" s="34" t="s">
        <v>128</v>
      </c>
      <c r="K334" s="34" t="s">
        <v>617</v>
      </c>
      <c r="L334" s="34" t="s">
        <v>627</v>
      </c>
    </row>
    <row r="335" spans="1:12" s="22" customFormat="1" ht="40.5" x14ac:dyDescent="0.25">
      <c r="A335" s="186" t="s">
        <v>2678</v>
      </c>
      <c r="B335" s="96" t="s">
        <v>634</v>
      </c>
      <c r="C335" s="32" t="s">
        <v>635</v>
      </c>
      <c r="D335" s="7" t="s">
        <v>133</v>
      </c>
      <c r="E335" s="41">
        <v>400</v>
      </c>
      <c r="F335" s="71">
        <v>444.1</v>
      </c>
      <c r="G335" s="71">
        <v>3.56</v>
      </c>
      <c r="H335" s="71">
        <v>177640</v>
      </c>
      <c r="I335" s="102">
        <v>1424</v>
      </c>
      <c r="J335" s="34" t="s">
        <v>128</v>
      </c>
      <c r="K335" s="34" t="s">
        <v>617</v>
      </c>
      <c r="L335" s="34" t="s">
        <v>627</v>
      </c>
    </row>
    <row r="336" spans="1:12" s="22" customFormat="1" ht="27" x14ac:dyDescent="0.25">
      <c r="A336" s="186" t="s">
        <v>2678</v>
      </c>
      <c r="B336" s="96"/>
      <c r="C336" s="34" t="s">
        <v>636</v>
      </c>
      <c r="D336" s="7"/>
      <c r="E336" s="41"/>
      <c r="F336" s="71"/>
      <c r="G336" s="71"/>
      <c r="H336" s="71"/>
      <c r="I336" s="102"/>
      <c r="J336" s="34" t="s">
        <v>128</v>
      </c>
      <c r="K336" s="74"/>
      <c r="L336" s="112"/>
    </row>
    <row r="337" spans="1:12" s="22" customFormat="1" ht="40.5" x14ac:dyDescent="0.25">
      <c r="A337" s="186" t="s">
        <v>2678</v>
      </c>
      <c r="B337" s="96" t="s">
        <v>637</v>
      </c>
      <c r="C337" s="32" t="s">
        <v>638</v>
      </c>
      <c r="D337" s="7" t="s">
        <v>133</v>
      </c>
      <c r="E337" s="41">
        <v>66</v>
      </c>
      <c r="F337" s="71">
        <v>1145.96</v>
      </c>
      <c r="G337" s="71">
        <v>0</v>
      </c>
      <c r="H337" s="71">
        <v>75633.36</v>
      </c>
      <c r="I337" s="102">
        <v>0</v>
      </c>
      <c r="J337" s="34" t="s">
        <v>128</v>
      </c>
      <c r="K337" s="34" t="s">
        <v>636</v>
      </c>
      <c r="L337" s="112"/>
    </row>
    <row r="338" spans="1:12" s="22" customFormat="1" ht="40.5" x14ac:dyDescent="0.25">
      <c r="A338" s="186" t="s">
        <v>2678</v>
      </c>
      <c r="B338" s="96" t="s">
        <v>639</v>
      </c>
      <c r="C338" s="32" t="s">
        <v>640</v>
      </c>
      <c r="D338" s="7" t="s">
        <v>133</v>
      </c>
      <c r="E338" s="41">
        <v>48</v>
      </c>
      <c r="F338" s="71">
        <v>1217.21</v>
      </c>
      <c r="G338" s="71">
        <v>0</v>
      </c>
      <c r="H338" s="71">
        <v>58426.080000000002</v>
      </c>
      <c r="I338" s="102">
        <v>0</v>
      </c>
      <c r="J338" s="34" t="s">
        <v>128</v>
      </c>
      <c r="K338" s="34" t="s">
        <v>636</v>
      </c>
      <c r="L338" s="112"/>
    </row>
    <row r="339" spans="1:12" s="22" customFormat="1" ht="40.5" x14ac:dyDescent="0.25">
      <c r="A339" s="186" t="s">
        <v>2678</v>
      </c>
      <c r="B339" s="96" t="s">
        <v>641</v>
      </c>
      <c r="C339" s="32" t="s">
        <v>642</v>
      </c>
      <c r="D339" s="7" t="s">
        <v>133</v>
      </c>
      <c r="E339" s="41">
        <v>74</v>
      </c>
      <c r="F339" s="71">
        <v>1543.46</v>
      </c>
      <c r="G339" s="71">
        <v>0</v>
      </c>
      <c r="H339" s="71">
        <v>114216.04000000001</v>
      </c>
      <c r="I339" s="102">
        <v>0</v>
      </c>
      <c r="J339" s="34" t="s">
        <v>128</v>
      </c>
      <c r="K339" s="34" t="s">
        <v>636</v>
      </c>
      <c r="L339" s="112"/>
    </row>
    <row r="340" spans="1:12" s="22" customFormat="1" ht="40.5" x14ac:dyDescent="0.25">
      <c r="A340" s="186" t="s">
        <v>2678</v>
      </c>
      <c r="B340" s="97"/>
      <c r="C340" s="82" t="s">
        <v>643</v>
      </c>
      <c r="D340" s="7"/>
      <c r="E340" s="41"/>
      <c r="F340" s="71"/>
      <c r="G340" s="71"/>
      <c r="H340" s="71"/>
      <c r="I340" s="102"/>
      <c r="J340" s="34" t="s">
        <v>128</v>
      </c>
      <c r="K340" s="74"/>
      <c r="L340" s="112"/>
    </row>
    <row r="341" spans="1:12" s="22" customFormat="1" ht="67.5" x14ac:dyDescent="0.25">
      <c r="A341" s="186" t="s">
        <v>2678</v>
      </c>
      <c r="B341" s="96" t="s">
        <v>644</v>
      </c>
      <c r="C341" s="33" t="s">
        <v>645</v>
      </c>
      <c r="D341" s="7" t="s">
        <v>43</v>
      </c>
      <c r="E341" s="41">
        <v>30</v>
      </c>
      <c r="F341" s="71">
        <v>159704.99</v>
      </c>
      <c r="G341" s="71">
        <v>0</v>
      </c>
      <c r="H341" s="71">
        <v>4791149.6999999993</v>
      </c>
      <c r="I341" s="102">
        <v>0</v>
      </c>
      <c r="J341" s="34" t="s">
        <v>128</v>
      </c>
      <c r="K341" s="82" t="s">
        <v>643</v>
      </c>
      <c r="L341" s="112"/>
    </row>
    <row r="342" spans="1:12" s="22" customFormat="1" ht="67.5" x14ac:dyDescent="0.25">
      <c r="A342" s="186" t="s">
        <v>2678</v>
      </c>
      <c r="B342" s="96" t="s">
        <v>646</v>
      </c>
      <c r="C342" s="33" t="s">
        <v>647</v>
      </c>
      <c r="D342" s="7" t="s">
        <v>43</v>
      </c>
      <c r="E342" s="41">
        <v>30</v>
      </c>
      <c r="F342" s="71">
        <v>159239.24</v>
      </c>
      <c r="G342" s="71">
        <v>0</v>
      </c>
      <c r="H342" s="71">
        <v>4777177.1999999993</v>
      </c>
      <c r="I342" s="102">
        <v>0</v>
      </c>
      <c r="J342" s="34" t="s">
        <v>128</v>
      </c>
      <c r="K342" s="82" t="s">
        <v>643</v>
      </c>
      <c r="L342" s="112"/>
    </row>
    <row r="343" spans="1:12" s="22" customFormat="1" ht="67.5" x14ac:dyDescent="0.25">
      <c r="A343" s="186" t="s">
        <v>2678</v>
      </c>
      <c r="B343" s="96" t="s">
        <v>648</v>
      </c>
      <c r="C343" s="33" t="s">
        <v>649</v>
      </c>
      <c r="D343" s="7" t="s">
        <v>43</v>
      </c>
      <c r="E343" s="41">
        <v>20</v>
      </c>
      <c r="F343" s="71">
        <v>147079.64000000001</v>
      </c>
      <c r="G343" s="71">
        <v>0</v>
      </c>
      <c r="H343" s="71">
        <v>2941592.8000000003</v>
      </c>
      <c r="I343" s="102">
        <v>0</v>
      </c>
      <c r="J343" s="34" t="s">
        <v>128</v>
      </c>
      <c r="K343" s="82" t="s">
        <v>643</v>
      </c>
      <c r="L343" s="112"/>
    </row>
    <row r="344" spans="1:12" s="22" customFormat="1" ht="67.5" x14ac:dyDescent="0.25">
      <c r="A344" s="186" t="s">
        <v>2678</v>
      </c>
      <c r="B344" s="96" t="s">
        <v>650</v>
      </c>
      <c r="C344" s="33" t="s">
        <v>651</v>
      </c>
      <c r="D344" s="7" t="s">
        <v>43</v>
      </c>
      <c r="E344" s="41">
        <v>20</v>
      </c>
      <c r="F344" s="71">
        <v>128025</v>
      </c>
      <c r="G344" s="71">
        <v>0</v>
      </c>
      <c r="H344" s="71">
        <v>2560500</v>
      </c>
      <c r="I344" s="102">
        <v>0</v>
      </c>
      <c r="J344" s="34" t="s">
        <v>128</v>
      </c>
      <c r="K344" s="82" t="s">
        <v>643</v>
      </c>
      <c r="L344" s="112"/>
    </row>
    <row r="345" spans="1:12" s="22" customFormat="1" ht="67.5" x14ac:dyDescent="0.25">
      <c r="A345" s="186" t="s">
        <v>2678</v>
      </c>
      <c r="B345" s="96" t="s">
        <v>652</v>
      </c>
      <c r="C345" s="33" t="s">
        <v>653</v>
      </c>
      <c r="D345" s="7" t="s">
        <v>43</v>
      </c>
      <c r="E345" s="41">
        <v>56</v>
      </c>
      <c r="F345" s="71">
        <v>163246.5</v>
      </c>
      <c r="G345" s="71">
        <v>0</v>
      </c>
      <c r="H345" s="71">
        <v>9141804</v>
      </c>
      <c r="I345" s="102">
        <v>0</v>
      </c>
      <c r="J345" s="34" t="s">
        <v>128</v>
      </c>
      <c r="K345" s="82" t="s">
        <v>643</v>
      </c>
      <c r="L345" s="112"/>
    </row>
    <row r="346" spans="1:12" s="22" customFormat="1" ht="67.5" x14ac:dyDescent="0.25">
      <c r="A346" s="186" t="s">
        <v>2678</v>
      </c>
      <c r="B346" s="96" t="s">
        <v>654</v>
      </c>
      <c r="C346" s="32" t="s">
        <v>655</v>
      </c>
      <c r="D346" s="7" t="s">
        <v>43</v>
      </c>
      <c r="E346" s="41">
        <v>60</v>
      </c>
      <c r="F346" s="71">
        <v>152996.70000000001</v>
      </c>
      <c r="G346" s="71">
        <v>0</v>
      </c>
      <c r="H346" s="71">
        <v>9179802</v>
      </c>
      <c r="I346" s="102">
        <v>0</v>
      </c>
      <c r="J346" s="34" t="s">
        <v>128</v>
      </c>
      <c r="K346" s="82" t="s">
        <v>643</v>
      </c>
      <c r="L346" s="112"/>
    </row>
    <row r="347" spans="1:12" s="22" customFormat="1" ht="67.5" x14ac:dyDescent="0.25">
      <c r="A347" s="186" t="s">
        <v>2678</v>
      </c>
      <c r="B347" s="96" t="s">
        <v>656</v>
      </c>
      <c r="C347" s="32" t="s">
        <v>657</v>
      </c>
      <c r="D347" s="7" t="s">
        <v>43</v>
      </c>
      <c r="E347" s="41">
        <v>74</v>
      </c>
      <c r="F347" s="71">
        <v>161777.43</v>
      </c>
      <c r="G347" s="71">
        <v>0</v>
      </c>
      <c r="H347" s="71">
        <v>11971529.82</v>
      </c>
      <c r="I347" s="102">
        <v>0</v>
      </c>
      <c r="J347" s="34" t="s">
        <v>128</v>
      </c>
      <c r="K347" s="82" t="s">
        <v>643</v>
      </c>
      <c r="L347" s="112"/>
    </row>
    <row r="348" spans="1:12" s="22" customFormat="1" ht="67.5" x14ac:dyDescent="0.25">
      <c r="A348" s="186" t="s">
        <v>2678</v>
      </c>
      <c r="B348" s="96" t="s">
        <v>658</v>
      </c>
      <c r="C348" s="32" t="s">
        <v>659</v>
      </c>
      <c r="D348" s="7" t="s">
        <v>43</v>
      </c>
      <c r="E348" s="41">
        <v>20</v>
      </c>
      <c r="F348" s="71">
        <v>169233.6</v>
      </c>
      <c r="G348" s="71">
        <v>0</v>
      </c>
      <c r="H348" s="71">
        <v>3384672</v>
      </c>
      <c r="I348" s="102">
        <v>0</v>
      </c>
      <c r="J348" s="34" t="s">
        <v>128</v>
      </c>
      <c r="K348" s="82" t="s">
        <v>643</v>
      </c>
      <c r="L348" s="112"/>
    </row>
    <row r="349" spans="1:12" s="22" customFormat="1" ht="27" x14ac:dyDescent="0.25">
      <c r="A349" s="186" t="s">
        <v>2678</v>
      </c>
      <c r="B349" s="96"/>
      <c r="C349" s="34" t="s">
        <v>660</v>
      </c>
      <c r="D349" s="7"/>
      <c r="E349" s="41"/>
      <c r="F349" s="71"/>
      <c r="G349" s="71"/>
      <c r="H349" s="71"/>
      <c r="I349" s="102"/>
      <c r="J349" s="34" t="s">
        <v>128</v>
      </c>
      <c r="K349" s="74"/>
      <c r="L349" s="112"/>
    </row>
    <row r="350" spans="1:12" s="22" customFormat="1" ht="40.5" x14ac:dyDescent="0.25">
      <c r="A350" s="186" t="s">
        <v>2678</v>
      </c>
      <c r="B350" s="97" t="s">
        <v>661</v>
      </c>
      <c r="C350" s="32" t="s">
        <v>662</v>
      </c>
      <c r="D350" s="7" t="s">
        <v>43</v>
      </c>
      <c r="E350" s="41">
        <v>66</v>
      </c>
      <c r="F350" s="71">
        <v>166256.66</v>
      </c>
      <c r="G350" s="71">
        <v>0</v>
      </c>
      <c r="H350" s="71">
        <v>10972939.560000001</v>
      </c>
      <c r="I350" s="102">
        <v>0</v>
      </c>
      <c r="J350" s="34" t="s">
        <v>128</v>
      </c>
      <c r="K350" s="34" t="s">
        <v>660</v>
      </c>
      <c r="L350" s="112"/>
    </row>
    <row r="351" spans="1:12" s="22" customFormat="1" ht="40.5" x14ac:dyDescent="0.25">
      <c r="A351" s="186" t="s">
        <v>2678</v>
      </c>
      <c r="B351" s="98" t="s">
        <v>663</v>
      </c>
      <c r="C351" s="32" t="s">
        <v>664</v>
      </c>
      <c r="D351" s="7" t="s">
        <v>43</v>
      </c>
      <c r="E351" s="41">
        <v>100</v>
      </c>
      <c r="F351" s="71">
        <v>169137.19</v>
      </c>
      <c r="G351" s="71">
        <v>0</v>
      </c>
      <c r="H351" s="71">
        <v>16913719</v>
      </c>
      <c r="I351" s="102">
        <v>0</v>
      </c>
      <c r="J351" s="34" t="s">
        <v>128</v>
      </c>
      <c r="K351" s="34" t="s">
        <v>660</v>
      </c>
      <c r="L351" s="112"/>
    </row>
    <row r="352" spans="1:12" s="22" customFormat="1" ht="40.5" x14ac:dyDescent="0.25">
      <c r="A352" s="186" t="s">
        <v>2678</v>
      </c>
      <c r="B352" s="96" t="s">
        <v>665</v>
      </c>
      <c r="C352" s="32" t="s">
        <v>666</v>
      </c>
      <c r="D352" s="7" t="s">
        <v>43</v>
      </c>
      <c r="E352" s="41">
        <v>84</v>
      </c>
      <c r="F352" s="71">
        <v>157943.45000000001</v>
      </c>
      <c r="G352" s="71">
        <v>0</v>
      </c>
      <c r="H352" s="71">
        <v>13267249.800000001</v>
      </c>
      <c r="I352" s="102">
        <v>0</v>
      </c>
      <c r="J352" s="34" t="s">
        <v>128</v>
      </c>
      <c r="K352" s="34" t="s">
        <v>660</v>
      </c>
      <c r="L352" s="112"/>
    </row>
    <row r="353" spans="1:12" s="22" customFormat="1" ht="40.5" x14ac:dyDescent="0.25">
      <c r="A353" s="186" t="s">
        <v>2678</v>
      </c>
      <c r="B353" s="96" t="s">
        <v>667</v>
      </c>
      <c r="C353" s="32" t="s">
        <v>668</v>
      </c>
      <c r="D353" s="7" t="s">
        <v>43</v>
      </c>
      <c r="E353" s="41">
        <v>74</v>
      </c>
      <c r="F353" s="71">
        <v>127908.76</v>
      </c>
      <c r="G353" s="71">
        <v>0</v>
      </c>
      <c r="H353" s="71">
        <v>9465248.2400000002</v>
      </c>
      <c r="I353" s="102">
        <v>0</v>
      </c>
      <c r="J353" s="34" t="s">
        <v>128</v>
      </c>
      <c r="K353" s="34" t="s">
        <v>660</v>
      </c>
      <c r="L353" s="112"/>
    </row>
    <row r="354" spans="1:12" s="22" customFormat="1" ht="40.5" x14ac:dyDescent="0.25">
      <c r="A354" s="186" t="s">
        <v>2678</v>
      </c>
      <c r="B354" s="96" t="s">
        <v>669</v>
      </c>
      <c r="C354" s="32" t="s">
        <v>670</v>
      </c>
      <c r="D354" s="7" t="s">
        <v>43</v>
      </c>
      <c r="E354" s="41">
        <v>68</v>
      </c>
      <c r="F354" s="71">
        <v>130780.35</v>
      </c>
      <c r="G354" s="71">
        <v>0</v>
      </c>
      <c r="H354" s="71">
        <v>8893063.8000000007</v>
      </c>
      <c r="I354" s="102">
        <v>0</v>
      </c>
      <c r="J354" s="34" t="s">
        <v>128</v>
      </c>
      <c r="K354" s="34" t="s">
        <v>660</v>
      </c>
      <c r="L354" s="112"/>
    </row>
    <row r="355" spans="1:12" s="22" customFormat="1" ht="40.5" x14ac:dyDescent="0.25">
      <c r="A355" s="186" t="s">
        <v>2678</v>
      </c>
      <c r="B355" s="96" t="s">
        <v>671</v>
      </c>
      <c r="C355" s="32" t="s">
        <v>647</v>
      </c>
      <c r="D355" s="7" t="s">
        <v>43</v>
      </c>
      <c r="E355" s="41">
        <v>66</v>
      </c>
      <c r="F355" s="71">
        <v>135035.84</v>
      </c>
      <c r="G355" s="71">
        <v>0</v>
      </c>
      <c r="H355" s="71">
        <v>8912365.4399999995</v>
      </c>
      <c r="I355" s="102">
        <v>0</v>
      </c>
      <c r="J355" s="34" t="s">
        <v>128</v>
      </c>
      <c r="K355" s="34" t="s">
        <v>660</v>
      </c>
      <c r="L355" s="112"/>
    </row>
    <row r="356" spans="1:12" s="22" customFormat="1" ht="40.5" x14ac:dyDescent="0.25">
      <c r="A356" s="186" t="s">
        <v>2678</v>
      </c>
      <c r="B356" s="96" t="s">
        <v>672</v>
      </c>
      <c r="C356" s="32" t="s">
        <v>673</v>
      </c>
      <c r="D356" s="7" t="s">
        <v>43</v>
      </c>
      <c r="E356" s="41">
        <v>30</v>
      </c>
      <c r="F356" s="71">
        <v>130609.81</v>
      </c>
      <c r="G356" s="71">
        <v>0</v>
      </c>
      <c r="H356" s="71">
        <v>3918294.3</v>
      </c>
      <c r="I356" s="102">
        <v>0</v>
      </c>
      <c r="J356" s="34" t="s">
        <v>128</v>
      </c>
      <c r="K356" s="34" t="s">
        <v>660</v>
      </c>
      <c r="L356" s="112"/>
    </row>
    <row r="357" spans="1:12" s="22" customFormat="1" ht="40.5" x14ac:dyDescent="0.25">
      <c r="A357" s="186" t="s">
        <v>2678</v>
      </c>
      <c r="B357" s="96" t="s">
        <v>674</v>
      </c>
      <c r="C357" s="32" t="s">
        <v>675</v>
      </c>
      <c r="D357" s="7" t="s">
        <v>43</v>
      </c>
      <c r="E357" s="41">
        <v>20</v>
      </c>
      <c r="F357" s="71">
        <v>135572.14000000001</v>
      </c>
      <c r="G357" s="71">
        <v>0</v>
      </c>
      <c r="H357" s="71">
        <v>2711442.8000000003</v>
      </c>
      <c r="I357" s="102">
        <v>0</v>
      </c>
      <c r="J357" s="34" t="s">
        <v>128</v>
      </c>
      <c r="K357" s="34" t="s">
        <v>660</v>
      </c>
      <c r="L357" s="112"/>
    </row>
    <row r="358" spans="1:12" s="22" customFormat="1" ht="40.5" x14ac:dyDescent="0.25">
      <c r="A358" s="186" t="s">
        <v>2678</v>
      </c>
      <c r="B358" s="96" t="s">
        <v>676</v>
      </c>
      <c r="C358" s="32" t="s">
        <v>649</v>
      </c>
      <c r="D358" s="7" t="s">
        <v>43</v>
      </c>
      <c r="E358" s="41">
        <v>20</v>
      </c>
      <c r="F358" s="71">
        <v>118270.2</v>
      </c>
      <c r="G358" s="71">
        <v>0</v>
      </c>
      <c r="H358" s="71">
        <v>2365404</v>
      </c>
      <c r="I358" s="102">
        <v>0</v>
      </c>
      <c r="J358" s="34" t="s">
        <v>128</v>
      </c>
      <c r="K358" s="34" t="s">
        <v>660</v>
      </c>
      <c r="L358" s="112"/>
    </row>
    <row r="359" spans="1:12" s="22" customFormat="1" ht="40.5" x14ac:dyDescent="0.25">
      <c r="A359" s="186" t="s">
        <v>2678</v>
      </c>
      <c r="B359" s="96" t="s">
        <v>677</v>
      </c>
      <c r="C359" s="32" t="s">
        <v>678</v>
      </c>
      <c r="D359" s="7" t="s">
        <v>43</v>
      </c>
      <c r="E359" s="41">
        <v>44</v>
      </c>
      <c r="F359" s="71">
        <v>126216.71</v>
      </c>
      <c r="G359" s="71">
        <v>0</v>
      </c>
      <c r="H359" s="71">
        <v>5553535.2400000002</v>
      </c>
      <c r="I359" s="102">
        <v>0</v>
      </c>
      <c r="J359" s="34" t="s">
        <v>128</v>
      </c>
      <c r="K359" s="34" t="s">
        <v>660</v>
      </c>
      <c r="L359" s="112"/>
    </row>
    <row r="360" spans="1:12" s="22" customFormat="1" ht="40.5" x14ac:dyDescent="0.25">
      <c r="A360" s="186" t="s">
        <v>2678</v>
      </c>
      <c r="B360" s="97" t="s">
        <v>679</v>
      </c>
      <c r="C360" s="32" t="s">
        <v>680</v>
      </c>
      <c r="D360" s="7" t="s">
        <v>43</v>
      </c>
      <c r="E360" s="41">
        <v>20</v>
      </c>
      <c r="F360" s="71">
        <v>123048.23</v>
      </c>
      <c r="G360" s="71">
        <v>0</v>
      </c>
      <c r="H360" s="71">
        <v>2460964.6</v>
      </c>
      <c r="I360" s="102">
        <v>0</v>
      </c>
      <c r="J360" s="34" t="s">
        <v>128</v>
      </c>
      <c r="K360" s="34" t="s">
        <v>660</v>
      </c>
      <c r="L360" s="112"/>
    </row>
    <row r="361" spans="1:12" s="22" customFormat="1" ht="40.5" x14ac:dyDescent="0.25">
      <c r="A361" s="186" t="s">
        <v>2678</v>
      </c>
      <c r="B361" s="96" t="s">
        <v>681</v>
      </c>
      <c r="C361" s="32" t="s">
        <v>651</v>
      </c>
      <c r="D361" s="7" t="s">
        <v>43</v>
      </c>
      <c r="E361" s="41">
        <v>52</v>
      </c>
      <c r="F361" s="71">
        <v>118810.34</v>
      </c>
      <c r="G361" s="71">
        <v>0</v>
      </c>
      <c r="H361" s="71">
        <v>6178137.6799999997</v>
      </c>
      <c r="I361" s="102">
        <v>0</v>
      </c>
      <c r="J361" s="34" t="s">
        <v>128</v>
      </c>
      <c r="K361" s="34" t="s">
        <v>660</v>
      </c>
      <c r="L361" s="112"/>
    </row>
    <row r="362" spans="1:12" s="22" customFormat="1" ht="40.5" x14ac:dyDescent="0.25">
      <c r="A362" s="186" t="s">
        <v>2678</v>
      </c>
      <c r="B362" s="96" t="s">
        <v>682</v>
      </c>
      <c r="C362" s="32" t="s">
        <v>683</v>
      </c>
      <c r="D362" s="7" t="s">
        <v>43</v>
      </c>
      <c r="E362" s="41">
        <v>30</v>
      </c>
      <c r="F362" s="71">
        <v>117449.60000000001</v>
      </c>
      <c r="G362" s="71">
        <v>0</v>
      </c>
      <c r="H362" s="71">
        <v>3523488</v>
      </c>
      <c r="I362" s="102">
        <v>0</v>
      </c>
      <c r="J362" s="34" t="s">
        <v>128</v>
      </c>
      <c r="K362" s="34" t="s">
        <v>660</v>
      </c>
      <c r="L362" s="112"/>
    </row>
    <row r="363" spans="1:12" s="22" customFormat="1" ht="40.5" x14ac:dyDescent="0.25">
      <c r="A363" s="186" t="s">
        <v>2678</v>
      </c>
      <c r="B363" s="96" t="s">
        <v>684</v>
      </c>
      <c r="C363" s="32" t="s">
        <v>685</v>
      </c>
      <c r="D363" s="7" t="s">
        <v>43</v>
      </c>
      <c r="E363" s="41">
        <v>20</v>
      </c>
      <c r="F363" s="71">
        <v>107808.48</v>
      </c>
      <c r="G363" s="71">
        <v>0</v>
      </c>
      <c r="H363" s="71">
        <v>2156169.6</v>
      </c>
      <c r="I363" s="102">
        <v>0</v>
      </c>
      <c r="J363" s="34" t="s">
        <v>128</v>
      </c>
      <c r="K363" s="34" t="s">
        <v>660</v>
      </c>
      <c r="L363" s="112"/>
    </row>
    <row r="364" spans="1:12" s="22" customFormat="1" ht="40.5" x14ac:dyDescent="0.25">
      <c r="A364" s="186" t="s">
        <v>2678</v>
      </c>
      <c r="B364" s="96" t="s">
        <v>686</v>
      </c>
      <c r="C364" s="32" t="s">
        <v>687</v>
      </c>
      <c r="D364" s="7" t="s">
        <v>43</v>
      </c>
      <c r="E364" s="41">
        <v>20</v>
      </c>
      <c r="F364" s="71">
        <v>117302.37</v>
      </c>
      <c r="G364" s="71">
        <v>0</v>
      </c>
      <c r="H364" s="71">
        <v>2346047.4</v>
      </c>
      <c r="I364" s="102">
        <v>0</v>
      </c>
      <c r="J364" s="34" t="s">
        <v>128</v>
      </c>
      <c r="K364" s="34" t="s">
        <v>660</v>
      </c>
      <c r="L364" s="112"/>
    </row>
    <row r="365" spans="1:12" s="22" customFormat="1" ht="40.5" x14ac:dyDescent="0.25">
      <c r="A365" s="186" t="s">
        <v>2678</v>
      </c>
      <c r="B365" s="96" t="s">
        <v>688</v>
      </c>
      <c r="C365" s="32" t="s">
        <v>689</v>
      </c>
      <c r="D365" s="7" t="s">
        <v>43</v>
      </c>
      <c r="E365" s="41">
        <v>20</v>
      </c>
      <c r="F365" s="71">
        <v>121576.34</v>
      </c>
      <c r="G365" s="71">
        <v>0</v>
      </c>
      <c r="H365" s="71">
        <v>2431526.7999999998</v>
      </c>
      <c r="I365" s="102">
        <v>0</v>
      </c>
      <c r="J365" s="34" t="s">
        <v>128</v>
      </c>
      <c r="K365" s="34" t="s">
        <v>660</v>
      </c>
      <c r="L365" s="112"/>
    </row>
    <row r="366" spans="1:12" s="22" customFormat="1" ht="40.5" x14ac:dyDescent="0.25">
      <c r="A366" s="186" t="s">
        <v>2678</v>
      </c>
      <c r="B366" s="96" t="s">
        <v>690</v>
      </c>
      <c r="C366" s="32" t="s">
        <v>653</v>
      </c>
      <c r="D366" s="7" t="s">
        <v>43</v>
      </c>
      <c r="E366" s="41">
        <v>20</v>
      </c>
      <c r="F366" s="71">
        <v>152330.19</v>
      </c>
      <c r="G366" s="71">
        <v>0</v>
      </c>
      <c r="H366" s="71">
        <v>3046603.8</v>
      </c>
      <c r="I366" s="102">
        <v>0</v>
      </c>
      <c r="J366" s="34" t="s">
        <v>128</v>
      </c>
      <c r="K366" s="34" t="s">
        <v>660</v>
      </c>
      <c r="L366" s="112"/>
    </row>
    <row r="367" spans="1:12" s="22" customFormat="1" ht="40.5" x14ac:dyDescent="0.25">
      <c r="A367" s="186" t="s">
        <v>2678</v>
      </c>
      <c r="B367" s="96" t="s">
        <v>691</v>
      </c>
      <c r="C367" s="32" t="s">
        <v>692</v>
      </c>
      <c r="D367" s="7" t="s">
        <v>43</v>
      </c>
      <c r="E367" s="41">
        <v>20</v>
      </c>
      <c r="F367" s="71">
        <v>152889.41</v>
      </c>
      <c r="G367" s="71">
        <v>0</v>
      </c>
      <c r="H367" s="71">
        <v>3057788.2</v>
      </c>
      <c r="I367" s="102">
        <v>0</v>
      </c>
      <c r="J367" s="34" t="s">
        <v>128</v>
      </c>
      <c r="K367" s="34" t="s">
        <v>660</v>
      </c>
      <c r="L367" s="112"/>
    </row>
    <row r="368" spans="1:12" s="22" customFormat="1" ht="40.5" x14ac:dyDescent="0.25">
      <c r="A368" s="186" t="s">
        <v>2678</v>
      </c>
      <c r="B368" s="98" t="s">
        <v>693</v>
      </c>
      <c r="C368" s="32" t="s">
        <v>694</v>
      </c>
      <c r="D368" s="7" t="s">
        <v>43</v>
      </c>
      <c r="E368" s="41">
        <v>90</v>
      </c>
      <c r="F368" s="71">
        <v>139360.56</v>
      </c>
      <c r="G368" s="71">
        <v>0</v>
      </c>
      <c r="H368" s="71">
        <v>12542450.4</v>
      </c>
      <c r="I368" s="102">
        <v>0</v>
      </c>
      <c r="J368" s="34" t="s">
        <v>128</v>
      </c>
      <c r="K368" s="34" t="s">
        <v>660</v>
      </c>
      <c r="L368" s="112"/>
    </row>
    <row r="369" spans="1:12" s="22" customFormat="1" ht="40.5" x14ac:dyDescent="0.25">
      <c r="A369" s="186" t="s">
        <v>2678</v>
      </c>
      <c r="B369" s="96" t="s">
        <v>695</v>
      </c>
      <c r="C369" s="32" t="s">
        <v>696</v>
      </c>
      <c r="D369" s="7" t="s">
        <v>43</v>
      </c>
      <c r="E369" s="41">
        <v>20</v>
      </c>
      <c r="F369" s="71">
        <v>129808.51</v>
      </c>
      <c r="G369" s="71">
        <v>0</v>
      </c>
      <c r="H369" s="71">
        <v>2596170.1999999997</v>
      </c>
      <c r="I369" s="102">
        <v>0</v>
      </c>
      <c r="J369" s="34" t="s">
        <v>128</v>
      </c>
      <c r="K369" s="34" t="s">
        <v>660</v>
      </c>
      <c r="L369" s="112"/>
    </row>
    <row r="370" spans="1:12" s="22" customFormat="1" ht="40.5" x14ac:dyDescent="0.25">
      <c r="A370" s="186" t="s">
        <v>2678</v>
      </c>
      <c r="B370" s="97" t="s">
        <v>697</v>
      </c>
      <c r="C370" s="32" t="s">
        <v>698</v>
      </c>
      <c r="D370" s="7" t="s">
        <v>43</v>
      </c>
      <c r="E370" s="41">
        <v>20</v>
      </c>
      <c r="F370" s="71">
        <v>149691.01</v>
      </c>
      <c r="G370" s="71">
        <v>0</v>
      </c>
      <c r="H370" s="71">
        <v>2993820.2</v>
      </c>
      <c r="I370" s="102">
        <v>0</v>
      </c>
      <c r="J370" s="34" t="s">
        <v>128</v>
      </c>
      <c r="K370" s="34" t="s">
        <v>660</v>
      </c>
      <c r="L370" s="112"/>
    </row>
    <row r="371" spans="1:12" s="22" customFormat="1" ht="40.5" x14ac:dyDescent="0.25">
      <c r="A371" s="186" t="s">
        <v>2678</v>
      </c>
      <c r="B371" s="96" t="s">
        <v>699</v>
      </c>
      <c r="C371" s="32" t="s">
        <v>700</v>
      </c>
      <c r="D371" s="7" t="s">
        <v>43</v>
      </c>
      <c r="E371" s="41">
        <v>160</v>
      </c>
      <c r="F371" s="71">
        <v>98456.28</v>
      </c>
      <c r="G371" s="71">
        <v>0</v>
      </c>
      <c r="H371" s="71">
        <v>15753004.800000001</v>
      </c>
      <c r="I371" s="102">
        <v>0</v>
      </c>
      <c r="J371" s="34" t="s">
        <v>128</v>
      </c>
      <c r="K371" s="34" t="s">
        <v>660</v>
      </c>
      <c r="L371" s="112"/>
    </row>
    <row r="372" spans="1:12" s="22" customFormat="1" ht="40.5" x14ac:dyDescent="0.25">
      <c r="A372" s="186" t="s">
        <v>2678</v>
      </c>
      <c r="B372" s="96" t="s">
        <v>701</v>
      </c>
      <c r="C372" s="32" t="s">
        <v>702</v>
      </c>
      <c r="D372" s="7" t="s">
        <v>43</v>
      </c>
      <c r="E372" s="41">
        <v>160</v>
      </c>
      <c r="F372" s="71">
        <v>89231.88</v>
      </c>
      <c r="G372" s="71">
        <v>0</v>
      </c>
      <c r="H372" s="71">
        <v>14277100.800000001</v>
      </c>
      <c r="I372" s="102">
        <v>0</v>
      </c>
      <c r="J372" s="34" t="s">
        <v>128</v>
      </c>
      <c r="K372" s="34" t="s">
        <v>660</v>
      </c>
      <c r="L372" s="112"/>
    </row>
    <row r="373" spans="1:12" s="22" customFormat="1" ht="40.5" x14ac:dyDescent="0.25">
      <c r="A373" s="186" t="s">
        <v>2678</v>
      </c>
      <c r="B373" s="96" t="s">
        <v>703</v>
      </c>
      <c r="C373" s="32" t="s">
        <v>704</v>
      </c>
      <c r="D373" s="7" t="s">
        <v>43</v>
      </c>
      <c r="E373" s="41">
        <v>140</v>
      </c>
      <c r="F373" s="71">
        <v>94094.35</v>
      </c>
      <c r="G373" s="71">
        <v>0</v>
      </c>
      <c r="H373" s="71">
        <v>13173209</v>
      </c>
      <c r="I373" s="102">
        <v>0</v>
      </c>
      <c r="J373" s="34" t="s">
        <v>128</v>
      </c>
      <c r="K373" s="34" t="s">
        <v>660</v>
      </c>
      <c r="L373" s="112"/>
    </row>
    <row r="374" spans="1:12" s="22" customFormat="1" ht="40.5" x14ac:dyDescent="0.25">
      <c r="A374" s="186" t="s">
        <v>2678</v>
      </c>
      <c r="B374" s="96" t="s">
        <v>705</v>
      </c>
      <c r="C374" s="32" t="s">
        <v>706</v>
      </c>
      <c r="D374" s="7" t="s">
        <v>43</v>
      </c>
      <c r="E374" s="41">
        <v>120</v>
      </c>
      <c r="F374" s="71">
        <v>109160.66</v>
      </c>
      <c r="G374" s="71">
        <v>0</v>
      </c>
      <c r="H374" s="71">
        <v>13099279.200000001</v>
      </c>
      <c r="I374" s="102">
        <v>0</v>
      </c>
      <c r="J374" s="34" t="s">
        <v>128</v>
      </c>
      <c r="K374" s="34" t="s">
        <v>660</v>
      </c>
      <c r="L374" s="112"/>
    </row>
    <row r="375" spans="1:12" s="22" customFormat="1" ht="40.5" x14ac:dyDescent="0.25">
      <c r="A375" s="186" t="s">
        <v>2678</v>
      </c>
      <c r="B375" s="96" t="s">
        <v>707</v>
      </c>
      <c r="C375" s="32" t="s">
        <v>708</v>
      </c>
      <c r="D375" s="7" t="s">
        <v>43</v>
      </c>
      <c r="E375" s="41">
        <v>78</v>
      </c>
      <c r="F375" s="71">
        <v>86893.65</v>
      </c>
      <c r="G375" s="71">
        <v>0</v>
      </c>
      <c r="H375" s="71">
        <v>6777704.6999999993</v>
      </c>
      <c r="I375" s="102">
        <v>0</v>
      </c>
      <c r="J375" s="34" t="s">
        <v>128</v>
      </c>
      <c r="K375" s="34" t="s">
        <v>660</v>
      </c>
      <c r="L375" s="112"/>
    </row>
    <row r="376" spans="1:12" s="22" customFormat="1" ht="40.5" x14ac:dyDescent="0.25">
      <c r="A376" s="186" t="s">
        <v>2678</v>
      </c>
      <c r="B376" s="96" t="s">
        <v>709</v>
      </c>
      <c r="C376" s="32" t="s">
        <v>710</v>
      </c>
      <c r="D376" s="7" t="s">
        <v>43</v>
      </c>
      <c r="E376" s="41">
        <v>160</v>
      </c>
      <c r="F376" s="71">
        <v>88509</v>
      </c>
      <c r="G376" s="71">
        <v>0</v>
      </c>
      <c r="H376" s="71">
        <v>14161440</v>
      </c>
      <c r="I376" s="102">
        <v>0</v>
      </c>
      <c r="J376" s="34" t="s">
        <v>128</v>
      </c>
      <c r="K376" s="34" t="s">
        <v>660</v>
      </c>
      <c r="L376" s="112"/>
    </row>
    <row r="377" spans="1:12" s="22" customFormat="1" ht="40.5" x14ac:dyDescent="0.25">
      <c r="A377" s="186" t="s">
        <v>2678</v>
      </c>
      <c r="B377" s="96" t="s">
        <v>711</v>
      </c>
      <c r="C377" s="32" t="s">
        <v>712</v>
      </c>
      <c r="D377" s="7" t="s">
        <v>43</v>
      </c>
      <c r="E377" s="41">
        <v>20</v>
      </c>
      <c r="F377" s="71">
        <v>85049.91</v>
      </c>
      <c r="G377" s="71">
        <v>0</v>
      </c>
      <c r="H377" s="71">
        <v>1700998.2000000002</v>
      </c>
      <c r="I377" s="102">
        <v>0</v>
      </c>
      <c r="J377" s="34" t="s">
        <v>128</v>
      </c>
      <c r="K377" s="34" t="s">
        <v>660</v>
      </c>
      <c r="L377" s="112"/>
    </row>
    <row r="378" spans="1:12" s="22" customFormat="1" ht="40.5" x14ac:dyDescent="0.25">
      <c r="A378" s="186" t="s">
        <v>2678</v>
      </c>
      <c r="B378" s="98" t="s">
        <v>713</v>
      </c>
      <c r="C378" s="32" t="s">
        <v>714</v>
      </c>
      <c r="D378" s="7" t="s">
        <v>43</v>
      </c>
      <c r="E378" s="41">
        <v>198</v>
      </c>
      <c r="F378" s="71">
        <v>86014.1</v>
      </c>
      <c r="G378" s="71">
        <v>0</v>
      </c>
      <c r="H378" s="71">
        <v>17030791.800000001</v>
      </c>
      <c r="I378" s="102">
        <v>0</v>
      </c>
      <c r="J378" s="34" t="s">
        <v>128</v>
      </c>
      <c r="K378" s="34" t="s">
        <v>660</v>
      </c>
      <c r="L378" s="112"/>
    </row>
    <row r="379" spans="1:12" s="22" customFormat="1" ht="40.5" x14ac:dyDescent="0.25">
      <c r="A379" s="186" t="s">
        <v>2678</v>
      </c>
      <c r="B379" s="96" t="s">
        <v>715</v>
      </c>
      <c r="C379" s="32" t="s">
        <v>716</v>
      </c>
      <c r="D379" s="7" t="s">
        <v>43</v>
      </c>
      <c r="E379" s="41">
        <v>100</v>
      </c>
      <c r="F379" s="71">
        <v>83129.97</v>
      </c>
      <c r="G379" s="71">
        <v>0</v>
      </c>
      <c r="H379" s="71">
        <v>8312997</v>
      </c>
      <c r="I379" s="102">
        <v>0</v>
      </c>
      <c r="J379" s="34" t="s">
        <v>128</v>
      </c>
      <c r="K379" s="34" t="s">
        <v>660</v>
      </c>
      <c r="L379" s="112"/>
    </row>
    <row r="380" spans="1:12" s="22" customFormat="1" ht="40.5" x14ac:dyDescent="0.25">
      <c r="A380" s="186" t="s">
        <v>2678</v>
      </c>
      <c r="B380" s="97" t="s">
        <v>717</v>
      </c>
      <c r="C380" s="32" t="s">
        <v>718</v>
      </c>
      <c r="D380" s="7" t="s">
        <v>43</v>
      </c>
      <c r="E380" s="41">
        <v>90</v>
      </c>
      <c r="F380" s="71">
        <v>93254.35</v>
      </c>
      <c r="G380" s="71">
        <v>0</v>
      </c>
      <c r="H380" s="71">
        <v>8392891.5</v>
      </c>
      <c r="I380" s="102">
        <v>0</v>
      </c>
      <c r="J380" s="34" t="s">
        <v>128</v>
      </c>
      <c r="K380" s="34" t="s">
        <v>660</v>
      </c>
      <c r="L380" s="112"/>
    </row>
    <row r="381" spans="1:12" s="22" customFormat="1" ht="40.5" x14ac:dyDescent="0.25">
      <c r="A381" s="186" t="s">
        <v>2678</v>
      </c>
      <c r="B381" s="96" t="s">
        <v>719</v>
      </c>
      <c r="C381" s="32" t="s">
        <v>720</v>
      </c>
      <c r="D381" s="7" t="s">
        <v>43</v>
      </c>
      <c r="E381" s="41">
        <v>136</v>
      </c>
      <c r="F381" s="71">
        <v>85312.56</v>
      </c>
      <c r="G381" s="71">
        <v>0</v>
      </c>
      <c r="H381" s="71">
        <v>11602508.16</v>
      </c>
      <c r="I381" s="102">
        <v>0</v>
      </c>
      <c r="J381" s="34" t="s">
        <v>128</v>
      </c>
      <c r="K381" s="34" t="s">
        <v>660</v>
      </c>
      <c r="L381" s="112"/>
    </row>
    <row r="382" spans="1:12" s="22" customFormat="1" ht="40.5" x14ac:dyDescent="0.25">
      <c r="A382" s="186" t="s">
        <v>2678</v>
      </c>
      <c r="B382" s="96" t="s">
        <v>721</v>
      </c>
      <c r="C382" s="32" t="s">
        <v>722</v>
      </c>
      <c r="D382" s="7" t="s">
        <v>43</v>
      </c>
      <c r="E382" s="41">
        <v>184</v>
      </c>
      <c r="F382" s="71">
        <v>86306.28</v>
      </c>
      <c r="G382" s="71">
        <v>0</v>
      </c>
      <c r="H382" s="71">
        <v>15880355.52</v>
      </c>
      <c r="I382" s="102">
        <v>0</v>
      </c>
      <c r="J382" s="34" t="s">
        <v>128</v>
      </c>
      <c r="K382" s="34" t="s">
        <v>660</v>
      </c>
      <c r="L382" s="112"/>
    </row>
    <row r="383" spans="1:12" s="22" customFormat="1" ht="40.5" x14ac:dyDescent="0.25">
      <c r="A383" s="186" t="s">
        <v>2678</v>
      </c>
      <c r="B383" s="96" t="s">
        <v>723</v>
      </c>
      <c r="C383" s="32" t="s">
        <v>724</v>
      </c>
      <c r="D383" s="7" t="s">
        <v>43</v>
      </c>
      <c r="E383" s="41">
        <v>168</v>
      </c>
      <c r="F383" s="71">
        <v>87960.77</v>
      </c>
      <c r="G383" s="71">
        <v>0</v>
      </c>
      <c r="H383" s="71">
        <v>14777409.360000001</v>
      </c>
      <c r="I383" s="102">
        <v>0</v>
      </c>
      <c r="J383" s="34" t="s">
        <v>128</v>
      </c>
      <c r="K383" s="34" t="s">
        <v>660</v>
      </c>
      <c r="L383" s="112"/>
    </row>
    <row r="384" spans="1:12" s="22" customFormat="1" ht="40.5" x14ac:dyDescent="0.25">
      <c r="A384" s="186" t="s">
        <v>2678</v>
      </c>
      <c r="B384" s="96" t="s">
        <v>725</v>
      </c>
      <c r="C384" s="32" t="s">
        <v>726</v>
      </c>
      <c r="D384" s="7" t="s">
        <v>43</v>
      </c>
      <c r="E384" s="41">
        <v>74</v>
      </c>
      <c r="F384" s="71">
        <v>87042.33</v>
      </c>
      <c r="G384" s="71">
        <v>0</v>
      </c>
      <c r="H384" s="71">
        <v>6441132.4199999999</v>
      </c>
      <c r="I384" s="102">
        <v>0</v>
      </c>
      <c r="J384" s="34" t="s">
        <v>128</v>
      </c>
      <c r="K384" s="34" t="s">
        <v>660</v>
      </c>
      <c r="L384" s="112"/>
    </row>
    <row r="385" spans="1:12" s="22" customFormat="1" ht="40.5" x14ac:dyDescent="0.25">
      <c r="A385" s="186" t="s">
        <v>2678</v>
      </c>
      <c r="B385" s="96" t="s">
        <v>727</v>
      </c>
      <c r="C385" s="32" t="s">
        <v>728</v>
      </c>
      <c r="D385" s="7" t="s">
        <v>43</v>
      </c>
      <c r="E385" s="41">
        <v>76</v>
      </c>
      <c r="F385" s="71">
        <v>80217.5</v>
      </c>
      <c r="G385" s="71">
        <v>0</v>
      </c>
      <c r="H385" s="71">
        <v>6096530</v>
      </c>
      <c r="I385" s="102">
        <v>0</v>
      </c>
      <c r="J385" s="34" t="s">
        <v>128</v>
      </c>
      <c r="K385" s="34" t="s">
        <v>660</v>
      </c>
      <c r="L385" s="112"/>
    </row>
    <row r="386" spans="1:12" s="22" customFormat="1" ht="40.5" x14ac:dyDescent="0.25">
      <c r="A386" s="186" t="s">
        <v>2678</v>
      </c>
      <c r="B386" s="96" t="s">
        <v>729</v>
      </c>
      <c r="C386" s="32" t="s">
        <v>730</v>
      </c>
      <c r="D386" s="7" t="s">
        <v>43</v>
      </c>
      <c r="E386" s="41">
        <v>20</v>
      </c>
      <c r="F386" s="71">
        <v>90428.19</v>
      </c>
      <c r="G386" s="71">
        <v>0</v>
      </c>
      <c r="H386" s="71">
        <v>1808563.8</v>
      </c>
      <c r="I386" s="102">
        <v>0</v>
      </c>
      <c r="J386" s="34" t="s">
        <v>128</v>
      </c>
      <c r="K386" s="34" t="s">
        <v>660</v>
      </c>
      <c r="L386" s="112"/>
    </row>
    <row r="387" spans="1:12" s="22" customFormat="1" ht="40.5" x14ac:dyDescent="0.25">
      <c r="A387" s="186" t="s">
        <v>2678</v>
      </c>
      <c r="B387" s="96" t="s">
        <v>731</v>
      </c>
      <c r="C387" s="32" t="s">
        <v>732</v>
      </c>
      <c r="D387" s="7" t="s">
        <v>43</v>
      </c>
      <c r="E387" s="41">
        <v>100</v>
      </c>
      <c r="F387" s="71">
        <v>91240.43</v>
      </c>
      <c r="G387" s="71">
        <v>0</v>
      </c>
      <c r="H387" s="71">
        <v>9124043</v>
      </c>
      <c r="I387" s="102">
        <v>0</v>
      </c>
      <c r="J387" s="34" t="s">
        <v>128</v>
      </c>
      <c r="K387" s="34" t="s">
        <v>660</v>
      </c>
      <c r="L387" s="112"/>
    </row>
    <row r="388" spans="1:12" s="22" customFormat="1" ht="40.5" x14ac:dyDescent="0.25">
      <c r="A388" s="186" t="s">
        <v>2678</v>
      </c>
      <c r="B388" s="96" t="s">
        <v>733</v>
      </c>
      <c r="C388" s="32" t="s">
        <v>734</v>
      </c>
      <c r="D388" s="7" t="s">
        <v>43</v>
      </c>
      <c r="E388" s="41">
        <v>20</v>
      </c>
      <c r="F388" s="71">
        <v>84837.99</v>
      </c>
      <c r="G388" s="71">
        <v>0</v>
      </c>
      <c r="H388" s="71">
        <v>1696759.8</v>
      </c>
      <c r="I388" s="102">
        <v>0</v>
      </c>
      <c r="J388" s="34" t="s">
        <v>128</v>
      </c>
      <c r="K388" s="34" t="s">
        <v>660</v>
      </c>
      <c r="L388" s="112"/>
    </row>
    <row r="389" spans="1:12" s="22" customFormat="1" ht="40.5" x14ac:dyDescent="0.25">
      <c r="A389" s="186" t="s">
        <v>2678</v>
      </c>
      <c r="B389" s="96" t="s">
        <v>735</v>
      </c>
      <c r="C389" s="32" t="s">
        <v>736</v>
      </c>
      <c r="D389" s="7" t="s">
        <v>43</v>
      </c>
      <c r="E389" s="41">
        <v>30</v>
      </c>
      <c r="F389" s="71">
        <v>76160.789999999994</v>
      </c>
      <c r="G389" s="71">
        <v>0</v>
      </c>
      <c r="H389" s="71">
        <v>2284823.6999999997</v>
      </c>
      <c r="I389" s="102">
        <v>0</v>
      </c>
      <c r="J389" s="34" t="s">
        <v>128</v>
      </c>
      <c r="K389" s="34" t="s">
        <v>660</v>
      </c>
      <c r="L389" s="112"/>
    </row>
    <row r="390" spans="1:12" s="22" customFormat="1" ht="40.5" x14ac:dyDescent="0.25">
      <c r="A390" s="186" t="s">
        <v>2678</v>
      </c>
      <c r="B390" s="99" t="s">
        <v>737</v>
      </c>
      <c r="C390" s="32" t="s">
        <v>738</v>
      </c>
      <c r="D390" s="7" t="s">
        <v>43</v>
      </c>
      <c r="E390" s="41">
        <v>110</v>
      </c>
      <c r="F390" s="71">
        <v>91459.06</v>
      </c>
      <c r="G390" s="71">
        <v>0</v>
      </c>
      <c r="H390" s="71">
        <v>10060496.6</v>
      </c>
      <c r="I390" s="102">
        <v>0</v>
      </c>
      <c r="J390" s="34" t="s">
        <v>128</v>
      </c>
      <c r="K390" s="34" t="s">
        <v>660</v>
      </c>
      <c r="L390" s="112"/>
    </row>
    <row r="391" spans="1:12" s="22" customFormat="1" ht="40.5" x14ac:dyDescent="0.25">
      <c r="A391" s="186" t="s">
        <v>2678</v>
      </c>
      <c r="B391" s="96" t="s">
        <v>739</v>
      </c>
      <c r="C391" s="32" t="s">
        <v>740</v>
      </c>
      <c r="D391" s="7" t="s">
        <v>43</v>
      </c>
      <c r="E391" s="41">
        <v>64</v>
      </c>
      <c r="F391" s="71">
        <v>75179.199999999997</v>
      </c>
      <c r="G391" s="71">
        <v>0</v>
      </c>
      <c r="H391" s="71">
        <v>4811468.7999999998</v>
      </c>
      <c r="I391" s="102">
        <v>0</v>
      </c>
      <c r="J391" s="34" t="s">
        <v>128</v>
      </c>
      <c r="K391" s="34" t="s">
        <v>660</v>
      </c>
      <c r="L391" s="112"/>
    </row>
    <row r="392" spans="1:12" s="22" customFormat="1" ht="40.5" x14ac:dyDescent="0.25">
      <c r="A392" s="186" t="s">
        <v>2678</v>
      </c>
      <c r="B392" s="96" t="s">
        <v>741</v>
      </c>
      <c r="C392" s="32" t="s">
        <v>742</v>
      </c>
      <c r="D392" s="7" t="s">
        <v>43</v>
      </c>
      <c r="E392" s="41">
        <v>178</v>
      </c>
      <c r="F392" s="71">
        <v>81683.88</v>
      </c>
      <c r="G392" s="71">
        <v>0</v>
      </c>
      <c r="H392" s="71">
        <v>14539730.640000001</v>
      </c>
      <c r="I392" s="102">
        <v>0</v>
      </c>
      <c r="J392" s="34" t="s">
        <v>128</v>
      </c>
      <c r="K392" s="34" t="s">
        <v>660</v>
      </c>
      <c r="L392" s="112"/>
    </row>
    <row r="393" spans="1:12" s="22" customFormat="1" ht="27" x14ac:dyDescent="0.25">
      <c r="A393" s="186" t="s">
        <v>2678</v>
      </c>
      <c r="B393" s="96"/>
      <c r="C393" s="34" t="s">
        <v>743</v>
      </c>
      <c r="D393" s="7"/>
      <c r="E393" s="41"/>
      <c r="F393" s="71"/>
      <c r="G393" s="71"/>
      <c r="H393" s="71"/>
      <c r="I393" s="102"/>
      <c r="J393" s="34" t="s">
        <v>128</v>
      </c>
      <c r="K393" s="74"/>
      <c r="L393" s="112"/>
    </row>
    <row r="394" spans="1:12" s="22" customFormat="1" ht="54" x14ac:dyDescent="0.25">
      <c r="A394" s="186" t="s">
        <v>2678</v>
      </c>
      <c r="B394" s="96" t="s">
        <v>744</v>
      </c>
      <c r="C394" s="32" t="s">
        <v>745</v>
      </c>
      <c r="D394" s="7" t="s">
        <v>43</v>
      </c>
      <c r="E394" s="41">
        <v>132</v>
      </c>
      <c r="F394" s="71">
        <v>64499.89</v>
      </c>
      <c r="G394" s="71">
        <v>0</v>
      </c>
      <c r="H394" s="71">
        <v>8513985.4800000004</v>
      </c>
      <c r="I394" s="102">
        <v>0</v>
      </c>
      <c r="J394" s="34" t="s">
        <v>128</v>
      </c>
      <c r="K394" s="34" t="s">
        <v>743</v>
      </c>
      <c r="L394" s="112"/>
    </row>
    <row r="395" spans="1:12" s="22" customFormat="1" ht="54" x14ac:dyDescent="0.25">
      <c r="A395" s="186" t="s">
        <v>2678</v>
      </c>
      <c r="B395" s="96" t="s">
        <v>746</v>
      </c>
      <c r="C395" s="32" t="s">
        <v>747</v>
      </c>
      <c r="D395" s="7" t="s">
        <v>43</v>
      </c>
      <c r="E395" s="41">
        <v>76</v>
      </c>
      <c r="F395" s="71">
        <v>73181.759999999995</v>
      </c>
      <c r="G395" s="71">
        <v>0</v>
      </c>
      <c r="H395" s="71">
        <v>5561813.7599999998</v>
      </c>
      <c r="I395" s="102">
        <v>0</v>
      </c>
      <c r="J395" s="34" t="s">
        <v>128</v>
      </c>
      <c r="K395" s="34" t="s">
        <v>743</v>
      </c>
      <c r="L395" s="112"/>
    </row>
    <row r="396" spans="1:12" s="22" customFormat="1" ht="54" x14ac:dyDescent="0.25">
      <c r="A396" s="186" t="s">
        <v>2678</v>
      </c>
      <c r="B396" s="96" t="s">
        <v>748</v>
      </c>
      <c r="C396" s="32" t="s">
        <v>749</v>
      </c>
      <c r="D396" s="7" t="s">
        <v>43</v>
      </c>
      <c r="E396" s="41">
        <v>84</v>
      </c>
      <c r="F396" s="71">
        <v>63658.3</v>
      </c>
      <c r="G396" s="71">
        <v>0</v>
      </c>
      <c r="H396" s="71">
        <v>5347297.2</v>
      </c>
      <c r="I396" s="102">
        <v>0</v>
      </c>
      <c r="J396" s="34" t="s">
        <v>128</v>
      </c>
      <c r="K396" s="34" t="s">
        <v>743</v>
      </c>
      <c r="L396" s="112"/>
    </row>
    <row r="397" spans="1:12" s="22" customFormat="1" ht="54" x14ac:dyDescent="0.25">
      <c r="A397" s="186" t="s">
        <v>2678</v>
      </c>
      <c r="B397" s="98" t="s">
        <v>750</v>
      </c>
      <c r="C397" s="32" t="s">
        <v>751</v>
      </c>
      <c r="D397" s="7" t="s">
        <v>43</v>
      </c>
      <c r="E397" s="41">
        <v>76</v>
      </c>
      <c r="F397" s="71">
        <v>73155.78</v>
      </c>
      <c r="G397" s="71">
        <v>0</v>
      </c>
      <c r="H397" s="71">
        <v>5559839.2800000003</v>
      </c>
      <c r="I397" s="102">
        <v>0</v>
      </c>
      <c r="J397" s="34" t="s">
        <v>128</v>
      </c>
      <c r="K397" s="34" t="s">
        <v>743</v>
      </c>
      <c r="L397" s="112"/>
    </row>
    <row r="398" spans="1:12" s="22" customFormat="1" ht="54" x14ac:dyDescent="0.25">
      <c r="A398" s="186" t="s">
        <v>2678</v>
      </c>
      <c r="B398" s="96" t="s">
        <v>752</v>
      </c>
      <c r="C398" s="32" t="s">
        <v>753</v>
      </c>
      <c r="D398" s="7" t="s">
        <v>43</v>
      </c>
      <c r="E398" s="41">
        <v>98</v>
      </c>
      <c r="F398" s="71">
        <v>63587.51</v>
      </c>
      <c r="G398" s="71">
        <v>0</v>
      </c>
      <c r="H398" s="71">
        <v>6231575.9800000004</v>
      </c>
      <c r="I398" s="102">
        <v>0</v>
      </c>
      <c r="J398" s="34" t="s">
        <v>128</v>
      </c>
      <c r="K398" s="34" t="s">
        <v>743</v>
      </c>
      <c r="L398" s="112"/>
    </row>
    <row r="399" spans="1:12" s="22" customFormat="1" ht="54" x14ac:dyDescent="0.25">
      <c r="A399" s="186" t="s">
        <v>2678</v>
      </c>
      <c r="B399" s="96" t="s">
        <v>754</v>
      </c>
      <c r="C399" s="32" t="s">
        <v>755</v>
      </c>
      <c r="D399" s="7" t="s">
        <v>43</v>
      </c>
      <c r="E399" s="41">
        <v>82</v>
      </c>
      <c r="F399" s="71">
        <v>68924.39</v>
      </c>
      <c r="G399" s="71">
        <v>0</v>
      </c>
      <c r="H399" s="71">
        <v>5651799.9799999995</v>
      </c>
      <c r="I399" s="102">
        <v>0</v>
      </c>
      <c r="J399" s="34" t="s">
        <v>128</v>
      </c>
      <c r="K399" s="34" t="s">
        <v>743</v>
      </c>
      <c r="L399" s="112"/>
    </row>
    <row r="400" spans="1:12" s="22" customFormat="1" ht="54" x14ac:dyDescent="0.25">
      <c r="A400" s="186" t="s">
        <v>2678</v>
      </c>
      <c r="B400" s="100" t="s">
        <v>756</v>
      </c>
      <c r="C400" s="32" t="s">
        <v>757</v>
      </c>
      <c r="D400" s="7" t="s">
        <v>43</v>
      </c>
      <c r="E400" s="41">
        <v>64</v>
      </c>
      <c r="F400" s="71">
        <v>70326.23</v>
      </c>
      <c r="G400" s="71">
        <v>0</v>
      </c>
      <c r="H400" s="71">
        <v>4500878.72</v>
      </c>
      <c r="I400" s="102">
        <v>0</v>
      </c>
      <c r="J400" s="34" t="s">
        <v>128</v>
      </c>
      <c r="K400" s="34" t="s">
        <v>743</v>
      </c>
      <c r="L400" s="112"/>
    </row>
    <row r="401" spans="1:12" s="22" customFormat="1" ht="54" x14ac:dyDescent="0.25">
      <c r="A401" s="186" t="s">
        <v>2678</v>
      </c>
      <c r="B401" s="96" t="s">
        <v>758</v>
      </c>
      <c r="C401" s="32" t="s">
        <v>759</v>
      </c>
      <c r="D401" s="7" t="s">
        <v>43</v>
      </c>
      <c r="E401" s="41">
        <v>78</v>
      </c>
      <c r="F401" s="71">
        <v>66989.740000000005</v>
      </c>
      <c r="G401" s="71">
        <v>0</v>
      </c>
      <c r="H401" s="71">
        <v>5225199.7200000007</v>
      </c>
      <c r="I401" s="102">
        <v>0</v>
      </c>
      <c r="J401" s="34" t="s">
        <v>128</v>
      </c>
      <c r="K401" s="34" t="s">
        <v>743</v>
      </c>
      <c r="L401" s="112"/>
    </row>
    <row r="402" spans="1:12" s="22" customFormat="1" ht="54" x14ac:dyDescent="0.25">
      <c r="A402" s="186" t="s">
        <v>2678</v>
      </c>
      <c r="B402" s="96" t="s">
        <v>760</v>
      </c>
      <c r="C402" s="32" t="s">
        <v>761</v>
      </c>
      <c r="D402" s="7" t="s">
        <v>43</v>
      </c>
      <c r="E402" s="41">
        <v>122</v>
      </c>
      <c r="F402" s="71">
        <v>61305.8</v>
      </c>
      <c r="G402" s="71">
        <v>0</v>
      </c>
      <c r="H402" s="71">
        <v>7479307.6000000006</v>
      </c>
      <c r="I402" s="102">
        <v>0</v>
      </c>
      <c r="J402" s="34" t="s">
        <v>128</v>
      </c>
      <c r="K402" s="34" t="s">
        <v>743</v>
      </c>
      <c r="L402" s="112"/>
    </row>
    <row r="403" spans="1:12" s="22" customFormat="1" ht="54" x14ac:dyDescent="0.25">
      <c r="A403" s="186" t="s">
        <v>2678</v>
      </c>
      <c r="B403" s="96" t="s">
        <v>762</v>
      </c>
      <c r="C403" s="32" t="s">
        <v>763</v>
      </c>
      <c r="D403" s="7" t="s">
        <v>43</v>
      </c>
      <c r="E403" s="41">
        <v>140</v>
      </c>
      <c r="F403" s="71">
        <v>64986.76</v>
      </c>
      <c r="G403" s="71">
        <v>0</v>
      </c>
      <c r="H403" s="71">
        <v>9098146.4000000004</v>
      </c>
      <c r="I403" s="102">
        <v>0</v>
      </c>
      <c r="J403" s="34" t="s">
        <v>128</v>
      </c>
      <c r="K403" s="34" t="s">
        <v>743</v>
      </c>
      <c r="L403" s="112"/>
    </row>
    <row r="404" spans="1:12" s="22" customFormat="1" ht="54" x14ac:dyDescent="0.25">
      <c r="A404" s="186" t="s">
        <v>2678</v>
      </c>
      <c r="B404" s="96" t="s">
        <v>764</v>
      </c>
      <c r="C404" s="32" t="s">
        <v>765</v>
      </c>
      <c r="D404" s="7" t="s">
        <v>43</v>
      </c>
      <c r="E404" s="41">
        <v>100</v>
      </c>
      <c r="F404" s="71">
        <v>73391.5</v>
      </c>
      <c r="G404" s="71">
        <v>0</v>
      </c>
      <c r="H404" s="71">
        <v>7339150</v>
      </c>
      <c r="I404" s="102">
        <v>0</v>
      </c>
      <c r="J404" s="34" t="s">
        <v>128</v>
      </c>
      <c r="K404" s="34" t="s">
        <v>743</v>
      </c>
      <c r="L404" s="112"/>
    </row>
    <row r="405" spans="1:12" s="22" customFormat="1" ht="40.5" x14ac:dyDescent="0.25">
      <c r="A405" s="186" t="s">
        <v>2678</v>
      </c>
      <c r="B405" s="96"/>
      <c r="C405" s="34" t="s">
        <v>766</v>
      </c>
      <c r="D405" s="7"/>
      <c r="E405" s="41"/>
      <c r="F405" s="71"/>
      <c r="G405" s="71"/>
      <c r="H405" s="71"/>
      <c r="I405" s="102"/>
      <c r="J405" s="34" t="s">
        <v>128</v>
      </c>
      <c r="K405" s="74"/>
      <c r="L405" s="112"/>
    </row>
    <row r="406" spans="1:12" s="22" customFormat="1" ht="67.5" x14ac:dyDescent="0.25">
      <c r="A406" s="186" t="s">
        <v>2678</v>
      </c>
      <c r="B406" s="96" t="s">
        <v>767</v>
      </c>
      <c r="C406" s="32" t="s">
        <v>768</v>
      </c>
      <c r="D406" s="7" t="s">
        <v>43</v>
      </c>
      <c r="E406" s="41">
        <v>110</v>
      </c>
      <c r="F406" s="71">
        <v>65937.59</v>
      </c>
      <c r="G406" s="71">
        <v>0</v>
      </c>
      <c r="H406" s="71">
        <v>7253134.8999999994</v>
      </c>
      <c r="I406" s="102">
        <v>0</v>
      </c>
      <c r="J406" s="34" t="s">
        <v>128</v>
      </c>
      <c r="K406" s="34" t="s">
        <v>766</v>
      </c>
      <c r="L406" s="112"/>
    </row>
    <row r="407" spans="1:12" s="22" customFormat="1" ht="67.5" x14ac:dyDescent="0.25">
      <c r="A407" s="186" t="s">
        <v>2678</v>
      </c>
      <c r="B407" s="96" t="s">
        <v>769</v>
      </c>
      <c r="C407" s="32" t="s">
        <v>770</v>
      </c>
      <c r="D407" s="7" t="s">
        <v>43</v>
      </c>
      <c r="E407" s="41">
        <v>64</v>
      </c>
      <c r="F407" s="71">
        <v>75594.11</v>
      </c>
      <c r="G407" s="71">
        <v>0</v>
      </c>
      <c r="H407" s="71">
        <v>4838023.04</v>
      </c>
      <c r="I407" s="102">
        <v>0</v>
      </c>
      <c r="J407" s="34" t="s">
        <v>128</v>
      </c>
      <c r="K407" s="34" t="s">
        <v>766</v>
      </c>
      <c r="L407" s="112"/>
    </row>
    <row r="408" spans="1:12" s="22" customFormat="1" ht="67.5" x14ac:dyDescent="0.25">
      <c r="A408" s="186" t="s">
        <v>2678</v>
      </c>
      <c r="B408" s="96" t="s">
        <v>771</v>
      </c>
      <c r="C408" s="32" t="s">
        <v>772</v>
      </c>
      <c r="D408" s="7" t="s">
        <v>43</v>
      </c>
      <c r="E408" s="41">
        <v>68</v>
      </c>
      <c r="F408" s="71">
        <v>75805.09</v>
      </c>
      <c r="G408" s="71">
        <v>0</v>
      </c>
      <c r="H408" s="71">
        <v>5154746.12</v>
      </c>
      <c r="I408" s="102">
        <v>0</v>
      </c>
      <c r="J408" s="34" t="s">
        <v>128</v>
      </c>
      <c r="K408" s="34" t="s">
        <v>766</v>
      </c>
      <c r="L408" s="112"/>
    </row>
    <row r="409" spans="1:12" s="22" customFormat="1" ht="67.5" x14ac:dyDescent="0.25">
      <c r="A409" s="186" t="s">
        <v>2678</v>
      </c>
      <c r="B409" s="98" t="s">
        <v>773</v>
      </c>
      <c r="C409" s="32" t="s">
        <v>774</v>
      </c>
      <c r="D409" s="7" t="s">
        <v>43</v>
      </c>
      <c r="E409" s="41">
        <v>78</v>
      </c>
      <c r="F409" s="71">
        <v>74585.929999999993</v>
      </c>
      <c r="G409" s="71">
        <v>0</v>
      </c>
      <c r="H409" s="71">
        <v>5817702.5399999991</v>
      </c>
      <c r="I409" s="102">
        <v>0</v>
      </c>
      <c r="J409" s="34" t="s">
        <v>128</v>
      </c>
      <c r="K409" s="34" t="s">
        <v>766</v>
      </c>
      <c r="L409" s="112"/>
    </row>
    <row r="410" spans="1:12" s="22" customFormat="1" ht="67.5" x14ac:dyDescent="0.25">
      <c r="A410" s="186" t="s">
        <v>2678</v>
      </c>
      <c r="B410" s="100" t="s">
        <v>775</v>
      </c>
      <c r="C410" s="32" t="s">
        <v>776</v>
      </c>
      <c r="D410" s="7" t="s">
        <v>43</v>
      </c>
      <c r="E410" s="41">
        <v>74</v>
      </c>
      <c r="F410" s="71">
        <v>70976.259999999995</v>
      </c>
      <c r="G410" s="71">
        <v>0</v>
      </c>
      <c r="H410" s="71">
        <v>5252243.2399999993</v>
      </c>
      <c r="I410" s="102">
        <v>0</v>
      </c>
      <c r="J410" s="34" t="s">
        <v>128</v>
      </c>
      <c r="K410" s="34" t="s">
        <v>766</v>
      </c>
      <c r="L410" s="112"/>
    </row>
    <row r="411" spans="1:12" s="22" customFormat="1" ht="67.5" x14ac:dyDescent="0.25">
      <c r="A411" s="186" t="s">
        <v>2678</v>
      </c>
      <c r="B411" s="96" t="s">
        <v>777</v>
      </c>
      <c r="C411" s="32" t="s">
        <v>778</v>
      </c>
      <c r="D411" s="7" t="s">
        <v>43</v>
      </c>
      <c r="E411" s="41">
        <v>92</v>
      </c>
      <c r="F411" s="71">
        <v>62031.46</v>
      </c>
      <c r="G411" s="71">
        <v>0</v>
      </c>
      <c r="H411" s="71">
        <v>5706894.3200000003</v>
      </c>
      <c r="I411" s="102">
        <v>0</v>
      </c>
      <c r="J411" s="34" t="s">
        <v>128</v>
      </c>
      <c r="K411" s="34" t="s">
        <v>766</v>
      </c>
      <c r="L411" s="112"/>
    </row>
    <row r="412" spans="1:12" s="22" customFormat="1" ht="27" x14ac:dyDescent="0.25">
      <c r="A412" s="186" t="s">
        <v>2678</v>
      </c>
      <c r="B412" s="96"/>
      <c r="C412" s="34" t="s">
        <v>779</v>
      </c>
      <c r="D412" s="7"/>
      <c r="E412" s="41"/>
      <c r="F412" s="71"/>
      <c r="G412" s="71"/>
      <c r="H412" s="71"/>
      <c r="I412" s="102"/>
      <c r="J412" s="34" t="s">
        <v>128</v>
      </c>
      <c r="K412" s="74"/>
      <c r="L412" s="112"/>
    </row>
    <row r="413" spans="1:12" s="22" customFormat="1" ht="54" x14ac:dyDescent="0.25">
      <c r="A413" s="186" t="s">
        <v>2678</v>
      </c>
      <c r="B413" s="96" t="s">
        <v>780</v>
      </c>
      <c r="C413" s="32" t="s">
        <v>781</v>
      </c>
      <c r="D413" s="7" t="s">
        <v>43</v>
      </c>
      <c r="E413" s="41">
        <v>68</v>
      </c>
      <c r="F413" s="71">
        <v>141413.88</v>
      </c>
      <c r="G413" s="71">
        <v>0</v>
      </c>
      <c r="H413" s="71">
        <v>9616143.8399999999</v>
      </c>
      <c r="I413" s="102">
        <v>0</v>
      </c>
      <c r="J413" s="34" t="s">
        <v>128</v>
      </c>
      <c r="K413" s="34" t="s">
        <v>779</v>
      </c>
      <c r="L413" s="112"/>
    </row>
    <row r="414" spans="1:12" s="22" customFormat="1" ht="54" x14ac:dyDescent="0.25">
      <c r="A414" s="186" t="s">
        <v>2678</v>
      </c>
      <c r="B414" s="96" t="s">
        <v>782</v>
      </c>
      <c r="C414" s="32" t="s">
        <v>783</v>
      </c>
      <c r="D414" s="7" t="s">
        <v>43</v>
      </c>
      <c r="E414" s="41">
        <v>56</v>
      </c>
      <c r="F414" s="71">
        <v>136806.69</v>
      </c>
      <c r="G414" s="71">
        <v>0</v>
      </c>
      <c r="H414" s="71">
        <v>7661174.6400000006</v>
      </c>
      <c r="I414" s="102">
        <v>0</v>
      </c>
      <c r="J414" s="34" t="s">
        <v>128</v>
      </c>
      <c r="K414" s="34" t="s">
        <v>779</v>
      </c>
      <c r="L414" s="112"/>
    </row>
    <row r="415" spans="1:12" s="22" customFormat="1" ht="27" x14ac:dyDescent="0.25">
      <c r="A415" s="186" t="s">
        <v>2678</v>
      </c>
      <c r="B415" s="96"/>
      <c r="C415" s="34" t="s">
        <v>784</v>
      </c>
      <c r="D415" s="7"/>
      <c r="E415" s="41"/>
      <c r="F415" s="71"/>
      <c r="G415" s="71"/>
      <c r="H415" s="71"/>
      <c r="I415" s="102"/>
      <c r="J415" s="34" t="s">
        <v>128</v>
      </c>
      <c r="K415" s="74"/>
      <c r="L415" s="112"/>
    </row>
    <row r="416" spans="1:12" s="22" customFormat="1" ht="40.5" x14ac:dyDescent="0.25">
      <c r="A416" s="186" t="s">
        <v>2678</v>
      </c>
      <c r="B416" s="96" t="s">
        <v>785</v>
      </c>
      <c r="C416" s="32" t="s">
        <v>786</v>
      </c>
      <c r="D416" s="7" t="s">
        <v>43</v>
      </c>
      <c r="E416" s="41">
        <v>132</v>
      </c>
      <c r="F416" s="71">
        <v>45830.69</v>
      </c>
      <c r="G416" s="71">
        <v>0</v>
      </c>
      <c r="H416" s="71">
        <v>6049651.0800000001</v>
      </c>
      <c r="I416" s="102">
        <v>0</v>
      </c>
      <c r="J416" s="34" t="s">
        <v>128</v>
      </c>
      <c r="K416" s="34" t="s">
        <v>784</v>
      </c>
      <c r="L416" s="112"/>
    </row>
    <row r="417" spans="1:12" s="22" customFormat="1" ht="40.5" x14ac:dyDescent="0.25">
      <c r="A417" s="186" t="s">
        <v>2678</v>
      </c>
      <c r="B417" s="96" t="s">
        <v>787</v>
      </c>
      <c r="C417" s="32" t="s">
        <v>788</v>
      </c>
      <c r="D417" s="7" t="s">
        <v>43</v>
      </c>
      <c r="E417" s="41">
        <v>114</v>
      </c>
      <c r="F417" s="71">
        <v>43098.51</v>
      </c>
      <c r="G417" s="71">
        <v>0</v>
      </c>
      <c r="H417" s="71">
        <v>4913230.1400000006</v>
      </c>
      <c r="I417" s="102">
        <v>0</v>
      </c>
      <c r="J417" s="34" t="s">
        <v>128</v>
      </c>
      <c r="K417" s="34" t="s">
        <v>784</v>
      </c>
      <c r="L417" s="112"/>
    </row>
    <row r="418" spans="1:12" s="22" customFormat="1" ht="40.5" x14ac:dyDescent="0.25">
      <c r="A418" s="186" t="s">
        <v>2678</v>
      </c>
      <c r="B418" s="96" t="s">
        <v>789</v>
      </c>
      <c r="C418" s="32" t="s">
        <v>790</v>
      </c>
      <c r="D418" s="7" t="s">
        <v>43</v>
      </c>
      <c r="E418" s="41">
        <v>90</v>
      </c>
      <c r="F418" s="71">
        <v>48965.760000000002</v>
      </c>
      <c r="G418" s="71">
        <v>0</v>
      </c>
      <c r="H418" s="71">
        <v>4406918.4000000004</v>
      </c>
      <c r="I418" s="102">
        <v>0</v>
      </c>
      <c r="J418" s="34" t="s">
        <v>128</v>
      </c>
      <c r="K418" s="34" t="s">
        <v>784</v>
      </c>
      <c r="L418" s="112">
        <f>+F418/1.25</f>
        <v>39172.608</v>
      </c>
    </row>
    <row r="419" spans="1:12" s="22" customFormat="1" ht="40.5" x14ac:dyDescent="0.25">
      <c r="A419" s="186" t="s">
        <v>2678</v>
      </c>
      <c r="B419" s="96" t="s">
        <v>791</v>
      </c>
      <c r="C419" s="32" t="s">
        <v>792</v>
      </c>
      <c r="D419" s="7" t="s">
        <v>43</v>
      </c>
      <c r="E419" s="41">
        <v>64</v>
      </c>
      <c r="F419" s="71">
        <v>55106.68</v>
      </c>
      <c r="G419" s="71">
        <v>0</v>
      </c>
      <c r="H419" s="71">
        <v>3526827.52</v>
      </c>
      <c r="I419" s="102">
        <v>0</v>
      </c>
      <c r="J419" s="34" t="s">
        <v>128</v>
      </c>
      <c r="K419" s="34" t="s">
        <v>784</v>
      </c>
      <c r="L419" s="112"/>
    </row>
    <row r="420" spans="1:12" s="22" customFormat="1" ht="40.5" x14ac:dyDescent="0.25">
      <c r="A420" s="186" t="s">
        <v>2678</v>
      </c>
      <c r="B420" s="96" t="s">
        <v>793</v>
      </c>
      <c r="C420" s="32" t="s">
        <v>794</v>
      </c>
      <c r="D420" s="7" t="s">
        <v>43</v>
      </c>
      <c r="E420" s="41">
        <v>68</v>
      </c>
      <c r="F420" s="71">
        <v>59119.14</v>
      </c>
      <c r="G420" s="71">
        <v>0</v>
      </c>
      <c r="H420" s="71">
        <v>4020101.52</v>
      </c>
      <c r="I420" s="102">
        <v>0</v>
      </c>
      <c r="J420" s="34" t="s">
        <v>128</v>
      </c>
      <c r="K420" s="34" t="s">
        <v>784</v>
      </c>
      <c r="L420" s="112"/>
    </row>
    <row r="421" spans="1:12" s="22" customFormat="1" ht="40.5" x14ac:dyDescent="0.25">
      <c r="A421" s="186" t="s">
        <v>2678</v>
      </c>
      <c r="B421" s="96" t="s">
        <v>795</v>
      </c>
      <c r="C421" s="33" t="s">
        <v>796</v>
      </c>
      <c r="D421" s="7" t="s">
        <v>43</v>
      </c>
      <c r="E421" s="41">
        <v>78</v>
      </c>
      <c r="F421" s="71">
        <v>73063.44</v>
      </c>
      <c r="G421" s="71">
        <v>0</v>
      </c>
      <c r="H421" s="71">
        <v>5698948.3200000003</v>
      </c>
      <c r="I421" s="102">
        <v>0</v>
      </c>
      <c r="J421" s="34" t="s">
        <v>128</v>
      </c>
      <c r="K421" s="34" t="s">
        <v>784</v>
      </c>
      <c r="L421" s="112"/>
    </row>
    <row r="422" spans="1:12" s="22" customFormat="1" ht="40.5" x14ac:dyDescent="0.25">
      <c r="A422" s="186" t="s">
        <v>2678</v>
      </c>
      <c r="B422" s="96" t="s">
        <v>797</v>
      </c>
      <c r="C422" s="33" t="s">
        <v>798</v>
      </c>
      <c r="D422" s="7" t="s">
        <v>43</v>
      </c>
      <c r="E422" s="41">
        <v>56</v>
      </c>
      <c r="F422" s="71">
        <v>65944.45</v>
      </c>
      <c r="G422" s="71">
        <v>0</v>
      </c>
      <c r="H422" s="71">
        <v>3692889.1999999997</v>
      </c>
      <c r="I422" s="102">
        <v>0</v>
      </c>
      <c r="J422" s="34" t="s">
        <v>128</v>
      </c>
      <c r="K422" s="34" t="s">
        <v>784</v>
      </c>
      <c r="L422" s="112"/>
    </row>
    <row r="423" spans="1:12" s="22" customFormat="1" ht="40.5" x14ac:dyDescent="0.25">
      <c r="A423" s="186" t="s">
        <v>2678</v>
      </c>
      <c r="B423" s="96" t="s">
        <v>799</v>
      </c>
      <c r="C423" s="33" t="s">
        <v>800</v>
      </c>
      <c r="D423" s="7" t="s">
        <v>43</v>
      </c>
      <c r="E423" s="41">
        <v>142</v>
      </c>
      <c r="F423" s="71">
        <v>71449.56</v>
      </c>
      <c r="G423" s="71">
        <v>0</v>
      </c>
      <c r="H423" s="71">
        <v>10145837.52</v>
      </c>
      <c r="I423" s="102">
        <v>0</v>
      </c>
      <c r="J423" s="34" t="s">
        <v>128</v>
      </c>
      <c r="K423" s="34" t="s">
        <v>784</v>
      </c>
      <c r="L423" s="112"/>
    </row>
    <row r="424" spans="1:12" s="22" customFormat="1" ht="40.5" x14ac:dyDescent="0.25">
      <c r="A424" s="186" t="s">
        <v>2678</v>
      </c>
      <c r="B424" s="96" t="s">
        <v>801</v>
      </c>
      <c r="C424" s="33" t="s">
        <v>802</v>
      </c>
      <c r="D424" s="7" t="s">
        <v>43</v>
      </c>
      <c r="E424" s="41">
        <v>64</v>
      </c>
      <c r="F424" s="71">
        <v>61865.599999999999</v>
      </c>
      <c r="G424" s="71">
        <v>0</v>
      </c>
      <c r="H424" s="71">
        <v>3959398.3999999999</v>
      </c>
      <c r="I424" s="102">
        <v>0</v>
      </c>
      <c r="J424" s="34" t="s">
        <v>128</v>
      </c>
      <c r="K424" s="34" t="s">
        <v>784</v>
      </c>
      <c r="L424" s="112"/>
    </row>
    <row r="425" spans="1:12" s="22" customFormat="1" ht="40.5" x14ac:dyDescent="0.25">
      <c r="A425" s="186" t="s">
        <v>2678</v>
      </c>
      <c r="B425" s="96" t="s">
        <v>803</v>
      </c>
      <c r="C425" s="33" t="s">
        <v>804</v>
      </c>
      <c r="D425" s="7" t="s">
        <v>2695</v>
      </c>
      <c r="E425" s="41">
        <v>198</v>
      </c>
      <c r="F425" s="71">
        <v>27253.58</v>
      </c>
      <c r="G425" s="71">
        <v>0</v>
      </c>
      <c r="H425" s="71">
        <v>5396208.8400000008</v>
      </c>
      <c r="I425" s="102">
        <v>0</v>
      </c>
      <c r="J425" s="34" t="s">
        <v>128</v>
      </c>
      <c r="K425" s="34" t="s">
        <v>784</v>
      </c>
      <c r="L425" s="112"/>
    </row>
    <row r="426" spans="1:12" s="22" customFormat="1" ht="27" x14ac:dyDescent="0.25">
      <c r="A426" s="186" t="s">
        <v>2678</v>
      </c>
      <c r="B426" s="96"/>
      <c r="C426" s="82" t="s">
        <v>805</v>
      </c>
      <c r="D426" s="7"/>
      <c r="E426" s="41"/>
      <c r="F426" s="71"/>
      <c r="G426" s="71"/>
      <c r="H426" s="71"/>
      <c r="I426" s="102"/>
      <c r="J426" s="34" t="s">
        <v>128</v>
      </c>
      <c r="K426" s="74"/>
      <c r="L426" s="112"/>
    </row>
    <row r="427" spans="1:12" s="22" customFormat="1" ht="54" x14ac:dyDescent="0.25">
      <c r="A427" s="186" t="s">
        <v>2678</v>
      </c>
      <c r="B427" s="96" t="s">
        <v>806</v>
      </c>
      <c r="C427" s="32" t="s">
        <v>807</v>
      </c>
      <c r="D427" s="7" t="s">
        <v>43</v>
      </c>
      <c r="E427" s="41">
        <v>80</v>
      </c>
      <c r="F427" s="71">
        <v>60910.39</v>
      </c>
      <c r="G427" s="71">
        <v>0</v>
      </c>
      <c r="H427" s="71">
        <v>4872831.2</v>
      </c>
      <c r="I427" s="102">
        <v>0</v>
      </c>
      <c r="J427" s="34" t="s">
        <v>128</v>
      </c>
      <c r="K427" s="82" t="s">
        <v>805</v>
      </c>
      <c r="L427" s="112"/>
    </row>
    <row r="428" spans="1:12" s="22" customFormat="1" ht="40.5" x14ac:dyDescent="0.25">
      <c r="A428" s="186" t="s">
        <v>2678</v>
      </c>
      <c r="B428" s="96"/>
      <c r="C428" s="34" t="s">
        <v>808</v>
      </c>
      <c r="D428" s="7"/>
      <c r="E428" s="41"/>
      <c r="F428" s="71"/>
      <c r="G428" s="71"/>
      <c r="H428" s="71"/>
      <c r="I428" s="102"/>
      <c r="J428" s="34" t="s">
        <v>128</v>
      </c>
      <c r="K428" s="74"/>
      <c r="L428" s="112"/>
    </row>
    <row r="429" spans="1:12" s="22" customFormat="1" ht="67.5" x14ac:dyDescent="0.25">
      <c r="A429" s="186" t="s">
        <v>2678</v>
      </c>
      <c r="B429" s="96" t="s">
        <v>809</v>
      </c>
      <c r="C429" s="32" t="s">
        <v>810</v>
      </c>
      <c r="D429" s="7" t="s">
        <v>43</v>
      </c>
      <c r="E429" s="41">
        <v>58</v>
      </c>
      <c r="F429" s="71">
        <v>80370.05</v>
      </c>
      <c r="G429" s="71">
        <v>0</v>
      </c>
      <c r="H429" s="71">
        <v>4661462.9000000004</v>
      </c>
      <c r="I429" s="102">
        <v>0</v>
      </c>
      <c r="J429" s="34" t="s">
        <v>128</v>
      </c>
      <c r="K429" s="34" t="s">
        <v>808</v>
      </c>
      <c r="L429" s="112"/>
    </row>
    <row r="430" spans="1:12" s="22" customFormat="1" ht="67.5" x14ac:dyDescent="0.25">
      <c r="A430" s="186" t="s">
        <v>2678</v>
      </c>
      <c r="B430" s="96" t="s">
        <v>811</v>
      </c>
      <c r="C430" s="32" t="s">
        <v>812</v>
      </c>
      <c r="D430" s="7" t="s">
        <v>43</v>
      </c>
      <c r="E430" s="41">
        <v>66</v>
      </c>
      <c r="F430" s="71">
        <v>108015.96</v>
      </c>
      <c r="G430" s="71">
        <v>0</v>
      </c>
      <c r="H430" s="71">
        <v>7129053.3600000003</v>
      </c>
      <c r="I430" s="102">
        <v>0</v>
      </c>
      <c r="J430" s="34" t="s">
        <v>128</v>
      </c>
      <c r="K430" s="34" t="s">
        <v>808</v>
      </c>
      <c r="L430" s="112"/>
    </row>
    <row r="431" spans="1:12" s="22" customFormat="1" ht="67.5" x14ac:dyDescent="0.25">
      <c r="A431" s="186" t="s">
        <v>2678</v>
      </c>
      <c r="B431" s="96" t="s">
        <v>813</v>
      </c>
      <c r="C431" s="32" t="s">
        <v>814</v>
      </c>
      <c r="D431" s="7" t="s">
        <v>43</v>
      </c>
      <c r="E431" s="41">
        <v>68</v>
      </c>
      <c r="F431" s="71">
        <v>104793.53</v>
      </c>
      <c r="G431" s="71">
        <v>0</v>
      </c>
      <c r="H431" s="71">
        <v>7125960.04</v>
      </c>
      <c r="I431" s="102">
        <v>0</v>
      </c>
      <c r="J431" s="34" t="s">
        <v>128</v>
      </c>
      <c r="K431" s="34" t="s">
        <v>808</v>
      </c>
      <c r="L431" s="112"/>
    </row>
    <row r="432" spans="1:12" s="22" customFormat="1" ht="67.5" x14ac:dyDescent="0.25">
      <c r="A432" s="186" t="s">
        <v>2678</v>
      </c>
      <c r="B432" s="98" t="s">
        <v>815</v>
      </c>
      <c r="C432" s="32" t="s">
        <v>816</v>
      </c>
      <c r="D432" s="7" t="s">
        <v>43</v>
      </c>
      <c r="E432" s="41">
        <v>52</v>
      </c>
      <c r="F432" s="71">
        <v>83095.77</v>
      </c>
      <c r="G432" s="71">
        <v>0</v>
      </c>
      <c r="H432" s="71">
        <v>4320980.04</v>
      </c>
      <c r="I432" s="102">
        <v>0</v>
      </c>
      <c r="J432" s="34" t="s">
        <v>128</v>
      </c>
      <c r="K432" s="34" t="s">
        <v>808</v>
      </c>
      <c r="L432" s="112"/>
    </row>
    <row r="433" spans="1:12" s="22" customFormat="1" ht="67.5" x14ac:dyDescent="0.25">
      <c r="A433" s="186" t="s">
        <v>2678</v>
      </c>
      <c r="B433" s="96" t="s">
        <v>817</v>
      </c>
      <c r="C433" s="32" t="s">
        <v>818</v>
      </c>
      <c r="D433" s="7" t="s">
        <v>43</v>
      </c>
      <c r="E433" s="41">
        <v>62</v>
      </c>
      <c r="F433" s="71">
        <v>73833.3</v>
      </c>
      <c r="G433" s="71">
        <v>0</v>
      </c>
      <c r="H433" s="71">
        <v>4577664.6000000006</v>
      </c>
      <c r="I433" s="102">
        <v>0</v>
      </c>
      <c r="J433" s="34" t="s">
        <v>128</v>
      </c>
      <c r="K433" s="34" t="s">
        <v>808</v>
      </c>
      <c r="L433" s="112"/>
    </row>
    <row r="434" spans="1:12" s="22" customFormat="1" ht="67.5" x14ac:dyDescent="0.25">
      <c r="A434" s="186" t="s">
        <v>2678</v>
      </c>
      <c r="B434" s="96" t="s">
        <v>819</v>
      </c>
      <c r="C434" s="32" t="s">
        <v>820</v>
      </c>
      <c r="D434" s="7" t="s">
        <v>43</v>
      </c>
      <c r="E434" s="41">
        <v>68</v>
      </c>
      <c r="F434" s="71">
        <v>72418.66</v>
      </c>
      <c r="G434" s="71">
        <v>0</v>
      </c>
      <c r="H434" s="71">
        <v>4924468.88</v>
      </c>
      <c r="I434" s="102">
        <v>0</v>
      </c>
      <c r="J434" s="34" t="s">
        <v>128</v>
      </c>
      <c r="K434" s="34" t="s">
        <v>808</v>
      </c>
      <c r="L434" s="112"/>
    </row>
    <row r="435" spans="1:12" s="22" customFormat="1" ht="27" x14ac:dyDescent="0.25">
      <c r="A435" s="186" t="s">
        <v>2678</v>
      </c>
      <c r="B435" s="96"/>
      <c r="C435" s="34" t="s">
        <v>821</v>
      </c>
      <c r="D435" s="7"/>
      <c r="E435" s="41"/>
      <c r="F435" s="71"/>
      <c r="G435" s="71"/>
      <c r="H435" s="71"/>
      <c r="I435" s="102"/>
      <c r="J435" s="34" t="s">
        <v>128</v>
      </c>
      <c r="K435" s="74"/>
      <c r="L435" s="112"/>
    </row>
    <row r="436" spans="1:12" s="22" customFormat="1" ht="27" x14ac:dyDescent="0.25">
      <c r="A436" s="186" t="s">
        <v>2678</v>
      </c>
      <c r="B436" s="96" t="s">
        <v>822</v>
      </c>
      <c r="C436" s="32" t="s">
        <v>823</v>
      </c>
      <c r="D436" s="7" t="s">
        <v>43</v>
      </c>
      <c r="E436" s="41">
        <v>50</v>
      </c>
      <c r="F436" s="71">
        <v>129508.6</v>
      </c>
      <c r="G436" s="71">
        <v>0</v>
      </c>
      <c r="H436" s="71">
        <v>6475430</v>
      </c>
      <c r="I436" s="102">
        <v>0</v>
      </c>
      <c r="J436" s="34" t="s">
        <v>128</v>
      </c>
      <c r="K436" s="34" t="s">
        <v>821</v>
      </c>
      <c r="L436" s="112"/>
    </row>
    <row r="437" spans="1:12" s="22" customFormat="1" ht="27" x14ac:dyDescent="0.25">
      <c r="A437" s="186" t="s">
        <v>2678</v>
      </c>
      <c r="B437" s="96" t="s">
        <v>824</v>
      </c>
      <c r="C437" s="32" t="s">
        <v>825</v>
      </c>
      <c r="D437" s="7" t="s">
        <v>43</v>
      </c>
      <c r="E437" s="41">
        <v>50</v>
      </c>
      <c r="F437" s="71">
        <v>129508.6</v>
      </c>
      <c r="G437" s="71">
        <v>0</v>
      </c>
      <c r="H437" s="71">
        <v>6475430</v>
      </c>
      <c r="I437" s="102">
        <v>0</v>
      </c>
      <c r="J437" s="34" t="s">
        <v>128</v>
      </c>
      <c r="K437" s="34" t="s">
        <v>821</v>
      </c>
      <c r="L437" s="112"/>
    </row>
    <row r="438" spans="1:12" s="22" customFormat="1" ht="27" x14ac:dyDescent="0.25">
      <c r="A438" s="186" t="s">
        <v>2678</v>
      </c>
      <c r="B438" s="96" t="s">
        <v>826</v>
      </c>
      <c r="C438" s="32" t="s">
        <v>827</v>
      </c>
      <c r="D438" s="7" t="s">
        <v>43</v>
      </c>
      <c r="E438" s="41">
        <v>70</v>
      </c>
      <c r="F438" s="71">
        <v>25547.200000000001</v>
      </c>
      <c r="G438" s="71">
        <v>0</v>
      </c>
      <c r="H438" s="71">
        <v>1788304</v>
      </c>
      <c r="I438" s="102">
        <v>0</v>
      </c>
      <c r="J438" s="34" t="s">
        <v>128</v>
      </c>
      <c r="K438" s="34" t="s">
        <v>821</v>
      </c>
      <c r="L438" s="112"/>
    </row>
    <row r="439" spans="1:12" s="22" customFormat="1" ht="27" x14ac:dyDescent="0.25">
      <c r="A439" s="186" t="s">
        <v>2678</v>
      </c>
      <c r="B439" s="96"/>
      <c r="C439" s="34" t="s">
        <v>828</v>
      </c>
      <c r="D439" s="7"/>
      <c r="E439" s="41"/>
      <c r="F439" s="71"/>
      <c r="G439" s="71"/>
      <c r="H439" s="71"/>
      <c r="I439" s="102"/>
      <c r="J439" s="34" t="s">
        <v>128</v>
      </c>
      <c r="K439" s="74"/>
      <c r="L439" s="112"/>
    </row>
    <row r="440" spans="1:12" s="22" customFormat="1" ht="40.5" x14ac:dyDescent="0.25">
      <c r="A440" s="186" t="s">
        <v>2678</v>
      </c>
      <c r="B440" s="96" t="s">
        <v>829</v>
      </c>
      <c r="C440" s="32" t="s">
        <v>830</v>
      </c>
      <c r="D440" s="7" t="s">
        <v>43</v>
      </c>
      <c r="E440" s="41">
        <v>56</v>
      </c>
      <c r="F440" s="71">
        <v>88485.34</v>
      </c>
      <c r="G440" s="71">
        <v>0</v>
      </c>
      <c r="H440" s="71">
        <v>4955179.04</v>
      </c>
      <c r="I440" s="102">
        <v>0</v>
      </c>
      <c r="J440" s="34" t="s">
        <v>128</v>
      </c>
      <c r="K440" s="34" t="s">
        <v>828</v>
      </c>
      <c r="L440" s="112"/>
    </row>
    <row r="441" spans="1:12" s="22" customFormat="1" ht="40.5" x14ac:dyDescent="0.25">
      <c r="A441" s="186" t="s">
        <v>2678</v>
      </c>
      <c r="B441" s="96" t="s">
        <v>831</v>
      </c>
      <c r="C441" s="32" t="s">
        <v>832</v>
      </c>
      <c r="D441" s="7" t="s">
        <v>43</v>
      </c>
      <c r="E441" s="41">
        <v>56</v>
      </c>
      <c r="F441" s="71">
        <v>83877.47</v>
      </c>
      <c r="G441" s="71">
        <v>0</v>
      </c>
      <c r="H441" s="71">
        <v>4697138.32</v>
      </c>
      <c r="I441" s="102">
        <v>0</v>
      </c>
      <c r="J441" s="34" t="s">
        <v>128</v>
      </c>
      <c r="K441" s="34" t="s">
        <v>828</v>
      </c>
      <c r="L441" s="112"/>
    </row>
    <row r="442" spans="1:12" s="22" customFormat="1" ht="40.5" x14ac:dyDescent="0.25">
      <c r="A442" s="186" t="s">
        <v>2678</v>
      </c>
      <c r="B442" s="96" t="s">
        <v>833</v>
      </c>
      <c r="C442" s="32" t="s">
        <v>834</v>
      </c>
      <c r="D442" s="7" t="s">
        <v>43</v>
      </c>
      <c r="E442" s="41">
        <v>66</v>
      </c>
      <c r="F442" s="71">
        <v>79267.149999999994</v>
      </c>
      <c r="G442" s="71">
        <v>0</v>
      </c>
      <c r="H442" s="71">
        <v>5231631.8999999994</v>
      </c>
      <c r="I442" s="102">
        <v>0</v>
      </c>
      <c r="J442" s="34" t="s">
        <v>128</v>
      </c>
      <c r="K442" s="34" t="s">
        <v>828</v>
      </c>
      <c r="L442" s="112"/>
    </row>
    <row r="443" spans="1:12" s="22" customFormat="1" ht="40.5" x14ac:dyDescent="0.25">
      <c r="A443" s="186" t="s">
        <v>2678</v>
      </c>
      <c r="B443" s="96" t="s">
        <v>835</v>
      </c>
      <c r="C443" s="32" t="s">
        <v>836</v>
      </c>
      <c r="D443" s="7" t="s">
        <v>43</v>
      </c>
      <c r="E443" s="41">
        <v>128</v>
      </c>
      <c r="F443" s="71">
        <v>69432.259999999995</v>
      </c>
      <c r="G443" s="71">
        <v>0</v>
      </c>
      <c r="H443" s="71">
        <v>8887329.2799999993</v>
      </c>
      <c r="I443" s="102">
        <v>0</v>
      </c>
      <c r="J443" s="34" t="s">
        <v>128</v>
      </c>
      <c r="K443" s="34" t="s">
        <v>828</v>
      </c>
      <c r="L443" s="112"/>
    </row>
    <row r="444" spans="1:12" s="22" customFormat="1" ht="40.5" x14ac:dyDescent="0.25">
      <c r="A444" s="186" t="s">
        <v>2678</v>
      </c>
      <c r="B444" s="96" t="s">
        <v>837</v>
      </c>
      <c r="C444" s="32" t="s">
        <v>838</v>
      </c>
      <c r="D444" s="7" t="s">
        <v>43</v>
      </c>
      <c r="E444" s="41">
        <v>58</v>
      </c>
      <c r="F444" s="71">
        <v>72814.600000000006</v>
      </c>
      <c r="G444" s="71">
        <v>0</v>
      </c>
      <c r="H444" s="71">
        <v>4223246.8000000007</v>
      </c>
      <c r="I444" s="102">
        <v>0</v>
      </c>
      <c r="J444" s="34" t="s">
        <v>128</v>
      </c>
      <c r="K444" s="34" t="s">
        <v>828</v>
      </c>
      <c r="L444" s="112"/>
    </row>
    <row r="445" spans="1:12" s="22" customFormat="1" ht="40.5" x14ac:dyDescent="0.25">
      <c r="A445" s="186" t="s">
        <v>2678</v>
      </c>
      <c r="B445" s="96" t="s">
        <v>839</v>
      </c>
      <c r="C445" s="32" t="s">
        <v>840</v>
      </c>
      <c r="D445" s="7" t="s">
        <v>43</v>
      </c>
      <c r="E445" s="41">
        <v>52</v>
      </c>
      <c r="F445" s="71">
        <v>77102.880000000005</v>
      </c>
      <c r="G445" s="71">
        <v>0</v>
      </c>
      <c r="H445" s="71">
        <v>4009349.7600000002</v>
      </c>
      <c r="I445" s="102">
        <v>0</v>
      </c>
      <c r="J445" s="34" t="s">
        <v>128</v>
      </c>
      <c r="K445" s="34" t="s">
        <v>828</v>
      </c>
      <c r="L445" s="112"/>
    </row>
    <row r="446" spans="1:12" s="22" customFormat="1" ht="40.5" x14ac:dyDescent="0.25">
      <c r="A446" s="186" t="s">
        <v>2678</v>
      </c>
      <c r="B446" s="96" t="s">
        <v>841</v>
      </c>
      <c r="C446" s="32" t="s">
        <v>842</v>
      </c>
      <c r="D446" s="7" t="s">
        <v>43</v>
      </c>
      <c r="E446" s="41">
        <v>60</v>
      </c>
      <c r="F446" s="71">
        <v>91253.89</v>
      </c>
      <c r="G446" s="71">
        <v>0</v>
      </c>
      <c r="H446" s="71">
        <v>5475233.4000000004</v>
      </c>
      <c r="I446" s="102">
        <v>0</v>
      </c>
      <c r="J446" s="34" t="s">
        <v>128</v>
      </c>
      <c r="K446" s="34" t="s">
        <v>828</v>
      </c>
      <c r="L446" s="112"/>
    </row>
    <row r="447" spans="1:12" s="22" customFormat="1" ht="40.5" x14ac:dyDescent="0.25">
      <c r="A447" s="186" t="s">
        <v>2678</v>
      </c>
      <c r="B447" s="96" t="s">
        <v>843</v>
      </c>
      <c r="C447" s="32" t="s">
        <v>844</v>
      </c>
      <c r="D447" s="7" t="s">
        <v>43</v>
      </c>
      <c r="E447" s="41">
        <v>30</v>
      </c>
      <c r="F447" s="71">
        <v>69432.259999999995</v>
      </c>
      <c r="G447" s="71">
        <v>0</v>
      </c>
      <c r="H447" s="71">
        <v>2082967.7999999998</v>
      </c>
      <c r="I447" s="102">
        <v>0</v>
      </c>
      <c r="J447" s="34" t="s">
        <v>128</v>
      </c>
      <c r="K447" s="34" t="s">
        <v>828</v>
      </c>
      <c r="L447" s="112"/>
    </row>
    <row r="448" spans="1:12" s="22" customFormat="1" ht="27" x14ac:dyDescent="0.25">
      <c r="A448" s="186" t="s">
        <v>2678</v>
      </c>
      <c r="B448" s="96"/>
      <c r="C448" s="34" t="s">
        <v>845</v>
      </c>
      <c r="D448" s="7"/>
      <c r="E448" s="41"/>
      <c r="F448" s="71"/>
      <c r="G448" s="71"/>
      <c r="H448" s="71"/>
      <c r="I448" s="102"/>
      <c r="J448" s="34" t="s">
        <v>128</v>
      </c>
      <c r="K448" s="74"/>
      <c r="L448" s="112"/>
    </row>
    <row r="449" spans="1:12" s="22" customFormat="1" ht="27" x14ac:dyDescent="0.25">
      <c r="A449" s="186" t="s">
        <v>2678</v>
      </c>
      <c r="B449" s="98" t="s">
        <v>846</v>
      </c>
      <c r="C449" s="32" t="s">
        <v>847</v>
      </c>
      <c r="D449" s="7" t="s">
        <v>133</v>
      </c>
      <c r="E449" s="41">
        <v>240</v>
      </c>
      <c r="F449" s="71">
        <v>246.21</v>
      </c>
      <c r="G449" s="71">
        <v>0</v>
      </c>
      <c r="H449" s="71">
        <v>59090.400000000001</v>
      </c>
      <c r="I449" s="102">
        <v>0</v>
      </c>
      <c r="J449" s="34" t="s">
        <v>128</v>
      </c>
      <c r="K449" s="34" t="s">
        <v>845</v>
      </c>
      <c r="L449" s="112"/>
    </row>
    <row r="450" spans="1:12" s="22" customFormat="1" ht="13.5" x14ac:dyDescent="0.25">
      <c r="A450" s="186" t="s">
        <v>2678</v>
      </c>
      <c r="B450" s="96"/>
      <c r="C450" s="34" t="s">
        <v>848</v>
      </c>
      <c r="D450" s="7"/>
      <c r="E450" s="41"/>
      <c r="F450" s="71"/>
      <c r="G450" s="71"/>
      <c r="H450" s="71"/>
      <c r="I450" s="102"/>
      <c r="J450" s="71"/>
      <c r="K450" s="74"/>
      <c r="L450" s="112"/>
    </row>
    <row r="451" spans="1:12" s="22" customFormat="1" ht="27" x14ac:dyDescent="0.25">
      <c r="A451" s="186" t="s">
        <v>2678</v>
      </c>
      <c r="B451" s="96" t="s">
        <v>849</v>
      </c>
      <c r="C451" s="32" t="s">
        <v>850</v>
      </c>
      <c r="D451" s="7" t="s">
        <v>851</v>
      </c>
      <c r="E451" s="41">
        <v>470</v>
      </c>
      <c r="F451" s="71">
        <v>248.75</v>
      </c>
      <c r="G451" s="71">
        <v>0</v>
      </c>
      <c r="H451" s="71">
        <v>116912.5</v>
      </c>
      <c r="I451" s="102">
        <v>0</v>
      </c>
      <c r="J451" s="71" t="s">
        <v>2219</v>
      </c>
      <c r="K451" s="34" t="s">
        <v>848</v>
      </c>
      <c r="L451" s="112"/>
    </row>
    <row r="452" spans="1:12" s="22" customFormat="1" ht="13.5" x14ac:dyDescent="0.25">
      <c r="A452" s="186" t="s">
        <v>2678</v>
      </c>
      <c r="B452" s="96" t="s">
        <v>852</v>
      </c>
      <c r="C452" s="32" t="s">
        <v>853</v>
      </c>
      <c r="D452" s="7" t="s">
        <v>40</v>
      </c>
      <c r="E452" s="41">
        <v>600</v>
      </c>
      <c r="F452" s="71">
        <v>746.25</v>
      </c>
      <c r="G452" s="71">
        <v>0</v>
      </c>
      <c r="H452" s="71">
        <v>447750</v>
      </c>
      <c r="I452" s="102">
        <v>0</v>
      </c>
      <c r="J452" s="71" t="s">
        <v>2219</v>
      </c>
      <c r="K452" s="34" t="s">
        <v>848</v>
      </c>
      <c r="L452" s="112"/>
    </row>
    <row r="453" spans="1:12" s="22" customFormat="1" ht="27" x14ac:dyDescent="0.25">
      <c r="A453" s="186" t="s">
        <v>2678</v>
      </c>
      <c r="B453" s="97" t="s">
        <v>854</v>
      </c>
      <c r="C453" s="32" t="s">
        <v>855</v>
      </c>
      <c r="D453" s="7" t="s">
        <v>856</v>
      </c>
      <c r="E453" s="41">
        <v>200</v>
      </c>
      <c r="F453" s="71">
        <v>746.25</v>
      </c>
      <c r="G453" s="71">
        <v>0</v>
      </c>
      <c r="H453" s="71">
        <v>149250</v>
      </c>
      <c r="I453" s="102">
        <v>0</v>
      </c>
      <c r="J453" s="71" t="s">
        <v>2219</v>
      </c>
      <c r="K453" s="34" t="s">
        <v>848</v>
      </c>
      <c r="L453" s="112"/>
    </row>
    <row r="454" spans="1:12" s="22" customFormat="1" ht="13.5" x14ac:dyDescent="0.25">
      <c r="A454" s="186" t="s">
        <v>2678</v>
      </c>
      <c r="B454" s="96" t="s">
        <v>857</v>
      </c>
      <c r="C454" s="32" t="s">
        <v>858</v>
      </c>
      <c r="D454" s="7" t="s">
        <v>856</v>
      </c>
      <c r="E454" s="41">
        <v>110</v>
      </c>
      <c r="F454" s="71">
        <v>746.25</v>
      </c>
      <c r="G454" s="71">
        <v>0</v>
      </c>
      <c r="H454" s="71">
        <v>82087.5</v>
      </c>
      <c r="I454" s="102">
        <v>0</v>
      </c>
      <c r="J454" s="71" t="s">
        <v>2219</v>
      </c>
      <c r="K454" s="34" t="s">
        <v>848</v>
      </c>
      <c r="L454" s="112"/>
    </row>
    <row r="455" spans="1:12" s="22" customFormat="1" ht="13.5" x14ac:dyDescent="0.25">
      <c r="A455" s="186" t="s">
        <v>2678</v>
      </c>
      <c r="B455" s="96" t="s">
        <v>859</v>
      </c>
      <c r="C455" s="32" t="s">
        <v>860</v>
      </c>
      <c r="D455" s="7" t="s">
        <v>856</v>
      </c>
      <c r="E455" s="41">
        <v>40</v>
      </c>
      <c r="F455" s="71">
        <v>746.25</v>
      </c>
      <c r="G455" s="71">
        <v>0</v>
      </c>
      <c r="H455" s="71">
        <v>29850</v>
      </c>
      <c r="I455" s="102">
        <v>0</v>
      </c>
      <c r="J455" s="71" t="s">
        <v>2219</v>
      </c>
      <c r="K455" s="34" t="s">
        <v>848</v>
      </c>
      <c r="L455" s="112"/>
    </row>
    <row r="456" spans="1:12" s="22" customFormat="1" ht="13.5" x14ac:dyDescent="0.25">
      <c r="A456" s="186" t="s">
        <v>2678</v>
      </c>
      <c r="B456" s="96" t="s">
        <v>861</v>
      </c>
      <c r="C456" s="32" t="s">
        <v>862</v>
      </c>
      <c r="D456" s="7" t="s">
        <v>856</v>
      </c>
      <c r="E456" s="41">
        <v>82</v>
      </c>
      <c r="F456" s="71">
        <v>746.25</v>
      </c>
      <c r="G456" s="71">
        <v>0</v>
      </c>
      <c r="H456" s="71">
        <v>61192.5</v>
      </c>
      <c r="I456" s="102">
        <v>0</v>
      </c>
      <c r="J456" s="71" t="s">
        <v>2219</v>
      </c>
      <c r="K456" s="34" t="s">
        <v>848</v>
      </c>
      <c r="L456" s="112"/>
    </row>
    <row r="457" spans="1:12" s="22" customFormat="1" ht="13.5" x14ac:dyDescent="0.25">
      <c r="A457" s="186" t="s">
        <v>2678</v>
      </c>
      <c r="B457" s="96" t="s">
        <v>863</v>
      </c>
      <c r="C457" s="32" t="s">
        <v>864</v>
      </c>
      <c r="D457" s="7" t="s">
        <v>856</v>
      </c>
      <c r="E457" s="41">
        <v>36</v>
      </c>
      <c r="F457" s="71">
        <v>746.25</v>
      </c>
      <c r="G457" s="71">
        <v>0</v>
      </c>
      <c r="H457" s="71">
        <v>26865</v>
      </c>
      <c r="I457" s="102">
        <v>0</v>
      </c>
      <c r="J457" s="71" t="s">
        <v>2219</v>
      </c>
      <c r="K457" s="34" t="s">
        <v>848</v>
      </c>
      <c r="L457" s="112"/>
    </row>
    <row r="458" spans="1:12" s="22" customFormat="1" ht="13.5" x14ac:dyDescent="0.25">
      <c r="A458" s="186" t="s">
        <v>2678</v>
      </c>
      <c r="B458" s="96"/>
      <c r="C458" s="34" t="s">
        <v>865</v>
      </c>
      <c r="D458" s="7"/>
      <c r="E458" s="41"/>
      <c r="F458" s="71"/>
      <c r="G458" s="71"/>
      <c r="H458" s="71"/>
      <c r="I458" s="102"/>
      <c r="J458" s="71" t="s">
        <v>2219</v>
      </c>
      <c r="K458" s="74"/>
      <c r="L458" s="112"/>
    </row>
    <row r="459" spans="1:12" s="22" customFormat="1" ht="27" x14ac:dyDescent="0.25">
      <c r="A459" s="186" t="s">
        <v>2678</v>
      </c>
      <c r="B459" s="98" t="s">
        <v>866</v>
      </c>
      <c r="C459" s="32" t="s">
        <v>867</v>
      </c>
      <c r="D459" s="7" t="s">
        <v>40</v>
      </c>
      <c r="E459" s="41">
        <v>600</v>
      </c>
      <c r="F459" s="71">
        <v>11193.75</v>
      </c>
      <c r="G459" s="71">
        <v>0</v>
      </c>
      <c r="H459" s="71">
        <v>6716250</v>
      </c>
      <c r="I459" s="102">
        <v>0</v>
      </c>
      <c r="J459" s="71" t="s">
        <v>2219</v>
      </c>
      <c r="K459" s="34" t="s">
        <v>865</v>
      </c>
      <c r="L459" s="112"/>
    </row>
    <row r="460" spans="1:12" s="22" customFormat="1" ht="27" x14ac:dyDescent="0.25">
      <c r="A460" s="186" t="s">
        <v>2678</v>
      </c>
      <c r="B460" s="96" t="s">
        <v>868</v>
      </c>
      <c r="C460" s="32" t="s">
        <v>869</v>
      </c>
      <c r="D460" s="7" t="s">
        <v>856</v>
      </c>
      <c r="E460" s="41">
        <v>600</v>
      </c>
      <c r="F460" s="71">
        <v>11193.75</v>
      </c>
      <c r="G460" s="71">
        <v>0</v>
      </c>
      <c r="H460" s="71">
        <v>6716250</v>
      </c>
      <c r="I460" s="102">
        <v>0</v>
      </c>
      <c r="J460" s="71" t="s">
        <v>2219</v>
      </c>
      <c r="K460" s="34" t="s">
        <v>865</v>
      </c>
      <c r="L460" s="112"/>
    </row>
    <row r="461" spans="1:12" s="22" customFormat="1" ht="13.5" x14ac:dyDescent="0.25">
      <c r="A461" s="186" t="s">
        <v>2678</v>
      </c>
      <c r="B461" s="96" t="s">
        <v>870</v>
      </c>
      <c r="C461" s="32" t="s">
        <v>871</v>
      </c>
      <c r="D461" s="7" t="s">
        <v>856</v>
      </c>
      <c r="E461" s="41">
        <v>50</v>
      </c>
      <c r="F461" s="71">
        <v>310.94</v>
      </c>
      <c r="G461" s="71">
        <v>0</v>
      </c>
      <c r="H461" s="71">
        <v>15547</v>
      </c>
      <c r="I461" s="102">
        <v>0</v>
      </c>
      <c r="J461" s="71" t="s">
        <v>2219</v>
      </c>
      <c r="K461" s="34" t="s">
        <v>865</v>
      </c>
      <c r="L461" s="112"/>
    </row>
    <row r="462" spans="1:12" s="22" customFormat="1" ht="13.5" x14ac:dyDescent="0.25">
      <c r="A462" s="186" t="s">
        <v>2678</v>
      </c>
      <c r="B462" s="96" t="s">
        <v>872</v>
      </c>
      <c r="C462" s="32" t="s">
        <v>873</v>
      </c>
      <c r="D462" s="7" t="s">
        <v>856</v>
      </c>
      <c r="E462" s="41">
        <v>60</v>
      </c>
      <c r="F462" s="71">
        <v>310.94</v>
      </c>
      <c r="G462" s="71">
        <v>0</v>
      </c>
      <c r="H462" s="71">
        <v>18656.400000000001</v>
      </c>
      <c r="I462" s="102">
        <v>0</v>
      </c>
      <c r="J462" s="71" t="s">
        <v>2219</v>
      </c>
      <c r="K462" s="34" t="s">
        <v>865</v>
      </c>
      <c r="L462" s="112"/>
    </row>
    <row r="463" spans="1:12" s="22" customFormat="1" ht="13.5" x14ac:dyDescent="0.25">
      <c r="A463" s="186" t="s">
        <v>2678</v>
      </c>
      <c r="B463" s="96" t="s">
        <v>874</v>
      </c>
      <c r="C463" s="32" t="s">
        <v>875</v>
      </c>
      <c r="D463" s="7" t="s">
        <v>856</v>
      </c>
      <c r="E463" s="41">
        <v>40</v>
      </c>
      <c r="F463" s="71">
        <v>373.13</v>
      </c>
      <c r="G463" s="71">
        <v>0</v>
      </c>
      <c r="H463" s="71">
        <v>14925.2</v>
      </c>
      <c r="I463" s="102">
        <v>0</v>
      </c>
      <c r="J463" s="71" t="s">
        <v>2219</v>
      </c>
      <c r="K463" s="34" t="s">
        <v>865</v>
      </c>
      <c r="L463" s="112"/>
    </row>
    <row r="464" spans="1:12" s="22" customFormat="1" ht="13.5" x14ac:dyDescent="0.25">
      <c r="A464" s="186" t="s">
        <v>2678</v>
      </c>
      <c r="B464" s="97" t="s">
        <v>876</v>
      </c>
      <c r="C464" s="32" t="s">
        <v>877</v>
      </c>
      <c r="D464" s="7" t="s">
        <v>856</v>
      </c>
      <c r="E464" s="41">
        <v>30</v>
      </c>
      <c r="F464" s="71">
        <v>684.06</v>
      </c>
      <c r="G464" s="71">
        <v>0</v>
      </c>
      <c r="H464" s="71">
        <v>20521.8</v>
      </c>
      <c r="I464" s="102">
        <v>0</v>
      </c>
      <c r="J464" s="71" t="s">
        <v>2219</v>
      </c>
      <c r="K464" s="34" t="s">
        <v>865</v>
      </c>
      <c r="L464" s="112"/>
    </row>
    <row r="465" spans="1:12" s="22" customFormat="1" ht="13.5" x14ac:dyDescent="0.25">
      <c r="A465" s="186" t="s">
        <v>2678</v>
      </c>
      <c r="B465" s="96" t="s">
        <v>878</v>
      </c>
      <c r="C465" s="32" t="s">
        <v>879</v>
      </c>
      <c r="D465" s="7" t="s">
        <v>856</v>
      </c>
      <c r="E465" s="41">
        <v>30</v>
      </c>
      <c r="F465" s="71">
        <v>1181.56</v>
      </c>
      <c r="G465" s="71">
        <v>0</v>
      </c>
      <c r="H465" s="71">
        <v>35446.799999999996</v>
      </c>
      <c r="I465" s="102">
        <v>0</v>
      </c>
      <c r="J465" s="71" t="s">
        <v>2219</v>
      </c>
      <c r="K465" s="34" t="s">
        <v>865</v>
      </c>
      <c r="L465" s="112"/>
    </row>
    <row r="466" spans="1:12" s="22" customFormat="1" ht="13.5" x14ac:dyDescent="0.25">
      <c r="A466" s="186" t="s">
        <v>2678</v>
      </c>
      <c r="B466" s="96" t="s">
        <v>880</v>
      </c>
      <c r="C466" s="32" t="s">
        <v>881</v>
      </c>
      <c r="D466" s="7" t="s">
        <v>856</v>
      </c>
      <c r="E466" s="41">
        <v>686</v>
      </c>
      <c r="F466" s="71">
        <v>6218.75</v>
      </c>
      <c r="G466" s="71">
        <v>0</v>
      </c>
      <c r="H466" s="71">
        <v>4266062.5</v>
      </c>
      <c r="I466" s="102">
        <v>0</v>
      </c>
      <c r="J466" s="71" t="s">
        <v>2219</v>
      </c>
      <c r="K466" s="34" t="s">
        <v>865</v>
      </c>
      <c r="L466" s="112"/>
    </row>
    <row r="467" spans="1:12" s="22" customFormat="1" ht="13.5" x14ac:dyDescent="0.25">
      <c r="A467" s="186" t="s">
        <v>2678</v>
      </c>
      <c r="B467" s="96" t="s">
        <v>882</v>
      </c>
      <c r="C467" s="32" t="s">
        <v>883</v>
      </c>
      <c r="D467" s="7" t="s">
        <v>856</v>
      </c>
      <c r="E467" s="41">
        <v>210</v>
      </c>
      <c r="F467" s="71">
        <v>6218.75</v>
      </c>
      <c r="G467" s="71">
        <v>0</v>
      </c>
      <c r="H467" s="71">
        <v>1305937.5</v>
      </c>
      <c r="I467" s="102">
        <v>0</v>
      </c>
      <c r="J467" s="71" t="s">
        <v>2219</v>
      </c>
      <c r="K467" s="34" t="s">
        <v>865</v>
      </c>
      <c r="L467" s="112"/>
    </row>
    <row r="468" spans="1:12" s="22" customFormat="1" ht="13.5" x14ac:dyDescent="0.25">
      <c r="A468" s="186" t="s">
        <v>2678</v>
      </c>
      <c r="B468" s="96" t="s">
        <v>884</v>
      </c>
      <c r="C468" s="32" t="s">
        <v>885</v>
      </c>
      <c r="D468" s="7" t="s">
        <v>856</v>
      </c>
      <c r="E468" s="41">
        <v>160</v>
      </c>
      <c r="F468" s="71">
        <v>6218.75</v>
      </c>
      <c r="G468" s="71">
        <v>0</v>
      </c>
      <c r="H468" s="71">
        <v>995000</v>
      </c>
      <c r="I468" s="102">
        <v>0</v>
      </c>
      <c r="J468" s="71" t="s">
        <v>2219</v>
      </c>
      <c r="K468" s="34" t="s">
        <v>865</v>
      </c>
      <c r="L468" s="112"/>
    </row>
    <row r="469" spans="1:12" s="22" customFormat="1" ht="27" x14ac:dyDescent="0.25">
      <c r="A469" s="186" t="s">
        <v>2678</v>
      </c>
      <c r="B469" s="96" t="s">
        <v>886</v>
      </c>
      <c r="C469" s="32" t="s">
        <v>887</v>
      </c>
      <c r="D469" s="7" t="s">
        <v>856</v>
      </c>
      <c r="E469" s="41">
        <v>800</v>
      </c>
      <c r="F469" s="71">
        <v>11193.75</v>
      </c>
      <c r="G469" s="71">
        <v>0</v>
      </c>
      <c r="H469" s="71">
        <v>8955000</v>
      </c>
      <c r="I469" s="102">
        <v>0</v>
      </c>
      <c r="J469" s="71" t="s">
        <v>2219</v>
      </c>
      <c r="K469" s="34" t="s">
        <v>865</v>
      </c>
      <c r="L469" s="112"/>
    </row>
    <row r="470" spans="1:12" s="22" customFormat="1" ht="13.5" x14ac:dyDescent="0.25">
      <c r="A470" s="186" t="s">
        <v>2678</v>
      </c>
      <c r="B470" s="96" t="s">
        <v>888</v>
      </c>
      <c r="C470" s="32" t="s">
        <v>858</v>
      </c>
      <c r="D470" s="7" t="s">
        <v>856</v>
      </c>
      <c r="E470" s="41">
        <v>800</v>
      </c>
      <c r="F470" s="71">
        <v>310.94</v>
      </c>
      <c r="G470" s="71">
        <v>0</v>
      </c>
      <c r="H470" s="71">
        <v>248752</v>
      </c>
      <c r="I470" s="102">
        <v>0</v>
      </c>
      <c r="J470" s="71" t="s">
        <v>2219</v>
      </c>
      <c r="K470" s="34" t="s">
        <v>865</v>
      </c>
      <c r="L470" s="112"/>
    </row>
    <row r="471" spans="1:12" s="22" customFormat="1" ht="13.5" x14ac:dyDescent="0.25">
      <c r="A471" s="186" t="s">
        <v>2678</v>
      </c>
      <c r="B471" s="98" t="s">
        <v>889</v>
      </c>
      <c r="C471" s="32" t="s">
        <v>860</v>
      </c>
      <c r="D471" s="7" t="s">
        <v>856</v>
      </c>
      <c r="E471" s="41">
        <v>968</v>
      </c>
      <c r="F471" s="71">
        <v>373.13</v>
      </c>
      <c r="G471" s="71">
        <v>0</v>
      </c>
      <c r="H471" s="71">
        <v>361189.83999999997</v>
      </c>
      <c r="I471" s="102">
        <v>0</v>
      </c>
      <c r="J471" s="71" t="s">
        <v>2219</v>
      </c>
      <c r="K471" s="34" t="s">
        <v>865</v>
      </c>
      <c r="L471" s="112"/>
    </row>
    <row r="472" spans="1:12" s="22" customFormat="1" ht="13.5" x14ac:dyDescent="0.25">
      <c r="A472" s="186" t="s">
        <v>2678</v>
      </c>
      <c r="B472" s="96" t="s">
        <v>890</v>
      </c>
      <c r="C472" s="32" t="s">
        <v>891</v>
      </c>
      <c r="D472" s="7" t="s">
        <v>856</v>
      </c>
      <c r="E472" s="41">
        <v>232</v>
      </c>
      <c r="F472" s="71">
        <v>684.06</v>
      </c>
      <c r="G472" s="71">
        <v>0</v>
      </c>
      <c r="H472" s="71">
        <v>158701.91999999998</v>
      </c>
      <c r="I472" s="102">
        <v>0</v>
      </c>
      <c r="J472" s="71" t="s">
        <v>2219</v>
      </c>
      <c r="K472" s="34" t="s">
        <v>865</v>
      </c>
      <c r="L472" s="112"/>
    </row>
    <row r="473" spans="1:12" s="22" customFormat="1" ht="13.5" x14ac:dyDescent="0.25">
      <c r="A473" s="186" t="s">
        <v>2678</v>
      </c>
      <c r="B473" s="96" t="s">
        <v>892</v>
      </c>
      <c r="C473" s="32" t="s">
        <v>864</v>
      </c>
      <c r="D473" s="7" t="s">
        <v>856</v>
      </c>
      <c r="E473" s="41">
        <v>48</v>
      </c>
      <c r="F473" s="71">
        <v>1181.56</v>
      </c>
      <c r="G473" s="71">
        <v>0</v>
      </c>
      <c r="H473" s="71">
        <v>56714.879999999997</v>
      </c>
      <c r="I473" s="102">
        <v>0</v>
      </c>
      <c r="J473" s="71" t="s">
        <v>2219</v>
      </c>
      <c r="K473" s="34" t="s">
        <v>865</v>
      </c>
      <c r="L473" s="112"/>
    </row>
    <row r="474" spans="1:12" s="22" customFormat="1" ht="13.5" x14ac:dyDescent="0.25">
      <c r="A474" s="186" t="s">
        <v>2678</v>
      </c>
      <c r="B474" s="97"/>
      <c r="C474" s="34" t="s">
        <v>893</v>
      </c>
      <c r="D474" s="7"/>
      <c r="E474" s="41"/>
      <c r="F474" s="71"/>
      <c r="G474" s="71"/>
      <c r="H474" s="71"/>
      <c r="I474" s="102"/>
      <c r="J474" s="71" t="s">
        <v>2219</v>
      </c>
      <c r="K474" s="74"/>
      <c r="L474" s="112"/>
    </row>
    <row r="475" spans="1:12" s="22" customFormat="1" ht="27" x14ac:dyDescent="0.25">
      <c r="A475" s="186" t="s">
        <v>2678</v>
      </c>
      <c r="B475" s="96" t="s">
        <v>894</v>
      </c>
      <c r="C475" s="32" t="s">
        <v>895</v>
      </c>
      <c r="D475" s="7" t="s">
        <v>2695</v>
      </c>
      <c r="E475" s="41">
        <v>2400</v>
      </c>
      <c r="F475" s="71">
        <v>4125.53</v>
      </c>
      <c r="G475" s="71">
        <v>0</v>
      </c>
      <c r="H475" s="71">
        <v>9901272</v>
      </c>
      <c r="I475" s="102">
        <v>0</v>
      </c>
      <c r="J475" s="71" t="s">
        <v>2219</v>
      </c>
      <c r="K475" s="34" t="s">
        <v>893</v>
      </c>
      <c r="L475" s="112"/>
    </row>
    <row r="476" spans="1:12" s="22" customFormat="1" ht="81" x14ac:dyDescent="0.25">
      <c r="A476" s="186" t="s">
        <v>2678</v>
      </c>
      <c r="B476" s="96" t="s">
        <v>896</v>
      </c>
      <c r="C476" s="32" t="s">
        <v>897</v>
      </c>
      <c r="D476" s="7" t="s">
        <v>2695</v>
      </c>
      <c r="E476" s="41">
        <v>1000</v>
      </c>
      <c r="F476" s="71">
        <v>8451.23</v>
      </c>
      <c r="G476" s="71">
        <v>0</v>
      </c>
      <c r="H476" s="71">
        <v>8451230</v>
      </c>
      <c r="I476" s="102">
        <v>0</v>
      </c>
      <c r="J476" s="71" t="s">
        <v>2219</v>
      </c>
      <c r="K476" s="34" t="s">
        <v>893</v>
      </c>
      <c r="L476" s="112"/>
    </row>
    <row r="477" spans="1:12" s="22" customFormat="1" ht="67.5" x14ac:dyDescent="0.25">
      <c r="A477" s="186" t="s">
        <v>2678</v>
      </c>
      <c r="B477" s="96" t="s">
        <v>898</v>
      </c>
      <c r="C477" s="32" t="s">
        <v>899</v>
      </c>
      <c r="D477" s="7" t="s">
        <v>2695</v>
      </c>
      <c r="E477" s="41">
        <v>1600</v>
      </c>
      <c r="F477" s="71">
        <v>2579.5</v>
      </c>
      <c r="G477" s="71">
        <v>0</v>
      </c>
      <c r="H477" s="71">
        <v>4127200</v>
      </c>
      <c r="I477" s="102">
        <v>0</v>
      </c>
      <c r="J477" s="71" t="s">
        <v>2219</v>
      </c>
      <c r="K477" s="34" t="s">
        <v>893</v>
      </c>
      <c r="L477" s="112"/>
    </row>
    <row r="478" spans="1:12" s="22" customFormat="1" ht="81" x14ac:dyDescent="0.25">
      <c r="A478" s="186" t="s">
        <v>2678</v>
      </c>
      <c r="B478" s="96" t="s">
        <v>900</v>
      </c>
      <c r="C478" s="32" t="s">
        <v>901</v>
      </c>
      <c r="D478" s="7" t="s">
        <v>2695</v>
      </c>
      <c r="E478" s="41">
        <v>5000</v>
      </c>
      <c r="F478" s="71">
        <v>2704.18</v>
      </c>
      <c r="G478" s="71">
        <v>0</v>
      </c>
      <c r="H478" s="71">
        <v>13520900</v>
      </c>
      <c r="I478" s="102">
        <v>0</v>
      </c>
      <c r="J478" s="71" t="s">
        <v>2219</v>
      </c>
      <c r="K478" s="34" t="s">
        <v>893</v>
      </c>
      <c r="L478" s="112"/>
    </row>
    <row r="479" spans="1:12" s="22" customFormat="1" ht="27" x14ac:dyDescent="0.25">
      <c r="A479" s="186" t="s">
        <v>2678</v>
      </c>
      <c r="B479" s="96" t="s">
        <v>902</v>
      </c>
      <c r="C479" s="32" t="s">
        <v>903</v>
      </c>
      <c r="D479" s="7" t="s">
        <v>2695</v>
      </c>
      <c r="E479" s="41">
        <v>2000</v>
      </c>
      <c r="F479" s="71">
        <v>15764.48</v>
      </c>
      <c r="G479" s="71">
        <v>0</v>
      </c>
      <c r="H479" s="71">
        <v>31528960</v>
      </c>
      <c r="I479" s="102">
        <v>0</v>
      </c>
      <c r="J479" s="71" t="s">
        <v>2219</v>
      </c>
      <c r="K479" s="34" t="s">
        <v>893</v>
      </c>
      <c r="L479" s="112"/>
    </row>
    <row r="480" spans="1:12" s="22" customFormat="1" ht="40.5" x14ac:dyDescent="0.25">
      <c r="A480" s="186" t="s">
        <v>2678</v>
      </c>
      <c r="B480" s="96" t="s">
        <v>904</v>
      </c>
      <c r="C480" s="32" t="s">
        <v>905</v>
      </c>
      <c r="D480" s="7" t="s">
        <v>2695</v>
      </c>
      <c r="E480" s="41">
        <v>4000</v>
      </c>
      <c r="F480" s="71">
        <v>2704.5</v>
      </c>
      <c r="G480" s="71">
        <v>0</v>
      </c>
      <c r="H480" s="71">
        <v>10818000</v>
      </c>
      <c r="I480" s="102">
        <v>0</v>
      </c>
      <c r="J480" s="71" t="s">
        <v>2219</v>
      </c>
      <c r="K480" s="34" t="s">
        <v>893</v>
      </c>
      <c r="L480" s="112"/>
    </row>
    <row r="481" spans="1:12" s="22" customFormat="1" ht="94.5" x14ac:dyDescent="0.25">
      <c r="A481" s="186" t="s">
        <v>2678</v>
      </c>
      <c r="B481" s="96" t="s">
        <v>906</v>
      </c>
      <c r="C481" s="32" t="s">
        <v>907</v>
      </c>
      <c r="D481" s="7" t="s">
        <v>2695</v>
      </c>
      <c r="E481" s="41">
        <v>4000</v>
      </c>
      <c r="F481" s="71">
        <v>5379.16</v>
      </c>
      <c r="G481" s="71">
        <v>0</v>
      </c>
      <c r="H481" s="71">
        <v>21516640</v>
      </c>
      <c r="I481" s="102">
        <v>0</v>
      </c>
      <c r="J481" s="71" t="s">
        <v>2219</v>
      </c>
      <c r="K481" s="34" t="s">
        <v>893</v>
      </c>
      <c r="L481" s="112"/>
    </row>
    <row r="482" spans="1:12" s="22" customFormat="1" ht="148.5" x14ac:dyDescent="0.25">
      <c r="A482" s="186" t="s">
        <v>2678</v>
      </c>
      <c r="B482" s="96" t="s">
        <v>908</v>
      </c>
      <c r="C482" s="32" t="s">
        <v>909</v>
      </c>
      <c r="D482" s="7" t="s">
        <v>2695</v>
      </c>
      <c r="E482" s="41">
        <v>3000</v>
      </c>
      <c r="F482" s="71">
        <v>8053.23</v>
      </c>
      <c r="G482" s="71">
        <v>0</v>
      </c>
      <c r="H482" s="71">
        <v>24159690</v>
      </c>
      <c r="I482" s="102">
        <v>0</v>
      </c>
      <c r="J482" s="71" t="s">
        <v>2219</v>
      </c>
      <c r="K482" s="34" t="s">
        <v>893</v>
      </c>
      <c r="L482" s="112"/>
    </row>
    <row r="483" spans="1:12" s="22" customFormat="1" ht="67.5" x14ac:dyDescent="0.25">
      <c r="A483" s="186" t="s">
        <v>2678</v>
      </c>
      <c r="B483" s="96" t="s">
        <v>910</v>
      </c>
      <c r="C483" s="32" t="s">
        <v>911</v>
      </c>
      <c r="D483" s="7" t="s">
        <v>2695</v>
      </c>
      <c r="E483" s="41">
        <v>2984.7</v>
      </c>
      <c r="F483" s="71">
        <v>2517.21</v>
      </c>
      <c r="G483" s="71">
        <v>0</v>
      </c>
      <c r="H483" s="71">
        <v>7513116.6869999999</v>
      </c>
      <c r="I483" s="102">
        <v>0</v>
      </c>
      <c r="J483" s="71" t="s">
        <v>2219</v>
      </c>
      <c r="K483" s="34" t="s">
        <v>893</v>
      </c>
      <c r="L483" s="112"/>
    </row>
    <row r="484" spans="1:12" s="22" customFormat="1" ht="94.5" x14ac:dyDescent="0.25">
      <c r="A484" s="186" t="s">
        <v>2678</v>
      </c>
      <c r="B484" s="97" t="s">
        <v>912</v>
      </c>
      <c r="C484" s="33" t="s">
        <v>913</v>
      </c>
      <c r="D484" s="7" t="s">
        <v>2695</v>
      </c>
      <c r="E484" s="41">
        <v>2500</v>
      </c>
      <c r="F484" s="71">
        <v>5752.29</v>
      </c>
      <c r="G484" s="71">
        <v>0</v>
      </c>
      <c r="H484" s="71">
        <v>14380725</v>
      </c>
      <c r="I484" s="102">
        <v>0</v>
      </c>
      <c r="J484" s="71" t="s">
        <v>2219</v>
      </c>
      <c r="K484" s="34" t="s">
        <v>893</v>
      </c>
      <c r="L484" s="112"/>
    </row>
    <row r="485" spans="1:12" s="22" customFormat="1" ht="13.5" x14ac:dyDescent="0.25">
      <c r="A485" s="186" t="s">
        <v>2678</v>
      </c>
      <c r="B485" s="96"/>
      <c r="C485" s="82" t="s">
        <v>914</v>
      </c>
      <c r="D485" s="7"/>
      <c r="E485" s="41"/>
      <c r="F485" s="71"/>
      <c r="G485" s="71"/>
      <c r="H485" s="71"/>
      <c r="I485" s="102"/>
      <c r="J485" s="71"/>
      <c r="K485" s="74"/>
      <c r="L485" s="112"/>
    </row>
    <row r="486" spans="1:12" s="22" customFormat="1" ht="27" x14ac:dyDescent="0.25">
      <c r="A486" s="186" t="s">
        <v>2678</v>
      </c>
      <c r="B486" s="96" t="s">
        <v>915</v>
      </c>
      <c r="C486" s="33" t="s">
        <v>916</v>
      </c>
      <c r="D486" s="7" t="s">
        <v>133</v>
      </c>
      <c r="E486" s="41">
        <v>56</v>
      </c>
      <c r="F486" s="71">
        <v>14178.75</v>
      </c>
      <c r="G486" s="71">
        <v>0</v>
      </c>
      <c r="H486" s="71">
        <v>794010</v>
      </c>
      <c r="I486" s="102">
        <v>0</v>
      </c>
      <c r="J486" s="71" t="s">
        <v>2219</v>
      </c>
      <c r="K486" s="82" t="s">
        <v>914</v>
      </c>
      <c r="L486" s="112"/>
    </row>
    <row r="487" spans="1:12" s="22" customFormat="1" ht="27" x14ac:dyDescent="0.25">
      <c r="A487" s="186" t="s">
        <v>2678</v>
      </c>
      <c r="B487" s="96" t="s">
        <v>917</v>
      </c>
      <c r="C487" s="33" t="s">
        <v>918</v>
      </c>
      <c r="D487" s="7" t="s">
        <v>133</v>
      </c>
      <c r="E487" s="41">
        <v>30</v>
      </c>
      <c r="F487" s="71">
        <v>30471.88</v>
      </c>
      <c r="G487" s="71">
        <v>0</v>
      </c>
      <c r="H487" s="71">
        <v>914156.4</v>
      </c>
      <c r="I487" s="102">
        <v>0</v>
      </c>
      <c r="J487" s="71" t="s">
        <v>2219</v>
      </c>
      <c r="K487" s="82" t="s">
        <v>914</v>
      </c>
      <c r="L487" s="112"/>
    </row>
    <row r="488" spans="1:12" s="22" customFormat="1" ht="13.5" x14ac:dyDescent="0.25">
      <c r="A488" s="186" t="s">
        <v>2678</v>
      </c>
      <c r="B488" s="96"/>
      <c r="C488" s="82" t="s">
        <v>919</v>
      </c>
      <c r="D488" s="7"/>
      <c r="E488" s="41"/>
      <c r="F488" s="71"/>
      <c r="G488" s="71"/>
      <c r="H488" s="71"/>
      <c r="I488" s="102"/>
      <c r="J488" s="71"/>
      <c r="K488" s="82"/>
      <c r="L488" s="112"/>
    </row>
    <row r="489" spans="1:12" s="22" customFormat="1" ht="27" x14ac:dyDescent="0.25">
      <c r="A489" s="186" t="s">
        <v>2678</v>
      </c>
      <c r="B489" s="96"/>
      <c r="C489" s="82" t="s">
        <v>920</v>
      </c>
      <c r="D489" s="7"/>
      <c r="E489" s="41"/>
      <c r="F489" s="71"/>
      <c r="G489" s="71"/>
      <c r="H489" s="71"/>
      <c r="I489" s="102"/>
      <c r="J489" s="71"/>
      <c r="K489" s="74"/>
      <c r="L489" s="112"/>
    </row>
    <row r="490" spans="1:12" s="22" customFormat="1" ht="54" x14ac:dyDescent="0.25">
      <c r="A490" s="186" t="s">
        <v>2678</v>
      </c>
      <c r="B490" s="96" t="s">
        <v>921</v>
      </c>
      <c r="C490" s="32" t="s">
        <v>922</v>
      </c>
      <c r="D490" s="7" t="s">
        <v>133</v>
      </c>
      <c r="E490" s="41">
        <v>220</v>
      </c>
      <c r="F490" s="71">
        <v>1356.71</v>
      </c>
      <c r="G490" s="71">
        <v>0</v>
      </c>
      <c r="H490" s="71">
        <v>298476.2</v>
      </c>
      <c r="I490" s="102">
        <v>0</v>
      </c>
      <c r="J490" s="82" t="s">
        <v>919</v>
      </c>
      <c r="K490" s="82" t="s">
        <v>920</v>
      </c>
      <c r="L490" s="112"/>
    </row>
    <row r="491" spans="1:12" s="22" customFormat="1" ht="54" x14ac:dyDescent="0.25">
      <c r="A491" s="186" t="s">
        <v>2678</v>
      </c>
      <c r="B491" s="96" t="s">
        <v>923</v>
      </c>
      <c r="C491" s="32" t="s">
        <v>924</v>
      </c>
      <c r="D491" s="7" t="s">
        <v>133</v>
      </c>
      <c r="E491" s="41">
        <v>220</v>
      </c>
      <c r="F491" s="71">
        <v>2144.0100000000002</v>
      </c>
      <c r="G491" s="71">
        <v>0</v>
      </c>
      <c r="H491" s="71">
        <v>471682.20000000007</v>
      </c>
      <c r="I491" s="102">
        <v>0</v>
      </c>
      <c r="J491" s="82" t="s">
        <v>919</v>
      </c>
      <c r="K491" s="82" t="s">
        <v>920</v>
      </c>
      <c r="L491" s="112"/>
    </row>
    <row r="492" spans="1:12" s="22" customFormat="1" ht="54" x14ac:dyDescent="0.25">
      <c r="A492" s="186" t="s">
        <v>2678</v>
      </c>
      <c r="B492" s="96" t="s">
        <v>925</v>
      </c>
      <c r="C492" s="32" t="s">
        <v>926</v>
      </c>
      <c r="D492" s="7" t="s">
        <v>133</v>
      </c>
      <c r="E492" s="41">
        <v>220</v>
      </c>
      <c r="F492" s="71">
        <v>3022.09</v>
      </c>
      <c r="G492" s="71">
        <v>0</v>
      </c>
      <c r="H492" s="71">
        <v>664859.80000000005</v>
      </c>
      <c r="I492" s="102">
        <v>0</v>
      </c>
      <c r="J492" s="82" t="s">
        <v>919</v>
      </c>
      <c r="K492" s="82" t="s">
        <v>920</v>
      </c>
      <c r="L492" s="112"/>
    </row>
    <row r="493" spans="1:12" s="22" customFormat="1" ht="54" x14ac:dyDescent="0.25">
      <c r="A493" s="186" t="s">
        <v>2678</v>
      </c>
      <c r="B493" s="96" t="s">
        <v>927</v>
      </c>
      <c r="C493" s="32" t="s">
        <v>928</v>
      </c>
      <c r="D493" s="7" t="s">
        <v>133</v>
      </c>
      <c r="E493" s="41">
        <v>220</v>
      </c>
      <c r="F493" s="71">
        <v>3022.09</v>
      </c>
      <c r="G493" s="71">
        <v>0</v>
      </c>
      <c r="H493" s="71">
        <v>664859.80000000005</v>
      </c>
      <c r="I493" s="102">
        <v>0</v>
      </c>
      <c r="J493" s="82" t="s">
        <v>919</v>
      </c>
      <c r="K493" s="82" t="s">
        <v>920</v>
      </c>
      <c r="L493" s="112"/>
    </row>
    <row r="494" spans="1:12" s="22" customFormat="1" ht="54" x14ac:dyDescent="0.25">
      <c r="A494" s="186" t="s">
        <v>2678</v>
      </c>
      <c r="B494" s="97" t="s">
        <v>929</v>
      </c>
      <c r="C494" s="32" t="s">
        <v>930</v>
      </c>
      <c r="D494" s="7" t="s">
        <v>133</v>
      </c>
      <c r="E494" s="41">
        <v>220</v>
      </c>
      <c r="F494" s="71">
        <v>3706.53</v>
      </c>
      <c r="G494" s="71">
        <v>0</v>
      </c>
      <c r="H494" s="71">
        <v>815436.60000000009</v>
      </c>
      <c r="I494" s="102">
        <v>0</v>
      </c>
      <c r="J494" s="82" t="s">
        <v>919</v>
      </c>
      <c r="K494" s="82" t="s">
        <v>920</v>
      </c>
      <c r="L494" s="112"/>
    </row>
    <row r="495" spans="1:12" s="22" customFormat="1" ht="54" x14ac:dyDescent="0.25">
      <c r="A495" s="186" t="s">
        <v>2678</v>
      </c>
      <c r="B495" s="98" t="s">
        <v>931</v>
      </c>
      <c r="C495" s="32" t="s">
        <v>932</v>
      </c>
      <c r="D495" s="7" t="s">
        <v>133</v>
      </c>
      <c r="E495" s="41">
        <v>220</v>
      </c>
      <c r="F495" s="71">
        <v>4165.1000000000004</v>
      </c>
      <c r="G495" s="71">
        <v>0</v>
      </c>
      <c r="H495" s="71">
        <v>916322.00000000012</v>
      </c>
      <c r="I495" s="102">
        <v>0</v>
      </c>
      <c r="J495" s="82" t="s">
        <v>919</v>
      </c>
      <c r="K495" s="82" t="s">
        <v>920</v>
      </c>
      <c r="L495" s="112"/>
    </row>
    <row r="496" spans="1:12" s="22" customFormat="1" ht="54" x14ac:dyDescent="0.25">
      <c r="A496" s="186" t="s">
        <v>2678</v>
      </c>
      <c r="B496" s="96" t="s">
        <v>933</v>
      </c>
      <c r="C496" s="32" t="s">
        <v>934</v>
      </c>
      <c r="D496" s="7" t="s">
        <v>133</v>
      </c>
      <c r="E496" s="41">
        <v>220</v>
      </c>
      <c r="F496" s="71">
        <v>4732.78</v>
      </c>
      <c r="G496" s="71">
        <v>0</v>
      </c>
      <c r="H496" s="71">
        <v>1041211.6</v>
      </c>
      <c r="I496" s="102">
        <v>0</v>
      </c>
      <c r="J496" s="82" t="s">
        <v>919</v>
      </c>
      <c r="K496" s="82" t="s">
        <v>920</v>
      </c>
      <c r="L496" s="112"/>
    </row>
    <row r="497" spans="1:12" s="22" customFormat="1" ht="54" x14ac:dyDescent="0.25">
      <c r="A497" s="186" t="s">
        <v>2678</v>
      </c>
      <c r="B497" s="96" t="s">
        <v>935</v>
      </c>
      <c r="C497" s="32" t="s">
        <v>936</v>
      </c>
      <c r="D497" s="7" t="s">
        <v>133</v>
      </c>
      <c r="E497" s="41">
        <v>200</v>
      </c>
      <c r="F497" s="71">
        <v>4176.66</v>
      </c>
      <c r="G497" s="71">
        <v>0</v>
      </c>
      <c r="H497" s="71">
        <v>835332</v>
      </c>
      <c r="I497" s="102">
        <v>0</v>
      </c>
      <c r="J497" s="82" t="s">
        <v>919</v>
      </c>
      <c r="K497" s="82" t="s">
        <v>920</v>
      </c>
      <c r="L497" s="112"/>
    </row>
    <row r="498" spans="1:12" s="22" customFormat="1" ht="54" x14ac:dyDescent="0.25">
      <c r="A498" s="186" t="s">
        <v>2678</v>
      </c>
      <c r="B498" s="96" t="s">
        <v>937</v>
      </c>
      <c r="C498" s="32" t="s">
        <v>938</v>
      </c>
      <c r="D498" s="7" t="s">
        <v>133</v>
      </c>
      <c r="E498" s="41">
        <v>200</v>
      </c>
      <c r="F498" s="71">
        <v>6007.81</v>
      </c>
      <c r="G498" s="71">
        <v>0</v>
      </c>
      <c r="H498" s="71">
        <v>1201562</v>
      </c>
      <c r="I498" s="102">
        <v>0</v>
      </c>
      <c r="J498" s="82" t="s">
        <v>919</v>
      </c>
      <c r="K498" s="82" t="s">
        <v>920</v>
      </c>
      <c r="L498" s="112"/>
    </row>
    <row r="499" spans="1:12" s="22" customFormat="1" ht="54" x14ac:dyDescent="0.25">
      <c r="A499" s="186" t="s">
        <v>2678</v>
      </c>
      <c r="B499" s="96" t="s">
        <v>939</v>
      </c>
      <c r="C499" s="32" t="s">
        <v>940</v>
      </c>
      <c r="D499" s="7" t="s">
        <v>133</v>
      </c>
      <c r="E499" s="41">
        <v>200</v>
      </c>
      <c r="F499" s="71">
        <v>5778.84</v>
      </c>
      <c r="G499" s="71">
        <v>0</v>
      </c>
      <c r="H499" s="71">
        <v>1155768</v>
      </c>
      <c r="I499" s="102">
        <v>0</v>
      </c>
      <c r="J499" s="82" t="s">
        <v>919</v>
      </c>
      <c r="K499" s="82" t="s">
        <v>920</v>
      </c>
      <c r="L499" s="112"/>
    </row>
    <row r="500" spans="1:12" s="22" customFormat="1" ht="54" x14ac:dyDescent="0.25">
      <c r="A500" s="186" t="s">
        <v>2678</v>
      </c>
      <c r="B500" s="96" t="s">
        <v>941</v>
      </c>
      <c r="C500" s="32" t="s">
        <v>942</v>
      </c>
      <c r="D500" s="7" t="s">
        <v>133</v>
      </c>
      <c r="E500" s="41">
        <v>200</v>
      </c>
      <c r="F500" s="71">
        <v>7076.31</v>
      </c>
      <c r="G500" s="71">
        <v>0</v>
      </c>
      <c r="H500" s="71">
        <v>1415262</v>
      </c>
      <c r="I500" s="102">
        <v>0</v>
      </c>
      <c r="J500" s="82" t="s">
        <v>919</v>
      </c>
      <c r="K500" s="82" t="s">
        <v>920</v>
      </c>
      <c r="L500" s="112"/>
    </row>
    <row r="501" spans="1:12" s="22" customFormat="1" ht="54" x14ac:dyDescent="0.25">
      <c r="A501" s="186" t="s">
        <v>2678</v>
      </c>
      <c r="B501" s="96" t="s">
        <v>943</v>
      </c>
      <c r="C501" s="32" t="s">
        <v>944</v>
      </c>
      <c r="D501" s="7" t="s">
        <v>133</v>
      </c>
      <c r="E501" s="41">
        <v>200</v>
      </c>
      <c r="F501" s="71">
        <v>7076.31</v>
      </c>
      <c r="G501" s="71">
        <v>0</v>
      </c>
      <c r="H501" s="71">
        <v>1415262</v>
      </c>
      <c r="I501" s="102">
        <v>0</v>
      </c>
      <c r="J501" s="82" t="s">
        <v>919</v>
      </c>
      <c r="K501" s="82" t="s">
        <v>920</v>
      </c>
      <c r="L501" s="112"/>
    </row>
    <row r="502" spans="1:12" s="22" customFormat="1" ht="54" x14ac:dyDescent="0.25">
      <c r="A502" s="186" t="s">
        <v>2678</v>
      </c>
      <c r="B502" s="96" t="s">
        <v>945</v>
      </c>
      <c r="C502" s="32" t="s">
        <v>946</v>
      </c>
      <c r="D502" s="7" t="s">
        <v>133</v>
      </c>
      <c r="E502" s="41">
        <v>200</v>
      </c>
      <c r="F502" s="71">
        <v>9407.1299999999992</v>
      </c>
      <c r="G502" s="71">
        <v>0</v>
      </c>
      <c r="H502" s="71">
        <v>1881425.9999999998</v>
      </c>
      <c r="I502" s="102">
        <v>0</v>
      </c>
      <c r="J502" s="82" t="s">
        <v>919</v>
      </c>
      <c r="K502" s="82" t="s">
        <v>920</v>
      </c>
      <c r="L502" s="112"/>
    </row>
    <row r="503" spans="1:12" s="22" customFormat="1" ht="54" x14ac:dyDescent="0.25">
      <c r="A503" s="186" t="s">
        <v>2678</v>
      </c>
      <c r="B503" s="96" t="s">
        <v>947</v>
      </c>
      <c r="C503" s="32" t="s">
        <v>948</v>
      </c>
      <c r="D503" s="7" t="s">
        <v>133</v>
      </c>
      <c r="E503" s="41">
        <v>200</v>
      </c>
      <c r="F503" s="71">
        <v>12252.26</v>
      </c>
      <c r="G503" s="71">
        <v>0</v>
      </c>
      <c r="H503" s="71">
        <v>2450452</v>
      </c>
      <c r="I503" s="102">
        <v>0</v>
      </c>
      <c r="J503" s="82" t="s">
        <v>919</v>
      </c>
      <c r="K503" s="82" t="s">
        <v>920</v>
      </c>
      <c r="L503" s="112"/>
    </row>
    <row r="504" spans="1:12" s="22" customFormat="1" ht="54" x14ac:dyDescent="0.25">
      <c r="A504" s="186" t="s">
        <v>2678</v>
      </c>
      <c r="B504" s="97" t="s">
        <v>949</v>
      </c>
      <c r="C504" s="32" t="s">
        <v>950</v>
      </c>
      <c r="D504" s="7" t="s">
        <v>133</v>
      </c>
      <c r="E504" s="41">
        <v>200</v>
      </c>
      <c r="F504" s="71">
        <v>11386.73</v>
      </c>
      <c r="G504" s="71">
        <v>0</v>
      </c>
      <c r="H504" s="71">
        <v>2277346</v>
      </c>
      <c r="I504" s="102">
        <v>0</v>
      </c>
      <c r="J504" s="82" t="s">
        <v>919</v>
      </c>
      <c r="K504" s="82" t="s">
        <v>920</v>
      </c>
      <c r="L504" s="112"/>
    </row>
    <row r="505" spans="1:12" s="22" customFormat="1" ht="54" x14ac:dyDescent="0.25">
      <c r="A505" s="186" t="s">
        <v>2678</v>
      </c>
      <c r="B505" s="96" t="s">
        <v>951</v>
      </c>
      <c r="C505" s="32" t="s">
        <v>952</v>
      </c>
      <c r="D505" s="7" t="s">
        <v>133</v>
      </c>
      <c r="E505" s="41">
        <v>200</v>
      </c>
      <c r="F505" s="71">
        <v>13784.23</v>
      </c>
      <c r="G505" s="71">
        <v>0</v>
      </c>
      <c r="H505" s="71">
        <v>2756846</v>
      </c>
      <c r="I505" s="102">
        <v>0</v>
      </c>
      <c r="J505" s="82" t="s">
        <v>919</v>
      </c>
      <c r="K505" s="82" t="s">
        <v>920</v>
      </c>
      <c r="L505" s="112"/>
    </row>
    <row r="506" spans="1:12" s="22" customFormat="1" ht="54" x14ac:dyDescent="0.25">
      <c r="A506" s="186" t="s">
        <v>2678</v>
      </c>
      <c r="B506" s="96" t="s">
        <v>953</v>
      </c>
      <c r="C506" s="32" t="s">
        <v>954</v>
      </c>
      <c r="D506" s="7" t="s">
        <v>133</v>
      </c>
      <c r="E506" s="41">
        <v>160</v>
      </c>
      <c r="F506" s="71">
        <v>12217.75</v>
      </c>
      <c r="G506" s="71">
        <v>0</v>
      </c>
      <c r="H506" s="71">
        <v>1954840</v>
      </c>
      <c r="I506" s="102">
        <v>0</v>
      </c>
      <c r="J506" s="82" t="s">
        <v>919</v>
      </c>
      <c r="K506" s="82" t="s">
        <v>920</v>
      </c>
      <c r="L506" s="112"/>
    </row>
    <row r="507" spans="1:12" s="22" customFormat="1" ht="54" x14ac:dyDescent="0.25">
      <c r="A507" s="186" t="s">
        <v>2678</v>
      </c>
      <c r="B507" s="96" t="s">
        <v>955</v>
      </c>
      <c r="C507" s="32" t="s">
        <v>956</v>
      </c>
      <c r="D507" s="7" t="s">
        <v>133</v>
      </c>
      <c r="E507" s="41">
        <v>160</v>
      </c>
      <c r="F507" s="71">
        <v>13345.86</v>
      </c>
      <c r="G507" s="71">
        <v>0</v>
      </c>
      <c r="H507" s="71">
        <v>2135337.6</v>
      </c>
      <c r="I507" s="102">
        <v>0</v>
      </c>
      <c r="J507" s="82" t="s">
        <v>919</v>
      </c>
      <c r="K507" s="82" t="s">
        <v>920</v>
      </c>
      <c r="L507" s="112"/>
    </row>
    <row r="508" spans="1:12" s="22" customFormat="1" ht="54" x14ac:dyDescent="0.25">
      <c r="A508" s="186" t="s">
        <v>2678</v>
      </c>
      <c r="B508" s="96" t="s">
        <v>957</v>
      </c>
      <c r="C508" s="32" t="s">
        <v>958</v>
      </c>
      <c r="D508" s="7" t="s">
        <v>133</v>
      </c>
      <c r="E508" s="41">
        <v>160</v>
      </c>
      <c r="F508" s="71">
        <v>13345.86</v>
      </c>
      <c r="G508" s="71">
        <v>0</v>
      </c>
      <c r="H508" s="71">
        <v>2135337.6</v>
      </c>
      <c r="I508" s="102">
        <v>0</v>
      </c>
      <c r="J508" s="82" t="s">
        <v>919</v>
      </c>
      <c r="K508" s="82" t="s">
        <v>920</v>
      </c>
      <c r="L508" s="112"/>
    </row>
    <row r="509" spans="1:12" s="22" customFormat="1" ht="54" x14ac:dyDescent="0.25">
      <c r="A509" s="186" t="s">
        <v>2678</v>
      </c>
      <c r="B509" s="96" t="s">
        <v>959</v>
      </c>
      <c r="C509" s="32" t="s">
        <v>960</v>
      </c>
      <c r="D509" s="7" t="s">
        <v>133</v>
      </c>
      <c r="E509" s="41">
        <v>160</v>
      </c>
      <c r="F509" s="71">
        <v>14806.2</v>
      </c>
      <c r="G509" s="71">
        <v>0</v>
      </c>
      <c r="H509" s="71">
        <v>2368992</v>
      </c>
      <c r="I509" s="102">
        <v>0</v>
      </c>
      <c r="J509" s="82" t="s">
        <v>919</v>
      </c>
      <c r="K509" s="82" t="s">
        <v>920</v>
      </c>
      <c r="L509" s="112"/>
    </row>
    <row r="510" spans="1:12" s="22" customFormat="1" ht="54" x14ac:dyDescent="0.25">
      <c r="A510" s="186" t="s">
        <v>2678</v>
      </c>
      <c r="B510" s="96" t="s">
        <v>961</v>
      </c>
      <c r="C510" s="32" t="s">
        <v>962</v>
      </c>
      <c r="D510" s="7" t="s">
        <v>133</v>
      </c>
      <c r="E510" s="41">
        <v>160</v>
      </c>
      <c r="F510" s="71">
        <v>16225.11</v>
      </c>
      <c r="G510" s="71">
        <v>0</v>
      </c>
      <c r="H510" s="71">
        <v>2596017.6</v>
      </c>
      <c r="I510" s="102">
        <v>0</v>
      </c>
      <c r="J510" s="82" t="s">
        <v>919</v>
      </c>
      <c r="K510" s="82" t="s">
        <v>920</v>
      </c>
      <c r="L510" s="112"/>
    </row>
    <row r="511" spans="1:12" s="22" customFormat="1" ht="54" x14ac:dyDescent="0.25">
      <c r="A511" s="186" t="s">
        <v>2678</v>
      </c>
      <c r="B511" s="96" t="s">
        <v>963</v>
      </c>
      <c r="C511" s="32" t="s">
        <v>964</v>
      </c>
      <c r="D511" s="7" t="s">
        <v>133</v>
      </c>
      <c r="E511" s="41">
        <v>160</v>
      </c>
      <c r="F511" s="71">
        <v>16867.39</v>
      </c>
      <c r="G511" s="71">
        <v>0</v>
      </c>
      <c r="H511" s="71">
        <v>2698782.4</v>
      </c>
      <c r="I511" s="102">
        <v>0</v>
      </c>
      <c r="J511" s="82" t="s">
        <v>919</v>
      </c>
      <c r="K511" s="82" t="s">
        <v>920</v>
      </c>
      <c r="L511" s="112"/>
    </row>
    <row r="512" spans="1:12" s="22" customFormat="1" ht="54" x14ac:dyDescent="0.25">
      <c r="A512" s="186" t="s">
        <v>2678</v>
      </c>
      <c r="B512" s="98" t="s">
        <v>965</v>
      </c>
      <c r="C512" s="32" t="s">
        <v>966</v>
      </c>
      <c r="D512" s="7" t="s">
        <v>133</v>
      </c>
      <c r="E512" s="41">
        <v>160</v>
      </c>
      <c r="F512" s="71">
        <v>16867.39</v>
      </c>
      <c r="G512" s="71">
        <v>0</v>
      </c>
      <c r="H512" s="71">
        <v>2698782.4</v>
      </c>
      <c r="I512" s="102">
        <v>0</v>
      </c>
      <c r="J512" s="82" t="s">
        <v>919</v>
      </c>
      <c r="K512" s="82" t="s">
        <v>920</v>
      </c>
      <c r="L512" s="112"/>
    </row>
    <row r="513" spans="1:12" s="22" customFormat="1" ht="54" x14ac:dyDescent="0.25">
      <c r="A513" s="186" t="s">
        <v>2678</v>
      </c>
      <c r="B513" s="96" t="s">
        <v>967</v>
      </c>
      <c r="C513" s="32" t="s">
        <v>968</v>
      </c>
      <c r="D513" s="7" t="s">
        <v>133</v>
      </c>
      <c r="E513" s="41">
        <v>160</v>
      </c>
      <c r="F513" s="71">
        <v>21990.240000000002</v>
      </c>
      <c r="G513" s="71">
        <v>0</v>
      </c>
      <c r="H513" s="71">
        <v>3518438.4000000004</v>
      </c>
      <c r="I513" s="102">
        <v>0</v>
      </c>
      <c r="J513" s="82" t="s">
        <v>919</v>
      </c>
      <c r="K513" s="82" t="s">
        <v>920</v>
      </c>
      <c r="L513" s="112"/>
    </row>
    <row r="514" spans="1:12" s="22" customFormat="1" ht="54" x14ac:dyDescent="0.25">
      <c r="A514" s="186" t="s">
        <v>2678</v>
      </c>
      <c r="B514" s="97" t="s">
        <v>969</v>
      </c>
      <c r="C514" s="32" t="s">
        <v>970</v>
      </c>
      <c r="D514" s="7" t="s">
        <v>133</v>
      </c>
      <c r="E514" s="41">
        <v>160</v>
      </c>
      <c r="F514" s="71">
        <v>21990.240000000002</v>
      </c>
      <c r="G514" s="71">
        <v>0</v>
      </c>
      <c r="H514" s="71">
        <v>3518438.4000000004</v>
      </c>
      <c r="I514" s="102">
        <v>0</v>
      </c>
      <c r="J514" s="82" t="s">
        <v>919</v>
      </c>
      <c r="K514" s="82" t="s">
        <v>920</v>
      </c>
      <c r="L514" s="112"/>
    </row>
    <row r="515" spans="1:12" s="22" customFormat="1" ht="54" x14ac:dyDescent="0.25">
      <c r="A515" s="186" t="s">
        <v>2678</v>
      </c>
      <c r="B515" s="96" t="s">
        <v>971</v>
      </c>
      <c r="C515" s="32" t="s">
        <v>972</v>
      </c>
      <c r="D515" s="7" t="s">
        <v>133</v>
      </c>
      <c r="E515" s="41">
        <v>100</v>
      </c>
      <c r="F515" s="71">
        <v>31731.05</v>
      </c>
      <c r="G515" s="71">
        <v>0</v>
      </c>
      <c r="H515" s="71">
        <v>3173105</v>
      </c>
      <c r="I515" s="102">
        <v>0</v>
      </c>
      <c r="J515" s="82" t="s">
        <v>919</v>
      </c>
      <c r="K515" s="82" t="s">
        <v>920</v>
      </c>
      <c r="L515" s="112"/>
    </row>
    <row r="516" spans="1:12" s="22" customFormat="1" ht="54" x14ac:dyDescent="0.25">
      <c r="A516" s="186" t="s">
        <v>2678</v>
      </c>
      <c r="B516" s="96" t="s">
        <v>973</v>
      </c>
      <c r="C516" s="32" t="s">
        <v>974</v>
      </c>
      <c r="D516" s="7" t="s">
        <v>133</v>
      </c>
      <c r="E516" s="41">
        <v>100</v>
      </c>
      <c r="F516" s="71">
        <v>31731.05</v>
      </c>
      <c r="G516" s="71">
        <v>0</v>
      </c>
      <c r="H516" s="71">
        <v>3173105</v>
      </c>
      <c r="I516" s="102">
        <v>0</v>
      </c>
      <c r="J516" s="82" t="s">
        <v>919</v>
      </c>
      <c r="K516" s="82" t="s">
        <v>920</v>
      </c>
      <c r="L516" s="112"/>
    </row>
    <row r="517" spans="1:12" s="22" customFormat="1" ht="54" x14ac:dyDescent="0.25">
      <c r="A517" s="186" t="s">
        <v>2678</v>
      </c>
      <c r="B517" s="96" t="s">
        <v>975</v>
      </c>
      <c r="C517" s="32" t="s">
        <v>976</v>
      </c>
      <c r="D517" s="7" t="s">
        <v>133</v>
      </c>
      <c r="E517" s="41">
        <v>100</v>
      </c>
      <c r="F517" s="71">
        <v>46473.7</v>
      </c>
      <c r="G517" s="71">
        <v>0</v>
      </c>
      <c r="H517" s="71">
        <v>4647370</v>
      </c>
      <c r="I517" s="102">
        <v>0</v>
      </c>
      <c r="J517" s="82" t="s">
        <v>919</v>
      </c>
      <c r="K517" s="82" t="s">
        <v>920</v>
      </c>
      <c r="L517" s="112"/>
    </row>
    <row r="518" spans="1:12" s="22" customFormat="1" ht="54" x14ac:dyDescent="0.25">
      <c r="A518" s="186" t="s">
        <v>2678</v>
      </c>
      <c r="B518" s="96" t="s">
        <v>977</v>
      </c>
      <c r="C518" s="32" t="s">
        <v>978</v>
      </c>
      <c r="D518" s="7" t="s">
        <v>133</v>
      </c>
      <c r="E518" s="41">
        <v>100</v>
      </c>
      <c r="F518" s="71">
        <v>46473.7</v>
      </c>
      <c r="G518" s="71">
        <v>0</v>
      </c>
      <c r="H518" s="71">
        <v>4647370</v>
      </c>
      <c r="I518" s="102">
        <v>0</v>
      </c>
      <c r="J518" s="82" t="s">
        <v>919</v>
      </c>
      <c r="K518" s="82" t="s">
        <v>920</v>
      </c>
      <c r="L518" s="112"/>
    </row>
    <row r="519" spans="1:12" s="22" customFormat="1" ht="54" x14ac:dyDescent="0.25">
      <c r="A519" s="186" t="s">
        <v>2678</v>
      </c>
      <c r="B519" s="96" t="s">
        <v>979</v>
      </c>
      <c r="C519" s="32" t="s">
        <v>980</v>
      </c>
      <c r="D519" s="7" t="s">
        <v>133</v>
      </c>
      <c r="E519" s="41">
        <v>80</v>
      </c>
      <c r="F519" s="71">
        <v>37671.980000000003</v>
      </c>
      <c r="G519" s="71">
        <v>0</v>
      </c>
      <c r="H519" s="71">
        <v>3013758.4000000004</v>
      </c>
      <c r="I519" s="102">
        <v>0</v>
      </c>
      <c r="J519" s="82" t="s">
        <v>919</v>
      </c>
      <c r="K519" s="82" t="s">
        <v>920</v>
      </c>
      <c r="L519" s="112"/>
    </row>
    <row r="520" spans="1:12" s="22" customFormat="1" ht="54" x14ac:dyDescent="0.25">
      <c r="A520" s="186" t="s">
        <v>2678</v>
      </c>
      <c r="B520" s="96" t="s">
        <v>981</v>
      </c>
      <c r="C520" s="32" t="s">
        <v>982</v>
      </c>
      <c r="D520" s="7" t="s">
        <v>133</v>
      </c>
      <c r="E520" s="41">
        <v>80</v>
      </c>
      <c r="F520" s="71">
        <v>41329.14</v>
      </c>
      <c r="G520" s="71">
        <v>0</v>
      </c>
      <c r="H520" s="71">
        <v>3306331.2</v>
      </c>
      <c r="I520" s="102">
        <v>0</v>
      </c>
      <c r="J520" s="82" t="s">
        <v>919</v>
      </c>
      <c r="K520" s="82" t="s">
        <v>920</v>
      </c>
      <c r="L520" s="112"/>
    </row>
    <row r="521" spans="1:12" s="22" customFormat="1" ht="54" x14ac:dyDescent="0.25">
      <c r="A521" s="186" t="s">
        <v>2678</v>
      </c>
      <c r="B521" s="96" t="s">
        <v>983</v>
      </c>
      <c r="C521" s="32" t="s">
        <v>984</v>
      </c>
      <c r="D521" s="7" t="s">
        <v>133</v>
      </c>
      <c r="E521" s="41">
        <v>80</v>
      </c>
      <c r="F521" s="71">
        <v>41409.14</v>
      </c>
      <c r="G521" s="71">
        <v>0</v>
      </c>
      <c r="H521" s="71">
        <v>3312731.2</v>
      </c>
      <c r="I521" s="102">
        <v>0</v>
      </c>
      <c r="J521" s="82" t="s">
        <v>919</v>
      </c>
      <c r="K521" s="82" t="s">
        <v>920</v>
      </c>
      <c r="L521" s="112"/>
    </row>
    <row r="522" spans="1:12" s="22" customFormat="1" ht="54" x14ac:dyDescent="0.25">
      <c r="A522" s="186" t="s">
        <v>2678</v>
      </c>
      <c r="B522" s="98" t="s">
        <v>985</v>
      </c>
      <c r="C522" s="32" t="s">
        <v>986</v>
      </c>
      <c r="D522" s="7" t="s">
        <v>133</v>
      </c>
      <c r="E522" s="41">
        <v>80</v>
      </c>
      <c r="F522" s="71">
        <v>51097.21</v>
      </c>
      <c r="G522" s="71">
        <v>0</v>
      </c>
      <c r="H522" s="71">
        <v>4087776.8</v>
      </c>
      <c r="I522" s="102">
        <v>0</v>
      </c>
      <c r="J522" s="82" t="s">
        <v>919</v>
      </c>
      <c r="K522" s="82" t="s">
        <v>920</v>
      </c>
      <c r="L522" s="112"/>
    </row>
    <row r="523" spans="1:12" s="22" customFormat="1" ht="54" x14ac:dyDescent="0.25">
      <c r="A523" s="186" t="s">
        <v>2678</v>
      </c>
      <c r="B523" s="96" t="s">
        <v>987</v>
      </c>
      <c r="C523" s="32" t="s">
        <v>988</v>
      </c>
      <c r="D523" s="7" t="s">
        <v>133</v>
      </c>
      <c r="E523" s="41">
        <v>80</v>
      </c>
      <c r="F523" s="71">
        <v>66271.38</v>
      </c>
      <c r="G523" s="71">
        <v>0</v>
      </c>
      <c r="H523" s="71">
        <v>5301710.4000000004</v>
      </c>
      <c r="I523" s="102">
        <v>0</v>
      </c>
      <c r="J523" s="82" t="s">
        <v>919</v>
      </c>
      <c r="K523" s="82" t="s">
        <v>920</v>
      </c>
      <c r="L523" s="112"/>
    </row>
    <row r="524" spans="1:12" s="22" customFormat="1" ht="54" x14ac:dyDescent="0.25">
      <c r="A524" s="186" t="s">
        <v>2678</v>
      </c>
      <c r="B524" s="97" t="s">
        <v>989</v>
      </c>
      <c r="C524" s="32" t="s">
        <v>990</v>
      </c>
      <c r="D524" s="7" t="s">
        <v>133</v>
      </c>
      <c r="E524" s="41">
        <v>80</v>
      </c>
      <c r="F524" s="71">
        <v>66697.63</v>
      </c>
      <c r="G524" s="71">
        <v>0</v>
      </c>
      <c r="H524" s="71">
        <v>5335810.4000000004</v>
      </c>
      <c r="I524" s="102">
        <v>0</v>
      </c>
      <c r="J524" s="82" t="s">
        <v>919</v>
      </c>
      <c r="K524" s="82" t="s">
        <v>920</v>
      </c>
      <c r="L524" s="112"/>
    </row>
    <row r="525" spans="1:12" s="22" customFormat="1" ht="54" x14ac:dyDescent="0.25">
      <c r="A525" s="186" t="s">
        <v>2678</v>
      </c>
      <c r="B525" s="96" t="s">
        <v>991</v>
      </c>
      <c r="C525" s="32" t="s">
        <v>992</v>
      </c>
      <c r="D525" s="7" t="s">
        <v>133</v>
      </c>
      <c r="E525" s="41">
        <v>70</v>
      </c>
      <c r="F525" s="71">
        <v>45742.01</v>
      </c>
      <c r="G525" s="71">
        <v>0</v>
      </c>
      <c r="H525" s="71">
        <v>3201940.7</v>
      </c>
      <c r="I525" s="102">
        <v>0</v>
      </c>
      <c r="J525" s="82" t="s">
        <v>919</v>
      </c>
      <c r="K525" s="82" t="s">
        <v>920</v>
      </c>
      <c r="L525" s="112"/>
    </row>
    <row r="526" spans="1:12" s="22" customFormat="1" ht="54" x14ac:dyDescent="0.25">
      <c r="A526" s="186" t="s">
        <v>2678</v>
      </c>
      <c r="B526" s="96" t="s">
        <v>993</v>
      </c>
      <c r="C526" s="32" t="s">
        <v>994</v>
      </c>
      <c r="D526" s="7" t="s">
        <v>133</v>
      </c>
      <c r="E526" s="41">
        <v>70</v>
      </c>
      <c r="F526" s="71">
        <v>51326.95</v>
      </c>
      <c r="G526" s="71">
        <v>0</v>
      </c>
      <c r="H526" s="71">
        <v>3592886.5</v>
      </c>
      <c r="I526" s="102">
        <v>0</v>
      </c>
      <c r="J526" s="82" t="s">
        <v>919</v>
      </c>
      <c r="K526" s="82" t="s">
        <v>920</v>
      </c>
      <c r="L526" s="112"/>
    </row>
    <row r="527" spans="1:12" s="22" customFormat="1" ht="54" x14ac:dyDescent="0.25">
      <c r="A527" s="186" t="s">
        <v>2678</v>
      </c>
      <c r="B527" s="96" t="s">
        <v>995</v>
      </c>
      <c r="C527" s="32" t="s">
        <v>996</v>
      </c>
      <c r="D527" s="7" t="s">
        <v>133</v>
      </c>
      <c r="E527" s="41">
        <v>70</v>
      </c>
      <c r="F527" s="71">
        <v>51393.83</v>
      </c>
      <c r="G527" s="71">
        <v>0</v>
      </c>
      <c r="H527" s="71">
        <v>3597568.1</v>
      </c>
      <c r="I527" s="102">
        <v>0</v>
      </c>
      <c r="J527" s="82" t="s">
        <v>919</v>
      </c>
      <c r="K527" s="82" t="s">
        <v>920</v>
      </c>
      <c r="L527" s="112"/>
    </row>
    <row r="528" spans="1:12" s="22" customFormat="1" ht="54" x14ac:dyDescent="0.25">
      <c r="A528" s="186" t="s">
        <v>2678</v>
      </c>
      <c r="B528" s="96" t="s">
        <v>997</v>
      </c>
      <c r="C528" s="32" t="s">
        <v>998</v>
      </c>
      <c r="D528" s="7" t="s">
        <v>133</v>
      </c>
      <c r="E528" s="41">
        <v>70</v>
      </c>
      <c r="F528" s="71">
        <v>49380.33</v>
      </c>
      <c r="G528" s="71">
        <v>0</v>
      </c>
      <c r="H528" s="71">
        <v>3456623.1</v>
      </c>
      <c r="I528" s="102">
        <v>0</v>
      </c>
      <c r="J528" s="82" t="s">
        <v>919</v>
      </c>
      <c r="K528" s="82" t="s">
        <v>920</v>
      </c>
      <c r="L528" s="112"/>
    </row>
    <row r="529" spans="1:12" s="22" customFormat="1" ht="54" x14ac:dyDescent="0.25">
      <c r="A529" s="186" t="s">
        <v>2678</v>
      </c>
      <c r="B529" s="96" t="s">
        <v>999</v>
      </c>
      <c r="C529" s="32" t="s">
        <v>1000</v>
      </c>
      <c r="D529" s="7" t="s">
        <v>133</v>
      </c>
      <c r="E529" s="41">
        <v>70</v>
      </c>
      <c r="F529" s="71">
        <v>49380.33</v>
      </c>
      <c r="G529" s="71">
        <v>0</v>
      </c>
      <c r="H529" s="71">
        <v>3456623.1</v>
      </c>
      <c r="I529" s="102">
        <v>0</v>
      </c>
      <c r="J529" s="82" t="s">
        <v>919</v>
      </c>
      <c r="K529" s="82" t="s">
        <v>920</v>
      </c>
      <c r="L529" s="112"/>
    </row>
    <row r="530" spans="1:12" s="22" customFormat="1" ht="54" x14ac:dyDescent="0.25">
      <c r="A530" s="186" t="s">
        <v>2678</v>
      </c>
      <c r="B530" s="96" t="s">
        <v>1001</v>
      </c>
      <c r="C530" s="32" t="s">
        <v>1002</v>
      </c>
      <c r="D530" s="7" t="s">
        <v>133</v>
      </c>
      <c r="E530" s="41">
        <v>70</v>
      </c>
      <c r="F530" s="71">
        <v>88878.61</v>
      </c>
      <c r="G530" s="71">
        <v>0</v>
      </c>
      <c r="H530" s="71">
        <v>6221502.7000000002</v>
      </c>
      <c r="I530" s="102">
        <v>0</v>
      </c>
      <c r="J530" s="82" t="s">
        <v>919</v>
      </c>
      <c r="K530" s="82" t="s">
        <v>920</v>
      </c>
      <c r="L530" s="112"/>
    </row>
    <row r="531" spans="1:12" s="22" customFormat="1" ht="54" x14ac:dyDescent="0.25">
      <c r="A531" s="186" t="s">
        <v>2678</v>
      </c>
      <c r="B531" s="96" t="s">
        <v>1003</v>
      </c>
      <c r="C531" s="32" t="s">
        <v>1004</v>
      </c>
      <c r="D531" s="7" t="s">
        <v>133</v>
      </c>
      <c r="E531" s="41">
        <v>70</v>
      </c>
      <c r="F531" s="71">
        <v>89284.75</v>
      </c>
      <c r="G531" s="71">
        <v>0</v>
      </c>
      <c r="H531" s="71">
        <v>6249932.5</v>
      </c>
      <c r="I531" s="102">
        <v>0</v>
      </c>
      <c r="J531" s="82" t="s">
        <v>919</v>
      </c>
      <c r="K531" s="82" t="s">
        <v>920</v>
      </c>
      <c r="L531" s="112"/>
    </row>
    <row r="532" spans="1:12" s="22" customFormat="1" ht="13.5" x14ac:dyDescent="0.25">
      <c r="A532" s="186" t="s">
        <v>2678</v>
      </c>
      <c r="B532" s="96"/>
      <c r="C532" s="34" t="s">
        <v>1005</v>
      </c>
      <c r="D532" s="7"/>
      <c r="E532" s="41"/>
      <c r="F532" s="71"/>
      <c r="G532" s="71"/>
      <c r="H532" s="71"/>
      <c r="I532" s="102"/>
      <c r="J532" s="71"/>
      <c r="K532" s="74"/>
      <c r="L532" s="112"/>
    </row>
    <row r="533" spans="1:12" s="22" customFormat="1" ht="40.5" x14ac:dyDescent="0.25">
      <c r="A533" s="186" t="s">
        <v>2678</v>
      </c>
      <c r="B533" s="96"/>
      <c r="C533" s="34" t="s">
        <v>1006</v>
      </c>
      <c r="D533" s="7"/>
      <c r="E533" s="41"/>
      <c r="F533" s="71"/>
      <c r="G533" s="71"/>
      <c r="H533" s="71"/>
      <c r="I533" s="102"/>
      <c r="J533" s="71"/>
      <c r="K533" s="74"/>
      <c r="L533" s="112"/>
    </row>
    <row r="534" spans="1:12" s="22" customFormat="1" ht="67.5" x14ac:dyDescent="0.25">
      <c r="A534" s="186" t="s">
        <v>2678</v>
      </c>
      <c r="B534" s="99" t="s">
        <v>1007</v>
      </c>
      <c r="C534" s="32" t="s">
        <v>1008</v>
      </c>
      <c r="D534" s="7" t="s">
        <v>856</v>
      </c>
      <c r="E534" s="41">
        <v>160</v>
      </c>
      <c r="F534" s="71">
        <v>665.51</v>
      </c>
      <c r="G534" s="71">
        <v>0</v>
      </c>
      <c r="H534" s="71">
        <v>106481.60000000001</v>
      </c>
      <c r="I534" s="102">
        <v>0</v>
      </c>
      <c r="J534" s="34" t="s">
        <v>1005</v>
      </c>
      <c r="K534" s="34" t="s">
        <v>1006</v>
      </c>
      <c r="L534" s="112"/>
    </row>
    <row r="535" spans="1:12" s="22" customFormat="1" ht="67.5" x14ac:dyDescent="0.25">
      <c r="A535" s="186" t="s">
        <v>2678</v>
      </c>
      <c r="B535" s="96" t="s">
        <v>1009</v>
      </c>
      <c r="C535" s="32" t="s">
        <v>1010</v>
      </c>
      <c r="D535" s="7" t="s">
        <v>856</v>
      </c>
      <c r="E535" s="41">
        <v>144</v>
      </c>
      <c r="F535" s="71">
        <v>861.36</v>
      </c>
      <c r="G535" s="71">
        <v>0</v>
      </c>
      <c r="H535" s="71">
        <v>124035.84</v>
      </c>
      <c r="I535" s="102">
        <v>0</v>
      </c>
      <c r="J535" s="34" t="s">
        <v>1005</v>
      </c>
      <c r="K535" s="34" t="s">
        <v>1006</v>
      </c>
      <c r="L535" s="112"/>
    </row>
    <row r="536" spans="1:12" s="22" customFormat="1" ht="67.5" x14ac:dyDescent="0.25">
      <c r="A536" s="186" t="s">
        <v>2678</v>
      </c>
      <c r="B536" s="96" t="s">
        <v>1011</v>
      </c>
      <c r="C536" s="32" t="s">
        <v>1012</v>
      </c>
      <c r="D536" s="7" t="s">
        <v>856</v>
      </c>
      <c r="E536" s="41">
        <v>136</v>
      </c>
      <c r="F536" s="71">
        <v>1744.94</v>
      </c>
      <c r="G536" s="71">
        <v>0</v>
      </c>
      <c r="H536" s="71">
        <v>237311.84</v>
      </c>
      <c r="I536" s="102">
        <v>0</v>
      </c>
      <c r="J536" s="34" t="s">
        <v>1005</v>
      </c>
      <c r="K536" s="34" t="s">
        <v>1006</v>
      </c>
      <c r="L536" s="112"/>
    </row>
    <row r="537" spans="1:12" s="22" customFormat="1" ht="67.5" x14ac:dyDescent="0.25">
      <c r="A537" s="186" t="s">
        <v>2678</v>
      </c>
      <c r="B537" s="96" t="s">
        <v>1013</v>
      </c>
      <c r="C537" s="32" t="s">
        <v>1014</v>
      </c>
      <c r="D537" s="7" t="s">
        <v>856</v>
      </c>
      <c r="E537" s="41">
        <v>128</v>
      </c>
      <c r="F537" s="71">
        <v>1447.5</v>
      </c>
      <c r="G537" s="71">
        <v>0</v>
      </c>
      <c r="H537" s="71">
        <v>185280</v>
      </c>
      <c r="I537" s="102">
        <v>0</v>
      </c>
      <c r="J537" s="34" t="s">
        <v>1005</v>
      </c>
      <c r="K537" s="34" t="s">
        <v>1006</v>
      </c>
      <c r="L537" s="112"/>
    </row>
    <row r="538" spans="1:12" s="22" customFormat="1" ht="27" x14ac:dyDescent="0.25">
      <c r="A538" s="186" t="s">
        <v>2678</v>
      </c>
      <c r="B538" s="96"/>
      <c r="C538" s="34" t="s">
        <v>1015</v>
      </c>
      <c r="D538" s="7"/>
      <c r="E538" s="41"/>
      <c r="F538" s="71"/>
      <c r="G538" s="71"/>
      <c r="H538" s="71"/>
      <c r="I538" s="102"/>
      <c r="J538" s="34"/>
      <c r="K538" s="74"/>
      <c r="L538" s="112"/>
    </row>
    <row r="539" spans="1:12" s="22" customFormat="1" ht="67.5" x14ac:dyDescent="0.25">
      <c r="A539" s="186" t="s">
        <v>2678</v>
      </c>
      <c r="B539" s="96" t="s">
        <v>1016</v>
      </c>
      <c r="C539" s="32" t="s">
        <v>930</v>
      </c>
      <c r="D539" s="7" t="s">
        <v>856</v>
      </c>
      <c r="E539" s="41">
        <v>130</v>
      </c>
      <c r="F539" s="71">
        <v>126864.58</v>
      </c>
      <c r="G539" s="71">
        <v>0</v>
      </c>
      <c r="H539" s="71">
        <v>16492395.4</v>
      </c>
      <c r="I539" s="102">
        <v>0</v>
      </c>
      <c r="J539" s="34" t="s">
        <v>1005</v>
      </c>
      <c r="K539" s="34" t="s">
        <v>1015</v>
      </c>
      <c r="L539" s="112"/>
    </row>
    <row r="540" spans="1:12" s="22" customFormat="1" ht="67.5" x14ac:dyDescent="0.25">
      <c r="A540" s="186" t="s">
        <v>2678</v>
      </c>
      <c r="B540" s="96" t="s">
        <v>1017</v>
      </c>
      <c r="C540" s="32" t="s">
        <v>932</v>
      </c>
      <c r="D540" s="7" t="s">
        <v>856</v>
      </c>
      <c r="E540" s="41">
        <v>130</v>
      </c>
      <c r="F540" s="71">
        <v>3062.01</v>
      </c>
      <c r="G540" s="71">
        <v>0</v>
      </c>
      <c r="H540" s="71">
        <v>398061.30000000005</v>
      </c>
      <c r="I540" s="102">
        <v>0</v>
      </c>
      <c r="J540" s="34" t="s">
        <v>1005</v>
      </c>
      <c r="K540" s="34" t="s">
        <v>1015</v>
      </c>
      <c r="L540" s="112"/>
    </row>
    <row r="541" spans="1:12" s="22" customFormat="1" ht="67.5" x14ac:dyDescent="0.25">
      <c r="A541" s="186" t="s">
        <v>2678</v>
      </c>
      <c r="B541" s="98" t="s">
        <v>1018</v>
      </c>
      <c r="C541" s="32" t="s">
        <v>934</v>
      </c>
      <c r="D541" s="7" t="s">
        <v>856</v>
      </c>
      <c r="E541" s="41">
        <v>130</v>
      </c>
      <c r="F541" s="71">
        <v>4071.25</v>
      </c>
      <c r="G541" s="71">
        <v>0</v>
      </c>
      <c r="H541" s="71">
        <v>529262.5</v>
      </c>
      <c r="I541" s="102">
        <v>0</v>
      </c>
      <c r="J541" s="34" t="s">
        <v>1005</v>
      </c>
      <c r="K541" s="34" t="s">
        <v>1015</v>
      </c>
      <c r="L541" s="112"/>
    </row>
    <row r="542" spans="1:12" s="22" customFormat="1" ht="67.5" x14ac:dyDescent="0.25">
      <c r="A542" s="186" t="s">
        <v>2678</v>
      </c>
      <c r="B542" s="96" t="s">
        <v>1019</v>
      </c>
      <c r="C542" s="32" t="s">
        <v>1020</v>
      </c>
      <c r="D542" s="7" t="s">
        <v>856</v>
      </c>
      <c r="E542" s="41">
        <v>130</v>
      </c>
      <c r="F542" s="71">
        <v>7727.43</v>
      </c>
      <c r="G542" s="71">
        <v>0</v>
      </c>
      <c r="H542" s="71">
        <v>1004565.9</v>
      </c>
      <c r="I542" s="102">
        <v>0</v>
      </c>
      <c r="J542" s="34" t="s">
        <v>1005</v>
      </c>
      <c r="K542" s="34" t="s">
        <v>1015</v>
      </c>
      <c r="L542" s="112"/>
    </row>
    <row r="543" spans="1:12" s="22" customFormat="1" ht="67.5" x14ac:dyDescent="0.25">
      <c r="A543" s="186" t="s">
        <v>2678</v>
      </c>
      <c r="B543" s="96" t="s">
        <v>1021</v>
      </c>
      <c r="C543" s="32" t="s">
        <v>1022</v>
      </c>
      <c r="D543" s="7" t="s">
        <v>856</v>
      </c>
      <c r="E543" s="41">
        <v>130</v>
      </c>
      <c r="F543" s="71">
        <v>4161.03</v>
      </c>
      <c r="G543" s="71">
        <v>0</v>
      </c>
      <c r="H543" s="71">
        <v>540933.9</v>
      </c>
      <c r="I543" s="102">
        <v>0</v>
      </c>
      <c r="J543" s="34" t="s">
        <v>1005</v>
      </c>
      <c r="K543" s="34" t="s">
        <v>1015</v>
      </c>
      <c r="L543" s="112"/>
    </row>
    <row r="544" spans="1:12" s="22" customFormat="1" ht="67.5" x14ac:dyDescent="0.25">
      <c r="A544" s="186" t="s">
        <v>2678</v>
      </c>
      <c r="B544" s="100" t="s">
        <v>1023</v>
      </c>
      <c r="C544" s="32" t="s">
        <v>940</v>
      </c>
      <c r="D544" s="7" t="s">
        <v>856</v>
      </c>
      <c r="E544" s="41">
        <v>130</v>
      </c>
      <c r="F544" s="71">
        <v>4230.6000000000004</v>
      </c>
      <c r="G544" s="71">
        <v>0</v>
      </c>
      <c r="H544" s="71">
        <v>549978</v>
      </c>
      <c r="I544" s="102">
        <v>0</v>
      </c>
      <c r="J544" s="34" t="s">
        <v>1005</v>
      </c>
      <c r="K544" s="34" t="s">
        <v>1015</v>
      </c>
      <c r="L544" s="112"/>
    </row>
    <row r="545" spans="1:12" s="22" customFormat="1" ht="67.5" x14ac:dyDescent="0.25">
      <c r="A545" s="186" t="s">
        <v>2678</v>
      </c>
      <c r="B545" s="96" t="s">
        <v>1024</v>
      </c>
      <c r="C545" s="32" t="s">
        <v>1025</v>
      </c>
      <c r="D545" s="7" t="s">
        <v>856</v>
      </c>
      <c r="E545" s="41">
        <v>130</v>
      </c>
      <c r="F545" s="71">
        <v>5194.8599999999997</v>
      </c>
      <c r="G545" s="71">
        <v>0</v>
      </c>
      <c r="H545" s="71">
        <v>675331.79999999993</v>
      </c>
      <c r="I545" s="102">
        <v>0</v>
      </c>
      <c r="J545" s="34" t="s">
        <v>1005</v>
      </c>
      <c r="K545" s="34" t="s">
        <v>1015</v>
      </c>
      <c r="L545" s="112"/>
    </row>
    <row r="546" spans="1:12" s="22" customFormat="1" ht="67.5" x14ac:dyDescent="0.25">
      <c r="A546" s="186" t="s">
        <v>2678</v>
      </c>
      <c r="B546" s="96" t="s">
        <v>1026</v>
      </c>
      <c r="C546" s="32" t="s">
        <v>942</v>
      </c>
      <c r="D546" s="7" t="s">
        <v>856</v>
      </c>
      <c r="E546" s="41">
        <v>130</v>
      </c>
      <c r="F546" s="71">
        <v>5051.13</v>
      </c>
      <c r="G546" s="71">
        <v>0</v>
      </c>
      <c r="H546" s="71">
        <v>656646.9</v>
      </c>
      <c r="I546" s="102">
        <v>0</v>
      </c>
      <c r="J546" s="34" t="s">
        <v>1005</v>
      </c>
      <c r="K546" s="34" t="s">
        <v>1015</v>
      </c>
      <c r="L546" s="112"/>
    </row>
    <row r="547" spans="1:12" s="22" customFormat="1" ht="67.5" x14ac:dyDescent="0.25">
      <c r="A547" s="186" t="s">
        <v>2678</v>
      </c>
      <c r="B547" s="96" t="s">
        <v>1027</v>
      </c>
      <c r="C547" s="32" t="s">
        <v>944</v>
      </c>
      <c r="D547" s="7" t="s">
        <v>856</v>
      </c>
      <c r="E547" s="41">
        <v>130</v>
      </c>
      <c r="F547" s="71">
        <v>5143.5600000000004</v>
      </c>
      <c r="G547" s="71">
        <v>0</v>
      </c>
      <c r="H547" s="71">
        <v>668662.80000000005</v>
      </c>
      <c r="I547" s="102">
        <v>0</v>
      </c>
      <c r="J547" s="34" t="s">
        <v>1005</v>
      </c>
      <c r="K547" s="34" t="s">
        <v>1015</v>
      </c>
      <c r="L547" s="112"/>
    </row>
    <row r="548" spans="1:12" s="22" customFormat="1" ht="67.5" x14ac:dyDescent="0.25">
      <c r="A548" s="186" t="s">
        <v>2678</v>
      </c>
      <c r="B548" s="96" t="s">
        <v>1028</v>
      </c>
      <c r="C548" s="32" t="s">
        <v>946</v>
      </c>
      <c r="D548" s="7" t="s">
        <v>856</v>
      </c>
      <c r="E548" s="41">
        <v>120</v>
      </c>
      <c r="F548" s="71">
        <v>8265.06</v>
      </c>
      <c r="G548" s="71">
        <v>0</v>
      </c>
      <c r="H548" s="71">
        <v>991807.2</v>
      </c>
      <c r="I548" s="102">
        <v>0</v>
      </c>
      <c r="J548" s="34" t="s">
        <v>1005</v>
      </c>
      <c r="K548" s="34" t="s">
        <v>1015</v>
      </c>
      <c r="L548" s="112"/>
    </row>
    <row r="549" spans="1:12" s="22" customFormat="1" ht="67.5" x14ac:dyDescent="0.25">
      <c r="A549" s="186" t="s">
        <v>2678</v>
      </c>
      <c r="B549" s="96" t="s">
        <v>1029</v>
      </c>
      <c r="C549" s="32" t="s">
        <v>948</v>
      </c>
      <c r="D549" s="7" t="s">
        <v>856</v>
      </c>
      <c r="E549" s="41">
        <v>120</v>
      </c>
      <c r="F549" s="71">
        <v>8980.08</v>
      </c>
      <c r="G549" s="71">
        <v>0</v>
      </c>
      <c r="H549" s="71">
        <v>1077609.6000000001</v>
      </c>
      <c r="I549" s="102">
        <v>0</v>
      </c>
      <c r="J549" s="34" t="s">
        <v>1005</v>
      </c>
      <c r="K549" s="34" t="s">
        <v>1015</v>
      </c>
      <c r="L549" s="112"/>
    </row>
    <row r="550" spans="1:12" s="22" customFormat="1" ht="67.5" x14ac:dyDescent="0.25">
      <c r="A550" s="186" t="s">
        <v>2678</v>
      </c>
      <c r="B550" s="96" t="s">
        <v>1030</v>
      </c>
      <c r="C550" s="32" t="s">
        <v>950</v>
      </c>
      <c r="D550" s="7" t="s">
        <v>856</v>
      </c>
      <c r="E550" s="41">
        <v>120</v>
      </c>
      <c r="F550" s="71">
        <v>8422.39</v>
      </c>
      <c r="G550" s="71">
        <v>0</v>
      </c>
      <c r="H550" s="71">
        <v>1010686.7999999999</v>
      </c>
      <c r="I550" s="102">
        <v>0</v>
      </c>
      <c r="J550" s="34" t="s">
        <v>1005</v>
      </c>
      <c r="K550" s="34" t="s">
        <v>1015</v>
      </c>
      <c r="L550" s="112"/>
    </row>
    <row r="551" spans="1:12" s="22" customFormat="1" ht="67.5" x14ac:dyDescent="0.25">
      <c r="A551" s="186" t="s">
        <v>2678</v>
      </c>
      <c r="B551" s="96" t="s">
        <v>1031</v>
      </c>
      <c r="C551" s="32" t="s">
        <v>952</v>
      </c>
      <c r="D551" s="7" t="s">
        <v>856</v>
      </c>
      <c r="E551" s="41">
        <v>120</v>
      </c>
      <c r="F551" s="71">
        <v>9885</v>
      </c>
      <c r="G551" s="71">
        <v>0</v>
      </c>
      <c r="H551" s="71">
        <v>1186200</v>
      </c>
      <c r="I551" s="102">
        <v>0</v>
      </c>
      <c r="J551" s="34" t="s">
        <v>1005</v>
      </c>
      <c r="K551" s="34" t="s">
        <v>1015</v>
      </c>
      <c r="L551" s="112"/>
    </row>
    <row r="552" spans="1:12" s="22" customFormat="1" ht="67.5" x14ac:dyDescent="0.25">
      <c r="A552" s="186" t="s">
        <v>2678</v>
      </c>
      <c r="B552" s="96" t="s">
        <v>1032</v>
      </c>
      <c r="C552" s="32" t="s">
        <v>954</v>
      </c>
      <c r="D552" s="7" t="s">
        <v>856</v>
      </c>
      <c r="E552" s="41">
        <v>110</v>
      </c>
      <c r="F552" s="71">
        <v>9065.16</v>
      </c>
      <c r="G552" s="71">
        <v>0</v>
      </c>
      <c r="H552" s="71">
        <v>997167.6</v>
      </c>
      <c r="I552" s="102">
        <v>0</v>
      </c>
      <c r="J552" s="34" t="s">
        <v>1005</v>
      </c>
      <c r="K552" s="34" t="s">
        <v>1015</v>
      </c>
      <c r="L552" s="112"/>
    </row>
    <row r="553" spans="1:12" s="22" customFormat="1" ht="67.5" x14ac:dyDescent="0.25">
      <c r="A553" s="186" t="s">
        <v>2678</v>
      </c>
      <c r="B553" s="98" t="s">
        <v>1033</v>
      </c>
      <c r="C553" s="32" t="s">
        <v>1034</v>
      </c>
      <c r="D553" s="7" t="s">
        <v>856</v>
      </c>
      <c r="E553" s="41">
        <v>88</v>
      </c>
      <c r="F553" s="71">
        <v>10775.31</v>
      </c>
      <c r="G553" s="71">
        <v>0</v>
      </c>
      <c r="H553" s="71">
        <v>948227.27999999991</v>
      </c>
      <c r="I553" s="102">
        <v>0</v>
      </c>
      <c r="J553" s="34" t="s">
        <v>1005</v>
      </c>
      <c r="K553" s="34" t="s">
        <v>1015</v>
      </c>
      <c r="L553" s="112"/>
    </row>
    <row r="554" spans="1:12" s="22" customFormat="1" ht="67.5" x14ac:dyDescent="0.25">
      <c r="A554" s="186" t="s">
        <v>2678</v>
      </c>
      <c r="B554" s="100" t="s">
        <v>1035</v>
      </c>
      <c r="C554" s="32" t="s">
        <v>956</v>
      </c>
      <c r="D554" s="7" t="s">
        <v>856</v>
      </c>
      <c r="E554" s="41">
        <v>110</v>
      </c>
      <c r="F554" s="71">
        <v>9857.26</v>
      </c>
      <c r="G554" s="71">
        <v>0</v>
      </c>
      <c r="H554" s="71">
        <v>1084298.6000000001</v>
      </c>
      <c r="I554" s="102">
        <v>0</v>
      </c>
      <c r="J554" s="34" t="s">
        <v>1005</v>
      </c>
      <c r="K554" s="34" t="s">
        <v>1015</v>
      </c>
      <c r="L554" s="112"/>
    </row>
    <row r="555" spans="1:12" s="22" customFormat="1" ht="67.5" x14ac:dyDescent="0.25">
      <c r="A555" s="186" t="s">
        <v>2678</v>
      </c>
      <c r="B555" s="96" t="s">
        <v>1036</v>
      </c>
      <c r="C555" s="32" t="s">
        <v>958</v>
      </c>
      <c r="D555" s="7" t="s">
        <v>856</v>
      </c>
      <c r="E555" s="41">
        <v>110</v>
      </c>
      <c r="F555" s="71">
        <v>11315.48</v>
      </c>
      <c r="G555" s="71">
        <v>0</v>
      </c>
      <c r="H555" s="71">
        <v>1244702.8</v>
      </c>
      <c r="I555" s="102">
        <v>0</v>
      </c>
      <c r="J555" s="34" t="s">
        <v>1005</v>
      </c>
      <c r="K555" s="34" t="s">
        <v>1015</v>
      </c>
      <c r="L555" s="112"/>
    </row>
    <row r="556" spans="1:12" s="22" customFormat="1" ht="67.5" x14ac:dyDescent="0.25">
      <c r="A556" s="186" t="s">
        <v>2678</v>
      </c>
      <c r="B556" s="96" t="s">
        <v>1037</v>
      </c>
      <c r="C556" s="32" t="s">
        <v>960</v>
      </c>
      <c r="D556" s="7" t="s">
        <v>856</v>
      </c>
      <c r="E556" s="41">
        <v>112</v>
      </c>
      <c r="F556" s="71">
        <v>11315.48</v>
      </c>
      <c r="G556" s="71">
        <v>0</v>
      </c>
      <c r="H556" s="71">
        <v>1267333.76</v>
      </c>
      <c r="I556" s="102">
        <v>0</v>
      </c>
      <c r="J556" s="34" t="s">
        <v>1005</v>
      </c>
      <c r="K556" s="34" t="s">
        <v>1015</v>
      </c>
      <c r="L556" s="112"/>
    </row>
    <row r="557" spans="1:12" s="22" customFormat="1" ht="67.5" x14ac:dyDescent="0.25">
      <c r="A557" s="186" t="s">
        <v>2678</v>
      </c>
      <c r="B557" s="96" t="s">
        <v>1038</v>
      </c>
      <c r="C557" s="32" t="s">
        <v>962</v>
      </c>
      <c r="D557" s="7" t="s">
        <v>856</v>
      </c>
      <c r="E557" s="41">
        <v>110</v>
      </c>
      <c r="F557" s="71">
        <v>11524.79</v>
      </c>
      <c r="G557" s="71">
        <v>0</v>
      </c>
      <c r="H557" s="71">
        <v>1267726.9000000001</v>
      </c>
      <c r="I557" s="102">
        <v>0</v>
      </c>
      <c r="J557" s="34" t="s">
        <v>1005</v>
      </c>
      <c r="K557" s="34" t="s">
        <v>1015</v>
      </c>
      <c r="L557" s="112"/>
    </row>
    <row r="558" spans="1:12" s="22" customFormat="1" ht="67.5" x14ac:dyDescent="0.25">
      <c r="A558" s="186" t="s">
        <v>2678</v>
      </c>
      <c r="B558" s="96" t="s">
        <v>1039</v>
      </c>
      <c r="C558" s="32" t="s">
        <v>964</v>
      </c>
      <c r="D558" s="7" t="s">
        <v>856</v>
      </c>
      <c r="E558" s="41">
        <v>100</v>
      </c>
      <c r="F558" s="71">
        <v>13080.65</v>
      </c>
      <c r="G558" s="71">
        <v>0</v>
      </c>
      <c r="H558" s="71">
        <v>1308065</v>
      </c>
      <c r="I558" s="102">
        <v>0</v>
      </c>
      <c r="J558" s="34" t="s">
        <v>1005</v>
      </c>
      <c r="K558" s="34" t="s">
        <v>1015</v>
      </c>
      <c r="L558" s="112"/>
    </row>
    <row r="559" spans="1:12" s="22" customFormat="1" ht="67.5" x14ac:dyDescent="0.25">
      <c r="A559" s="186" t="s">
        <v>2678</v>
      </c>
      <c r="B559" s="96" t="s">
        <v>1040</v>
      </c>
      <c r="C559" s="32" t="s">
        <v>966</v>
      </c>
      <c r="D559" s="7" t="s">
        <v>856</v>
      </c>
      <c r="E559" s="41">
        <v>100</v>
      </c>
      <c r="F559" s="71">
        <v>5055.95</v>
      </c>
      <c r="G559" s="71">
        <v>0</v>
      </c>
      <c r="H559" s="71">
        <v>505595</v>
      </c>
      <c r="I559" s="102">
        <v>0</v>
      </c>
      <c r="J559" s="34" t="s">
        <v>1005</v>
      </c>
      <c r="K559" s="34" t="s">
        <v>1015</v>
      </c>
      <c r="L559" s="112"/>
    </row>
    <row r="560" spans="1:12" s="22" customFormat="1" ht="67.5" x14ac:dyDescent="0.25">
      <c r="A560" s="186" t="s">
        <v>2678</v>
      </c>
      <c r="B560" s="96" t="s">
        <v>1041</v>
      </c>
      <c r="C560" s="32" t="s">
        <v>968</v>
      </c>
      <c r="D560" s="7" t="s">
        <v>856</v>
      </c>
      <c r="E560" s="41">
        <v>100</v>
      </c>
      <c r="F560" s="71">
        <v>16954.95</v>
      </c>
      <c r="G560" s="71">
        <v>0</v>
      </c>
      <c r="H560" s="71">
        <v>1695495</v>
      </c>
      <c r="I560" s="102">
        <v>0</v>
      </c>
      <c r="J560" s="34" t="s">
        <v>1005</v>
      </c>
      <c r="K560" s="34" t="s">
        <v>1015</v>
      </c>
      <c r="L560" s="112"/>
    </row>
    <row r="561" spans="1:12" s="22" customFormat="1" ht="67.5" x14ac:dyDescent="0.25">
      <c r="A561" s="186" t="s">
        <v>2678</v>
      </c>
      <c r="B561" s="96" t="s">
        <v>1042</v>
      </c>
      <c r="C561" s="32" t="s">
        <v>970</v>
      </c>
      <c r="D561" s="7" t="s">
        <v>856</v>
      </c>
      <c r="E561" s="41">
        <v>100</v>
      </c>
      <c r="F561" s="71">
        <v>16954.95</v>
      </c>
      <c r="G561" s="71">
        <v>0</v>
      </c>
      <c r="H561" s="71">
        <v>1695495</v>
      </c>
      <c r="I561" s="102">
        <v>0</v>
      </c>
      <c r="J561" s="34" t="s">
        <v>1005</v>
      </c>
      <c r="K561" s="34" t="s">
        <v>1015</v>
      </c>
      <c r="L561" s="112"/>
    </row>
    <row r="562" spans="1:12" s="22" customFormat="1" ht="67.5" x14ac:dyDescent="0.25">
      <c r="A562" s="186" t="s">
        <v>2678</v>
      </c>
      <c r="B562" s="96" t="s">
        <v>1043</v>
      </c>
      <c r="C562" s="32" t="s">
        <v>1044</v>
      </c>
      <c r="D562" s="7" t="s">
        <v>856</v>
      </c>
      <c r="E562" s="41">
        <v>100</v>
      </c>
      <c r="F562" s="71">
        <v>16954.95</v>
      </c>
      <c r="G562" s="71">
        <v>0</v>
      </c>
      <c r="H562" s="71">
        <v>1695495</v>
      </c>
      <c r="I562" s="102">
        <v>0</v>
      </c>
      <c r="J562" s="34" t="s">
        <v>1005</v>
      </c>
      <c r="K562" s="34" t="s">
        <v>1015</v>
      </c>
      <c r="L562" s="112"/>
    </row>
    <row r="563" spans="1:12" s="22" customFormat="1" ht="67.5" x14ac:dyDescent="0.25">
      <c r="A563" s="186" t="s">
        <v>2678</v>
      </c>
      <c r="B563" s="96" t="s">
        <v>1045</v>
      </c>
      <c r="C563" s="32" t="s">
        <v>972</v>
      </c>
      <c r="D563" s="7" t="s">
        <v>856</v>
      </c>
      <c r="E563" s="41">
        <v>100</v>
      </c>
      <c r="F563" s="71">
        <v>26940.78</v>
      </c>
      <c r="G563" s="71">
        <v>0</v>
      </c>
      <c r="H563" s="71">
        <v>2694078</v>
      </c>
      <c r="I563" s="102">
        <v>0</v>
      </c>
      <c r="J563" s="34" t="s">
        <v>1005</v>
      </c>
      <c r="K563" s="34" t="s">
        <v>1015</v>
      </c>
      <c r="L563" s="112"/>
    </row>
    <row r="564" spans="1:12" s="22" customFormat="1" ht="67.5" x14ac:dyDescent="0.25">
      <c r="A564" s="186" t="s">
        <v>2678</v>
      </c>
      <c r="B564" s="96" t="s">
        <v>1046</v>
      </c>
      <c r="C564" s="32" t="s">
        <v>974</v>
      </c>
      <c r="D564" s="7" t="s">
        <v>856</v>
      </c>
      <c r="E564" s="41">
        <v>100</v>
      </c>
      <c r="F564" s="71">
        <v>26940.78</v>
      </c>
      <c r="G564" s="71">
        <v>0</v>
      </c>
      <c r="H564" s="71">
        <v>2694078</v>
      </c>
      <c r="I564" s="102">
        <v>0</v>
      </c>
      <c r="J564" s="34" t="s">
        <v>1005</v>
      </c>
      <c r="K564" s="34" t="s">
        <v>1015</v>
      </c>
      <c r="L564" s="112"/>
    </row>
    <row r="565" spans="1:12" s="22" customFormat="1" ht="67.5" x14ac:dyDescent="0.25">
      <c r="A565" s="186" t="s">
        <v>2678</v>
      </c>
      <c r="B565" s="96" t="s">
        <v>1047</v>
      </c>
      <c r="C565" s="33" t="s">
        <v>976</v>
      </c>
      <c r="D565" s="7" t="s">
        <v>856</v>
      </c>
      <c r="E565" s="41">
        <v>100</v>
      </c>
      <c r="F565" s="71">
        <v>40510.11</v>
      </c>
      <c r="G565" s="71">
        <v>0</v>
      </c>
      <c r="H565" s="71">
        <v>4051011</v>
      </c>
      <c r="I565" s="102">
        <v>0</v>
      </c>
      <c r="J565" s="34" t="s">
        <v>1005</v>
      </c>
      <c r="K565" s="34" t="s">
        <v>1015</v>
      </c>
      <c r="L565" s="112"/>
    </row>
    <row r="566" spans="1:12" s="22" customFormat="1" ht="67.5" x14ac:dyDescent="0.25">
      <c r="A566" s="186" t="s">
        <v>2678</v>
      </c>
      <c r="B566" s="96" t="s">
        <v>1048</v>
      </c>
      <c r="C566" s="33" t="s">
        <v>978</v>
      </c>
      <c r="D566" s="7" t="s">
        <v>856</v>
      </c>
      <c r="E566" s="41">
        <v>100</v>
      </c>
      <c r="F566" s="71">
        <v>40510.11</v>
      </c>
      <c r="G566" s="71">
        <v>0</v>
      </c>
      <c r="H566" s="71">
        <v>4051011</v>
      </c>
      <c r="I566" s="102">
        <v>0</v>
      </c>
      <c r="J566" s="34" t="s">
        <v>1005</v>
      </c>
      <c r="K566" s="34" t="s">
        <v>1015</v>
      </c>
      <c r="L566" s="112"/>
    </row>
    <row r="567" spans="1:12" s="22" customFormat="1" ht="67.5" x14ac:dyDescent="0.25">
      <c r="A567" s="186" t="s">
        <v>2678</v>
      </c>
      <c r="B567" s="96" t="s">
        <v>1049</v>
      </c>
      <c r="C567" s="33" t="s">
        <v>980</v>
      </c>
      <c r="D567" s="7" t="s">
        <v>856</v>
      </c>
      <c r="E567" s="41">
        <v>80</v>
      </c>
      <c r="F567" s="71">
        <v>30662.19</v>
      </c>
      <c r="G567" s="71">
        <v>0</v>
      </c>
      <c r="H567" s="71">
        <v>2452975.1999999997</v>
      </c>
      <c r="I567" s="102">
        <v>0</v>
      </c>
      <c r="J567" s="34" t="s">
        <v>1005</v>
      </c>
      <c r="K567" s="34" t="s">
        <v>1015</v>
      </c>
      <c r="L567" s="112"/>
    </row>
    <row r="568" spans="1:12" s="22" customFormat="1" ht="67.5" x14ac:dyDescent="0.25">
      <c r="A568" s="186" t="s">
        <v>2678</v>
      </c>
      <c r="B568" s="96" t="s">
        <v>1050</v>
      </c>
      <c r="C568" s="33" t="s">
        <v>1051</v>
      </c>
      <c r="D568" s="7" t="s">
        <v>856</v>
      </c>
      <c r="E568" s="41">
        <v>80</v>
      </c>
      <c r="F568" s="71">
        <v>30662.19</v>
      </c>
      <c r="G568" s="71">
        <v>0</v>
      </c>
      <c r="H568" s="71">
        <v>2452975.1999999997</v>
      </c>
      <c r="I568" s="102">
        <v>0</v>
      </c>
      <c r="J568" s="34" t="s">
        <v>1005</v>
      </c>
      <c r="K568" s="34" t="s">
        <v>1015</v>
      </c>
      <c r="L568" s="112"/>
    </row>
    <row r="569" spans="1:12" s="22" customFormat="1" ht="67.5" x14ac:dyDescent="0.25">
      <c r="A569" s="186" t="s">
        <v>2678</v>
      </c>
      <c r="B569" s="96" t="s">
        <v>1052</v>
      </c>
      <c r="C569" s="33" t="s">
        <v>984</v>
      </c>
      <c r="D569" s="7" t="s">
        <v>856</v>
      </c>
      <c r="E569" s="41">
        <v>82</v>
      </c>
      <c r="F569" s="71">
        <v>30948.39</v>
      </c>
      <c r="G569" s="71">
        <v>0</v>
      </c>
      <c r="H569" s="71">
        <v>2537767.98</v>
      </c>
      <c r="I569" s="102">
        <v>0</v>
      </c>
      <c r="J569" s="34" t="s">
        <v>1005</v>
      </c>
      <c r="K569" s="34" t="s">
        <v>1015</v>
      </c>
      <c r="L569" s="112"/>
    </row>
    <row r="570" spans="1:12" s="22" customFormat="1" ht="67.5" x14ac:dyDescent="0.25">
      <c r="A570" s="186" t="s">
        <v>2678</v>
      </c>
      <c r="B570" s="96" t="s">
        <v>1053</v>
      </c>
      <c r="C570" s="33" t="s">
        <v>986</v>
      </c>
      <c r="D570" s="7" t="s">
        <v>856</v>
      </c>
      <c r="E570" s="41">
        <v>80</v>
      </c>
      <c r="F570" s="71">
        <v>41929.5</v>
      </c>
      <c r="G570" s="71">
        <v>0</v>
      </c>
      <c r="H570" s="71">
        <v>3354360</v>
      </c>
      <c r="I570" s="102">
        <v>0</v>
      </c>
      <c r="J570" s="34" t="s">
        <v>1005</v>
      </c>
      <c r="K570" s="34" t="s">
        <v>1015</v>
      </c>
      <c r="L570" s="112"/>
    </row>
    <row r="571" spans="1:12" s="22" customFormat="1" ht="67.5" x14ac:dyDescent="0.25">
      <c r="A571" s="186" t="s">
        <v>2678</v>
      </c>
      <c r="B571" s="96" t="s">
        <v>1054</v>
      </c>
      <c r="C571" s="32" t="s">
        <v>988</v>
      </c>
      <c r="D571" s="7" t="s">
        <v>856</v>
      </c>
      <c r="E571" s="41">
        <v>80</v>
      </c>
      <c r="F571" s="71">
        <v>41929.5</v>
      </c>
      <c r="G571" s="71">
        <v>0</v>
      </c>
      <c r="H571" s="71">
        <v>3354360</v>
      </c>
      <c r="I571" s="102">
        <v>0</v>
      </c>
      <c r="J571" s="34" t="s">
        <v>1005</v>
      </c>
      <c r="K571" s="34" t="s">
        <v>1015</v>
      </c>
      <c r="L571" s="112"/>
    </row>
    <row r="572" spans="1:12" s="22" customFormat="1" ht="67.5" x14ac:dyDescent="0.25">
      <c r="A572" s="186" t="s">
        <v>2678</v>
      </c>
      <c r="B572" s="96" t="s">
        <v>1055</v>
      </c>
      <c r="C572" s="32" t="s">
        <v>990</v>
      </c>
      <c r="D572" s="7" t="s">
        <v>856</v>
      </c>
      <c r="E572" s="41">
        <v>80</v>
      </c>
      <c r="F572" s="71">
        <v>55224.65</v>
      </c>
      <c r="G572" s="71">
        <v>0</v>
      </c>
      <c r="H572" s="71">
        <v>4417972</v>
      </c>
      <c r="I572" s="102">
        <v>0</v>
      </c>
      <c r="J572" s="34" t="s">
        <v>1005</v>
      </c>
      <c r="K572" s="34" t="s">
        <v>1015</v>
      </c>
      <c r="L572" s="112"/>
    </row>
    <row r="573" spans="1:12" s="22" customFormat="1" ht="67.5" x14ac:dyDescent="0.25">
      <c r="A573" s="186" t="s">
        <v>2678</v>
      </c>
      <c r="B573" s="96" t="s">
        <v>1056</v>
      </c>
      <c r="C573" s="32" t="s">
        <v>992</v>
      </c>
      <c r="D573" s="7" t="s">
        <v>856</v>
      </c>
      <c r="E573" s="41">
        <v>80</v>
      </c>
      <c r="F573" s="71">
        <v>36366.21</v>
      </c>
      <c r="G573" s="71">
        <v>0</v>
      </c>
      <c r="H573" s="71">
        <v>2909296.8</v>
      </c>
      <c r="I573" s="102">
        <v>0</v>
      </c>
      <c r="J573" s="34" t="s">
        <v>1005</v>
      </c>
      <c r="K573" s="34" t="s">
        <v>1015</v>
      </c>
      <c r="L573" s="112"/>
    </row>
    <row r="574" spans="1:12" s="22" customFormat="1" ht="67.5" x14ac:dyDescent="0.25">
      <c r="A574" s="186" t="s">
        <v>2678</v>
      </c>
      <c r="B574" s="96" t="s">
        <v>1057</v>
      </c>
      <c r="C574" s="32" t="s">
        <v>994</v>
      </c>
      <c r="D574" s="7" t="s">
        <v>856</v>
      </c>
      <c r="E574" s="41">
        <v>80</v>
      </c>
      <c r="F574" s="71">
        <v>36459.339999999997</v>
      </c>
      <c r="G574" s="71">
        <v>0</v>
      </c>
      <c r="H574" s="71">
        <v>2916747.1999999997</v>
      </c>
      <c r="I574" s="102">
        <v>0</v>
      </c>
      <c r="J574" s="34" t="s">
        <v>1005</v>
      </c>
      <c r="K574" s="34" t="s">
        <v>1015</v>
      </c>
      <c r="L574" s="112"/>
    </row>
    <row r="575" spans="1:12" s="22" customFormat="1" ht="67.5" x14ac:dyDescent="0.25">
      <c r="A575" s="186" t="s">
        <v>2678</v>
      </c>
      <c r="B575" s="96" t="s">
        <v>1058</v>
      </c>
      <c r="C575" s="32" t="s">
        <v>996</v>
      </c>
      <c r="D575" s="7" t="s">
        <v>856</v>
      </c>
      <c r="E575" s="41">
        <v>80</v>
      </c>
      <c r="F575" s="71">
        <v>42190.84</v>
      </c>
      <c r="G575" s="71">
        <v>0</v>
      </c>
      <c r="H575" s="71">
        <v>3375267.1999999997</v>
      </c>
      <c r="I575" s="102">
        <v>0</v>
      </c>
      <c r="J575" s="34" t="s">
        <v>1005</v>
      </c>
      <c r="K575" s="34" t="s">
        <v>1015</v>
      </c>
      <c r="L575" s="112"/>
    </row>
    <row r="576" spans="1:12" s="22" customFormat="1" ht="67.5" x14ac:dyDescent="0.25">
      <c r="A576" s="186" t="s">
        <v>2678</v>
      </c>
      <c r="B576" s="96" t="s">
        <v>1059</v>
      </c>
      <c r="C576" s="32" t="s">
        <v>998</v>
      </c>
      <c r="D576" s="7" t="s">
        <v>856</v>
      </c>
      <c r="E576" s="41">
        <v>80</v>
      </c>
      <c r="F576" s="71">
        <v>37096</v>
      </c>
      <c r="G576" s="71">
        <v>0</v>
      </c>
      <c r="H576" s="71">
        <v>2967680</v>
      </c>
      <c r="I576" s="102">
        <v>0</v>
      </c>
      <c r="J576" s="34" t="s">
        <v>1005</v>
      </c>
      <c r="K576" s="34" t="s">
        <v>1015</v>
      </c>
      <c r="L576" s="112"/>
    </row>
    <row r="577" spans="1:12" s="22" customFormat="1" ht="67.5" x14ac:dyDescent="0.25">
      <c r="A577" s="186" t="s">
        <v>2678</v>
      </c>
      <c r="B577" s="96" t="s">
        <v>1060</v>
      </c>
      <c r="C577" s="32" t="s">
        <v>1000</v>
      </c>
      <c r="D577" s="7" t="s">
        <v>856</v>
      </c>
      <c r="E577" s="41">
        <v>80</v>
      </c>
      <c r="F577" s="71">
        <v>38447.1</v>
      </c>
      <c r="G577" s="71">
        <v>0</v>
      </c>
      <c r="H577" s="71">
        <v>3075768</v>
      </c>
      <c r="I577" s="102">
        <v>0</v>
      </c>
      <c r="J577" s="34" t="s">
        <v>1005</v>
      </c>
      <c r="K577" s="34" t="s">
        <v>1015</v>
      </c>
      <c r="L577" s="112"/>
    </row>
    <row r="578" spans="1:12" s="22" customFormat="1" ht="67.5" x14ac:dyDescent="0.25">
      <c r="A578" s="186" t="s">
        <v>2678</v>
      </c>
      <c r="B578" s="96" t="s">
        <v>1061</v>
      </c>
      <c r="C578" s="32" t="s">
        <v>1002</v>
      </c>
      <c r="D578" s="7" t="s">
        <v>856</v>
      </c>
      <c r="E578" s="41">
        <v>80</v>
      </c>
      <c r="F578" s="71">
        <v>74801.38</v>
      </c>
      <c r="G578" s="71">
        <v>0</v>
      </c>
      <c r="H578" s="71">
        <v>5984110.4000000004</v>
      </c>
      <c r="I578" s="102">
        <v>0</v>
      </c>
      <c r="J578" s="34" t="s">
        <v>1005</v>
      </c>
      <c r="K578" s="34" t="s">
        <v>1015</v>
      </c>
      <c r="L578" s="112"/>
    </row>
    <row r="579" spans="1:12" s="22" customFormat="1" ht="67.5" x14ac:dyDescent="0.25">
      <c r="A579" s="186" t="s">
        <v>2678</v>
      </c>
      <c r="B579" s="96" t="s">
        <v>1062</v>
      </c>
      <c r="C579" s="32" t="s">
        <v>1004</v>
      </c>
      <c r="D579" s="7" t="s">
        <v>856</v>
      </c>
      <c r="E579" s="41">
        <v>80</v>
      </c>
      <c r="F579" s="71">
        <v>75214.5</v>
      </c>
      <c r="G579" s="71">
        <v>0</v>
      </c>
      <c r="H579" s="71">
        <v>6017160</v>
      </c>
      <c r="I579" s="102">
        <v>0</v>
      </c>
      <c r="J579" s="34" t="s">
        <v>1005</v>
      </c>
      <c r="K579" s="34" t="s">
        <v>1015</v>
      </c>
      <c r="L579" s="112"/>
    </row>
    <row r="580" spans="1:12" s="22" customFormat="1" ht="13.5" x14ac:dyDescent="0.25">
      <c r="A580" s="186" t="s">
        <v>2678</v>
      </c>
      <c r="B580" s="96"/>
      <c r="C580" s="34" t="s">
        <v>1063</v>
      </c>
      <c r="D580" s="7"/>
      <c r="E580" s="41"/>
      <c r="F580" s="71"/>
      <c r="G580" s="71"/>
      <c r="H580" s="71"/>
      <c r="I580" s="102"/>
      <c r="J580" s="71"/>
      <c r="K580" s="74"/>
      <c r="L580" s="112"/>
    </row>
    <row r="581" spans="1:12" s="22" customFormat="1" ht="40.5" x14ac:dyDescent="0.25">
      <c r="A581" s="186" t="s">
        <v>2678</v>
      </c>
      <c r="B581" s="96" t="s">
        <v>1064</v>
      </c>
      <c r="C581" s="32" t="s">
        <v>1065</v>
      </c>
      <c r="D581" s="7" t="s">
        <v>43</v>
      </c>
      <c r="E581" s="41">
        <v>160</v>
      </c>
      <c r="F581" s="71">
        <v>17354.3</v>
      </c>
      <c r="G581" s="71">
        <v>0</v>
      </c>
      <c r="H581" s="71">
        <v>2776688</v>
      </c>
      <c r="I581" s="102">
        <v>0</v>
      </c>
      <c r="J581" s="107" t="s">
        <v>2219</v>
      </c>
      <c r="K581" s="34" t="s">
        <v>1063</v>
      </c>
      <c r="L581" s="112"/>
    </row>
    <row r="582" spans="1:12" s="22" customFormat="1" ht="41.25" thickBot="1" x14ac:dyDescent="0.3">
      <c r="A582" s="186" t="s">
        <v>2678</v>
      </c>
      <c r="B582" s="103" t="s">
        <v>1066</v>
      </c>
      <c r="C582" s="104" t="s">
        <v>1067</v>
      </c>
      <c r="D582" s="105" t="s">
        <v>43</v>
      </c>
      <c r="E582" s="106">
        <v>144</v>
      </c>
      <c r="F582" s="107">
        <v>17354.3</v>
      </c>
      <c r="G582" s="107">
        <v>0</v>
      </c>
      <c r="H582" s="107">
        <v>2499019.1999999997</v>
      </c>
      <c r="I582" s="108">
        <v>0</v>
      </c>
      <c r="J582" s="107" t="s">
        <v>2219</v>
      </c>
      <c r="K582" s="34" t="s">
        <v>1063</v>
      </c>
      <c r="L582" s="112"/>
    </row>
    <row r="583" spans="1:12" ht="18" customHeight="1" x14ac:dyDescent="0.2">
      <c r="G583" s="62" t="s">
        <v>26</v>
      </c>
      <c r="H583" s="39">
        <v>1598191781.4300001</v>
      </c>
      <c r="I583" s="39">
        <v>3880004.84</v>
      </c>
    </row>
    <row r="585" spans="1:12" ht="18" customHeight="1" x14ac:dyDescent="0.2">
      <c r="B585" s="1" t="s">
        <v>28</v>
      </c>
      <c r="E585" s="35"/>
    </row>
    <row r="586" spans="1:12" ht="18" customHeight="1" x14ac:dyDescent="0.2">
      <c r="B586" s="20"/>
    </row>
    <row r="589" spans="1:12" ht="18" customHeight="1" x14ac:dyDescent="0.2">
      <c r="G589" s="38"/>
      <c r="H589" s="37" t="s">
        <v>29</v>
      </c>
      <c r="I589" s="36"/>
    </row>
    <row r="590" spans="1:12" ht="18" customHeight="1" x14ac:dyDescent="0.2">
      <c r="G590" s="69" t="s">
        <v>30</v>
      </c>
      <c r="H590" s="70"/>
      <c r="I590" s="70"/>
    </row>
    <row r="591" spans="1:12" ht="18" customHeight="1" x14ac:dyDescent="0.2">
      <c r="G591" s="1"/>
      <c r="H591" s="26" t="s">
        <v>31</v>
      </c>
      <c r="I591" s="25"/>
    </row>
  </sheetData>
  <phoneticPr fontId="19" type="noConversion"/>
  <printOptions horizontalCentered="1"/>
  <pageMargins left="0.23622047244094491" right="0.23622047244094491" top="0.55118110236220474" bottom="0.55118110236220474" header="0.31496062992125984" footer="0.31496062992125984"/>
  <pageSetup paperSize="123" scale="75" orientation="landscape" r:id="rId1"/>
  <headerFooter>
    <oddFooter>&amp;C&amp;9&amp;P  de  &amp;N</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AE924-0AB3-42EF-A958-C7FE1D378B94}">
  <sheetPr>
    <tabColor theme="8" tint="-0.499984740745262"/>
  </sheetPr>
  <dimension ref="A1:L799"/>
  <sheetViews>
    <sheetView zoomScale="85" zoomScaleNormal="85" workbookViewId="0">
      <selection activeCell="D208" sqref="D208:D577"/>
    </sheetView>
  </sheetViews>
  <sheetFormatPr baseColWidth="10" defaultColWidth="11.42578125" defaultRowHeight="18" customHeight="1" x14ac:dyDescent="0.2"/>
  <cols>
    <col min="1" max="1" width="12.28515625" style="1" bestFit="1" customWidth="1"/>
    <col min="2" max="2" width="10.7109375" style="1" customWidth="1"/>
    <col min="3" max="3" width="70.7109375" style="2" customWidth="1"/>
    <col min="4" max="4" width="11.7109375" style="1" customWidth="1"/>
    <col min="5" max="5" width="24.140625" style="24" customWidth="1"/>
    <col min="6" max="7" width="12.7109375" style="35" customWidth="1"/>
    <col min="8" max="9" width="15.7109375" style="35" customWidth="1"/>
    <col min="10" max="10" width="9.28515625" style="1" customWidth="1"/>
    <col min="11" max="16384" width="11.42578125" style="1"/>
  </cols>
  <sheetData>
    <row r="1" spans="1:12" ht="21.75" customHeight="1" x14ac:dyDescent="0.2">
      <c r="B1" s="16" t="s">
        <v>0</v>
      </c>
      <c r="C1" s="12"/>
      <c r="D1" s="16"/>
      <c r="E1" s="16"/>
      <c r="F1" s="16"/>
      <c r="G1" s="16"/>
      <c r="H1" s="16"/>
      <c r="I1" s="16"/>
    </row>
    <row r="2" spans="1:12" ht="20.100000000000001" customHeight="1" x14ac:dyDescent="0.2">
      <c r="B2" s="12" t="s">
        <v>1</v>
      </c>
      <c r="C2" s="12"/>
      <c r="D2" s="12"/>
      <c r="E2" s="12"/>
      <c r="F2" s="12"/>
      <c r="G2" s="12"/>
      <c r="H2" s="12"/>
      <c r="I2" s="12"/>
    </row>
    <row r="3" spans="1:12" ht="27" x14ac:dyDescent="0.2">
      <c r="B3" s="16" t="s">
        <v>2</v>
      </c>
      <c r="C3" s="12"/>
      <c r="D3" s="12"/>
      <c r="E3" s="12"/>
      <c r="F3" s="12"/>
      <c r="G3" s="12"/>
      <c r="H3" s="12"/>
      <c r="I3" s="12"/>
    </row>
    <row r="4" spans="1:12" s="22" customFormat="1" ht="10.15" customHeight="1" x14ac:dyDescent="0.25">
      <c r="C4" s="15"/>
    </row>
    <row r="5" spans="1:12" s="22" customFormat="1" ht="20.100000000000001" customHeight="1" thickBot="1" x14ac:dyDescent="0.3">
      <c r="B5" s="53" t="s">
        <v>1068</v>
      </c>
      <c r="C5" s="53"/>
      <c r="D5" s="53"/>
      <c r="E5" s="53"/>
      <c r="F5" s="53"/>
      <c r="G5" s="53"/>
      <c r="H5" s="53"/>
      <c r="I5" s="53"/>
    </row>
    <row r="6" spans="1:12" s="22" customFormat="1" ht="15" customHeight="1" x14ac:dyDescent="0.25">
      <c r="A6" s="120" t="s">
        <v>2677</v>
      </c>
      <c r="B6" s="114" t="s">
        <v>2673</v>
      </c>
      <c r="C6" s="115" t="s">
        <v>2674</v>
      </c>
      <c r="D6" s="115" t="s">
        <v>33</v>
      </c>
      <c r="E6" s="116" t="s">
        <v>34</v>
      </c>
      <c r="F6" s="123" t="s">
        <v>2675</v>
      </c>
      <c r="G6" s="123" t="s">
        <v>2676</v>
      </c>
      <c r="H6" s="123" t="s">
        <v>10</v>
      </c>
      <c r="I6" s="124" t="s">
        <v>11</v>
      </c>
      <c r="J6" s="121" t="s">
        <v>2679</v>
      </c>
      <c r="K6" s="121" t="s">
        <v>2680</v>
      </c>
      <c r="L6" s="122" t="s">
        <v>2681</v>
      </c>
    </row>
    <row r="7" spans="1:12" s="22" customFormat="1" ht="26.65" customHeight="1" x14ac:dyDescent="0.25">
      <c r="A7" s="126" t="s">
        <v>2683</v>
      </c>
      <c r="B7" s="130">
        <v>3</v>
      </c>
      <c r="C7" s="131" t="s">
        <v>1069</v>
      </c>
      <c r="D7" s="126"/>
      <c r="E7" s="132"/>
      <c r="F7" s="133"/>
      <c r="G7" s="133"/>
      <c r="H7" s="133"/>
      <c r="I7" s="134"/>
      <c r="J7" s="126"/>
      <c r="K7" s="126"/>
      <c r="L7" s="126"/>
    </row>
    <row r="8" spans="1:12" s="22" customFormat="1" ht="26.65" customHeight="1" x14ac:dyDescent="0.25">
      <c r="A8" s="126" t="s">
        <v>2683</v>
      </c>
      <c r="B8" s="135"/>
      <c r="C8" s="136" t="s">
        <v>36</v>
      </c>
      <c r="D8" s="137"/>
      <c r="E8" s="138"/>
      <c r="F8" s="139"/>
      <c r="G8" s="139"/>
      <c r="H8" s="139"/>
      <c r="I8" s="139"/>
      <c r="J8" s="126"/>
      <c r="K8" s="126"/>
      <c r="L8" s="126"/>
    </row>
    <row r="9" spans="1:12" s="22" customFormat="1" ht="26.65" customHeight="1" x14ac:dyDescent="0.25">
      <c r="A9" s="126" t="s">
        <v>2683</v>
      </c>
      <c r="B9" s="135"/>
      <c r="C9" s="136" t="s">
        <v>1070</v>
      </c>
      <c r="D9" s="137"/>
      <c r="E9" s="138"/>
      <c r="F9" s="139"/>
      <c r="G9" s="139"/>
      <c r="H9" s="139"/>
      <c r="I9" s="139"/>
      <c r="J9" s="126"/>
      <c r="K9" s="126"/>
      <c r="L9" s="126"/>
    </row>
    <row r="10" spans="1:12" s="22" customFormat="1" ht="26.65" customHeight="1" x14ac:dyDescent="0.25">
      <c r="A10" s="126" t="s">
        <v>2683</v>
      </c>
      <c r="B10" s="135" t="s">
        <v>1071</v>
      </c>
      <c r="C10" s="140" t="s">
        <v>112</v>
      </c>
      <c r="D10" s="137" t="s">
        <v>43</v>
      </c>
      <c r="E10" s="138">
        <v>36</v>
      </c>
      <c r="F10" s="139">
        <v>122364.63</v>
      </c>
      <c r="G10" s="139">
        <v>0</v>
      </c>
      <c r="H10" s="141">
        <v>4405126.68</v>
      </c>
      <c r="I10" s="141">
        <v>0</v>
      </c>
      <c r="J10" s="136" t="s">
        <v>36</v>
      </c>
      <c r="K10" s="126"/>
      <c r="L10" s="136" t="s">
        <v>1070</v>
      </c>
    </row>
    <row r="11" spans="1:12" s="22" customFormat="1" ht="26.65" customHeight="1" x14ac:dyDescent="0.25">
      <c r="A11" s="126" t="s">
        <v>2683</v>
      </c>
      <c r="B11" s="135" t="s">
        <v>1072</v>
      </c>
      <c r="C11" s="140" t="s">
        <v>42</v>
      </c>
      <c r="D11" s="137" t="s">
        <v>43</v>
      </c>
      <c r="E11" s="138">
        <v>60</v>
      </c>
      <c r="F11" s="139">
        <v>124530.7</v>
      </c>
      <c r="G11" s="139">
        <v>0</v>
      </c>
      <c r="H11" s="141">
        <v>7471842</v>
      </c>
      <c r="I11" s="141">
        <v>0</v>
      </c>
      <c r="J11" s="136" t="s">
        <v>36</v>
      </c>
      <c r="K11" s="126"/>
      <c r="L11" s="136" t="s">
        <v>1070</v>
      </c>
    </row>
    <row r="12" spans="1:12" s="22" customFormat="1" ht="26.65" customHeight="1" x14ac:dyDescent="0.25">
      <c r="A12" s="126" t="s">
        <v>2683</v>
      </c>
      <c r="B12" s="135" t="s">
        <v>1073</v>
      </c>
      <c r="C12" s="140" t="s">
        <v>1074</v>
      </c>
      <c r="D12" s="137" t="s">
        <v>43</v>
      </c>
      <c r="E12" s="138">
        <v>20</v>
      </c>
      <c r="F12" s="139">
        <v>122770.96</v>
      </c>
      <c r="G12" s="139">
        <v>0</v>
      </c>
      <c r="H12" s="141">
        <v>2455419.2000000002</v>
      </c>
      <c r="I12" s="141">
        <v>0</v>
      </c>
      <c r="J12" s="136" t="s">
        <v>36</v>
      </c>
      <c r="K12" s="126"/>
      <c r="L12" s="136" t="s">
        <v>1070</v>
      </c>
    </row>
    <row r="13" spans="1:12" s="22" customFormat="1" ht="26.65" customHeight="1" x14ac:dyDescent="0.25">
      <c r="A13" s="126" t="s">
        <v>2683</v>
      </c>
      <c r="B13" s="135" t="s">
        <v>1075</v>
      </c>
      <c r="C13" s="140" t="s">
        <v>45</v>
      </c>
      <c r="D13" s="137" t="s">
        <v>40</v>
      </c>
      <c r="E13" s="138">
        <v>170</v>
      </c>
      <c r="F13" s="139">
        <v>25207.66</v>
      </c>
      <c r="G13" s="139">
        <v>0</v>
      </c>
      <c r="H13" s="141">
        <v>4285302.2</v>
      </c>
      <c r="I13" s="141">
        <v>0</v>
      </c>
      <c r="J13" s="136" t="s">
        <v>36</v>
      </c>
      <c r="K13" s="126"/>
      <c r="L13" s="136" t="s">
        <v>1070</v>
      </c>
    </row>
    <row r="14" spans="1:12" s="22" customFormat="1" ht="26.65" customHeight="1" x14ac:dyDescent="0.25">
      <c r="A14" s="126" t="s">
        <v>2683</v>
      </c>
      <c r="B14" s="135" t="s">
        <v>1076</v>
      </c>
      <c r="C14" s="140" t="s">
        <v>1077</v>
      </c>
      <c r="D14" s="137" t="s">
        <v>40</v>
      </c>
      <c r="E14" s="138">
        <v>200</v>
      </c>
      <c r="F14" s="139">
        <v>29092.36</v>
      </c>
      <c r="G14" s="139">
        <v>0</v>
      </c>
      <c r="H14" s="141">
        <v>5818472</v>
      </c>
      <c r="I14" s="141">
        <v>0</v>
      </c>
      <c r="J14" s="136" t="s">
        <v>36</v>
      </c>
      <c r="K14" s="126"/>
      <c r="L14" s="136" t="s">
        <v>1070</v>
      </c>
    </row>
    <row r="15" spans="1:12" s="22" customFormat="1" ht="26.65" customHeight="1" x14ac:dyDescent="0.25">
      <c r="A15" s="126" t="s">
        <v>2683</v>
      </c>
      <c r="B15" s="135" t="s">
        <v>1078</v>
      </c>
      <c r="C15" s="140" t="s">
        <v>1079</v>
      </c>
      <c r="D15" s="137" t="s">
        <v>43</v>
      </c>
      <c r="E15" s="138">
        <v>62</v>
      </c>
      <c r="F15" s="139">
        <v>143862.56</v>
      </c>
      <c r="G15" s="139">
        <v>0</v>
      </c>
      <c r="H15" s="141">
        <v>8919478.7200000007</v>
      </c>
      <c r="I15" s="141">
        <v>0</v>
      </c>
      <c r="J15" s="136" t="s">
        <v>36</v>
      </c>
      <c r="K15" s="126"/>
      <c r="L15" s="136" t="s">
        <v>1070</v>
      </c>
    </row>
    <row r="16" spans="1:12" s="22" customFormat="1" ht="26.65" customHeight="1" x14ac:dyDescent="0.25">
      <c r="A16" s="126" t="s">
        <v>2683</v>
      </c>
      <c r="B16" s="135" t="s">
        <v>1080</v>
      </c>
      <c r="C16" s="140" t="s">
        <v>1081</v>
      </c>
      <c r="D16" s="137" t="s">
        <v>40</v>
      </c>
      <c r="E16" s="138">
        <v>70</v>
      </c>
      <c r="F16" s="139">
        <v>37374.959999999999</v>
      </c>
      <c r="G16" s="139">
        <v>0</v>
      </c>
      <c r="H16" s="141">
        <v>2616247.1999999997</v>
      </c>
      <c r="I16" s="141">
        <v>0</v>
      </c>
      <c r="J16" s="136" t="s">
        <v>36</v>
      </c>
      <c r="K16" s="126"/>
      <c r="L16" s="136" t="s">
        <v>1070</v>
      </c>
    </row>
    <row r="17" spans="1:12" s="22" customFormat="1" ht="26.65" customHeight="1" x14ac:dyDescent="0.25">
      <c r="A17" s="126" t="s">
        <v>2683</v>
      </c>
      <c r="B17" s="135" t="s">
        <v>1082</v>
      </c>
      <c r="C17" s="140" t="s">
        <v>53</v>
      </c>
      <c r="D17" s="137" t="s">
        <v>40</v>
      </c>
      <c r="E17" s="138">
        <v>110</v>
      </c>
      <c r="F17" s="139">
        <v>35650.36</v>
      </c>
      <c r="G17" s="139">
        <v>0</v>
      </c>
      <c r="H17" s="141">
        <v>3921539.6</v>
      </c>
      <c r="I17" s="141">
        <v>0</v>
      </c>
      <c r="J17" s="136" t="s">
        <v>36</v>
      </c>
      <c r="K17" s="126"/>
      <c r="L17" s="136" t="s">
        <v>1070</v>
      </c>
    </row>
    <row r="18" spans="1:12" s="22" customFormat="1" ht="26.65" customHeight="1" x14ac:dyDescent="0.25">
      <c r="A18" s="126" t="s">
        <v>2683</v>
      </c>
      <c r="B18" s="135" t="s">
        <v>1083</v>
      </c>
      <c r="C18" s="140" t="s">
        <v>55</v>
      </c>
      <c r="D18" s="137" t="s">
        <v>40</v>
      </c>
      <c r="E18" s="138">
        <v>110</v>
      </c>
      <c r="F18" s="139">
        <v>37565.68</v>
      </c>
      <c r="G18" s="139">
        <v>0</v>
      </c>
      <c r="H18" s="141">
        <v>4132224.8</v>
      </c>
      <c r="I18" s="141">
        <v>0</v>
      </c>
      <c r="J18" s="136" t="s">
        <v>36</v>
      </c>
      <c r="K18" s="126"/>
      <c r="L18" s="136" t="s">
        <v>1070</v>
      </c>
    </row>
    <row r="19" spans="1:12" s="22" customFormat="1" ht="26.65" customHeight="1" x14ac:dyDescent="0.25">
      <c r="A19" s="126" t="s">
        <v>2683</v>
      </c>
      <c r="B19" s="135" t="s">
        <v>1084</v>
      </c>
      <c r="C19" s="140" t="s">
        <v>1085</v>
      </c>
      <c r="D19" s="137" t="s">
        <v>43</v>
      </c>
      <c r="E19" s="138">
        <v>52</v>
      </c>
      <c r="F19" s="139">
        <v>83422.44</v>
      </c>
      <c r="G19" s="139">
        <v>0</v>
      </c>
      <c r="H19" s="141">
        <v>4337966.88</v>
      </c>
      <c r="I19" s="141">
        <v>0</v>
      </c>
      <c r="J19" s="136" t="s">
        <v>36</v>
      </c>
      <c r="K19" s="126"/>
      <c r="L19" s="136" t="s">
        <v>1070</v>
      </c>
    </row>
    <row r="20" spans="1:12" s="22" customFormat="1" ht="26.65" customHeight="1" x14ac:dyDescent="0.25">
      <c r="A20" s="126" t="s">
        <v>2683</v>
      </c>
      <c r="B20" s="135" t="s">
        <v>1086</v>
      </c>
      <c r="C20" s="140" t="s">
        <v>1087</v>
      </c>
      <c r="D20" s="137" t="s">
        <v>40</v>
      </c>
      <c r="E20" s="138">
        <v>200</v>
      </c>
      <c r="F20" s="139">
        <v>46043.95</v>
      </c>
      <c r="G20" s="139">
        <v>0</v>
      </c>
      <c r="H20" s="141">
        <v>9208790</v>
      </c>
      <c r="I20" s="141">
        <v>0</v>
      </c>
      <c r="J20" s="136" t="s">
        <v>36</v>
      </c>
      <c r="K20" s="126"/>
      <c r="L20" s="136" t="s">
        <v>1070</v>
      </c>
    </row>
    <row r="21" spans="1:12" s="22" customFormat="1" ht="26.65" customHeight="1" x14ac:dyDescent="0.25">
      <c r="A21" s="126" t="s">
        <v>2683</v>
      </c>
      <c r="B21" s="135" t="s">
        <v>1088</v>
      </c>
      <c r="C21" s="140" t="s">
        <v>57</v>
      </c>
      <c r="D21" s="137" t="s">
        <v>40</v>
      </c>
      <c r="E21" s="138">
        <v>90</v>
      </c>
      <c r="F21" s="139">
        <v>74721.06</v>
      </c>
      <c r="G21" s="139">
        <v>0</v>
      </c>
      <c r="H21" s="141">
        <v>6724895.3999999994</v>
      </c>
      <c r="I21" s="141">
        <v>0</v>
      </c>
      <c r="J21" s="136" t="s">
        <v>36</v>
      </c>
      <c r="K21" s="126"/>
      <c r="L21" s="136" t="s">
        <v>1070</v>
      </c>
    </row>
    <row r="22" spans="1:12" s="22" customFormat="1" ht="26.65" customHeight="1" x14ac:dyDescent="0.25">
      <c r="A22" s="126" t="s">
        <v>2683</v>
      </c>
      <c r="B22" s="135" t="s">
        <v>1089</v>
      </c>
      <c r="C22" s="140" t="s">
        <v>1090</v>
      </c>
      <c r="D22" s="137" t="s">
        <v>40</v>
      </c>
      <c r="E22" s="138">
        <v>96</v>
      </c>
      <c r="F22" s="139">
        <v>81139.509999999995</v>
      </c>
      <c r="G22" s="139">
        <v>0</v>
      </c>
      <c r="H22" s="141">
        <v>7789392.959999999</v>
      </c>
      <c r="I22" s="141">
        <v>0</v>
      </c>
      <c r="J22" s="136" t="s">
        <v>36</v>
      </c>
      <c r="K22" s="126"/>
      <c r="L22" s="136" t="s">
        <v>1070</v>
      </c>
    </row>
    <row r="23" spans="1:12" s="22" customFormat="1" ht="26.65" customHeight="1" x14ac:dyDescent="0.25">
      <c r="A23" s="126" t="s">
        <v>2683</v>
      </c>
      <c r="B23" s="135" t="s">
        <v>1091</v>
      </c>
      <c r="C23" s="140" t="s">
        <v>61</v>
      </c>
      <c r="D23" s="137" t="s">
        <v>40</v>
      </c>
      <c r="E23" s="138">
        <v>106</v>
      </c>
      <c r="F23" s="139">
        <v>58010.3</v>
      </c>
      <c r="G23" s="139">
        <v>0</v>
      </c>
      <c r="H23" s="141">
        <v>6149091.8000000007</v>
      </c>
      <c r="I23" s="141">
        <v>0</v>
      </c>
      <c r="J23" s="136" t="s">
        <v>36</v>
      </c>
      <c r="K23" s="126"/>
      <c r="L23" s="136" t="s">
        <v>1070</v>
      </c>
    </row>
    <row r="24" spans="1:12" s="22" customFormat="1" ht="26.65" customHeight="1" x14ac:dyDescent="0.25">
      <c r="A24" s="126" t="s">
        <v>2683</v>
      </c>
      <c r="B24" s="135"/>
      <c r="C24" s="136" t="s">
        <v>1092</v>
      </c>
      <c r="D24" s="137"/>
      <c r="E24" s="138"/>
      <c r="F24" s="139"/>
      <c r="G24" s="139"/>
      <c r="H24" s="139"/>
      <c r="I24" s="139"/>
      <c r="J24" s="136" t="s">
        <v>36</v>
      </c>
      <c r="K24" s="126"/>
      <c r="L24" s="126"/>
    </row>
    <row r="25" spans="1:12" s="22" customFormat="1" ht="26.65" customHeight="1" x14ac:dyDescent="0.25">
      <c r="A25" s="126" t="s">
        <v>2683</v>
      </c>
      <c r="B25" s="135" t="s">
        <v>1093</v>
      </c>
      <c r="C25" s="140" t="s">
        <v>72</v>
      </c>
      <c r="D25" s="137" t="s">
        <v>40</v>
      </c>
      <c r="E25" s="138">
        <v>110</v>
      </c>
      <c r="F25" s="139">
        <v>23821.94</v>
      </c>
      <c r="G25" s="139">
        <v>0</v>
      </c>
      <c r="H25" s="141">
        <v>2620413.4</v>
      </c>
      <c r="I25" s="141">
        <v>0</v>
      </c>
      <c r="J25" s="136" t="s">
        <v>36</v>
      </c>
      <c r="K25" s="126"/>
      <c r="L25" s="136" t="s">
        <v>1092</v>
      </c>
    </row>
    <row r="26" spans="1:12" s="22" customFormat="1" ht="26.65" customHeight="1" x14ac:dyDescent="0.25">
      <c r="A26" s="126" t="s">
        <v>2683</v>
      </c>
      <c r="B26" s="142"/>
      <c r="C26" s="136" t="s">
        <v>1094</v>
      </c>
      <c r="D26" s="137"/>
      <c r="E26" s="138"/>
      <c r="F26" s="139"/>
      <c r="G26" s="139"/>
      <c r="H26" s="139"/>
      <c r="I26" s="139"/>
      <c r="J26" s="136" t="s">
        <v>36</v>
      </c>
      <c r="K26" s="126"/>
      <c r="L26" s="126"/>
    </row>
    <row r="27" spans="1:12" s="22" customFormat="1" ht="26.65" customHeight="1" x14ac:dyDescent="0.25">
      <c r="A27" s="126" t="s">
        <v>2683</v>
      </c>
      <c r="B27" s="142" t="s">
        <v>1095</v>
      </c>
      <c r="C27" s="140" t="s">
        <v>1096</v>
      </c>
      <c r="D27" s="137" t="s">
        <v>40</v>
      </c>
      <c r="E27" s="138">
        <v>200</v>
      </c>
      <c r="F27" s="139">
        <v>1213.58</v>
      </c>
      <c r="G27" s="139">
        <v>0</v>
      </c>
      <c r="H27" s="141">
        <v>242716</v>
      </c>
      <c r="I27" s="141">
        <v>0</v>
      </c>
      <c r="J27" s="136" t="s">
        <v>36</v>
      </c>
      <c r="K27" s="126"/>
      <c r="L27" s="136" t="s">
        <v>1094</v>
      </c>
    </row>
    <row r="28" spans="1:12" s="22" customFormat="1" ht="26.65" customHeight="1" x14ac:dyDescent="0.25">
      <c r="A28" s="126" t="s">
        <v>2683</v>
      </c>
      <c r="B28" s="142" t="s">
        <v>1097</v>
      </c>
      <c r="C28" s="140" t="s">
        <v>1098</v>
      </c>
      <c r="D28" s="137" t="s">
        <v>40</v>
      </c>
      <c r="E28" s="138">
        <v>600</v>
      </c>
      <c r="F28" s="139">
        <v>1869</v>
      </c>
      <c r="G28" s="139">
        <v>0</v>
      </c>
      <c r="H28" s="141">
        <v>1121400</v>
      </c>
      <c r="I28" s="141">
        <v>0</v>
      </c>
      <c r="J28" s="136" t="s">
        <v>36</v>
      </c>
      <c r="K28" s="126"/>
      <c r="L28" s="136" t="s">
        <v>1094</v>
      </c>
    </row>
    <row r="29" spans="1:12" s="22" customFormat="1" ht="26.65" customHeight="1" x14ac:dyDescent="0.25">
      <c r="A29" s="126" t="s">
        <v>2683</v>
      </c>
      <c r="B29" s="142" t="s">
        <v>1099</v>
      </c>
      <c r="C29" s="140" t="s">
        <v>1100</v>
      </c>
      <c r="D29" s="137" t="s">
        <v>40</v>
      </c>
      <c r="E29" s="138">
        <v>129.58000000000001</v>
      </c>
      <c r="F29" s="139">
        <v>2240.4899999999998</v>
      </c>
      <c r="G29" s="139">
        <v>0</v>
      </c>
      <c r="H29" s="141">
        <v>290322.69420000003</v>
      </c>
      <c r="I29" s="141">
        <v>0</v>
      </c>
      <c r="J29" s="136" t="s">
        <v>36</v>
      </c>
      <c r="K29" s="126"/>
      <c r="L29" s="136" t="s">
        <v>1094</v>
      </c>
    </row>
    <row r="30" spans="1:12" s="22" customFormat="1" ht="26.65" customHeight="1" x14ac:dyDescent="0.25">
      <c r="A30" s="126" t="s">
        <v>2683</v>
      </c>
      <c r="B30" s="142"/>
      <c r="C30" s="136" t="s">
        <v>1101</v>
      </c>
      <c r="D30" s="137"/>
      <c r="E30" s="138"/>
      <c r="F30" s="139"/>
      <c r="G30" s="139"/>
      <c r="H30" s="139"/>
      <c r="I30" s="139"/>
      <c r="J30" s="136" t="s">
        <v>36</v>
      </c>
      <c r="K30" s="126"/>
      <c r="L30" s="126"/>
    </row>
    <row r="31" spans="1:12" s="22" customFormat="1" ht="26.65" customHeight="1" x14ac:dyDescent="0.25">
      <c r="A31" s="126" t="s">
        <v>2683</v>
      </c>
      <c r="B31" s="142" t="s">
        <v>1102</v>
      </c>
      <c r="C31" s="140" t="s">
        <v>84</v>
      </c>
      <c r="D31" s="137" t="s">
        <v>40</v>
      </c>
      <c r="E31" s="138">
        <v>134</v>
      </c>
      <c r="F31" s="139">
        <v>464.18</v>
      </c>
      <c r="G31" s="139">
        <v>71.680000000000007</v>
      </c>
      <c r="H31" s="141">
        <v>62200.12</v>
      </c>
      <c r="I31" s="141">
        <v>9605.1200000000008</v>
      </c>
      <c r="J31" s="136" t="s">
        <v>36</v>
      </c>
      <c r="K31" s="126"/>
      <c r="L31" s="136" t="s">
        <v>1101</v>
      </c>
    </row>
    <row r="32" spans="1:12" s="22" customFormat="1" ht="26.65" customHeight="1" x14ac:dyDescent="0.25">
      <c r="A32" s="126" t="s">
        <v>2683</v>
      </c>
      <c r="B32" s="142" t="s">
        <v>1103</v>
      </c>
      <c r="C32" s="140" t="s">
        <v>1104</v>
      </c>
      <c r="D32" s="137" t="s">
        <v>40</v>
      </c>
      <c r="E32" s="138">
        <v>556</v>
      </c>
      <c r="F32" s="139">
        <v>1253.45</v>
      </c>
      <c r="G32" s="139">
        <v>0</v>
      </c>
      <c r="H32" s="141">
        <v>696918.20000000007</v>
      </c>
      <c r="I32" s="141">
        <v>0</v>
      </c>
      <c r="J32" s="136" t="s">
        <v>36</v>
      </c>
      <c r="K32" s="126"/>
      <c r="L32" s="136" t="s">
        <v>1101</v>
      </c>
    </row>
    <row r="33" spans="1:12" s="22" customFormat="1" ht="26.65" customHeight="1" x14ac:dyDescent="0.25">
      <c r="A33" s="126" t="s">
        <v>2683</v>
      </c>
      <c r="B33" s="142" t="s">
        <v>1105</v>
      </c>
      <c r="C33" s="140" t="s">
        <v>88</v>
      </c>
      <c r="D33" s="137" t="s">
        <v>40</v>
      </c>
      <c r="E33" s="138">
        <v>200</v>
      </c>
      <c r="F33" s="139">
        <v>952.93</v>
      </c>
      <c r="G33" s="139">
        <v>0</v>
      </c>
      <c r="H33" s="141">
        <v>190586</v>
      </c>
      <c r="I33" s="141">
        <v>0</v>
      </c>
      <c r="J33" s="136" t="s">
        <v>36</v>
      </c>
      <c r="K33" s="126"/>
      <c r="L33" s="136" t="s">
        <v>1101</v>
      </c>
    </row>
    <row r="34" spans="1:12" s="22" customFormat="1" ht="26.65" customHeight="1" x14ac:dyDescent="0.25">
      <c r="A34" s="126" t="s">
        <v>2683</v>
      </c>
      <c r="B34" s="142" t="s">
        <v>1106</v>
      </c>
      <c r="C34" s="140" t="s">
        <v>92</v>
      </c>
      <c r="D34" s="137" t="s">
        <v>40</v>
      </c>
      <c r="E34" s="138">
        <v>200</v>
      </c>
      <c r="F34" s="139">
        <v>1284.3399999999999</v>
      </c>
      <c r="G34" s="139">
        <v>245.26</v>
      </c>
      <c r="H34" s="141">
        <v>256867.99999999997</v>
      </c>
      <c r="I34" s="141">
        <v>49052</v>
      </c>
      <c r="J34" s="136" t="s">
        <v>36</v>
      </c>
      <c r="K34" s="126"/>
      <c r="L34" s="136" t="s">
        <v>1101</v>
      </c>
    </row>
    <row r="35" spans="1:12" s="22" customFormat="1" ht="26.65" customHeight="1" x14ac:dyDescent="0.25">
      <c r="A35" s="126" t="s">
        <v>2683</v>
      </c>
      <c r="B35" s="142" t="s">
        <v>1107</v>
      </c>
      <c r="C35" s="140" t="s">
        <v>1108</v>
      </c>
      <c r="D35" s="137" t="s">
        <v>40</v>
      </c>
      <c r="E35" s="138">
        <v>200</v>
      </c>
      <c r="F35" s="139">
        <v>1065.74</v>
      </c>
      <c r="G35" s="139">
        <v>130.1</v>
      </c>
      <c r="H35" s="141">
        <v>213148</v>
      </c>
      <c r="I35" s="141">
        <v>26020</v>
      </c>
      <c r="J35" s="136" t="s">
        <v>36</v>
      </c>
      <c r="K35" s="126"/>
      <c r="L35" s="136" t="s">
        <v>1101</v>
      </c>
    </row>
    <row r="36" spans="1:12" s="22" customFormat="1" ht="26.65" customHeight="1" x14ac:dyDescent="0.25">
      <c r="A36" s="126" t="s">
        <v>2683</v>
      </c>
      <c r="B36" s="142" t="s">
        <v>1109</v>
      </c>
      <c r="C36" s="140" t="s">
        <v>1110</v>
      </c>
      <c r="D36" s="137" t="s">
        <v>40</v>
      </c>
      <c r="E36" s="138">
        <v>222</v>
      </c>
      <c r="F36" s="139">
        <v>1628.34</v>
      </c>
      <c r="G36" s="139">
        <v>0</v>
      </c>
      <c r="H36" s="141">
        <v>361491.48</v>
      </c>
      <c r="I36" s="141">
        <v>0</v>
      </c>
      <c r="J36" s="136" t="s">
        <v>36</v>
      </c>
      <c r="K36" s="126"/>
      <c r="L36" s="136" t="s">
        <v>1101</v>
      </c>
    </row>
    <row r="37" spans="1:12" s="22" customFormat="1" ht="26.65" customHeight="1" x14ac:dyDescent="0.25">
      <c r="A37" s="126" t="s">
        <v>2683</v>
      </c>
      <c r="B37" s="142" t="s">
        <v>1111</v>
      </c>
      <c r="C37" s="140" t="s">
        <v>94</v>
      </c>
      <c r="D37" s="137" t="s">
        <v>40</v>
      </c>
      <c r="E37" s="138">
        <v>196</v>
      </c>
      <c r="F37" s="139">
        <v>1588.6</v>
      </c>
      <c r="G37" s="139">
        <v>173.13</v>
      </c>
      <c r="H37" s="141">
        <v>311365.59999999998</v>
      </c>
      <c r="I37" s="141">
        <v>33933.479999999996</v>
      </c>
      <c r="J37" s="136" t="s">
        <v>36</v>
      </c>
      <c r="K37" s="126"/>
      <c r="L37" s="136" t="s">
        <v>1101</v>
      </c>
    </row>
    <row r="38" spans="1:12" s="22" customFormat="1" ht="26.65" customHeight="1" x14ac:dyDescent="0.25">
      <c r="A38" s="126" t="s">
        <v>2683</v>
      </c>
      <c r="B38" s="142" t="s">
        <v>1112</v>
      </c>
      <c r="C38" s="140" t="s">
        <v>100</v>
      </c>
      <c r="D38" s="137" t="s">
        <v>40</v>
      </c>
      <c r="E38" s="138">
        <v>216</v>
      </c>
      <c r="F38" s="139">
        <v>1571.91</v>
      </c>
      <c r="G38" s="139">
        <v>240.29</v>
      </c>
      <c r="H38" s="141">
        <v>339532.56</v>
      </c>
      <c r="I38" s="141">
        <v>51902.64</v>
      </c>
      <c r="J38" s="136" t="s">
        <v>36</v>
      </c>
      <c r="K38" s="126"/>
      <c r="L38" s="136" t="s">
        <v>1101</v>
      </c>
    </row>
    <row r="39" spans="1:12" s="22" customFormat="1" ht="26.65" customHeight="1" x14ac:dyDescent="0.25">
      <c r="A39" s="126" t="s">
        <v>2683</v>
      </c>
      <c r="B39" s="142" t="s">
        <v>1113</v>
      </c>
      <c r="C39" s="140" t="s">
        <v>104</v>
      </c>
      <c r="D39" s="137" t="s">
        <v>40</v>
      </c>
      <c r="E39" s="138">
        <v>660</v>
      </c>
      <c r="F39" s="139">
        <v>2193.6799999999998</v>
      </c>
      <c r="G39" s="139">
        <v>343.11</v>
      </c>
      <c r="H39" s="141">
        <v>1447828.7999999998</v>
      </c>
      <c r="I39" s="141">
        <v>226452.6</v>
      </c>
      <c r="J39" s="136" t="s">
        <v>36</v>
      </c>
      <c r="K39" s="126"/>
      <c r="L39" s="136" t="s">
        <v>1101</v>
      </c>
    </row>
    <row r="40" spans="1:12" s="22" customFormat="1" ht="26.65" customHeight="1" x14ac:dyDescent="0.25">
      <c r="A40" s="126" t="s">
        <v>2683</v>
      </c>
      <c r="B40" s="142" t="s">
        <v>1114</v>
      </c>
      <c r="C40" s="140" t="s">
        <v>106</v>
      </c>
      <c r="D40" s="137" t="s">
        <v>40</v>
      </c>
      <c r="E40" s="138">
        <v>600</v>
      </c>
      <c r="F40" s="139">
        <v>2377.81</v>
      </c>
      <c r="G40" s="139">
        <v>452.63</v>
      </c>
      <c r="H40" s="141">
        <v>1426686</v>
      </c>
      <c r="I40" s="141">
        <v>271578</v>
      </c>
      <c r="J40" s="136" t="s">
        <v>36</v>
      </c>
      <c r="K40" s="126"/>
      <c r="L40" s="136" t="s">
        <v>1101</v>
      </c>
    </row>
    <row r="41" spans="1:12" s="22" customFormat="1" ht="26.65" customHeight="1" x14ac:dyDescent="0.25">
      <c r="A41" s="126" t="s">
        <v>2683</v>
      </c>
      <c r="B41" s="142" t="s">
        <v>1115</v>
      </c>
      <c r="C41" s="140" t="s">
        <v>1116</v>
      </c>
      <c r="D41" s="137" t="s">
        <v>40</v>
      </c>
      <c r="E41" s="138">
        <v>104</v>
      </c>
      <c r="F41" s="139">
        <v>1982.44</v>
      </c>
      <c r="G41" s="139">
        <v>470.23</v>
      </c>
      <c r="H41" s="141">
        <v>206173.76</v>
      </c>
      <c r="I41" s="141">
        <v>48903.92</v>
      </c>
      <c r="J41" s="136" t="s">
        <v>36</v>
      </c>
      <c r="K41" s="126"/>
      <c r="L41" s="136" t="s">
        <v>1101</v>
      </c>
    </row>
    <row r="42" spans="1:12" s="22" customFormat="1" ht="26.65" customHeight="1" x14ac:dyDescent="0.25">
      <c r="A42" s="126" t="s">
        <v>2683</v>
      </c>
      <c r="B42" s="142" t="s">
        <v>1117</v>
      </c>
      <c r="C42" s="140" t="s">
        <v>110</v>
      </c>
      <c r="D42" s="137" t="s">
        <v>40</v>
      </c>
      <c r="E42" s="138">
        <v>326</v>
      </c>
      <c r="F42" s="139">
        <v>1649.28</v>
      </c>
      <c r="G42" s="139">
        <v>602.61</v>
      </c>
      <c r="H42" s="141">
        <v>537665.28000000003</v>
      </c>
      <c r="I42" s="141">
        <v>196450.86000000002</v>
      </c>
      <c r="J42" s="136" t="s">
        <v>36</v>
      </c>
      <c r="K42" s="126"/>
      <c r="L42" s="136" t="s">
        <v>1101</v>
      </c>
    </row>
    <row r="43" spans="1:12" s="22" customFormat="1" ht="26.65" customHeight="1" x14ac:dyDescent="0.25">
      <c r="A43" s="126" t="s">
        <v>2683</v>
      </c>
      <c r="B43" s="142" t="s">
        <v>1118</v>
      </c>
      <c r="C43" s="140" t="s">
        <v>112</v>
      </c>
      <c r="D43" s="137" t="s">
        <v>40</v>
      </c>
      <c r="E43" s="138">
        <v>286</v>
      </c>
      <c r="F43" s="139">
        <v>2281.36</v>
      </c>
      <c r="G43" s="139">
        <v>1574.99</v>
      </c>
      <c r="H43" s="141">
        <v>652468.96000000008</v>
      </c>
      <c r="I43" s="141">
        <v>450447.14</v>
      </c>
      <c r="J43" s="136" t="s">
        <v>36</v>
      </c>
      <c r="K43" s="126"/>
      <c r="L43" s="136" t="s">
        <v>1101</v>
      </c>
    </row>
    <row r="44" spans="1:12" s="22" customFormat="1" ht="26.65" customHeight="1" x14ac:dyDescent="0.25">
      <c r="A44" s="126" t="s">
        <v>2683</v>
      </c>
      <c r="B44" s="142" t="s">
        <v>1119</v>
      </c>
      <c r="C44" s="140" t="s">
        <v>116</v>
      </c>
      <c r="D44" s="137" t="s">
        <v>40</v>
      </c>
      <c r="E44" s="138">
        <v>344</v>
      </c>
      <c r="F44" s="139">
        <v>2350.94</v>
      </c>
      <c r="G44" s="139">
        <v>869.78</v>
      </c>
      <c r="H44" s="141">
        <v>808723.36</v>
      </c>
      <c r="I44" s="141">
        <v>299204.32</v>
      </c>
      <c r="J44" s="136" t="s">
        <v>36</v>
      </c>
      <c r="K44" s="126"/>
      <c r="L44" s="136" t="s">
        <v>1101</v>
      </c>
    </row>
    <row r="45" spans="1:12" s="22" customFormat="1" ht="26.65" customHeight="1" x14ac:dyDescent="0.25">
      <c r="A45" s="126" t="s">
        <v>2683</v>
      </c>
      <c r="B45" s="142" t="s">
        <v>1120</v>
      </c>
      <c r="C45" s="140" t="s">
        <v>39</v>
      </c>
      <c r="D45" s="137" t="s">
        <v>40</v>
      </c>
      <c r="E45" s="138">
        <v>200</v>
      </c>
      <c r="F45" s="139">
        <v>2935.13</v>
      </c>
      <c r="G45" s="139">
        <v>3711.55</v>
      </c>
      <c r="H45" s="141">
        <v>587026</v>
      </c>
      <c r="I45" s="141">
        <v>742310</v>
      </c>
      <c r="J45" s="136" t="s">
        <v>36</v>
      </c>
      <c r="K45" s="126"/>
      <c r="L45" s="136" t="s">
        <v>1101</v>
      </c>
    </row>
    <row r="46" spans="1:12" s="22" customFormat="1" ht="26.65" customHeight="1" x14ac:dyDescent="0.25">
      <c r="A46" s="126" t="s">
        <v>2683</v>
      </c>
      <c r="B46" s="142" t="s">
        <v>1121</v>
      </c>
      <c r="C46" s="140" t="s">
        <v>42</v>
      </c>
      <c r="D46" s="137" t="s">
        <v>40</v>
      </c>
      <c r="E46" s="138">
        <v>428</v>
      </c>
      <c r="F46" s="139">
        <v>2791.39</v>
      </c>
      <c r="G46" s="139">
        <v>1267.43</v>
      </c>
      <c r="H46" s="141">
        <v>1194714.92</v>
      </c>
      <c r="I46" s="141">
        <v>542460.04</v>
      </c>
      <c r="J46" s="136" t="s">
        <v>36</v>
      </c>
      <c r="K46" s="126"/>
      <c r="L46" s="136" t="s">
        <v>1101</v>
      </c>
    </row>
    <row r="47" spans="1:12" s="22" customFormat="1" ht="26.65" customHeight="1" x14ac:dyDescent="0.25">
      <c r="A47" s="126" t="s">
        <v>2683</v>
      </c>
      <c r="B47" s="142" t="s">
        <v>1122</v>
      </c>
      <c r="C47" s="140" t="s">
        <v>1123</v>
      </c>
      <c r="D47" s="137" t="s">
        <v>40</v>
      </c>
      <c r="E47" s="138">
        <v>124</v>
      </c>
      <c r="F47" s="139">
        <v>3665.71</v>
      </c>
      <c r="G47" s="139">
        <v>1995.46</v>
      </c>
      <c r="H47" s="141">
        <v>454548.04</v>
      </c>
      <c r="I47" s="141">
        <v>247437.04</v>
      </c>
      <c r="J47" s="136" t="s">
        <v>36</v>
      </c>
      <c r="K47" s="126"/>
      <c r="L47" s="136" t="s">
        <v>1101</v>
      </c>
    </row>
    <row r="48" spans="1:12" s="22" customFormat="1" ht="26.65" customHeight="1" x14ac:dyDescent="0.25">
      <c r="A48" s="126" t="s">
        <v>2683</v>
      </c>
      <c r="B48" s="142" t="s">
        <v>1124</v>
      </c>
      <c r="C48" s="140" t="s">
        <v>1125</v>
      </c>
      <c r="D48" s="137" t="s">
        <v>40</v>
      </c>
      <c r="E48" s="138">
        <v>200</v>
      </c>
      <c r="F48" s="139">
        <v>9762.89</v>
      </c>
      <c r="G48" s="139">
        <v>0</v>
      </c>
      <c r="H48" s="141">
        <v>1952578</v>
      </c>
      <c r="I48" s="141">
        <v>0</v>
      </c>
      <c r="J48" s="136" t="s">
        <v>36</v>
      </c>
      <c r="K48" s="126"/>
      <c r="L48" s="136" t="s">
        <v>1101</v>
      </c>
    </row>
    <row r="49" spans="1:12" s="22" customFormat="1" ht="26.65" customHeight="1" x14ac:dyDescent="0.25">
      <c r="A49" s="126" t="s">
        <v>2683</v>
      </c>
      <c r="B49" s="142" t="s">
        <v>1126</v>
      </c>
      <c r="C49" s="140" t="s">
        <v>1127</v>
      </c>
      <c r="D49" s="137" t="s">
        <v>40</v>
      </c>
      <c r="E49" s="138">
        <v>80</v>
      </c>
      <c r="F49" s="139">
        <v>3959.05</v>
      </c>
      <c r="G49" s="139">
        <v>1631.86</v>
      </c>
      <c r="H49" s="141">
        <v>316724</v>
      </c>
      <c r="I49" s="141">
        <v>130548.79999999999</v>
      </c>
      <c r="J49" s="136" t="s">
        <v>36</v>
      </c>
      <c r="K49" s="126"/>
      <c r="L49" s="136" t="s">
        <v>1101</v>
      </c>
    </row>
    <row r="50" spans="1:12" s="22" customFormat="1" ht="26.65" customHeight="1" x14ac:dyDescent="0.25">
      <c r="A50" s="126" t="s">
        <v>2683</v>
      </c>
      <c r="B50" s="142" t="s">
        <v>1128</v>
      </c>
      <c r="C50" s="140" t="s">
        <v>1129</v>
      </c>
      <c r="D50" s="137" t="s">
        <v>40</v>
      </c>
      <c r="E50" s="138">
        <v>200</v>
      </c>
      <c r="F50" s="139">
        <v>5603.9</v>
      </c>
      <c r="G50" s="139">
        <v>5553.5</v>
      </c>
      <c r="H50" s="141">
        <v>1120780</v>
      </c>
      <c r="I50" s="141">
        <v>1110700</v>
      </c>
      <c r="J50" s="136" t="s">
        <v>36</v>
      </c>
      <c r="K50" s="126"/>
      <c r="L50" s="136" t="s">
        <v>1101</v>
      </c>
    </row>
    <row r="51" spans="1:12" s="22" customFormat="1" ht="26.65" customHeight="1" x14ac:dyDescent="0.25">
      <c r="A51" s="126" t="s">
        <v>2683</v>
      </c>
      <c r="B51" s="142" t="s">
        <v>1130</v>
      </c>
      <c r="C51" s="140" t="s">
        <v>1131</v>
      </c>
      <c r="D51" s="137" t="s">
        <v>40</v>
      </c>
      <c r="E51" s="138">
        <v>90</v>
      </c>
      <c r="F51" s="139">
        <v>34388.85</v>
      </c>
      <c r="G51" s="139">
        <v>0</v>
      </c>
      <c r="H51" s="141">
        <v>3094996.5</v>
      </c>
      <c r="I51" s="141">
        <v>0</v>
      </c>
      <c r="J51" s="136" t="s">
        <v>36</v>
      </c>
      <c r="K51" s="126"/>
      <c r="L51" s="136" t="s">
        <v>1101</v>
      </c>
    </row>
    <row r="52" spans="1:12" s="22" customFormat="1" ht="26.65" customHeight="1" x14ac:dyDescent="0.25">
      <c r="A52" s="126" t="s">
        <v>2683</v>
      </c>
      <c r="B52" s="142" t="s">
        <v>1132</v>
      </c>
      <c r="C52" s="140" t="s">
        <v>49</v>
      </c>
      <c r="D52" s="137" t="s">
        <v>40</v>
      </c>
      <c r="E52" s="138">
        <v>200</v>
      </c>
      <c r="F52" s="139">
        <v>6243.3</v>
      </c>
      <c r="G52" s="139">
        <v>3773.24</v>
      </c>
      <c r="H52" s="141">
        <v>1248660</v>
      </c>
      <c r="I52" s="141">
        <v>754648</v>
      </c>
      <c r="J52" s="136" t="s">
        <v>36</v>
      </c>
      <c r="K52" s="126"/>
      <c r="L52" s="136" t="s">
        <v>1101</v>
      </c>
    </row>
    <row r="53" spans="1:12" s="22" customFormat="1" ht="26.65" customHeight="1" x14ac:dyDescent="0.25">
      <c r="A53" s="126" t="s">
        <v>2683</v>
      </c>
      <c r="B53" s="142" t="s">
        <v>1133</v>
      </c>
      <c r="C53" s="140" t="s">
        <v>53</v>
      </c>
      <c r="D53" s="137" t="s">
        <v>40</v>
      </c>
      <c r="E53" s="138">
        <v>80</v>
      </c>
      <c r="F53" s="139">
        <v>6215.56</v>
      </c>
      <c r="G53" s="139">
        <v>3711.55</v>
      </c>
      <c r="H53" s="141">
        <v>497244.80000000005</v>
      </c>
      <c r="I53" s="141">
        <v>296924</v>
      </c>
      <c r="J53" s="136" t="s">
        <v>36</v>
      </c>
      <c r="K53" s="126"/>
      <c r="L53" s="136" t="s">
        <v>1101</v>
      </c>
    </row>
    <row r="54" spans="1:12" s="22" customFormat="1" ht="26.65" customHeight="1" x14ac:dyDescent="0.25">
      <c r="A54" s="126" t="s">
        <v>2683</v>
      </c>
      <c r="B54" s="142"/>
      <c r="C54" s="136" t="s">
        <v>128</v>
      </c>
      <c r="D54" s="137"/>
      <c r="E54" s="138"/>
      <c r="F54" s="139"/>
      <c r="G54" s="139"/>
      <c r="H54" s="139"/>
      <c r="I54" s="139"/>
      <c r="J54" s="126"/>
      <c r="K54" s="126"/>
      <c r="L54" s="126"/>
    </row>
    <row r="55" spans="1:12" s="22" customFormat="1" ht="26.65" customHeight="1" x14ac:dyDescent="0.25">
      <c r="A55" s="126" t="s">
        <v>2683</v>
      </c>
      <c r="B55" s="142"/>
      <c r="C55" s="136" t="s">
        <v>1134</v>
      </c>
      <c r="D55" s="137"/>
      <c r="E55" s="138"/>
      <c r="F55" s="139"/>
      <c r="G55" s="139"/>
      <c r="H55" s="139"/>
      <c r="I55" s="139"/>
      <c r="J55" s="126"/>
      <c r="K55" s="126"/>
      <c r="L55" s="126"/>
    </row>
    <row r="56" spans="1:12" s="22" customFormat="1" ht="26.65" customHeight="1" x14ac:dyDescent="0.25">
      <c r="A56" s="126" t="s">
        <v>2683</v>
      </c>
      <c r="B56" s="142"/>
      <c r="C56" s="136" t="s">
        <v>1135</v>
      </c>
      <c r="D56" s="137"/>
      <c r="E56" s="138"/>
      <c r="F56" s="139"/>
      <c r="G56" s="139"/>
      <c r="H56" s="139"/>
      <c r="I56" s="139"/>
      <c r="J56" s="126"/>
      <c r="K56" s="126"/>
      <c r="L56" s="126"/>
    </row>
    <row r="57" spans="1:12" s="22" customFormat="1" ht="26.65" customHeight="1" x14ac:dyDescent="0.25">
      <c r="A57" s="126" t="s">
        <v>2683</v>
      </c>
      <c r="B57" s="142" t="s">
        <v>1136</v>
      </c>
      <c r="C57" s="140" t="s">
        <v>1137</v>
      </c>
      <c r="D57" s="137" t="s">
        <v>133</v>
      </c>
      <c r="E57" s="138">
        <v>60</v>
      </c>
      <c r="F57" s="139">
        <v>536.16</v>
      </c>
      <c r="G57" s="139">
        <v>7.8</v>
      </c>
      <c r="H57" s="141">
        <v>32169.599999999999</v>
      </c>
      <c r="I57" s="141">
        <v>468</v>
      </c>
      <c r="J57" s="136" t="s">
        <v>128</v>
      </c>
      <c r="K57" s="136" t="s">
        <v>1134</v>
      </c>
      <c r="L57" s="136" t="s">
        <v>1135</v>
      </c>
    </row>
    <row r="58" spans="1:12" s="22" customFormat="1" ht="26.65" customHeight="1" x14ac:dyDescent="0.25">
      <c r="A58" s="126" t="s">
        <v>2683</v>
      </c>
      <c r="B58" s="142" t="s">
        <v>1138</v>
      </c>
      <c r="C58" s="140" t="s">
        <v>1139</v>
      </c>
      <c r="D58" s="137" t="s">
        <v>133</v>
      </c>
      <c r="E58" s="138">
        <v>36</v>
      </c>
      <c r="F58" s="139">
        <v>694.26</v>
      </c>
      <c r="G58" s="139">
        <v>6.26</v>
      </c>
      <c r="H58" s="141">
        <v>24993.360000000001</v>
      </c>
      <c r="I58" s="141">
        <v>225.35999999999999</v>
      </c>
      <c r="J58" s="136" t="s">
        <v>128</v>
      </c>
      <c r="K58" s="136" t="s">
        <v>1134</v>
      </c>
      <c r="L58" s="136" t="s">
        <v>1135</v>
      </c>
    </row>
    <row r="59" spans="1:12" s="22" customFormat="1" ht="26.65" customHeight="1" x14ac:dyDescent="0.25">
      <c r="A59" s="126" t="s">
        <v>2683</v>
      </c>
      <c r="B59" s="142" t="s">
        <v>1140</v>
      </c>
      <c r="C59" s="140" t="s">
        <v>1141</v>
      </c>
      <c r="D59" s="137" t="s">
        <v>133</v>
      </c>
      <c r="E59" s="138">
        <v>52</v>
      </c>
      <c r="F59" s="139">
        <v>2726.86</v>
      </c>
      <c r="G59" s="139">
        <v>124.38</v>
      </c>
      <c r="H59" s="141">
        <v>141796.72</v>
      </c>
      <c r="I59" s="141">
        <v>6467.76</v>
      </c>
      <c r="J59" s="136" t="s">
        <v>128</v>
      </c>
      <c r="K59" s="136" t="s">
        <v>1134</v>
      </c>
      <c r="L59" s="136" t="s">
        <v>1135</v>
      </c>
    </row>
    <row r="60" spans="1:12" s="22" customFormat="1" ht="26.65" customHeight="1" x14ac:dyDescent="0.25">
      <c r="A60" s="126" t="s">
        <v>2683</v>
      </c>
      <c r="B60" s="142" t="s">
        <v>1142</v>
      </c>
      <c r="C60" s="140" t="s">
        <v>1143</v>
      </c>
      <c r="D60" s="137" t="s">
        <v>133</v>
      </c>
      <c r="E60" s="138">
        <v>40</v>
      </c>
      <c r="F60" s="139">
        <v>3374.7</v>
      </c>
      <c r="G60" s="139">
        <v>124.38</v>
      </c>
      <c r="H60" s="141">
        <v>134988</v>
      </c>
      <c r="I60" s="141">
        <v>4975.2</v>
      </c>
      <c r="J60" s="136" t="s">
        <v>128</v>
      </c>
      <c r="K60" s="136" t="s">
        <v>1134</v>
      </c>
      <c r="L60" s="136" t="s">
        <v>1135</v>
      </c>
    </row>
    <row r="61" spans="1:12" s="22" customFormat="1" ht="26.65" customHeight="1" x14ac:dyDescent="0.25">
      <c r="A61" s="126" t="s">
        <v>2683</v>
      </c>
      <c r="B61" s="142" t="s">
        <v>1144</v>
      </c>
      <c r="C61" s="140" t="s">
        <v>1145</v>
      </c>
      <c r="D61" s="137" t="s">
        <v>133</v>
      </c>
      <c r="E61" s="138">
        <v>30</v>
      </c>
      <c r="F61" s="139">
        <v>4765.9399999999996</v>
      </c>
      <c r="G61" s="139">
        <v>187.5</v>
      </c>
      <c r="H61" s="141">
        <v>142978.19999999998</v>
      </c>
      <c r="I61" s="141">
        <v>5625</v>
      </c>
      <c r="J61" s="136" t="s">
        <v>128</v>
      </c>
      <c r="K61" s="136" t="s">
        <v>1134</v>
      </c>
      <c r="L61" s="136" t="s">
        <v>1135</v>
      </c>
    </row>
    <row r="62" spans="1:12" s="22" customFormat="1" ht="26.65" customHeight="1" x14ac:dyDescent="0.25">
      <c r="A62" s="126" t="s">
        <v>2683</v>
      </c>
      <c r="B62" s="142" t="s">
        <v>1146</v>
      </c>
      <c r="C62" s="140" t="s">
        <v>135</v>
      </c>
      <c r="D62" s="137" t="s">
        <v>133</v>
      </c>
      <c r="E62" s="138">
        <v>40</v>
      </c>
      <c r="F62" s="139">
        <v>536.16</v>
      </c>
      <c r="G62" s="139">
        <v>3.33</v>
      </c>
      <c r="H62" s="141">
        <v>21446.399999999998</v>
      </c>
      <c r="I62" s="141">
        <v>133.19999999999999</v>
      </c>
      <c r="J62" s="136" t="s">
        <v>128</v>
      </c>
      <c r="K62" s="136" t="s">
        <v>1134</v>
      </c>
      <c r="L62" s="136" t="s">
        <v>1135</v>
      </c>
    </row>
    <row r="63" spans="1:12" s="22" customFormat="1" ht="26.65" customHeight="1" x14ac:dyDescent="0.25">
      <c r="A63" s="126" t="s">
        <v>2683</v>
      </c>
      <c r="B63" s="142" t="s">
        <v>1147</v>
      </c>
      <c r="C63" s="140" t="s">
        <v>137</v>
      </c>
      <c r="D63" s="137" t="s">
        <v>133</v>
      </c>
      <c r="E63" s="138">
        <v>88</v>
      </c>
      <c r="F63" s="139">
        <v>682.49</v>
      </c>
      <c r="G63" s="139">
        <v>6.75</v>
      </c>
      <c r="H63" s="141">
        <v>60059.12</v>
      </c>
      <c r="I63" s="141">
        <v>594</v>
      </c>
      <c r="J63" s="136" t="s">
        <v>128</v>
      </c>
      <c r="K63" s="136" t="s">
        <v>1134</v>
      </c>
      <c r="L63" s="136" t="s">
        <v>1135</v>
      </c>
    </row>
    <row r="64" spans="1:12" s="22" customFormat="1" ht="26.65" customHeight="1" x14ac:dyDescent="0.25">
      <c r="A64" s="126" t="s">
        <v>2683</v>
      </c>
      <c r="B64" s="142" t="s">
        <v>1148</v>
      </c>
      <c r="C64" s="140" t="s">
        <v>141</v>
      </c>
      <c r="D64" s="137" t="s">
        <v>133</v>
      </c>
      <c r="E64" s="138">
        <v>60</v>
      </c>
      <c r="F64" s="139">
        <v>1386.34</v>
      </c>
      <c r="G64" s="139">
        <v>9.56</v>
      </c>
      <c r="H64" s="141">
        <v>83180.399999999994</v>
      </c>
      <c r="I64" s="141">
        <v>573.6</v>
      </c>
      <c r="J64" s="136" t="s">
        <v>128</v>
      </c>
      <c r="K64" s="136" t="s">
        <v>1134</v>
      </c>
      <c r="L64" s="136" t="s">
        <v>1135</v>
      </c>
    </row>
    <row r="65" spans="1:12" s="22" customFormat="1" ht="26.65" customHeight="1" x14ac:dyDescent="0.25">
      <c r="A65" s="126" t="s">
        <v>2683</v>
      </c>
      <c r="B65" s="142" t="s">
        <v>1149</v>
      </c>
      <c r="C65" s="140" t="s">
        <v>143</v>
      </c>
      <c r="D65" s="137" t="s">
        <v>133</v>
      </c>
      <c r="E65" s="138">
        <v>78</v>
      </c>
      <c r="F65" s="139">
        <v>1704.64</v>
      </c>
      <c r="G65" s="139">
        <v>23.14</v>
      </c>
      <c r="H65" s="141">
        <v>132961.92000000001</v>
      </c>
      <c r="I65" s="141">
        <v>1804.92</v>
      </c>
      <c r="J65" s="136" t="s">
        <v>128</v>
      </c>
      <c r="K65" s="136" t="s">
        <v>1134</v>
      </c>
      <c r="L65" s="136" t="s">
        <v>1135</v>
      </c>
    </row>
    <row r="66" spans="1:12" s="22" customFormat="1" ht="26.65" customHeight="1" x14ac:dyDescent="0.25">
      <c r="A66" s="126" t="s">
        <v>2683</v>
      </c>
      <c r="B66" s="142"/>
      <c r="C66" s="136" t="s">
        <v>1150</v>
      </c>
      <c r="D66" s="137"/>
      <c r="E66" s="138"/>
      <c r="F66" s="139"/>
      <c r="G66" s="139"/>
      <c r="H66" s="139"/>
      <c r="I66" s="139"/>
      <c r="J66" s="136" t="s">
        <v>128</v>
      </c>
      <c r="K66" s="136" t="s">
        <v>1134</v>
      </c>
      <c r="L66" s="126"/>
    </row>
    <row r="67" spans="1:12" s="22" customFormat="1" ht="26.65" customHeight="1" x14ac:dyDescent="0.25">
      <c r="A67" s="126" t="s">
        <v>2683</v>
      </c>
      <c r="B67" s="142" t="s">
        <v>1151</v>
      </c>
      <c r="C67" s="140" t="s">
        <v>1152</v>
      </c>
      <c r="D67" s="137" t="s">
        <v>133</v>
      </c>
      <c r="E67" s="138">
        <v>60</v>
      </c>
      <c r="F67" s="139">
        <v>1245.01</v>
      </c>
      <c r="G67" s="139">
        <v>7.6</v>
      </c>
      <c r="H67" s="141">
        <v>74700.600000000006</v>
      </c>
      <c r="I67" s="141">
        <v>456</v>
      </c>
      <c r="J67" s="136" t="s">
        <v>128</v>
      </c>
      <c r="K67" s="136" t="s">
        <v>1134</v>
      </c>
      <c r="L67" s="136" t="s">
        <v>1150</v>
      </c>
    </row>
    <row r="68" spans="1:12" s="22" customFormat="1" ht="26.65" customHeight="1" x14ac:dyDescent="0.25">
      <c r="A68" s="126" t="s">
        <v>2683</v>
      </c>
      <c r="B68" s="142" t="s">
        <v>1153</v>
      </c>
      <c r="C68" s="140" t="s">
        <v>161</v>
      </c>
      <c r="D68" s="137" t="s">
        <v>133</v>
      </c>
      <c r="E68" s="138">
        <v>30</v>
      </c>
      <c r="F68" s="139">
        <v>1825.58</v>
      </c>
      <c r="G68" s="139">
        <v>16.260000000000002</v>
      </c>
      <c r="H68" s="141">
        <v>54767.399999999994</v>
      </c>
      <c r="I68" s="141">
        <v>487.80000000000007</v>
      </c>
      <c r="J68" s="136" t="s">
        <v>128</v>
      </c>
      <c r="K68" s="136" t="s">
        <v>1134</v>
      </c>
      <c r="L68" s="136" t="s">
        <v>1150</v>
      </c>
    </row>
    <row r="69" spans="1:12" s="22" customFormat="1" ht="26.65" customHeight="1" x14ac:dyDescent="0.25">
      <c r="A69" s="126" t="s">
        <v>2683</v>
      </c>
      <c r="B69" s="142" t="s">
        <v>1154</v>
      </c>
      <c r="C69" s="140" t="s">
        <v>167</v>
      </c>
      <c r="D69" s="137" t="s">
        <v>133</v>
      </c>
      <c r="E69" s="138">
        <v>40</v>
      </c>
      <c r="F69" s="139">
        <v>2532.86</v>
      </c>
      <c r="G69" s="139">
        <v>26.96</v>
      </c>
      <c r="H69" s="141">
        <v>101314.40000000001</v>
      </c>
      <c r="I69" s="141">
        <v>1078.4000000000001</v>
      </c>
      <c r="J69" s="136" t="s">
        <v>128</v>
      </c>
      <c r="K69" s="136" t="s">
        <v>1134</v>
      </c>
      <c r="L69" s="136" t="s">
        <v>1150</v>
      </c>
    </row>
    <row r="70" spans="1:12" s="22" customFormat="1" ht="26.65" customHeight="1" x14ac:dyDescent="0.25">
      <c r="A70" s="126" t="s">
        <v>2683</v>
      </c>
      <c r="B70" s="142" t="s">
        <v>1155</v>
      </c>
      <c r="C70" s="140" t="s">
        <v>169</v>
      </c>
      <c r="D70" s="137" t="s">
        <v>133</v>
      </c>
      <c r="E70" s="138">
        <v>170</v>
      </c>
      <c r="F70" s="139">
        <v>2773.95</v>
      </c>
      <c r="G70" s="139">
        <v>40.53</v>
      </c>
      <c r="H70" s="141">
        <v>471571.49999999994</v>
      </c>
      <c r="I70" s="141">
        <v>6890.1</v>
      </c>
      <c r="J70" s="136" t="s">
        <v>128</v>
      </c>
      <c r="K70" s="136" t="s">
        <v>1134</v>
      </c>
      <c r="L70" s="136" t="s">
        <v>1150</v>
      </c>
    </row>
    <row r="71" spans="1:12" s="22" customFormat="1" ht="26.65" customHeight="1" x14ac:dyDescent="0.25">
      <c r="A71" s="126" t="s">
        <v>2683</v>
      </c>
      <c r="B71" s="142" t="s">
        <v>1156</v>
      </c>
      <c r="C71" s="140" t="s">
        <v>175</v>
      </c>
      <c r="D71" s="137" t="s">
        <v>133</v>
      </c>
      <c r="E71" s="138">
        <v>32</v>
      </c>
      <c r="F71" s="139">
        <v>2335.58</v>
      </c>
      <c r="G71" s="139">
        <v>70.55</v>
      </c>
      <c r="H71" s="141">
        <v>74738.559999999998</v>
      </c>
      <c r="I71" s="141">
        <v>2257.6</v>
      </c>
      <c r="J71" s="136" t="s">
        <v>128</v>
      </c>
      <c r="K71" s="136" t="s">
        <v>1134</v>
      </c>
      <c r="L71" s="136" t="s">
        <v>1150</v>
      </c>
    </row>
    <row r="72" spans="1:12" s="22" customFormat="1" ht="26.65" customHeight="1" x14ac:dyDescent="0.25">
      <c r="A72" s="126" t="s">
        <v>2683</v>
      </c>
      <c r="B72" s="142" t="s">
        <v>1157</v>
      </c>
      <c r="C72" s="140" t="s">
        <v>177</v>
      </c>
      <c r="D72" s="137" t="s">
        <v>133</v>
      </c>
      <c r="E72" s="138">
        <v>34</v>
      </c>
      <c r="F72" s="139">
        <v>3547.81</v>
      </c>
      <c r="G72" s="139">
        <v>93.03</v>
      </c>
      <c r="H72" s="141">
        <v>120625.54</v>
      </c>
      <c r="I72" s="141">
        <v>3163.02</v>
      </c>
      <c r="J72" s="136" t="s">
        <v>128</v>
      </c>
      <c r="K72" s="136" t="s">
        <v>1134</v>
      </c>
      <c r="L72" s="136" t="s">
        <v>1150</v>
      </c>
    </row>
    <row r="73" spans="1:12" s="22" customFormat="1" ht="26.65" customHeight="1" x14ac:dyDescent="0.25">
      <c r="A73" s="126" t="s">
        <v>2683</v>
      </c>
      <c r="B73" s="142" t="s">
        <v>1158</v>
      </c>
      <c r="C73" s="140" t="s">
        <v>183</v>
      </c>
      <c r="D73" s="137" t="s">
        <v>133</v>
      </c>
      <c r="E73" s="138">
        <v>74</v>
      </c>
      <c r="F73" s="139">
        <v>3645.13</v>
      </c>
      <c r="G73" s="139">
        <v>131.19</v>
      </c>
      <c r="H73" s="141">
        <v>269739.62</v>
      </c>
      <c r="I73" s="141">
        <v>9708.06</v>
      </c>
      <c r="J73" s="136" t="s">
        <v>128</v>
      </c>
      <c r="K73" s="136" t="s">
        <v>1134</v>
      </c>
      <c r="L73" s="136" t="s">
        <v>1150</v>
      </c>
    </row>
    <row r="74" spans="1:12" s="22" customFormat="1" ht="26.65" customHeight="1" x14ac:dyDescent="0.25">
      <c r="A74" s="126" t="s">
        <v>2683</v>
      </c>
      <c r="B74" s="142" t="s">
        <v>1159</v>
      </c>
      <c r="C74" s="140" t="s">
        <v>185</v>
      </c>
      <c r="D74" s="137" t="s">
        <v>133</v>
      </c>
      <c r="E74" s="138">
        <v>50</v>
      </c>
      <c r="F74" s="139">
        <v>4581.74</v>
      </c>
      <c r="G74" s="139">
        <v>196.34</v>
      </c>
      <c r="H74" s="141">
        <v>229087</v>
      </c>
      <c r="I74" s="141">
        <v>9817</v>
      </c>
      <c r="J74" s="136" t="s">
        <v>128</v>
      </c>
      <c r="K74" s="136" t="s">
        <v>1134</v>
      </c>
      <c r="L74" s="136" t="s">
        <v>1150</v>
      </c>
    </row>
    <row r="75" spans="1:12" s="22" customFormat="1" ht="26.65" customHeight="1" x14ac:dyDescent="0.25">
      <c r="A75" s="126" t="s">
        <v>2683</v>
      </c>
      <c r="B75" s="142" t="s">
        <v>1160</v>
      </c>
      <c r="C75" s="140" t="s">
        <v>191</v>
      </c>
      <c r="D75" s="137" t="s">
        <v>133</v>
      </c>
      <c r="E75" s="138">
        <v>40</v>
      </c>
      <c r="F75" s="139">
        <v>4314.5600000000004</v>
      </c>
      <c r="G75" s="139">
        <v>218.23</v>
      </c>
      <c r="H75" s="141">
        <v>172582.40000000002</v>
      </c>
      <c r="I75" s="141">
        <v>8729.1999999999989</v>
      </c>
      <c r="J75" s="136" t="s">
        <v>128</v>
      </c>
      <c r="K75" s="136" t="s">
        <v>1134</v>
      </c>
      <c r="L75" s="136" t="s">
        <v>1150</v>
      </c>
    </row>
    <row r="76" spans="1:12" s="22" customFormat="1" ht="26.65" customHeight="1" x14ac:dyDescent="0.25">
      <c r="A76" s="126" t="s">
        <v>2683</v>
      </c>
      <c r="B76" s="142"/>
      <c r="C76" s="136" t="s">
        <v>1161</v>
      </c>
      <c r="D76" s="137"/>
      <c r="E76" s="138"/>
      <c r="F76" s="139"/>
      <c r="G76" s="139"/>
      <c r="H76" s="139"/>
      <c r="I76" s="139"/>
      <c r="J76" s="136" t="s">
        <v>128</v>
      </c>
      <c r="K76" s="136" t="s">
        <v>1134</v>
      </c>
      <c r="L76" s="126"/>
    </row>
    <row r="77" spans="1:12" s="22" customFormat="1" ht="26.65" customHeight="1" x14ac:dyDescent="0.25">
      <c r="A77" s="126" t="s">
        <v>2683</v>
      </c>
      <c r="B77" s="142" t="s">
        <v>1162</v>
      </c>
      <c r="C77" s="140" t="s">
        <v>1163</v>
      </c>
      <c r="D77" s="137" t="s">
        <v>133</v>
      </c>
      <c r="E77" s="138">
        <v>30</v>
      </c>
      <c r="F77" s="139">
        <v>682.49</v>
      </c>
      <c r="G77" s="139">
        <v>11.5</v>
      </c>
      <c r="H77" s="141">
        <v>20474.7</v>
      </c>
      <c r="I77" s="141">
        <v>345</v>
      </c>
      <c r="J77" s="136" t="s">
        <v>128</v>
      </c>
      <c r="K77" s="136" t="s">
        <v>1134</v>
      </c>
      <c r="L77" s="136" t="s">
        <v>1161</v>
      </c>
    </row>
    <row r="78" spans="1:12" s="22" customFormat="1" ht="26.65" customHeight="1" x14ac:dyDescent="0.25">
      <c r="A78" s="126" t="s">
        <v>2683</v>
      </c>
      <c r="B78" s="142" t="s">
        <v>1164</v>
      </c>
      <c r="C78" s="140" t="s">
        <v>1165</v>
      </c>
      <c r="D78" s="137" t="s">
        <v>133</v>
      </c>
      <c r="E78" s="138">
        <v>60</v>
      </c>
      <c r="F78" s="139">
        <v>1386.34</v>
      </c>
      <c r="G78" s="139">
        <v>10.199999999999999</v>
      </c>
      <c r="H78" s="141">
        <v>83180.399999999994</v>
      </c>
      <c r="I78" s="141">
        <v>612</v>
      </c>
      <c r="J78" s="136" t="s">
        <v>128</v>
      </c>
      <c r="K78" s="136" t="s">
        <v>1134</v>
      </c>
      <c r="L78" s="136" t="s">
        <v>1161</v>
      </c>
    </row>
    <row r="79" spans="1:12" s="22" customFormat="1" ht="26.65" customHeight="1" x14ac:dyDescent="0.25">
      <c r="A79" s="126" t="s">
        <v>2683</v>
      </c>
      <c r="B79" s="142" t="s">
        <v>1166</v>
      </c>
      <c r="C79" s="140" t="s">
        <v>1167</v>
      </c>
      <c r="D79" s="137" t="s">
        <v>133</v>
      </c>
      <c r="E79" s="138">
        <v>60</v>
      </c>
      <c r="F79" s="139">
        <v>1704.64</v>
      </c>
      <c r="G79" s="139">
        <v>18.61</v>
      </c>
      <c r="H79" s="141">
        <v>102278.40000000001</v>
      </c>
      <c r="I79" s="141">
        <v>1116.5999999999999</v>
      </c>
      <c r="J79" s="136" t="s">
        <v>128</v>
      </c>
      <c r="K79" s="136" t="s">
        <v>1134</v>
      </c>
      <c r="L79" s="136" t="s">
        <v>1161</v>
      </c>
    </row>
    <row r="80" spans="1:12" s="22" customFormat="1" ht="26.65" customHeight="1" x14ac:dyDescent="0.25">
      <c r="A80" s="126" t="s">
        <v>2683</v>
      </c>
      <c r="B80" s="142"/>
      <c r="C80" s="136" t="s">
        <v>1168</v>
      </c>
      <c r="D80" s="137"/>
      <c r="E80" s="138"/>
      <c r="F80" s="139"/>
      <c r="G80" s="139"/>
      <c r="H80" s="139"/>
      <c r="I80" s="139"/>
      <c r="J80" s="136" t="s">
        <v>128</v>
      </c>
      <c r="K80" s="136" t="s">
        <v>1134</v>
      </c>
      <c r="L80" s="126"/>
    </row>
    <row r="81" spans="1:12" s="22" customFormat="1" ht="26.65" customHeight="1" x14ac:dyDescent="0.25">
      <c r="A81" s="126" t="s">
        <v>2683</v>
      </c>
      <c r="B81" s="142" t="s">
        <v>1169</v>
      </c>
      <c r="C81" s="140" t="s">
        <v>1170</v>
      </c>
      <c r="D81" s="137" t="s">
        <v>133</v>
      </c>
      <c r="E81" s="138">
        <v>58</v>
      </c>
      <c r="F81" s="139">
        <v>1422.5</v>
      </c>
      <c r="G81" s="139">
        <v>25.45</v>
      </c>
      <c r="H81" s="141">
        <v>82505</v>
      </c>
      <c r="I81" s="141">
        <v>1476.1</v>
      </c>
      <c r="J81" s="136" t="s">
        <v>128</v>
      </c>
      <c r="K81" s="136" t="s">
        <v>1134</v>
      </c>
      <c r="L81" s="136" t="s">
        <v>1168</v>
      </c>
    </row>
    <row r="82" spans="1:12" s="22" customFormat="1" ht="26.65" customHeight="1" x14ac:dyDescent="0.25">
      <c r="A82" s="126" t="s">
        <v>2683</v>
      </c>
      <c r="B82" s="142" t="s">
        <v>1171</v>
      </c>
      <c r="C82" s="140" t="s">
        <v>1172</v>
      </c>
      <c r="D82" s="137" t="s">
        <v>133</v>
      </c>
      <c r="E82" s="138">
        <v>50</v>
      </c>
      <c r="F82" s="139">
        <v>1607.31</v>
      </c>
      <c r="G82" s="139">
        <v>46.4</v>
      </c>
      <c r="H82" s="141">
        <v>80365.5</v>
      </c>
      <c r="I82" s="141">
        <v>2320</v>
      </c>
      <c r="J82" s="136" t="s">
        <v>128</v>
      </c>
      <c r="K82" s="136" t="s">
        <v>1134</v>
      </c>
      <c r="L82" s="136" t="s">
        <v>1168</v>
      </c>
    </row>
    <row r="83" spans="1:12" s="22" customFormat="1" ht="26.65" customHeight="1" x14ac:dyDescent="0.25">
      <c r="A83" s="126" t="s">
        <v>2683</v>
      </c>
      <c r="B83" s="142" t="s">
        <v>1173</v>
      </c>
      <c r="C83" s="140" t="s">
        <v>1174</v>
      </c>
      <c r="D83" s="137" t="s">
        <v>133</v>
      </c>
      <c r="E83" s="138">
        <v>56</v>
      </c>
      <c r="F83" s="139">
        <v>1902.85</v>
      </c>
      <c r="G83" s="139">
        <v>43.68</v>
      </c>
      <c r="H83" s="141">
        <v>106559.59999999999</v>
      </c>
      <c r="I83" s="141">
        <v>2446.08</v>
      </c>
      <c r="J83" s="136" t="s">
        <v>128</v>
      </c>
      <c r="K83" s="136" t="s">
        <v>1134</v>
      </c>
      <c r="L83" s="136" t="s">
        <v>1168</v>
      </c>
    </row>
    <row r="84" spans="1:12" s="22" customFormat="1" ht="26.65" customHeight="1" x14ac:dyDescent="0.25">
      <c r="A84" s="126" t="s">
        <v>2683</v>
      </c>
      <c r="B84" s="142" t="s">
        <v>1175</v>
      </c>
      <c r="C84" s="140" t="s">
        <v>1176</v>
      </c>
      <c r="D84" s="137" t="s">
        <v>133</v>
      </c>
      <c r="E84" s="138">
        <v>86</v>
      </c>
      <c r="F84" s="139">
        <v>1944.85</v>
      </c>
      <c r="G84" s="139">
        <v>66.5</v>
      </c>
      <c r="H84" s="141">
        <v>167257.1</v>
      </c>
      <c r="I84" s="141">
        <v>5719</v>
      </c>
      <c r="J84" s="136" t="s">
        <v>128</v>
      </c>
      <c r="K84" s="136" t="s">
        <v>1134</v>
      </c>
      <c r="L84" s="136" t="s">
        <v>1168</v>
      </c>
    </row>
    <row r="85" spans="1:12" s="22" customFormat="1" ht="26.65" customHeight="1" x14ac:dyDescent="0.25">
      <c r="A85" s="126" t="s">
        <v>2683</v>
      </c>
      <c r="B85" s="142" t="s">
        <v>1177</v>
      </c>
      <c r="C85" s="140" t="s">
        <v>1178</v>
      </c>
      <c r="D85" s="137" t="s">
        <v>133</v>
      </c>
      <c r="E85" s="138">
        <v>50</v>
      </c>
      <c r="F85" s="139">
        <v>1133.8800000000001</v>
      </c>
      <c r="G85" s="139">
        <v>69.28</v>
      </c>
      <c r="H85" s="141">
        <v>56694.000000000007</v>
      </c>
      <c r="I85" s="141">
        <v>3464</v>
      </c>
      <c r="J85" s="136" t="s">
        <v>128</v>
      </c>
      <c r="K85" s="136" t="s">
        <v>1134</v>
      </c>
      <c r="L85" s="136" t="s">
        <v>1168</v>
      </c>
    </row>
    <row r="86" spans="1:12" s="22" customFormat="1" ht="26.65" customHeight="1" x14ac:dyDescent="0.25">
      <c r="A86" s="126" t="s">
        <v>2683</v>
      </c>
      <c r="B86" s="142" t="s">
        <v>1179</v>
      </c>
      <c r="C86" s="140" t="s">
        <v>1180</v>
      </c>
      <c r="D86" s="137" t="s">
        <v>133</v>
      </c>
      <c r="E86" s="138">
        <v>60</v>
      </c>
      <c r="F86" s="139">
        <v>1871.66</v>
      </c>
      <c r="G86" s="139">
        <v>108.44</v>
      </c>
      <c r="H86" s="141">
        <v>112299.6</v>
      </c>
      <c r="I86" s="141">
        <v>6506.4</v>
      </c>
      <c r="J86" s="136" t="s">
        <v>128</v>
      </c>
      <c r="K86" s="136" t="s">
        <v>1134</v>
      </c>
      <c r="L86" s="136" t="s">
        <v>1168</v>
      </c>
    </row>
    <row r="87" spans="1:12" s="22" customFormat="1" ht="26.65" customHeight="1" x14ac:dyDescent="0.25">
      <c r="A87" s="126" t="s">
        <v>2683</v>
      </c>
      <c r="B87" s="142" t="s">
        <v>1181</v>
      </c>
      <c r="C87" s="140" t="s">
        <v>1182</v>
      </c>
      <c r="D87" s="137" t="s">
        <v>133</v>
      </c>
      <c r="E87" s="138">
        <v>56</v>
      </c>
      <c r="F87" s="139">
        <v>1133.8800000000001</v>
      </c>
      <c r="G87" s="139">
        <v>69.28</v>
      </c>
      <c r="H87" s="141">
        <v>63497.280000000006</v>
      </c>
      <c r="I87" s="141">
        <v>3879.6800000000003</v>
      </c>
      <c r="J87" s="136" t="s">
        <v>128</v>
      </c>
      <c r="K87" s="136" t="s">
        <v>1134</v>
      </c>
      <c r="L87" s="136" t="s">
        <v>1168</v>
      </c>
    </row>
    <row r="88" spans="1:12" s="22" customFormat="1" ht="26.65" customHeight="1" x14ac:dyDescent="0.25">
      <c r="A88" s="126" t="s">
        <v>2683</v>
      </c>
      <c r="B88" s="142" t="s">
        <v>1183</v>
      </c>
      <c r="C88" s="140" t="s">
        <v>1184</v>
      </c>
      <c r="D88" s="137" t="s">
        <v>133</v>
      </c>
      <c r="E88" s="138">
        <v>44</v>
      </c>
      <c r="F88" s="139">
        <v>1899.4</v>
      </c>
      <c r="G88" s="139">
        <v>134.19999999999999</v>
      </c>
      <c r="H88" s="141">
        <v>83573.600000000006</v>
      </c>
      <c r="I88" s="141">
        <v>5904.7999999999993</v>
      </c>
      <c r="J88" s="136" t="s">
        <v>128</v>
      </c>
      <c r="K88" s="136" t="s">
        <v>1134</v>
      </c>
      <c r="L88" s="136" t="s">
        <v>1168</v>
      </c>
    </row>
    <row r="89" spans="1:12" s="22" customFormat="1" ht="26.65" customHeight="1" x14ac:dyDescent="0.25">
      <c r="A89" s="126" t="s">
        <v>2683</v>
      </c>
      <c r="B89" s="142" t="s">
        <v>1185</v>
      </c>
      <c r="C89" s="140" t="s">
        <v>1186</v>
      </c>
      <c r="D89" s="137" t="s">
        <v>133</v>
      </c>
      <c r="E89" s="138">
        <v>44</v>
      </c>
      <c r="F89" s="139">
        <v>2376.29</v>
      </c>
      <c r="G89" s="139">
        <v>143.03</v>
      </c>
      <c r="H89" s="141">
        <v>104556.76</v>
      </c>
      <c r="I89" s="141">
        <v>6293.32</v>
      </c>
      <c r="J89" s="136" t="s">
        <v>128</v>
      </c>
      <c r="K89" s="136" t="s">
        <v>1134</v>
      </c>
      <c r="L89" s="136" t="s">
        <v>1168</v>
      </c>
    </row>
    <row r="90" spans="1:12" s="22" customFormat="1" ht="26.65" customHeight="1" x14ac:dyDescent="0.25">
      <c r="A90" s="126" t="s">
        <v>2683</v>
      </c>
      <c r="B90" s="142" t="s">
        <v>1187</v>
      </c>
      <c r="C90" s="140" t="s">
        <v>1188</v>
      </c>
      <c r="D90" s="137" t="s">
        <v>133</v>
      </c>
      <c r="E90" s="138">
        <v>44</v>
      </c>
      <c r="F90" s="139">
        <v>2249.34</v>
      </c>
      <c r="G90" s="139">
        <v>143.47999999999999</v>
      </c>
      <c r="H90" s="141">
        <v>98970.96</v>
      </c>
      <c r="I90" s="141">
        <v>6313.12</v>
      </c>
      <c r="J90" s="136" t="s">
        <v>128</v>
      </c>
      <c r="K90" s="136" t="s">
        <v>1134</v>
      </c>
      <c r="L90" s="136" t="s">
        <v>1168</v>
      </c>
    </row>
    <row r="91" spans="1:12" s="22" customFormat="1" ht="26.65" customHeight="1" x14ac:dyDescent="0.25">
      <c r="A91" s="126" t="s">
        <v>2683</v>
      </c>
      <c r="B91" s="142" t="s">
        <v>1189</v>
      </c>
      <c r="C91" s="140" t="s">
        <v>1190</v>
      </c>
      <c r="D91" s="137" t="s">
        <v>133</v>
      </c>
      <c r="E91" s="138">
        <v>44</v>
      </c>
      <c r="F91" s="139">
        <v>2959.9</v>
      </c>
      <c r="G91" s="139">
        <v>195.15</v>
      </c>
      <c r="H91" s="141">
        <v>130235.6</v>
      </c>
      <c r="I91" s="141">
        <v>8586.6</v>
      </c>
      <c r="J91" s="136" t="s">
        <v>128</v>
      </c>
      <c r="K91" s="136" t="s">
        <v>1134</v>
      </c>
      <c r="L91" s="136" t="s">
        <v>1168</v>
      </c>
    </row>
    <row r="92" spans="1:12" s="22" customFormat="1" ht="26.65" customHeight="1" x14ac:dyDescent="0.25">
      <c r="A92" s="126" t="s">
        <v>2683</v>
      </c>
      <c r="B92" s="142" t="s">
        <v>1191</v>
      </c>
      <c r="C92" s="140" t="s">
        <v>1192</v>
      </c>
      <c r="D92" s="137" t="s">
        <v>133</v>
      </c>
      <c r="E92" s="138">
        <v>40</v>
      </c>
      <c r="F92" s="139">
        <v>3603.85</v>
      </c>
      <c r="G92" s="139">
        <v>212.88</v>
      </c>
      <c r="H92" s="141">
        <v>144154</v>
      </c>
      <c r="I92" s="141">
        <v>8515.2000000000007</v>
      </c>
      <c r="J92" s="136" t="s">
        <v>128</v>
      </c>
      <c r="K92" s="136" t="s">
        <v>1134</v>
      </c>
      <c r="L92" s="136" t="s">
        <v>1168</v>
      </c>
    </row>
    <row r="93" spans="1:12" s="22" customFormat="1" ht="26.65" customHeight="1" x14ac:dyDescent="0.25">
      <c r="A93" s="126" t="s">
        <v>2683</v>
      </c>
      <c r="B93" s="142"/>
      <c r="C93" s="136" t="s">
        <v>1193</v>
      </c>
      <c r="D93" s="137"/>
      <c r="E93" s="138"/>
      <c r="F93" s="139"/>
      <c r="G93" s="139"/>
      <c r="H93" s="139"/>
      <c r="I93" s="139"/>
      <c r="J93" s="136" t="s">
        <v>128</v>
      </c>
      <c r="K93" s="136" t="s">
        <v>1134</v>
      </c>
      <c r="L93" s="126"/>
    </row>
    <row r="94" spans="1:12" s="22" customFormat="1" ht="26.65" customHeight="1" x14ac:dyDescent="0.25">
      <c r="A94" s="126" t="s">
        <v>2683</v>
      </c>
      <c r="B94" s="142" t="s">
        <v>1194</v>
      </c>
      <c r="C94" s="140" t="s">
        <v>299</v>
      </c>
      <c r="D94" s="137" t="s">
        <v>133</v>
      </c>
      <c r="E94" s="138">
        <v>100</v>
      </c>
      <c r="F94" s="139">
        <v>5708.93</v>
      </c>
      <c r="G94" s="139">
        <v>46.26</v>
      </c>
      <c r="H94" s="141">
        <v>570893</v>
      </c>
      <c r="I94" s="141">
        <v>4626</v>
      </c>
      <c r="J94" s="136" t="s">
        <v>128</v>
      </c>
      <c r="K94" s="136" t="s">
        <v>1134</v>
      </c>
      <c r="L94" s="136" t="s">
        <v>1193</v>
      </c>
    </row>
    <row r="95" spans="1:12" s="22" customFormat="1" ht="26.65" customHeight="1" x14ac:dyDescent="0.25">
      <c r="A95" s="126" t="s">
        <v>2683</v>
      </c>
      <c r="B95" s="142" t="s">
        <v>1195</v>
      </c>
      <c r="C95" s="140" t="s">
        <v>301</v>
      </c>
      <c r="D95" s="137" t="s">
        <v>133</v>
      </c>
      <c r="E95" s="138">
        <v>100</v>
      </c>
      <c r="F95" s="139">
        <v>5834.93</v>
      </c>
      <c r="G95" s="139">
        <v>82.64</v>
      </c>
      <c r="H95" s="141">
        <v>583493</v>
      </c>
      <c r="I95" s="141">
        <v>8264</v>
      </c>
      <c r="J95" s="136" t="s">
        <v>128</v>
      </c>
      <c r="K95" s="136" t="s">
        <v>1134</v>
      </c>
      <c r="L95" s="136" t="s">
        <v>1193</v>
      </c>
    </row>
    <row r="96" spans="1:12" s="22" customFormat="1" ht="26.65" customHeight="1" x14ac:dyDescent="0.25">
      <c r="A96" s="126" t="s">
        <v>2683</v>
      </c>
      <c r="B96" s="142" t="s">
        <v>1196</v>
      </c>
      <c r="C96" s="140" t="s">
        <v>305</v>
      </c>
      <c r="D96" s="137" t="s">
        <v>133</v>
      </c>
      <c r="E96" s="138">
        <v>90</v>
      </c>
      <c r="F96" s="139">
        <v>6517.69</v>
      </c>
      <c r="G96" s="139">
        <v>98.51</v>
      </c>
      <c r="H96" s="141">
        <v>586592.1</v>
      </c>
      <c r="I96" s="141">
        <v>8865.9</v>
      </c>
      <c r="J96" s="136" t="s">
        <v>128</v>
      </c>
      <c r="K96" s="136" t="s">
        <v>1134</v>
      </c>
      <c r="L96" s="136" t="s">
        <v>1193</v>
      </c>
    </row>
    <row r="97" spans="1:12" s="22" customFormat="1" ht="26.65" customHeight="1" x14ac:dyDescent="0.25">
      <c r="A97" s="126" t="s">
        <v>2683</v>
      </c>
      <c r="B97" s="142" t="s">
        <v>1197</v>
      </c>
      <c r="C97" s="140" t="s">
        <v>307</v>
      </c>
      <c r="D97" s="137" t="s">
        <v>133</v>
      </c>
      <c r="E97" s="138">
        <v>90</v>
      </c>
      <c r="F97" s="139">
        <v>4078.88</v>
      </c>
      <c r="G97" s="139">
        <v>115.31</v>
      </c>
      <c r="H97" s="141">
        <v>367099.2</v>
      </c>
      <c r="I97" s="141">
        <v>10377.9</v>
      </c>
      <c r="J97" s="136" t="s">
        <v>128</v>
      </c>
      <c r="K97" s="136" t="s">
        <v>1134</v>
      </c>
      <c r="L97" s="136" t="s">
        <v>1193</v>
      </c>
    </row>
    <row r="98" spans="1:12" s="22" customFormat="1" ht="26.65" customHeight="1" x14ac:dyDescent="0.25">
      <c r="A98" s="126" t="s">
        <v>2683</v>
      </c>
      <c r="B98" s="142" t="s">
        <v>1198</v>
      </c>
      <c r="C98" s="140" t="s">
        <v>1199</v>
      </c>
      <c r="D98" s="137" t="s">
        <v>133</v>
      </c>
      <c r="E98" s="138">
        <v>90</v>
      </c>
      <c r="F98" s="139">
        <v>12958.09</v>
      </c>
      <c r="G98" s="139">
        <v>267.73</v>
      </c>
      <c r="H98" s="141">
        <v>1166228.1000000001</v>
      </c>
      <c r="I98" s="141">
        <v>24095.7</v>
      </c>
      <c r="J98" s="136" t="s">
        <v>128</v>
      </c>
      <c r="K98" s="136" t="s">
        <v>1134</v>
      </c>
      <c r="L98" s="136" t="s">
        <v>1193</v>
      </c>
    </row>
    <row r="99" spans="1:12" s="22" customFormat="1" ht="26.65" customHeight="1" x14ac:dyDescent="0.25">
      <c r="A99" s="126" t="s">
        <v>2683</v>
      </c>
      <c r="B99" s="142"/>
      <c r="C99" s="136" t="s">
        <v>1200</v>
      </c>
      <c r="D99" s="137"/>
      <c r="E99" s="138"/>
      <c r="F99" s="139"/>
      <c r="G99" s="139"/>
      <c r="H99" s="139"/>
      <c r="I99" s="139"/>
      <c r="J99" s="136" t="s">
        <v>128</v>
      </c>
      <c r="K99" s="136" t="s">
        <v>1134</v>
      </c>
      <c r="L99" s="126"/>
    </row>
    <row r="100" spans="1:12" s="22" customFormat="1" ht="26.65" customHeight="1" x14ac:dyDescent="0.25">
      <c r="A100" s="126" t="s">
        <v>2683</v>
      </c>
      <c r="B100" s="142" t="s">
        <v>1201</v>
      </c>
      <c r="C100" s="140" t="s">
        <v>1202</v>
      </c>
      <c r="D100" s="137" t="s">
        <v>133</v>
      </c>
      <c r="E100" s="138">
        <v>80</v>
      </c>
      <c r="F100" s="139">
        <v>5520.18</v>
      </c>
      <c r="G100" s="139">
        <v>217.66</v>
      </c>
      <c r="H100" s="141">
        <v>441614.4</v>
      </c>
      <c r="I100" s="141">
        <v>17412.8</v>
      </c>
      <c r="J100" s="136" t="s">
        <v>128</v>
      </c>
      <c r="K100" s="136" t="s">
        <v>1134</v>
      </c>
      <c r="L100" s="136" t="s">
        <v>1200</v>
      </c>
    </row>
    <row r="101" spans="1:12" s="22" customFormat="1" ht="26.65" customHeight="1" x14ac:dyDescent="0.25">
      <c r="A101" s="126" t="s">
        <v>2683</v>
      </c>
      <c r="B101" s="142" t="s">
        <v>1203</v>
      </c>
      <c r="C101" s="140" t="s">
        <v>1204</v>
      </c>
      <c r="D101" s="137" t="s">
        <v>133</v>
      </c>
      <c r="E101" s="138">
        <v>70</v>
      </c>
      <c r="F101" s="139">
        <v>6213.55</v>
      </c>
      <c r="G101" s="139">
        <v>215.21</v>
      </c>
      <c r="H101" s="141">
        <v>434948.5</v>
      </c>
      <c r="I101" s="141">
        <v>15064.7</v>
      </c>
      <c r="J101" s="136" t="s">
        <v>128</v>
      </c>
      <c r="K101" s="136" t="s">
        <v>1134</v>
      </c>
      <c r="L101" s="136" t="s">
        <v>1200</v>
      </c>
    </row>
    <row r="102" spans="1:12" s="22" customFormat="1" ht="26.65" customHeight="1" x14ac:dyDescent="0.25">
      <c r="A102" s="126" t="s">
        <v>2683</v>
      </c>
      <c r="B102" s="142" t="s">
        <v>1205</v>
      </c>
      <c r="C102" s="140" t="s">
        <v>1206</v>
      </c>
      <c r="D102" s="137" t="s">
        <v>133</v>
      </c>
      <c r="E102" s="138">
        <v>66</v>
      </c>
      <c r="F102" s="139">
        <v>4938.1899999999996</v>
      </c>
      <c r="G102" s="139">
        <v>179.85</v>
      </c>
      <c r="H102" s="141">
        <v>325920.53999999998</v>
      </c>
      <c r="I102" s="141">
        <v>11870.1</v>
      </c>
      <c r="J102" s="136" t="s">
        <v>128</v>
      </c>
      <c r="K102" s="136" t="s">
        <v>1134</v>
      </c>
      <c r="L102" s="136" t="s">
        <v>1200</v>
      </c>
    </row>
    <row r="103" spans="1:12" s="22" customFormat="1" ht="26.65" customHeight="1" x14ac:dyDescent="0.25">
      <c r="A103" s="126" t="s">
        <v>2683</v>
      </c>
      <c r="B103" s="142" t="s">
        <v>1207</v>
      </c>
      <c r="C103" s="140" t="s">
        <v>339</v>
      </c>
      <c r="D103" s="137" t="s">
        <v>133</v>
      </c>
      <c r="E103" s="138">
        <v>60</v>
      </c>
      <c r="F103" s="139">
        <v>5959.68</v>
      </c>
      <c r="G103" s="139">
        <v>248.75</v>
      </c>
      <c r="H103" s="141">
        <v>357580.80000000005</v>
      </c>
      <c r="I103" s="141">
        <v>14925</v>
      </c>
      <c r="J103" s="136" t="s">
        <v>128</v>
      </c>
      <c r="K103" s="136" t="s">
        <v>1134</v>
      </c>
      <c r="L103" s="136" t="s">
        <v>1200</v>
      </c>
    </row>
    <row r="104" spans="1:12" s="22" customFormat="1" ht="26.65" customHeight="1" x14ac:dyDescent="0.25">
      <c r="A104" s="126" t="s">
        <v>2683</v>
      </c>
      <c r="B104" s="142"/>
      <c r="C104" s="136" t="s">
        <v>1208</v>
      </c>
      <c r="D104" s="137"/>
      <c r="E104" s="138"/>
      <c r="F104" s="139"/>
      <c r="G104" s="139"/>
      <c r="H104" s="139"/>
      <c r="I104" s="139"/>
      <c r="J104" s="136" t="s">
        <v>128</v>
      </c>
      <c r="K104" s="136" t="s">
        <v>1134</v>
      </c>
      <c r="L104" s="126"/>
    </row>
    <row r="105" spans="1:12" s="22" customFormat="1" ht="26.65" customHeight="1" x14ac:dyDescent="0.25">
      <c r="A105" s="126" t="s">
        <v>2683</v>
      </c>
      <c r="B105" s="142" t="s">
        <v>1209</v>
      </c>
      <c r="C105" s="140" t="s">
        <v>1210</v>
      </c>
      <c r="D105" s="137" t="s">
        <v>133</v>
      </c>
      <c r="E105" s="138">
        <v>76</v>
      </c>
      <c r="F105" s="139">
        <v>3073.73</v>
      </c>
      <c r="G105" s="139">
        <v>22.39</v>
      </c>
      <c r="H105" s="141">
        <v>233603.48</v>
      </c>
      <c r="I105" s="141">
        <v>1701.64</v>
      </c>
      <c r="J105" s="136" t="s">
        <v>128</v>
      </c>
      <c r="K105" s="136" t="s">
        <v>1134</v>
      </c>
      <c r="L105" s="136" t="s">
        <v>1208</v>
      </c>
    </row>
    <row r="106" spans="1:12" s="22" customFormat="1" ht="26.65" customHeight="1" x14ac:dyDescent="0.25">
      <c r="A106" s="126" t="s">
        <v>2683</v>
      </c>
      <c r="B106" s="143" t="s">
        <v>1211</v>
      </c>
      <c r="C106" s="140" t="s">
        <v>1212</v>
      </c>
      <c r="D106" s="137" t="s">
        <v>133</v>
      </c>
      <c r="E106" s="138">
        <v>68</v>
      </c>
      <c r="F106" s="139">
        <v>3333.14</v>
      </c>
      <c r="G106" s="139">
        <v>22.83</v>
      </c>
      <c r="H106" s="141">
        <v>226653.52</v>
      </c>
      <c r="I106" s="141">
        <v>1552.4399999999998</v>
      </c>
      <c r="J106" s="136" t="s">
        <v>128</v>
      </c>
      <c r="K106" s="136" t="s">
        <v>1134</v>
      </c>
      <c r="L106" s="136" t="s">
        <v>1208</v>
      </c>
    </row>
    <row r="107" spans="1:12" s="22" customFormat="1" ht="26.65" customHeight="1" x14ac:dyDescent="0.25">
      <c r="A107" s="126" t="s">
        <v>2683</v>
      </c>
      <c r="B107" s="143" t="s">
        <v>1213</v>
      </c>
      <c r="C107" s="140" t="s">
        <v>1214</v>
      </c>
      <c r="D107" s="137" t="s">
        <v>133</v>
      </c>
      <c r="E107" s="138">
        <v>60</v>
      </c>
      <c r="F107" s="139">
        <v>2665.39</v>
      </c>
      <c r="G107" s="139">
        <v>30.06</v>
      </c>
      <c r="H107" s="141">
        <v>159923.4</v>
      </c>
      <c r="I107" s="141">
        <v>1803.6</v>
      </c>
      <c r="J107" s="136" t="s">
        <v>128</v>
      </c>
      <c r="K107" s="136" t="s">
        <v>1134</v>
      </c>
      <c r="L107" s="136" t="s">
        <v>1208</v>
      </c>
    </row>
    <row r="108" spans="1:12" s="22" customFormat="1" ht="26.65" customHeight="1" x14ac:dyDescent="0.25">
      <c r="A108" s="126" t="s">
        <v>2683</v>
      </c>
      <c r="B108" s="143" t="s">
        <v>1215</v>
      </c>
      <c r="C108" s="140" t="s">
        <v>1216</v>
      </c>
      <c r="D108" s="137" t="s">
        <v>133</v>
      </c>
      <c r="E108" s="138">
        <v>60</v>
      </c>
      <c r="F108" s="139">
        <v>3075.93</v>
      </c>
      <c r="G108" s="139">
        <v>99.5</v>
      </c>
      <c r="H108" s="141">
        <v>184555.8</v>
      </c>
      <c r="I108" s="141">
        <v>5970</v>
      </c>
      <c r="J108" s="136" t="s">
        <v>128</v>
      </c>
      <c r="K108" s="136" t="s">
        <v>1134</v>
      </c>
      <c r="L108" s="136" t="s">
        <v>1208</v>
      </c>
    </row>
    <row r="109" spans="1:12" s="22" customFormat="1" ht="26.65" customHeight="1" x14ac:dyDescent="0.25">
      <c r="A109" s="126" t="s">
        <v>2683</v>
      </c>
      <c r="B109" s="143" t="s">
        <v>1217</v>
      </c>
      <c r="C109" s="140" t="s">
        <v>381</v>
      </c>
      <c r="D109" s="137" t="s">
        <v>133</v>
      </c>
      <c r="E109" s="138">
        <v>56</v>
      </c>
      <c r="F109" s="139">
        <v>2558.5</v>
      </c>
      <c r="G109" s="139">
        <v>50.59</v>
      </c>
      <c r="H109" s="141">
        <v>143276</v>
      </c>
      <c r="I109" s="141">
        <v>2833.04</v>
      </c>
      <c r="J109" s="136" t="s">
        <v>128</v>
      </c>
      <c r="K109" s="136" t="s">
        <v>1134</v>
      </c>
      <c r="L109" s="136" t="s">
        <v>1208</v>
      </c>
    </row>
    <row r="110" spans="1:12" s="22" customFormat="1" ht="26.65" customHeight="1" x14ac:dyDescent="0.25">
      <c r="A110" s="126" t="s">
        <v>2683</v>
      </c>
      <c r="B110" s="143" t="s">
        <v>1218</v>
      </c>
      <c r="C110" s="140" t="s">
        <v>385</v>
      </c>
      <c r="D110" s="137" t="s">
        <v>133</v>
      </c>
      <c r="E110" s="138">
        <v>40</v>
      </c>
      <c r="F110" s="139">
        <v>3332.8</v>
      </c>
      <c r="G110" s="139">
        <v>79.760000000000005</v>
      </c>
      <c r="H110" s="141">
        <v>133312</v>
      </c>
      <c r="I110" s="141">
        <v>3190.4</v>
      </c>
      <c r="J110" s="136" t="s">
        <v>128</v>
      </c>
      <c r="K110" s="136" t="s">
        <v>1134</v>
      </c>
      <c r="L110" s="136" t="s">
        <v>1208</v>
      </c>
    </row>
    <row r="111" spans="1:12" s="22" customFormat="1" ht="26.65" customHeight="1" x14ac:dyDescent="0.25">
      <c r="A111" s="126" t="s">
        <v>2683</v>
      </c>
      <c r="B111" s="143" t="s">
        <v>1219</v>
      </c>
      <c r="C111" s="140" t="s">
        <v>1220</v>
      </c>
      <c r="D111" s="137" t="s">
        <v>133</v>
      </c>
      <c r="E111" s="138">
        <v>60</v>
      </c>
      <c r="F111" s="139">
        <v>3515.84</v>
      </c>
      <c r="G111" s="139">
        <v>111.94</v>
      </c>
      <c r="H111" s="141">
        <v>210950.40000000002</v>
      </c>
      <c r="I111" s="141">
        <v>6716.4</v>
      </c>
      <c r="J111" s="136" t="s">
        <v>128</v>
      </c>
      <c r="K111" s="136" t="s">
        <v>1134</v>
      </c>
      <c r="L111" s="136" t="s">
        <v>1208</v>
      </c>
    </row>
    <row r="112" spans="1:12" s="22" customFormat="1" ht="26.65" customHeight="1" x14ac:dyDescent="0.25">
      <c r="A112" s="126" t="s">
        <v>2683</v>
      </c>
      <c r="B112" s="143" t="s">
        <v>1221</v>
      </c>
      <c r="C112" s="140" t="s">
        <v>1222</v>
      </c>
      <c r="D112" s="137" t="s">
        <v>133</v>
      </c>
      <c r="E112" s="138">
        <v>48</v>
      </c>
      <c r="F112" s="139">
        <v>4420.88</v>
      </c>
      <c r="G112" s="139">
        <v>115.36</v>
      </c>
      <c r="H112" s="141">
        <v>212202.23999999999</v>
      </c>
      <c r="I112" s="141">
        <v>5537.28</v>
      </c>
      <c r="J112" s="136" t="s">
        <v>128</v>
      </c>
      <c r="K112" s="136" t="s">
        <v>1134</v>
      </c>
      <c r="L112" s="136" t="s">
        <v>1208</v>
      </c>
    </row>
    <row r="113" spans="1:12" s="22" customFormat="1" ht="26.65" customHeight="1" x14ac:dyDescent="0.25">
      <c r="A113" s="126" t="s">
        <v>2683</v>
      </c>
      <c r="B113" s="143"/>
      <c r="C113" s="136" t="s">
        <v>1223</v>
      </c>
      <c r="D113" s="137"/>
      <c r="E113" s="138"/>
      <c r="F113" s="139"/>
      <c r="G113" s="139"/>
      <c r="H113" s="139"/>
      <c r="I113" s="139"/>
      <c r="J113" s="136" t="s">
        <v>128</v>
      </c>
      <c r="K113" s="136" t="s">
        <v>1134</v>
      </c>
      <c r="L113" s="126"/>
    </row>
    <row r="114" spans="1:12" s="22" customFormat="1" ht="26.65" customHeight="1" x14ac:dyDescent="0.25">
      <c r="A114" s="126" t="s">
        <v>2683</v>
      </c>
      <c r="B114" s="143" t="s">
        <v>1224</v>
      </c>
      <c r="C114" s="140" t="s">
        <v>1225</v>
      </c>
      <c r="D114" s="137" t="s">
        <v>133</v>
      </c>
      <c r="E114" s="138">
        <v>60</v>
      </c>
      <c r="F114" s="139">
        <v>1902.85</v>
      </c>
      <c r="G114" s="139">
        <v>186.56</v>
      </c>
      <c r="H114" s="141">
        <v>114171</v>
      </c>
      <c r="I114" s="141">
        <v>11193.6</v>
      </c>
      <c r="J114" s="136" t="s">
        <v>128</v>
      </c>
      <c r="K114" s="136" t="s">
        <v>1134</v>
      </c>
      <c r="L114" s="136" t="s">
        <v>1223</v>
      </c>
    </row>
    <row r="115" spans="1:12" s="22" customFormat="1" ht="26.65" customHeight="1" x14ac:dyDescent="0.25">
      <c r="A115" s="126" t="s">
        <v>2683</v>
      </c>
      <c r="B115" s="143"/>
      <c r="C115" s="136" t="s">
        <v>1226</v>
      </c>
      <c r="D115" s="137"/>
      <c r="E115" s="138"/>
      <c r="F115" s="139"/>
      <c r="G115" s="139"/>
      <c r="H115" s="139"/>
      <c r="I115" s="139"/>
      <c r="J115" s="136" t="s">
        <v>128</v>
      </c>
      <c r="K115" s="136" t="s">
        <v>1134</v>
      </c>
      <c r="L115" s="126"/>
    </row>
    <row r="116" spans="1:12" s="22" customFormat="1" ht="26.65" customHeight="1" x14ac:dyDescent="0.25">
      <c r="A116" s="126" t="s">
        <v>2683</v>
      </c>
      <c r="B116" s="143" t="s">
        <v>1227</v>
      </c>
      <c r="C116" s="140" t="s">
        <v>1228</v>
      </c>
      <c r="D116" s="137" t="s">
        <v>133</v>
      </c>
      <c r="E116" s="138">
        <v>90</v>
      </c>
      <c r="F116" s="139">
        <v>613.14</v>
      </c>
      <c r="G116" s="139">
        <v>0</v>
      </c>
      <c r="H116" s="141">
        <v>55182.6</v>
      </c>
      <c r="I116" s="141">
        <v>0</v>
      </c>
      <c r="J116" s="136" t="s">
        <v>128</v>
      </c>
      <c r="K116" s="136" t="s">
        <v>1134</v>
      </c>
      <c r="L116" s="136" t="s">
        <v>1226</v>
      </c>
    </row>
    <row r="117" spans="1:12" s="22" customFormat="1" ht="26.65" customHeight="1" x14ac:dyDescent="0.25">
      <c r="A117" s="126" t="s">
        <v>2683</v>
      </c>
      <c r="B117" s="143" t="s">
        <v>1229</v>
      </c>
      <c r="C117" s="140" t="s">
        <v>1230</v>
      </c>
      <c r="D117" s="137" t="s">
        <v>133</v>
      </c>
      <c r="E117" s="138">
        <v>90</v>
      </c>
      <c r="F117" s="139">
        <v>655.41</v>
      </c>
      <c r="G117" s="139">
        <v>0</v>
      </c>
      <c r="H117" s="141">
        <v>58986.899999999994</v>
      </c>
      <c r="I117" s="141">
        <v>0</v>
      </c>
      <c r="J117" s="136" t="s">
        <v>128</v>
      </c>
      <c r="K117" s="136" t="s">
        <v>1134</v>
      </c>
      <c r="L117" s="136" t="s">
        <v>1226</v>
      </c>
    </row>
    <row r="118" spans="1:12" s="22" customFormat="1" ht="26.65" customHeight="1" x14ac:dyDescent="0.25">
      <c r="A118" s="126" t="s">
        <v>2683</v>
      </c>
      <c r="B118" s="143"/>
      <c r="C118" s="136" t="s">
        <v>1231</v>
      </c>
      <c r="D118" s="137"/>
      <c r="E118" s="138"/>
      <c r="F118" s="139"/>
      <c r="G118" s="139"/>
      <c r="H118" s="139"/>
      <c r="I118" s="139"/>
      <c r="J118" s="136" t="s">
        <v>128</v>
      </c>
      <c r="K118" s="136" t="s">
        <v>1134</v>
      </c>
      <c r="L118" s="126"/>
    </row>
    <row r="119" spans="1:12" s="22" customFormat="1" ht="26.65" customHeight="1" x14ac:dyDescent="0.25">
      <c r="A119" s="126" t="s">
        <v>2683</v>
      </c>
      <c r="B119" s="143" t="s">
        <v>1232</v>
      </c>
      <c r="C119" s="140" t="s">
        <v>1233</v>
      </c>
      <c r="D119" s="137" t="s">
        <v>133</v>
      </c>
      <c r="E119" s="138">
        <v>50</v>
      </c>
      <c r="F119" s="139">
        <v>1944.85</v>
      </c>
      <c r="G119" s="139">
        <v>746.25</v>
      </c>
      <c r="H119" s="141">
        <v>97242.5</v>
      </c>
      <c r="I119" s="141">
        <v>37312.5</v>
      </c>
      <c r="J119" s="136" t="s">
        <v>128</v>
      </c>
      <c r="K119" s="136" t="s">
        <v>1134</v>
      </c>
      <c r="L119" s="136" t="s">
        <v>1231</v>
      </c>
    </row>
    <row r="120" spans="1:12" s="22" customFormat="1" ht="26.65" customHeight="1" x14ac:dyDescent="0.25">
      <c r="A120" s="126" t="s">
        <v>2683</v>
      </c>
      <c r="B120" s="143" t="s">
        <v>1234</v>
      </c>
      <c r="C120" s="140" t="s">
        <v>1235</v>
      </c>
      <c r="D120" s="137" t="s">
        <v>133</v>
      </c>
      <c r="E120" s="138">
        <v>50</v>
      </c>
      <c r="F120" s="139">
        <v>1944.85</v>
      </c>
      <c r="G120" s="139">
        <v>870.63</v>
      </c>
      <c r="H120" s="141">
        <v>97242.5</v>
      </c>
      <c r="I120" s="141">
        <v>43531.5</v>
      </c>
      <c r="J120" s="136" t="s">
        <v>128</v>
      </c>
      <c r="K120" s="136" t="s">
        <v>1134</v>
      </c>
      <c r="L120" s="136" t="s">
        <v>1231</v>
      </c>
    </row>
    <row r="121" spans="1:12" s="22" customFormat="1" ht="26.65" customHeight="1" x14ac:dyDescent="0.25">
      <c r="A121" s="126" t="s">
        <v>2683</v>
      </c>
      <c r="B121" s="143"/>
      <c r="C121" s="136" t="s">
        <v>1236</v>
      </c>
      <c r="D121" s="137"/>
      <c r="E121" s="138"/>
      <c r="F121" s="139"/>
      <c r="G121" s="139"/>
      <c r="H121" s="139"/>
      <c r="I121" s="139"/>
      <c r="J121" s="136" t="s">
        <v>128</v>
      </c>
      <c r="K121" s="136" t="s">
        <v>1134</v>
      </c>
      <c r="L121" s="126"/>
    </row>
    <row r="122" spans="1:12" s="22" customFormat="1" ht="26.65" customHeight="1" x14ac:dyDescent="0.25">
      <c r="A122" s="126" t="s">
        <v>2683</v>
      </c>
      <c r="B122" s="143" t="s">
        <v>1237</v>
      </c>
      <c r="C122" s="140" t="s">
        <v>1238</v>
      </c>
      <c r="D122" s="137" t="s">
        <v>133</v>
      </c>
      <c r="E122" s="138">
        <v>40</v>
      </c>
      <c r="F122" s="139">
        <v>469.06</v>
      </c>
      <c r="G122" s="139">
        <v>1865.63</v>
      </c>
      <c r="H122" s="141">
        <v>18762.400000000001</v>
      </c>
      <c r="I122" s="141">
        <v>74625.200000000012</v>
      </c>
      <c r="J122" s="136" t="s">
        <v>128</v>
      </c>
      <c r="K122" s="136" t="s">
        <v>1134</v>
      </c>
      <c r="L122" s="136" t="s">
        <v>1236</v>
      </c>
    </row>
    <row r="123" spans="1:12" s="22" customFormat="1" ht="26.65" customHeight="1" x14ac:dyDescent="0.25">
      <c r="A123" s="126" t="s">
        <v>2683</v>
      </c>
      <c r="B123" s="143"/>
      <c r="C123" s="136" t="s">
        <v>1239</v>
      </c>
      <c r="D123" s="137"/>
      <c r="E123" s="138"/>
      <c r="F123" s="139"/>
      <c r="G123" s="139"/>
      <c r="H123" s="139"/>
      <c r="I123" s="139"/>
      <c r="J123" s="136" t="s">
        <v>128</v>
      </c>
      <c r="K123" s="136" t="s">
        <v>1134</v>
      </c>
      <c r="L123" s="126"/>
    </row>
    <row r="124" spans="1:12" s="22" customFormat="1" ht="26.65" customHeight="1" x14ac:dyDescent="0.25">
      <c r="A124" s="126" t="s">
        <v>2683</v>
      </c>
      <c r="B124" s="143" t="s">
        <v>1240</v>
      </c>
      <c r="C124" s="140" t="s">
        <v>1241</v>
      </c>
      <c r="D124" s="137" t="s">
        <v>133</v>
      </c>
      <c r="E124" s="138">
        <v>88</v>
      </c>
      <c r="F124" s="139">
        <v>469.06</v>
      </c>
      <c r="G124" s="139">
        <v>124.38</v>
      </c>
      <c r="H124" s="141">
        <v>41277.279999999999</v>
      </c>
      <c r="I124" s="141">
        <v>10945.439999999999</v>
      </c>
      <c r="J124" s="136" t="s">
        <v>128</v>
      </c>
      <c r="K124" s="136" t="s">
        <v>1134</v>
      </c>
      <c r="L124" s="136" t="s">
        <v>1239</v>
      </c>
    </row>
    <row r="125" spans="1:12" s="22" customFormat="1" ht="26.65" customHeight="1" x14ac:dyDescent="0.25">
      <c r="A125" s="126" t="s">
        <v>2683</v>
      </c>
      <c r="B125" s="143"/>
      <c r="C125" s="136" t="s">
        <v>1242</v>
      </c>
      <c r="D125" s="137"/>
      <c r="E125" s="138"/>
      <c r="F125" s="139"/>
      <c r="G125" s="139"/>
      <c r="H125" s="139"/>
      <c r="I125" s="139"/>
      <c r="J125" s="136" t="s">
        <v>128</v>
      </c>
      <c r="K125" s="136" t="s">
        <v>1134</v>
      </c>
      <c r="L125" s="126"/>
    </row>
    <row r="126" spans="1:12" s="22" customFormat="1" ht="26.65" customHeight="1" x14ac:dyDescent="0.25">
      <c r="A126" s="126" t="s">
        <v>2683</v>
      </c>
      <c r="B126" s="143" t="s">
        <v>1243</v>
      </c>
      <c r="C126" s="140" t="s">
        <v>1244</v>
      </c>
      <c r="D126" s="137" t="s">
        <v>133</v>
      </c>
      <c r="E126" s="138">
        <v>70</v>
      </c>
      <c r="F126" s="139">
        <v>660.33</v>
      </c>
      <c r="G126" s="139">
        <v>99.5</v>
      </c>
      <c r="H126" s="141">
        <v>46223.100000000006</v>
      </c>
      <c r="I126" s="141">
        <v>6965</v>
      </c>
      <c r="J126" s="136" t="s">
        <v>128</v>
      </c>
      <c r="K126" s="136" t="s">
        <v>1134</v>
      </c>
      <c r="L126" s="136" t="s">
        <v>1242</v>
      </c>
    </row>
    <row r="127" spans="1:12" s="22" customFormat="1" ht="26.65" customHeight="1" x14ac:dyDescent="0.25">
      <c r="A127" s="126" t="s">
        <v>2683</v>
      </c>
      <c r="B127" s="143" t="s">
        <v>1245</v>
      </c>
      <c r="C127" s="140" t="s">
        <v>1246</v>
      </c>
      <c r="D127" s="137" t="s">
        <v>133</v>
      </c>
      <c r="E127" s="138">
        <v>76</v>
      </c>
      <c r="F127" s="139">
        <v>469.06</v>
      </c>
      <c r="G127" s="139">
        <v>99.5</v>
      </c>
      <c r="H127" s="141">
        <v>35648.559999999998</v>
      </c>
      <c r="I127" s="141">
        <v>7562</v>
      </c>
      <c r="J127" s="136" t="s">
        <v>128</v>
      </c>
      <c r="K127" s="136" t="s">
        <v>1134</v>
      </c>
      <c r="L127" s="136" t="s">
        <v>1242</v>
      </c>
    </row>
    <row r="128" spans="1:12" s="22" customFormat="1" ht="26.65" customHeight="1" x14ac:dyDescent="0.25">
      <c r="A128" s="126" t="s">
        <v>2683</v>
      </c>
      <c r="B128" s="143" t="s">
        <v>1247</v>
      </c>
      <c r="C128" s="140" t="s">
        <v>1248</v>
      </c>
      <c r="D128" s="137" t="s">
        <v>133</v>
      </c>
      <c r="E128" s="138">
        <v>76</v>
      </c>
      <c r="F128" s="139">
        <v>660.33</v>
      </c>
      <c r="G128" s="139">
        <v>99.5</v>
      </c>
      <c r="H128" s="141">
        <v>50185.08</v>
      </c>
      <c r="I128" s="141">
        <v>7562</v>
      </c>
      <c r="J128" s="136" t="s">
        <v>128</v>
      </c>
      <c r="K128" s="136" t="s">
        <v>1134</v>
      </c>
      <c r="L128" s="136" t="s">
        <v>1242</v>
      </c>
    </row>
    <row r="129" spans="1:12" s="22" customFormat="1" ht="26.65" customHeight="1" x14ac:dyDescent="0.25">
      <c r="A129" s="126" t="s">
        <v>2683</v>
      </c>
      <c r="B129" s="143"/>
      <c r="C129" s="136" t="s">
        <v>1249</v>
      </c>
      <c r="D129" s="137"/>
      <c r="E129" s="138"/>
      <c r="F129" s="139"/>
      <c r="G129" s="139"/>
      <c r="H129" s="139"/>
      <c r="I129" s="139"/>
      <c r="J129" s="136" t="s">
        <v>128</v>
      </c>
      <c r="K129" s="136" t="s">
        <v>1134</v>
      </c>
      <c r="L129" s="126"/>
    </row>
    <row r="130" spans="1:12" s="22" customFormat="1" ht="26.65" customHeight="1" x14ac:dyDescent="0.25">
      <c r="A130" s="126" t="s">
        <v>2683</v>
      </c>
      <c r="B130" s="143" t="s">
        <v>1250</v>
      </c>
      <c r="C130" s="140" t="s">
        <v>1251</v>
      </c>
      <c r="D130" s="137" t="s">
        <v>133</v>
      </c>
      <c r="E130" s="138">
        <v>80</v>
      </c>
      <c r="F130" s="139">
        <v>742.34</v>
      </c>
      <c r="G130" s="139">
        <v>0</v>
      </c>
      <c r="H130" s="141">
        <v>59387.200000000004</v>
      </c>
      <c r="I130" s="141">
        <v>0</v>
      </c>
      <c r="J130" s="136" t="s">
        <v>128</v>
      </c>
      <c r="K130" s="136" t="s">
        <v>1134</v>
      </c>
      <c r="L130" s="136" t="s">
        <v>1249</v>
      </c>
    </row>
    <row r="131" spans="1:12" s="22" customFormat="1" ht="26.65" customHeight="1" x14ac:dyDescent="0.25">
      <c r="A131" s="126" t="s">
        <v>2683</v>
      </c>
      <c r="B131" s="143" t="s">
        <v>1252</v>
      </c>
      <c r="C131" s="140" t="s">
        <v>1253</v>
      </c>
      <c r="D131" s="137" t="s">
        <v>133</v>
      </c>
      <c r="E131" s="138">
        <v>80</v>
      </c>
      <c r="F131" s="139">
        <v>751.29</v>
      </c>
      <c r="G131" s="139">
        <v>0</v>
      </c>
      <c r="H131" s="141">
        <v>60103.199999999997</v>
      </c>
      <c r="I131" s="141">
        <v>0</v>
      </c>
      <c r="J131" s="136" t="s">
        <v>128</v>
      </c>
      <c r="K131" s="136" t="s">
        <v>1134</v>
      </c>
      <c r="L131" s="136" t="s">
        <v>1249</v>
      </c>
    </row>
    <row r="132" spans="1:12" s="22" customFormat="1" ht="26.65" customHeight="1" x14ac:dyDescent="0.25">
      <c r="A132" s="126" t="s">
        <v>2683</v>
      </c>
      <c r="B132" s="143" t="s">
        <v>1254</v>
      </c>
      <c r="C132" s="140" t="s">
        <v>1255</v>
      </c>
      <c r="D132" s="137" t="s">
        <v>133</v>
      </c>
      <c r="E132" s="138">
        <v>100</v>
      </c>
      <c r="F132" s="139">
        <v>753.09</v>
      </c>
      <c r="G132" s="139">
        <v>0</v>
      </c>
      <c r="H132" s="141">
        <v>75309</v>
      </c>
      <c r="I132" s="141">
        <v>0</v>
      </c>
      <c r="J132" s="136" t="s">
        <v>128</v>
      </c>
      <c r="K132" s="136" t="s">
        <v>1134</v>
      </c>
      <c r="L132" s="136" t="s">
        <v>1249</v>
      </c>
    </row>
    <row r="133" spans="1:12" s="22" customFormat="1" ht="26.65" customHeight="1" x14ac:dyDescent="0.25">
      <c r="A133" s="126" t="s">
        <v>2683</v>
      </c>
      <c r="B133" s="143" t="s">
        <v>1256</v>
      </c>
      <c r="C133" s="140" t="s">
        <v>1257</v>
      </c>
      <c r="D133" s="137" t="s">
        <v>133</v>
      </c>
      <c r="E133" s="138">
        <v>100</v>
      </c>
      <c r="F133" s="139">
        <v>970.65</v>
      </c>
      <c r="G133" s="139">
        <v>0</v>
      </c>
      <c r="H133" s="141">
        <v>97065</v>
      </c>
      <c r="I133" s="141">
        <v>0</v>
      </c>
      <c r="J133" s="136" t="s">
        <v>128</v>
      </c>
      <c r="K133" s="136" t="s">
        <v>1134</v>
      </c>
      <c r="L133" s="136" t="s">
        <v>1249</v>
      </c>
    </row>
    <row r="134" spans="1:12" s="22" customFormat="1" ht="26.65" customHeight="1" x14ac:dyDescent="0.25">
      <c r="A134" s="126" t="s">
        <v>2683</v>
      </c>
      <c r="B134" s="143"/>
      <c r="C134" s="136" t="s">
        <v>1258</v>
      </c>
      <c r="D134" s="137"/>
      <c r="E134" s="138"/>
      <c r="F134" s="139"/>
      <c r="G134" s="139"/>
      <c r="H134" s="139"/>
      <c r="I134" s="139"/>
      <c r="J134" s="136" t="s">
        <v>128</v>
      </c>
      <c r="K134" s="136" t="s">
        <v>1134</v>
      </c>
      <c r="L134" s="126"/>
    </row>
    <row r="135" spans="1:12" s="22" customFormat="1" ht="26.65" customHeight="1" x14ac:dyDescent="0.25">
      <c r="A135" s="126" t="s">
        <v>2683</v>
      </c>
      <c r="B135" s="143" t="s">
        <v>1259</v>
      </c>
      <c r="C135" s="140" t="s">
        <v>1260</v>
      </c>
      <c r="D135" s="137" t="s">
        <v>133</v>
      </c>
      <c r="E135" s="138">
        <v>48</v>
      </c>
      <c r="F135" s="139">
        <v>999.83</v>
      </c>
      <c r="G135" s="139">
        <v>0</v>
      </c>
      <c r="H135" s="141">
        <v>47991.840000000004</v>
      </c>
      <c r="I135" s="141">
        <v>0</v>
      </c>
      <c r="J135" s="136" t="s">
        <v>128</v>
      </c>
      <c r="K135" s="136" t="s">
        <v>1134</v>
      </c>
      <c r="L135" s="136" t="s">
        <v>1258</v>
      </c>
    </row>
    <row r="136" spans="1:12" s="22" customFormat="1" ht="26.65" customHeight="1" x14ac:dyDescent="0.25">
      <c r="A136" s="126" t="s">
        <v>2683</v>
      </c>
      <c r="B136" s="143"/>
      <c r="C136" s="136" t="s">
        <v>1261</v>
      </c>
      <c r="D136" s="137"/>
      <c r="E136" s="138"/>
      <c r="F136" s="139"/>
      <c r="G136" s="139"/>
      <c r="H136" s="139"/>
      <c r="I136" s="139"/>
      <c r="J136" s="136" t="s">
        <v>128</v>
      </c>
      <c r="K136" s="136" t="s">
        <v>1134</v>
      </c>
      <c r="L136" s="126"/>
    </row>
    <row r="137" spans="1:12" s="22" customFormat="1" ht="26.65" customHeight="1" x14ac:dyDescent="0.25">
      <c r="A137" s="126" t="s">
        <v>2683</v>
      </c>
      <c r="B137" s="143" t="s">
        <v>1262</v>
      </c>
      <c r="C137" s="140" t="s">
        <v>1263</v>
      </c>
      <c r="D137" s="137" t="s">
        <v>133</v>
      </c>
      <c r="E137" s="138">
        <v>40</v>
      </c>
      <c r="F137" s="139">
        <v>85.5</v>
      </c>
      <c r="G137" s="139">
        <v>11.34</v>
      </c>
      <c r="H137" s="141">
        <v>3420</v>
      </c>
      <c r="I137" s="141">
        <v>453.6</v>
      </c>
      <c r="J137" s="136" t="s">
        <v>128</v>
      </c>
      <c r="K137" s="136" t="s">
        <v>1134</v>
      </c>
      <c r="L137" s="136" t="s">
        <v>1261</v>
      </c>
    </row>
    <row r="138" spans="1:12" s="22" customFormat="1" ht="26.65" customHeight="1" x14ac:dyDescent="0.25">
      <c r="A138" s="126" t="s">
        <v>2683</v>
      </c>
      <c r="B138" s="143"/>
      <c r="C138" s="136" t="s">
        <v>1264</v>
      </c>
      <c r="D138" s="137"/>
      <c r="E138" s="138"/>
      <c r="F138" s="139"/>
      <c r="G138" s="139"/>
      <c r="H138" s="139"/>
      <c r="I138" s="139"/>
      <c r="J138" s="136" t="s">
        <v>128</v>
      </c>
      <c r="K138" s="136" t="s">
        <v>1134</v>
      </c>
      <c r="L138" s="126"/>
    </row>
    <row r="139" spans="1:12" s="22" customFormat="1" ht="26.65" customHeight="1" x14ac:dyDescent="0.25">
      <c r="A139" s="126" t="s">
        <v>2683</v>
      </c>
      <c r="B139" s="143" t="s">
        <v>1265</v>
      </c>
      <c r="C139" s="140" t="s">
        <v>1266</v>
      </c>
      <c r="D139" s="137" t="s">
        <v>133</v>
      </c>
      <c r="E139" s="138">
        <v>70</v>
      </c>
      <c r="F139" s="139">
        <v>808.35</v>
      </c>
      <c r="G139" s="139">
        <v>124.38</v>
      </c>
      <c r="H139" s="141">
        <v>56584.5</v>
      </c>
      <c r="I139" s="141">
        <v>8706.6</v>
      </c>
      <c r="J139" s="136" t="s">
        <v>128</v>
      </c>
      <c r="K139" s="136" t="s">
        <v>1134</v>
      </c>
      <c r="L139" s="136" t="s">
        <v>1264</v>
      </c>
    </row>
    <row r="140" spans="1:12" s="22" customFormat="1" ht="26.65" customHeight="1" x14ac:dyDescent="0.25">
      <c r="A140" s="126" t="s">
        <v>2683</v>
      </c>
      <c r="B140" s="143"/>
      <c r="C140" s="136" t="s">
        <v>1267</v>
      </c>
      <c r="D140" s="137"/>
      <c r="E140" s="138"/>
      <c r="F140" s="139"/>
      <c r="G140" s="139"/>
      <c r="H140" s="139"/>
      <c r="I140" s="139"/>
      <c r="J140" s="136" t="s">
        <v>128</v>
      </c>
      <c r="K140" s="136" t="s">
        <v>1134</v>
      </c>
      <c r="L140" s="126"/>
    </row>
    <row r="141" spans="1:12" s="22" customFormat="1" ht="26.65" customHeight="1" x14ac:dyDescent="0.25">
      <c r="A141" s="126" t="s">
        <v>2683</v>
      </c>
      <c r="B141" s="143" t="s">
        <v>1268</v>
      </c>
      <c r="C141" s="140" t="s">
        <v>1269</v>
      </c>
      <c r="D141" s="137" t="s">
        <v>133</v>
      </c>
      <c r="E141" s="138">
        <v>30</v>
      </c>
      <c r="F141" s="139">
        <v>1033.8900000000001</v>
      </c>
      <c r="G141" s="139">
        <v>1716.56</v>
      </c>
      <c r="H141" s="141">
        <v>31016.700000000004</v>
      </c>
      <c r="I141" s="141">
        <v>51496.799999999996</v>
      </c>
      <c r="J141" s="136" t="s">
        <v>128</v>
      </c>
      <c r="K141" s="136" t="s">
        <v>1134</v>
      </c>
      <c r="L141" s="136" t="s">
        <v>1267</v>
      </c>
    </row>
    <row r="142" spans="1:12" s="22" customFormat="1" ht="26.65" customHeight="1" x14ac:dyDescent="0.25">
      <c r="A142" s="126" t="s">
        <v>2683</v>
      </c>
      <c r="B142" s="143" t="s">
        <v>1270</v>
      </c>
      <c r="C142" s="140" t="s">
        <v>1271</v>
      </c>
      <c r="D142" s="137" t="s">
        <v>133</v>
      </c>
      <c r="E142" s="138">
        <v>36</v>
      </c>
      <c r="F142" s="139">
        <v>1033.8900000000001</v>
      </c>
      <c r="G142" s="139">
        <v>1716.56</v>
      </c>
      <c r="H142" s="141">
        <v>37220.04</v>
      </c>
      <c r="I142" s="141">
        <v>61796.159999999996</v>
      </c>
      <c r="J142" s="136" t="s">
        <v>128</v>
      </c>
      <c r="K142" s="136" t="s">
        <v>1134</v>
      </c>
      <c r="L142" s="136" t="s">
        <v>1267</v>
      </c>
    </row>
    <row r="143" spans="1:12" s="22" customFormat="1" ht="26.65" customHeight="1" x14ac:dyDescent="0.25">
      <c r="A143" s="126" t="s">
        <v>2683</v>
      </c>
      <c r="B143" s="143"/>
      <c r="C143" s="136" t="s">
        <v>1272</v>
      </c>
      <c r="D143" s="137"/>
      <c r="E143" s="138"/>
      <c r="F143" s="139"/>
      <c r="G143" s="139"/>
      <c r="H143" s="139"/>
      <c r="I143" s="139"/>
      <c r="J143" s="136" t="s">
        <v>128</v>
      </c>
      <c r="K143" s="136" t="s">
        <v>1134</v>
      </c>
      <c r="L143" s="126"/>
    </row>
    <row r="144" spans="1:12" s="22" customFormat="1" ht="26.65" customHeight="1" x14ac:dyDescent="0.25">
      <c r="A144" s="126" t="s">
        <v>2683</v>
      </c>
      <c r="B144" s="143" t="s">
        <v>1273</v>
      </c>
      <c r="C144" s="140" t="s">
        <v>1274</v>
      </c>
      <c r="D144" s="137" t="s">
        <v>133</v>
      </c>
      <c r="E144" s="138">
        <v>40</v>
      </c>
      <c r="F144" s="139">
        <v>808.35</v>
      </c>
      <c r="G144" s="139">
        <v>150.28</v>
      </c>
      <c r="H144" s="141">
        <v>32334</v>
      </c>
      <c r="I144" s="141">
        <v>6011.2</v>
      </c>
      <c r="J144" s="136" t="s">
        <v>128</v>
      </c>
      <c r="K144" s="136" t="s">
        <v>1134</v>
      </c>
      <c r="L144" s="136" t="s">
        <v>1272</v>
      </c>
    </row>
    <row r="145" spans="1:12" s="22" customFormat="1" ht="26.65" customHeight="1" x14ac:dyDescent="0.25">
      <c r="A145" s="126" t="s">
        <v>2683</v>
      </c>
      <c r="B145" s="143" t="s">
        <v>1275</v>
      </c>
      <c r="C145" s="140" t="s">
        <v>1276</v>
      </c>
      <c r="D145" s="137" t="s">
        <v>133</v>
      </c>
      <c r="E145" s="138">
        <v>44</v>
      </c>
      <c r="F145" s="139">
        <v>808.35</v>
      </c>
      <c r="G145" s="139">
        <v>82.14</v>
      </c>
      <c r="H145" s="141">
        <v>35567.4</v>
      </c>
      <c r="I145" s="141">
        <v>3614.16</v>
      </c>
      <c r="J145" s="136" t="s">
        <v>128</v>
      </c>
      <c r="K145" s="136" t="s">
        <v>1134</v>
      </c>
      <c r="L145" s="136" t="s">
        <v>1272</v>
      </c>
    </row>
    <row r="146" spans="1:12" s="22" customFormat="1" ht="26.65" customHeight="1" x14ac:dyDescent="0.25">
      <c r="A146" s="126" t="s">
        <v>2683</v>
      </c>
      <c r="B146" s="143" t="s">
        <v>1277</v>
      </c>
      <c r="C146" s="140" t="s">
        <v>1278</v>
      </c>
      <c r="D146" s="137" t="s">
        <v>133</v>
      </c>
      <c r="E146" s="138">
        <v>44</v>
      </c>
      <c r="F146" s="139">
        <v>972.53</v>
      </c>
      <c r="G146" s="139">
        <v>123.29</v>
      </c>
      <c r="H146" s="141">
        <v>42791.32</v>
      </c>
      <c r="I146" s="141">
        <v>5424.76</v>
      </c>
      <c r="J146" s="136" t="s">
        <v>128</v>
      </c>
      <c r="K146" s="136" t="s">
        <v>1134</v>
      </c>
      <c r="L146" s="136" t="s">
        <v>1272</v>
      </c>
    </row>
    <row r="147" spans="1:12" s="22" customFormat="1" ht="26.65" customHeight="1" x14ac:dyDescent="0.25">
      <c r="A147" s="126" t="s">
        <v>2683</v>
      </c>
      <c r="B147" s="143" t="s">
        <v>1279</v>
      </c>
      <c r="C147" s="140" t="s">
        <v>1280</v>
      </c>
      <c r="D147" s="137" t="s">
        <v>133</v>
      </c>
      <c r="E147" s="138">
        <v>30</v>
      </c>
      <c r="F147" s="139">
        <v>2932.59</v>
      </c>
      <c r="G147" s="139">
        <v>294</v>
      </c>
      <c r="H147" s="141">
        <v>87977.700000000012</v>
      </c>
      <c r="I147" s="141">
        <v>8820</v>
      </c>
      <c r="J147" s="136" t="s">
        <v>128</v>
      </c>
      <c r="K147" s="136" t="s">
        <v>1134</v>
      </c>
      <c r="L147" s="136" t="s">
        <v>1272</v>
      </c>
    </row>
    <row r="148" spans="1:12" s="22" customFormat="1" ht="26.65" customHeight="1" x14ac:dyDescent="0.25">
      <c r="A148" s="126" t="s">
        <v>2683</v>
      </c>
      <c r="B148" s="143"/>
      <c r="C148" s="136" t="s">
        <v>1281</v>
      </c>
      <c r="D148" s="137"/>
      <c r="E148" s="138"/>
      <c r="F148" s="139"/>
      <c r="G148" s="139"/>
      <c r="H148" s="139"/>
      <c r="I148" s="139"/>
      <c r="J148" s="136" t="s">
        <v>128</v>
      </c>
      <c r="K148" s="136" t="s">
        <v>1134</v>
      </c>
      <c r="L148" s="126"/>
    </row>
    <row r="149" spans="1:12" s="22" customFormat="1" ht="26.65" customHeight="1" x14ac:dyDescent="0.25">
      <c r="A149" s="126" t="s">
        <v>2683</v>
      </c>
      <c r="B149" s="143" t="s">
        <v>1282</v>
      </c>
      <c r="C149" s="140" t="s">
        <v>137</v>
      </c>
      <c r="D149" s="137" t="s">
        <v>133</v>
      </c>
      <c r="E149" s="138">
        <v>90</v>
      </c>
      <c r="F149" s="139">
        <v>972.53</v>
      </c>
      <c r="G149" s="139">
        <v>55.6</v>
      </c>
      <c r="H149" s="141">
        <v>87527.7</v>
      </c>
      <c r="I149" s="141">
        <v>5004</v>
      </c>
      <c r="J149" s="136" t="s">
        <v>128</v>
      </c>
      <c r="K149" s="136" t="s">
        <v>1134</v>
      </c>
      <c r="L149" s="136" t="s">
        <v>1281</v>
      </c>
    </row>
    <row r="150" spans="1:12" s="22" customFormat="1" ht="26.65" customHeight="1" x14ac:dyDescent="0.25">
      <c r="A150" s="126" t="s">
        <v>2683</v>
      </c>
      <c r="B150" s="143"/>
      <c r="C150" s="136" t="s">
        <v>1283</v>
      </c>
      <c r="D150" s="137"/>
      <c r="E150" s="138"/>
      <c r="F150" s="139"/>
      <c r="G150" s="139"/>
      <c r="H150" s="139"/>
      <c r="I150" s="139"/>
      <c r="J150" s="136" t="s">
        <v>128</v>
      </c>
      <c r="K150" s="136" t="s">
        <v>1134</v>
      </c>
      <c r="L150" s="126"/>
    </row>
    <row r="151" spans="1:12" s="22" customFormat="1" ht="26.65" customHeight="1" x14ac:dyDescent="0.25">
      <c r="A151" s="126" t="s">
        <v>2683</v>
      </c>
      <c r="B151" s="143" t="s">
        <v>1284</v>
      </c>
      <c r="C151" s="140" t="s">
        <v>1285</v>
      </c>
      <c r="D151" s="137" t="s">
        <v>133</v>
      </c>
      <c r="E151" s="138">
        <v>70</v>
      </c>
      <c r="F151" s="139">
        <v>115.38</v>
      </c>
      <c r="G151" s="139">
        <v>0</v>
      </c>
      <c r="H151" s="141">
        <v>8076.5999999999995</v>
      </c>
      <c r="I151" s="141">
        <v>0</v>
      </c>
      <c r="J151" s="136" t="s">
        <v>128</v>
      </c>
      <c r="K151" s="136" t="s">
        <v>1134</v>
      </c>
      <c r="L151" s="136" t="s">
        <v>1283</v>
      </c>
    </row>
    <row r="152" spans="1:12" s="22" customFormat="1" ht="26.65" customHeight="1" x14ac:dyDescent="0.25">
      <c r="A152" s="126" t="s">
        <v>2683</v>
      </c>
      <c r="B152" s="143" t="s">
        <v>1286</v>
      </c>
      <c r="C152" s="140" t="s">
        <v>1287</v>
      </c>
      <c r="D152" s="137" t="s">
        <v>133</v>
      </c>
      <c r="E152" s="138">
        <v>70</v>
      </c>
      <c r="F152" s="139">
        <v>178.15</v>
      </c>
      <c r="G152" s="139">
        <v>0</v>
      </c>
      <c r="H152" s="141">
        <v>12470.5</v>
      </c>
      <c r="I152" s="141">
        <v>0</v>
      </c>
      <c r="J152" s="136" t="s">
        <v>128</v>
      </c>
      <c r="K152" s="136" t="s">
        <v>1134</v>
      </c>
      <c r="L152" s="136" t="s">
        <v>1283</v>
      </c>
    </row>
    <row r="153" spans="1:12" s="22" customFormat="1" ht="26.65" customHeight="1" x14ac:dyDescent="0.25">
      <c r="A153" s="126" t="s">
        <v>2683</v>
      </c>
      <c r="B153" s="143"/>
      <c r="C153" s="136" t="s">
        <v>1288</v>
      </c>
      <c r="D153" s="137"/>
      <c r="E153" s="138"/>
      <c r="F153" s="139"/>
      <c r="G153" s="139"/>
      <c r="H153" s="139"/>
      <c r="I153" s="139"/>
      <c r="J153" s="136" t="s">
        <v>128</v>
      </c>
      <c r="K153" s="136" t="s">
        <v>1134</v>
      </c>
      <c r="L153" s="126"/>
    </row>
    <row r="154" spans="1:12" s="22" customFormat="1" ht="26.65" customHeight="1" x14ac:dyDescent="0.25">
      <c r="A154" s="126" t="s">
        <v>2683</v>
      </c>
      <c r="B154" s="143" t="s">
        <v>1289</v>
      </c>
      <c r="C154" s="140" t="s">
        <v>1290</v>
      </c>
      <c r="D154" s="137" t="s">
        <v>133</v>
      </c>
      <c r="E154" s="138">
        <v>60</v>
      </c>
      <c r="F154" s="139">
        <v>178.15</v>
      </c>
      <c r="G154" s="139">
        <v>0</v>
      </c>
      <c r="H154" s="141">
        <v>10689</v>
      </c>
      <c r="I154" s="141">
        <v>0</v>
      </c>
      <c r="J154" s="136" t="s">
        <v>128</v>
      </c>
      <c r="K154" s="136" t="s">
        <v>1134</v>
      </c>
      <c r="L154" s="136" t="s">
        <v>1288</v>
      </c>
    </row>
    <row r="155" spans="1:12" s="22" customFormat="1" ht="26.65" customHeight="1" x14ac:dyDescent="0.25">
      <c r="A155" s="126" t="s">
        <v>2683</v>
      </c>
      <c r="B155" s="143"/>
      <c r="C155" s="136" t="s">
        <v>1291</v>
      </c>
      <c r="D155" s="137"/>
      <c r="E155" s="138"/>
      <c r="F155" s="139"/>
      <c r="G155" s="139"/>
      <c r="H155" s="139"/>
      <c r="I155" s="139"/>
      <c r="J155" s="136" t="s">
        <v>128</v>
      </c>
      <c r="K155" s="136" t="s">
        <v>1134</v>
      </c>
      <c r="L155" s="126"/>
    </row>
    <row r="156" spans="1:12" s="22" customFormat="1" ht="26.65" customHeight="1" x14ac:dyDescent="0.25">
      <c r="A156" s="126" t="s">
        <v>2683</v>
      </c>
      <c r="B156" s="143" t="s">
        <v>1292</v>
      </c>
      <c r="C156" s="140" t="s">
        <v>592</v>
      </c>
      <c r="D156" s="137" t="s">
        <v>133</v>
      </c>
      <c r="E156" s="138">
        <v>60</v>
      </c>
      <c r="F156" s="139">
        <v>122.24</v>
      </c>
      <c r="G156" s="139">
        <v>0</v>
      </c>
      <c r="H156" s="141">
        <v>7334.4</v>
      </c>
      <c r="I156" s="141">
        <v>0</v>
      </c>
      <c r="J156" s="136" t="s">
        <v>128</v>
      </c>
      <c r="K156" s="136" t="s">
        <v>1134</v>
      </c>
      <c r="L156" s="136" t="s">
        <v>1291</v>
      </c>
    </row>
    <row r="157" spans="1:12" s="22" customFormat="1" ht="26.65" customHeight="1" x14ac:dyDescent="0.25">
      <c r="A157" s="126" t="s">
        <v>2683</v>
      </c>
      <c r="B157" s="143" t="s">
        <v>1293</v>
      </c>
      <c r="C157" s="140" t="s">
        <v>601</v>
      </c>
      <c r="D157" s="137" t="s">
        <v>133</v>
      </c>
      <c r="E157" s="138">
        <v>40</v>
      </c>
      <c r="F157" s="139">
        <v>350.69</v>
      </c>
      <c r="G157" s="139">
        <v>0</v>
      </c>
      <c r="H157" s="141">
        <v>14027.6</v>
      </c>
      <c r="I157" s="141">
        <v>0</v>
      </c>
      <c r="J157" s="136" t="s">
        <v>128</v>
      </c>
      <c r="K157" s="136" t="s">
        <v>1134</v>
      </c>
      <c r="L157" s="136" t="s">
        <v>1291</v>
      </c>
    </row>
    <row r="158" spans="1:12" s="22" customFormat="1" ht="26.65" customHeight="1" x14ac:dyDescent="0.25">
      <c r="A158" s="126" t="s">
        <v>2683</v>
      </c>
      <c r="B158" s="143" t="s">
        <v>1294</v>
      </c>
      <c r="C158" s="140" t="s">
        <v>596</v>
      </c>
      <c r="D158" s="137" t="s">
        <v>133</v>
      </c>
      <c r="E158" s="138">
        <v>50</v>
      </c>
      <c r="F158" s="139">
        <v>139.35</v>
      </c>
      <c r="G158" s="139">
        <v>0</v>
      </c>
      <c r="H158" s="141">
        <v>6967.5</v>
      </c>
      <c r="I158" s="141">
        <v>0</v>
      </c>
      <c r="J158" s="136" t="s">
        <v>128</v>
      </c>
      <c r="K158" s="136" t="s">
        <v>1134</v>
      </c>
      <c r="L158" s="136" t="s">
        <v>1291</v>
      </c>
    </row>
    <row r="159" spans="1:12" s="22" customFormat="1" ht="26.65" customHeight="1" x14ac:dyDescent="0.25">
      <c r="A159" s="126" t="s">
        <v>2683</v>
      </c>
      <c r="B159" s="143" t="s">
        <v>1295</v>
      </c>
      <c r="C159" s="140" t="s">
        <v>1296</v>
      </c>
      <c r="D159" s="137" t="s">
        <v>133</v>
      </c>
      <c r="E159" s="138">
        <v>40</v>
      </c>
      <c r="F159" s="139">
        <v>242.01</v>
      </c>
      <c r="G159" s="139">
        <v>0</v>
      </c>
      <c r="H159" s="141">
        <v>9680.4</v>
      </c>
      <c r="I159" s="141">
        <v>0</v>
      </c>
      <c r="J159" s="136" t="s">
        <v>128</v>
      </c>
      <c r="K159" s="136" t="s">
        <v>1134</v>
      </c>
      <c r="L159" s="136" t="s">
        <v>1291</v>
      </c>
    </row>
    <row r="160" spans="1:12" s="22" customFormat="1" ht="26.65" customHeight="1" x14ac:dyDescent="0.25">
      <c r="A160" s="126" t="s">
        <v>2683</v>
      </c>
      <c r="B160" s="143"/>
      <c r="C160" s="136" t="s">
        <v>1297</v>
      </c>
      <c r="D160" s="137"/>
      <c r="E160" s="138"/>
      <c r="F160" s="139"/>
      <c r="G160" s="139"/>
      <c r="H160" s="139"/>
      <c r="I160" s="139"/>
      <c r="J160" s="136" t="s">
        <v>128</v>
      </c>
      <c r="K160" s="136" t="s">
        <v>1134</v>
      </c>
      <c r="L160" s="126"/>
    </row>
    <row r="161" spans="1:12" s="22" customFormat="1" ht="26.65" customHeight="1" x14ac:dyDescent="0.25">
      <c r="A161" s="126" t="s">
        <v>2683</v>
      </c>
      <c r="B161" s="143" t="s">
        <v>1298</v>
      </c>
      <c r="C161" s="140" t="s">
        <v>1299</v>
      </c>
      <c r="D161" s="137" t="s">
        <v>133</v>
      </c>
      <c r="E161" s="138">
        <v>44</v>
      </c>
      <c r="F161" s="139">
        <v>289.10000000000002</v>
      </c>
      <c r="G161" s="139">
        <v>0</v>
      </c>
      <c r="H161" s="141">
        <v>12720.400000000001</v>
      </c>
      <c r="I161" s="141">
        <v>0</v>
      </c>
      <c r="J161" s="136" t="s">
        <v>128</v>
      </c>
      <c r="K161" s="136" t="s">
        <v>1134</v>
      </c>
      <c r="L161" s="136" t="s">
        <v>1297</v>
      </c>
    </row>
    <row r="162" spans="1:12" s="22" customFormat="1" ht="26.65" customHeight="1" x14ac:dyDescent="0.25">
      <c r="A162" s="126" t="s">
        <v>2683</v>
      </c>
      <c r="B162" s="143"/>
      <c r="C162" s="136" t="s">
        <v>1300</v>
      </c>
      <c r="D162" s="137"/>
      <c r="E162" s="138"/>
      <c r="F162" s="139"/>
      <c r="G162" s="139"/>
      <c r="H162" s="139"/>
      <c r="I162" s="139"/>
      <c r="J162" s="136" t="s">
        <v>128</v>
      </c>
      <c r="K162" s="136" t="s">
        <v>1134</v>
      </c>
      <c r="L162" s="126"/>
    </row>
    <row r="163" spans="1:12" s="22" customFormat="1" ht="26.65" customHeight="1" x14ac:dyDescent="0.25">
      <c r="A163" s="126" t="s">
        <v>2683</v>
      </c>
      <c r="B163" s="143" t="s">
        <v>1301</v>
      </c>
      <c r="C163" s="140" t="s">
        <v>1302</v>
      </c>
      <c r="D163" s="137" t="s">
        <v>133</v>
      </c>
      <c r="E163" s="138">
        <v>40</v>
      </c>
      <c r="F163" s="139">
        <v>239</v>
      </c>
      <c r="G163" s="139">
        <v>12.94</v>
      </c>
      <c r="H163" s="141">
        <v>9560</v>
      </c>
      <c r="I163" s="141">
        <v>517.6</v>
      </c>
      <c r="J163" s="136" t="s">
        <v>128</v>
      </c>
      <c r="K163" s="136" t="s">
        <v>1134</v>
      </c>
      <c r="L163" s="136" t="s">
        <v>1300</v>
      </c>
    </row>
    <row r="164" spans="1:12" s="22" customFormat="1" ht="26.65" customHeight="1" x14ac:dyDescent="0.25">
      <c r="A164" s="126" t="s">
        <v>2683</v>
      </c>
      <c r="B164" s="143" t="s">
        <v>1303</v>
      </c>
      <c r="C164" s="140" t="s">
        <v>1304</v>
      </c>
      <c r="D164" s="137" t="s">
        <v>133</v>
      </c>
      <c r="E164" s="138">
        <v>48</v>
      </c>
      <c r="F164" s="139">
        <v>329.79</v>
      </c>
      <c r="G164" s="139">
        <v>29.31</v>
      </c>
      <c r="H164" s="141">
        <v>15829.920000000002</v>
      </c>
      <c r="I164" s="141">
        <v>1406.8799999999999</v>
      </c>
      <c r="J164" s="136" t="s">
        <v>128</v>
      </c>
      <c r="K164" s="136" t="s">
        <v>1134</v>
      </c>
      <c r="L164" s="136" t="s">
        <v>1300</v>
      </c>
    </row>
    <row r="165" spans="1:12" s="22" customFormat="1" ht="26.65" customHeight="1" x14ac:dyDescent="0.25">
      <c r="A165" s="126" t="s">
        <v>2683</v>
      </c>
      <c r="B165" s="143" t="s">
        <v>1305</v>
      </c>
      <c r="C165" s="140" t="s">
        <v>1306</v>
      </c>
      <c r="D165" s="137" t="s">
        <v>133</v>
      </c>
      <c r="E165" s="138">
        <v>130</v>
      </c>
      <c r="F165" s="139">
        <v>517.29</v>
      </c>
      <c r="G165" s="139">
        <v>75.61</v>
      </c>
      <c r="H165" s="141">
        <v>67247.7</v>
      </c>
      <c r="I165" s="141">
        <v>9829.2999999999993</v>
      </c>
      <c r="J165" s="136" t="s">
        <v>128</v>
      </c>
      <c r="K165" s="136" t="s">
        <v>1134</v>
      </c>
      <c r="L165" s="136" t="s">
        <v>1300</v>
      </c>
    </row>
    <row r="166" spans="1:12" s="22" customFormat="1" ht="26.65" customHeight="1" x14ac:dyDescent="0.25">
      <c r="A166" s="126" t="s">
        <v>2683</v>
      </c>
      <c r="B166" s="143" t="s">
        <v>1307</v>
      </c>
      <c r="C166" s="140" t="s">
        <v>1308</v>
      </c>
      <c r="D166" s="137" t="s">
        <v>133</v>
      </c>
      <c r="E166" s="138">
        <v>30</v>
      </c>
      <c r="F166" s="139">
        <v>874.84</v>
      </c>
      <c r="G166" s="139">
        <v>96.99</v>
      </c>
      <c r="H166" s="141">
        <v>26245.200000000001</v>
      </c>
      <c r="I166" s="141">
        <v>2909.7</v>
      </c>
      <c r="J166" s="136" t="s">
        <v>128</v>
      </c>
      <c r="K166" s="136" t="s">
        <v>1134</v>
      </c>
      <c r="L166" s="136" t="s">
        <v>1300</v>
      </c>
    </row>
    <row r="167" spans="1:12" s="22" customFormat="1" ht="26.65" customHeight="1" x14ac:dyDescent="0.25">
      <c r="A167" s="126" t="s">
        <v>2683</v>
      </c>
      <c r="B167" s="143" t="s">
        <v>1309</v>
      </c>
      <c r="C167" s="140" t="s">
        <v>612</v>
      </c>
      <c r="D167" s="137" t="s">
        <v>133</v>
      </c>
      <c r="E167" s="138">
        <v>44</v>
      </c>
      <c r="F167" s="139">
        <v>1224.8399999999999</v>
      </c>
      <c r="G167" s="139">
        <v>161.69</v>
      </c>
      <c r="H167" s="141">
        <v>53892.959999999999</v>
      </c>
      <c r="I167" s="141">
        <v>7114.36</v>
      </c>
      <c r="J167" s="136" t="s">
        <v>128</v>
      </c>
      <c r="K167" s="136" t="s">
        <v>1134</v>
      </c>
      <c r="L167" s="136" t="s">
        <v>1300</v>
      </c>
    </row>
    <row r="168" spans="1:12" s="22" customFormat="1" ht="26.65" customHeight="1" x14ac:dyDescent="0.25">
      <c r="A168" s="126" t="s">
        <v>2683</v>
      </c>
      <c r="B168" s="143" t="s">
        <v>1310</v>
      </c>
      <c r="C168" s="140" t="s">
        <v>614</v>
      </c>
      <c r="D168" s="137" t="s">
        <v>133</v>
      </c>
      <c r="E168" s="138">
        <v>34</v>
      </c>
      <c r="F168" s="139">
        <v>1337.65</v>
      </c>
      <c r="G168" s="139">
        <v>246.04</v>
      </c>
      <c r="H168" s="141">
        <v>45480.100000000006</v>
      </c>
      <c r="I168" s="141">
        <v>8365.36</v>
      </c>
      <c r="J168" s="136" t="s">
        <v>128</v>
      </c>
      <c r="K168" s="136" t="s">
        <v>1134</v>
      </c>
      <c r="L168" s="136" t="s">
        <v>1300</v>
      </c>
    </row>
    <row r="169" spans="1:12" s="22" customFormat="1" ht="26.65" customHeight="1" x14ac:dyDescent="0.25">
      <c r="A169" s="126" t="s">
        <v>2683</v>
      </c>
      <c r="B169" s="143" t="s">
        <v>1311</v>
      </c>
      <c r="C169" s="140" t="s">
        <v>1312</v>
      </c>
      <c r="D169" s="137" t="s">
        <v>133</v>
      </c>
      <c r="E169" s="138">
        <v>48</v>
      </c>
      <c r="F169" s="139">
        <v>1788.9</v>
      </c>
      <c r="G169" s="139">
        <v>272.27999999999997</v>
      </c>
      <c r="H169" s="141">
        <v>85867.200000000012</v>
      </c>
      <c r="I169" s="141">
        <v>13069.439999999999</v>
      </c>
      <c r="J169" s="136" t="s">
        <v>128</v>
      </c>
      <c r="K169" s="136" t="s">
        <v>1134</v>
      </c>
      <c r="L169" s="136" t="s">
        <v>1300</v>
      </c>
    </row>
    <row r="170" spans="1:12" s="22" customFormat="1" ht="26.65" customHeight="1" x14ac:dyDescent="0.25">
      <c r="A170" s="126" t="s">
        <v>2683</v>
      </c>
      <c r="B170" s="143" t="s">
        <v>1313</v>
      </c>
      <c r="C170" s="140" t="s">
        <v>1314</v>
      </c>
      <c r="D170" s="137" t="s">
        <v>133</v>
      </c>
      <c r="E170" s="138">
        <v>36</v>
      </c>
      <c r="F170" s="139">
        <v>2024.21</v>
      </c>
      <c r="G170" s="139">
        <v>672.5</v>
      </c>
      <c r="H170" s="141">
        <v>72871.56</v>
      </c>
      <c r="I170" s="141">
        <v>24210</v>
      </c>
      <c r="J170" s="136" t="s">
        <v>128</v>
      </c>
      <c r="K170" s="136" t="s">
        <v>1134</v>
      </c>
      <c r="L170" s="136" t="s">
        <v>1300</v>
      </c>
    </row>
    <row r="171" spans="1:12" s="22" customFormat="1" ht="26.65" customHeight="1" x14ac:dyDescent="0.25">
      <c r="A171" s="126" t="s">
        <v>2683</v>
      </c>
      <c r="B171" s="143" t="s">
        <v>1315</v>
      </c>
      <c r="C171" s="140" t="s">
        <v>1316</v>
      </c>
      <c r="D171" s="137" t="s">
        <v>133</v>
      </c>
      <c r="E171" s="138">
        <v>30</v>
      </c>
      <c r="F171" s="139">
        <v>4556.95</v>
      </c>
      <c r="G171" s="139">
        <v>1664.04</v>
      </c>
      <c r="H171" s="141">
        <v>136708.5</v>
      </c>
      <c r="I171" s="141">
        <v>49921.2</v>
      </c>
      <c r="J171" s="136" t="s">
        <v>128</v>
      </c>
      <c r="K171" s="136" t="s">
        <v>1134</v>
      </c>
      <c r="L171" s="136" t="s">
        <v>1300</v>
      </c>
    </row>
    <row r="172" spans="1:12" s="22" customFormat="1" ht="26.25" customHeight="1" x14ac:dyDescent="0.25">
      <c r="A172" s="126" t="s">
        <v>2683</v>
      </c>
      <c r="B172" s="143" t="s">
        <v>1317</v>
      </c>
      <c r="C172" s="140" t="s">
        <v>1318</v>
      </c>
      <c r="D172" s="137" t="s">
        <v>133</v>
      </c>
      <c r="E172" s="138">
        <v>88</v>
      </c>
      <c r="F172" s="139">
        <v>887.65</v>
      </c>
      <c r="G172" s="139">
        <v>234.55</v>
      </c>
      <c r="H172" s="141">
        <v>78113.2</v>
      </c>
      <c r="I172" s="141">
        <v>20640.400000000001</v>
      </c>
      <c r="J172" s="136" t="s">
        <v>128</v>
      </c>
      <c r="K172" s="136" t="s">
        <v>1134</v>
      </c>
      <c r="L172" s="136" t="s">
        <v>1300</v>
      </c>
    </row>
    <row r="173" spans="1:12" s="22" customFormat="1" ht="26.65" customHeight="1" x14ac:dyDescent="0.25">
      <c r="A173" s="126" t="s">
        <v>2683</v>
      </c>
      <c r="B173" s="143" t="s">
        <v>1319</v>
      </c>
      <c r="C173" s="140" t="s">
        <v>1320</v>
      </c>
      <c r="D173" s="137" t="s">
        <v>133</v>
      </c>
      <c r="E173" s="138">
        <v>36</v>
      </c>
      <c r="F173" s="139">
        <v>2220.64</v>
      </c>
      <c r="G173" s="139">
        <v>2499.5500000000002</v>
      </c>
      <c r="H173" s="141">
        <v>79943.039999999994</v>
      </c>
      <c r="I173" s="141">
        <v>89983.8</v>
      </c>
      <c r="J173" s="136" t="s">
        <v>128</v>
      </c>
      <c r="K173" s="136" t="s">
        <v>1134</v>
      </c>
      <c r="L173" s="136" t="s">
        <v>1300</v>
      </c>
    </row>
    <row r="174" spans="1:12" s="22" customFormat="1" ht="26.65" customHeight="1" x14ac:dyDescent="0.25">
      <c r="A174" s="126" t="s">
        <v>2683</v>
      </c>
      <c r="B174" s="143" t="s">
        <v>1321</v>
      </c>
      <c r="C174" s="140" t="s">
        <v>1322</v>
      </c>
      <c r="D174" s="137" t="s">
        <v>133</v>
      </c>
      <c r="E174" s="138">
        <v>66</v>
      </c>
      <c r="F174" s="139">
        <v>3884.69</v>
      </c>
      <c r="G174" s="139">
        <v>4124.1000000000004</v>
      </c>
      <c r="H174" s="141">
        <v>256389.54</v>
      </c>
      <c r="I174" s="141">
        <v>272190.60000000003</v>
      </c>
      <c r="J174" s="136" t="s">
        <v>128</v>
      </c>
      <c r="K174" s="136" t="s">
        <v>1134</v>
      </c>
      <c r="L174" s="136" t="s">
        <v>1300</v>
      </c>
    </row>
    <row r="175" spans="1:12" s="22" customFormat="1" ht="26.65" customHeight="1" x14ac:dyDescent="0.25">
      <c r="A175" s="126" t="s">
        <v>2683</v>
      </c>
      <c r="B175" s="143" t="s">
        <v>1323</v>
      </c>
      <c r="C175" s="140" t="s">
        <v>1324</v>
      </c>
      <c r="D175" s="137" t="s">
        <v>133</v>
      </c>
      <c r="E175" s="138">
        <v>30</v>
      </c>
      <c r="F175" s="139">
        <v>4710.9399999999996</v>
      </c>
      <c r="G175" s="139">
        <v>5765.13</v>
      </c>
      <c r="H175" s="141">
        <v>141328.19999999998</v>
      </c>
      <c r="I175" s="141">
        <v>172953.9</v>
      </c>
      <c r="J175" s="136" t="s">
        <v>128</v>
      </c>
      <c r="K175" s="136" t="s">
        <v>1134</v>
      </c>
      <c r="L175" s="136" t="s">
        <v>1300</v>
      </c>
    </row>
    <row r="176" spans="1:12" s="22" customFormat="1" ht="26.65" customHeight="1" x14ac:dyDescent="0.25">
      <c r="A176" s="126" t="s">
        <v>2683</v>
      </c>
      <c r="B176" s="143" t="s">
        <v>1325</v>
      </c>
      <c r="C176" s="140" t="s">
        <v>1326</v>
      </c>
      <c r="D176" s="137" t="s">
        <v>133</v>
      </c>
      <c r="E176" s="138">
        <v>48</v>
      </c>
      <c r="F176" s="139">
        <v>1607.65</v>
      </c>
      <c r="G176" s="139">
        <v>601.98</v>
      </c>
      <c r="H176" s="141">
        <v>77167.200000000012</v>
      </c>
      <c r="I176" s="141">
        <v>28895.040000000001</v>
      </c>
      <c r="J176" s="136" t="s">
        <v>128</v>
      </c>
      <c r="K176" s="136" t="s">
        <v>1134</v>
      </c>
      <c r="L176" s="136" t="s">
        <v>1300</v>
      </c>
    </row>
    <row r="177" spans="1:12" s="22" customFormat="1" ht="26.65" customHeight="1" x14ac:dyDescent="0.25">
      <c r="A177" s="126" t="s">
        <v>2683</v>
      </c>
      <c r="B177" s="143"/>
      <c r="C177" s="136" t="s">
        <v>1327</v>
      </c>
      <c r="D177" s="137"/>
      <c r="E177" s="138"/>
      <c r="F177" s="139"/>
      <c r="G177" s="139"/>
      <c r="H177" s="139"/>
      <c r="I177" s="139"/>
      <c r="J177" s="126"/>
      <c r="K177" s="126"/>
      <c r="L177" s="126"/>
    </row>
    <row r="178" spans="1:12" s="22" customFormat="1" ht="26.65" customHeight="1" x14ac:dyDescent="0.25">
      <c r="A178" s="126" t="s">
        <v>2683</v>
      </c>
      <c r="B178" s="143" t="s">
        <v>1328</v>
      </c>
      <c r="C178" s="140" t="s">
        <v>1329</v>
      </c>
      <c r="D178" s="137" t="s">
        <v>133</v>
      </c>
      <c r="E178" s="138">
        <v>80</v>
      </c>
      <c r="F178" s="139">
        <v>184.26</v>
      </c>
      <c r="G178" s="139">
        <v>31.09</v>
      </c>
      <c r="H178" s="141">
        <v>14740.8</v>
      </c>
      <c r="I178" s="141">
        <v>2487.1999999999998</v>
      </c>
      <c r="J178" s="126"/>
      <c r="K178" s="126"/>
      <c r="L178" s="136" t="s">
        <v>1327</v>
      </c>
    </row>
    <row r="179" spans="1:12" s="22" customFormat="1" ht="26.65" customHeight="1" x14ac:dyDescent="0.25">
      <c r="A179" s="126" t="s">
        <v>2683</v>
      </c>
      <c r="B179" s="143" t="s">
        <v>1330</v>
      </c>
      <c r="C179" s="140" t="s">
        <v>1331</v>
      </c>
      <c r="D179" s="137" t="s">
        <v>133</v>
      </c>
      <c r="E179" s="138">
        <v>78</v>
      </c>
      <c r="F179" s="139">
        <v>246.76</v>
      </c>
      <c r="G179" s="139">
        <v>49.75</v>
      </c>
      <c r="H179" s="141">
        <v>19247.28</v>
      </c>
      <c r="I179" s="141">
        <v>3880.5</v>
      </c>
      <c r="J179" s="126"/>
      <c r="K179" s="126"/>
      <c r="L179" s="136" t="s">
        <v>1327</v>
      </c>
    </row>
    <row r="180" spans="1:12" s="22" customFormat="1" ht="26.65" customHeight="1" x14ac:dyDescent="0.25">
      <c r="A180" s="126" t="s">
        <v>2683</v>
      </c>
      <c r="B180" s="143" t="s">
        <v>1332</v>
      </c>
      <c r="C180" s="140" t="s">
        <v>1333</v>
      </c>
      <c r="D180" s="137" t="s">
        <v>133</v>
      </c>
      <c r="E180" s="138">
        <v>88</v>
      </c>
      <c r="F180" s="139">
        <v>431.99</v>
      </c>
      <c r="G180" s="139">
        <v>62.19</v>
      </c>
      <c r="H180" s="141">
        <v>38015.120000000003</v>
      </c>
      <c r="I180" s="141">
        <v>5472.7199999999993</v>
      </c>
      <c r="J180" s="126"/>
      <c r="K180" s="126"/>
      <c r="L180" s="136" t="s">
        <v>1327</v>
      </c>
    </row>
    <row r="181" spans="1:12" s="22" customFormat="1" ht="26.65" customHeight="1" x14ac:dyDescent="0.25">
      <c r="A181" s="126" t="s">
        <v>2683</v>
      </c>
      <c r="B181" s="143" t="s">
        <v>1334</v>
      </c>
      <c r="C181" s="140" t="s">
        <v>1335</v>
      </c>
      <c r="D181" s="137" t="s">
        <v>133</v>
      </c>
      <c r="E181" s="138">
        <v>80</v>
      </c>
      <c r="F181" s="139">
        <v>763.75</v>
      </c>
      <c r="G181" s="139">
        <v>87.06</v>
      </c>
      <c r="H181" s="141">
        <v>61100</v>
      </c>
      <c r="I181" s="141">
        <v>6964.8</v>
      </c>
      <c r="J181" s="126"/>
      <c r="K181" s="126"/>
      <c r="L181" s="136" t="s">
        <v>1327</v>
      </c>
    </row>
    <row r="182" spans="1:12" s="22" customFormat="1" ht="26.65" customHeight="1" x14ac:dyDescent="0.25">
      <c r="A182" s="126" t="s">
        <v>2683</v>
      </c>
      <c r="B182" s="143" t="s">
        <v>1336</v>
      </c>
      <c r="C182" s="140" t="s">
        <v>638</v>
      </c>
      <c r="D182" s="137" t="s">
        <v>133</v>
      </c>
      <c r="E182" s="138">
        <v>80</v>
      </c>
      <c r="F182" s="139">
        <v>1132.55</v>
      </c>
      <c r="G182" s="139">
        <v>99.5</v>
      </c>
      <c r="H182" s="141">
        <v>90604</v>
      </c>
      <c r="I182" s="141">
        <v>7960</v>
      </c>
      <c r="J182" s="126"/>
      <c r="K182" s="126"/>
      <c r="L182" s="136" t="s">
        <v>1327</v>
      </c>
    </row>
    <row r="183" spans="1:12" s="22" customFormat="1" ht="26.65" customHeight="1" x14ac:dyDescent="0.25">
      <c r="A183" s="126" t="s">
        <v>2683</v>
      </c>
      <c r="B183" s="143" t="s">
        <v>1337</v>
      </c>
      <c r="C183" s="140" t="s">
        <v>642</v>
      </c>
      <c r="D183" s="137" t="s">
        <v>133</v>
      </c>
      <c r="E183" s="138">
        <v>80</v>
      </c>
      <c r="F183" s="139">
        <v>1652.5</v>
      </c>
      <c r="G183" s="139">
        <v>124.38</v>
      </c>
      <c r="H183" s="141">
        <v>132200</v>
      </c>
      <c r="I183" s="141">
        <v>9950.4</v>
      </c>
      <c r="J183" s="126"/>
      <c r="K183" s="126"/>
      <c r="L183" s="136" t="s">
        <v>1327</v>
      </c>
    </row>
    <row r="184" spans="1:12" s="22" customFormat="1" ht="26.65" customHeight="1" x14ac:dyDescent="0.25">
      <c r="A184" s="126" t="s">
        <v>2683</v>
      </c>
      <c r="B184" s="143" t="s">
        <v>1338</v>
      </c>
      <c r="C184" s="140" t="s">
        <v>1339</v>
      </c>
      <c r="D184" s="137" t="s">
        <v>133</v>
      </c>
      <c r="E184" s="138">
        <v>80</v>
      </c>
      <c r="F184" s="139">
        <v>5224.08</v>
      </c>
      <c r="G184" s="139">
        <v>248.75</v>
      </c>
      <c r="H184" s="141">
        <v>417926.40000000002</v>
      </c>
      <c r="I184" s="141">
        <v>19900</v>
      </c>
      <c r="J184" s="126"/>
      <c r="K184" s="126"/>
      <c r="L184" s="136" t="s">
        <v>1327</v>
      </c>
    </row>
    <row r="185" spans="1:12" s="22" customFormat="1" ht="26.65" customHeight="1" x14ac:dyDescent="0.25">
      <c r="A185" s="126" t="s">
        <v>2683</v>
      </c>
      <c r="B185" s="143" t="s">
        <v>1340</v>
      </c>
      <c r="C185" s="140" t="s">
        <v>1341</v>
      </c>
      <c r="D185" s="137" t="s">
        <v>133</v>
      </c>
      <c r="E185" s="138">
        <v>80</v>
      </c>
      <c r="F185" s="139">
        <v>3447.98</v>
      </c>
      <c r="G185" s="139">
        <v>273.63</v>
      </c>
      <c r="H185" s="141">
        <v>275838.40000000002</v>
      </c>
      <c r="I185" s="141">
        <v>21890.400000000001</v>
      </c>
      <c r="J185" s="126"/>
      <c r="K185" s="126"/>
      <c r="L185" s="136" t="s">
        <v>1327</v>
      </c>
    </row>
    <row r="186" spans="1:12" s="22" customFormat="1" ht="26.65" customHeight="1" x14ac:dyDescent="0.25">
      <c r="A186" s="126" t="s">
        <v>2683</v>
      </c>
      <c r="B186" s="143" t="s">
        <v>1342</v>
      </c>
      <c r="C186" s="140" t="s">
        <v>1343</v>
      </c>
      <c r="D186" s="137" t="s">
        <v>133</v>
      </c>
      <c r="E186" s="138">
        <v>80</v>
      </c>
      <c r="F186" s="139">
        <v>2018.9</v>
      </c>
      <c r="G186" s="139">
        <v>248.75</v>
      </c>
      <c r="H186" s="141">
        <v>161512</v>
      </c>
      <c r="I186" s="141">
        <v>19900</v>
      </c>
      <c r="J186" s="126"/>
      <c r="K186" s="126"/>
      <c r="L186" s="136" t="s">
        <v>1327</v>
      </c>
    </row>
    <row r="187" spans="1:12" s="22" customFormat="1" ht="26.65" customHeight="1" x14ac:dyDescent="0.25">
      <c r="A187" s="126" t="s">
        <v>2683</v>
      </c>
      <c r="B187" s="143" t="s">
        <v>1344</v>
      </c>
      <c r="C187" s="140" t="s">
        <v>1345</v>
      </c>
      <c r="D187" s="137" t="s">
        <v>133</v>
      </c>
      <c r="E187" s="138">
        <v>80</v>
      </c>
      <c r="F187" s="139">
        <v>4462.83</v>
      </c>
      <c r="G187" s="139">
        <v>286.06</v>
      </c>
      <c r="H187" s="141">
        <v>357026.4</v>
      </c>
      <c r="I187" s="141">
        <v>22884.799999999999</v>
      </c>
      <c r="J187" s="126"/>
      <c r="K187" s="126"/>
      <c r="L187" s="136" t="s">
        <v>1327</v>
      </c>
    </row>
    <row r="188" spans="1:12" s="22" customFormat="1" ht="26.65" customHeight="1" x14ac:dyDescent="0.25">
      <c r="A188" s="126" t="s">
        <v>2683</v>
      </c>
      <c r="B188" s="143"/>
      <c r="C188" s="136" t="s">
        <v>1346</v>
      </c>
      <c r="D188" s="137"/>
      <c r="E188" s="138"/>
      <c r="F188" s="139"/>
      <c r="G188" s="139"/>
      <c r="H188" s="139"/>
      <c r="I188" s="139"/>
      <c r="J188" s="126"/>
      <c r="K188" s="126"/>
      <c r="L188" s="126"/>
    </row>
    <row r="189" spans="1:12" s="22" customFormat="1" ht="26.65" customHeight="1" x14ac:dyDescent="0.25">
      <c r="A189" s="126" t="s">
        <v>2683</v>
      </c>
      <c r="B189" s="143" t="s">
        <v>1347</v>
      </c>
      <c r="C189" s="140" t="s">
        <v>1348</v>
      </c>
      <c r="D189" s="137" t="s">
        <v>133</v>
      </c>
      <c r="E189" s="138">
        <v>80</v>
      </c>
      <c r="F189" s="139">
        <v>59.26</v>
      </c>
      <c r="G189" s="139">
        <v>35.700000000000003</v>
      </c>
      <c r="H189" s="141">
        <v>4740.8</v>
      </c>
      <c r="I189" s="141">
        <v>2856</v>
      </c>
      <c r="J189" s="126"/>
      <c r="K189" s="126"/>
      <c r="L189" s="136" t="s">
        <v>1346</v>
      </c>
    </row>
    <row r="190" spans="1:12" s="22" customFormat="1" ht="26.65" customHeight="1" x14ac:dyDescent="0.25">
      <c r="A190" s="126" t="s">
        <v>2683</v>
      </c>
      <c r="B190" s="143" t="s">
        <v>1349</v>
      </c>
      <c r="C190" s="140" t="s">
        <v>1333</v>
      </c>
      <c r="D190" s="137" t="s">
        <v>133</v>
      </c>
      <c r="E190" s="138">
        <v>70</v>
      </c>
      <c r="F190" s="139">
        <v>59.26</v>
      </c>
      <c r="G190" s="139">
        <v>43.53</v>
      </c>
      <c r="H190" s="141">
        <v>4148.2</v>
      </c>
      <c r="I190" s="141">
        <v>3047.1</v>
      </c>
      <c r="J190" s="126"/>
      <c r="K190" s="126"/>
      <c r="L190" s="136" t="s">
        <v>1346</v>
      </c>
    </row>
    <row r="191" spans="1:12" s="22" customFormat="1" ht="26.65" customHeight="1" x14ac:dyDescent="0.25">
      <c r="A191" s="126" t="s">
        <v>2683</v>
      </c>
      <c r="B191" s="143" t="s">
        <v>1350</v>
      </c>
      <c r="C191" s="140" t="s">
        <v>642</v>
      </c>
      <c r="D191" s="137" t="s">
        <v>133</v>
      </c>
      <c r="E191" s="138">
        <v>80</v>
      </c>
      <c r="F191" s="139">
        <v>79.23</v>
      </c>
      <c r="G191" s="139">
        <v>286.06</v>
      </c>
      <c r="H191" s="141">
        <v>6338.4000000000005</v>
      </c>
      <c r="I191" s="141">
        <v>22884.799999999999</v>
      </c>
      <c r="J191" s="126"/>
      <c r="K191" s="126"/>
      <c r="L191" s="136" t="s">
        <v>1346</v>
      </c>
    </row>
    <row r="192" spans="1:12" s="22" customFormat="1" ht="26.65" customHeight="1" x14ac:dyDescent="0.25">
      <c r="A192" s="126" t="s">
        <v>2683</v>
      </c>
      <c r="B192" s="143"/>
      <c r="C192" s="136" t="s">
        <v>1351</v>
      </c>
      <c r="D192" s="137"/>
      <c r="E192" s="138"/>
      <c r="F192" s="139"/>
      <c r="G192" s="139"/>
      <c r="H192" s="139"/>
      <c r="I192" s="139"/>
      <c r="J192" s="126"/>
      <c r="K192" s="126"/>
      <c r="L192" s="126"/>
    </row>
    <row r="193" spans="1:12" s="22" customFormat="1" ht="26.65" customHeight="1" x14ac:dyDescent="0.25">
      <c r="A193" s="126" t="s">
        <v>2683</v>
      </c>
      <c r="B193" s="143" t="s">
        <v>1352</v>
      </c>
      <c r="C193" s="140" t="s">
        <v>1353</v>
      </c>
      <c r="D193" s="137" t="s">
        <v>133</v>
      </c>
      <c r="E193" s="138">
        <v>80</v>
      </c>
      <c r="F193" s="139">
        <v>118.83</v>
      </c>
      <c r="G193" s="139">
        <v>9.9499999999999993</v>
      </c>
      <c r="H193" s="141">
        <v>9506.4</v>
      </c>
      <c r="I193" s="141">
        <v>796</v>
      </c>
      <c r="J193" s="126"/>
      <c r="K193" s="126"/>
      <c r="L193" s="136" t="s">
        <v>1351</v>
      </c>
    </row>
    <row r="194" spans="1:12" s="22" customFormat="1" ht="26.65" customHeight="1" x14ac:dyDescent="0.25">
      <c r="A194" s="126" t="s">
        <v>2683</v>
      </c>
      <c r="B194" s="143" t="s">
        <v>1354</v>
      </c>
      <c r="C194" s="140" t="s">
        <v>1355</v>
      </c>
      <c r="D194" s="137" t="s">
        <v>133</v>
      </c>
      <c r="E194" s="138">
        <v>62</v>
      </c>
      <c r="F194" s="139">
        <v>118.83</v>
      </c>
      <c r="G194" s="139">
        <v>12.44</v>
      </c>
      <c r="H194" s="141">
        <v>7367.46</v>
      </c>
      <c r="I194" s="141">
        <v>771.28</v>
      </c>
      <c r="J194" s="126"/>
      <c r="K194" s="126"/>
      <c r="L194" s="136" t="s">
        <v>1351</v>
      </c>
    </row>
    <row r="195" spans="1:12" s="22" customFormat="1" ht="26.65" customHeight="1" x14ac:dyDescent="0.25">
      <c r="A195" s="126" t="s">
        <v>2683</v>
      </c>
      <c r="B195" s="143" t="s">
        <v>1356</v>
      </c>
      <c r="C195" s="140" t="s">
        <v>1357</v>
      </c>
      <c r="D195" s="137" t="s">
        <v>133</v>
      </c>
      <c r="E195" s="138">
        <v>80</v>
      </c>
      <c r="F195" s="139">
        <v>118.83</v>
      </c>
      <c r="G195" s="139">
        <v>18.66</v>
      </c>
      <c r="H195" s="141">
        <v>9506.4</v>
      </c>
      <c r="I195" s="141">
        <v>1492.8</v>
      </c>
      <c r="J195" s="126"/>
      <c r="K195" s="126"/>
      <c r="L195" s="136" t="s">
        <v>1351</v>
      </c>
    </row>
    <row r="196" spans="1:12" s="22" customFormat="1" ht="26.65" customHeight="1" x14ac:dyDescent="0.25">
      <c r="A196" s="126" t="s">
        <v>2683</v>
      </c>
      <c r="B196" s="143" t="s">
        <v>1358</v>
      </c>
      <c r="C196" s="140" t="s">
        <v>1359</v>
      </c>
      <c r="D196" s="137" t="s">
        <v>133</v>
      </c>
      <c r="E196" s="138">
        <v>70</v>
      </c>
      <c r="F196" s="139">
        <v>118.83</v>
      </c>
      <c r="G196" s="139">
        <v>24.88</v>
      </c>
      <c r="H196" s="141">
        <v>8318.1</v>
      </c>
      <c r="I196" s="141">
        <v>1741.6</v>
      </c>
      <c r="J196" s="126"/>
      <c r="K196" s="126"/>
      <c r="L196" s="136" t="s">
        <v>1351</v>
      </c>
    </row>
    <row r="197" spans="1:12" s="22" customFormat="1" ht="26.65" customHeight="1" x14ac:dyDescent="0.25">
      <c r="A197" s="126" t="s">
        <v>2683</v>
      </c>
      <c r="B197" s="143" t="s">
        <v>1360</v>
      </c>
      <c r="C197" s="140" t="s">
        <v>1361</v>
      </c>
      <c r="D197" s="137" t="s">
        <v>133</v>
      </c>
      <c r="E197" s="138">
        <v>88</v>
      </c>
      <c r="F197" s="139">
        <v>118.83</v>
      </c>
      <c r="G197" s="139">
        <v>37.31</v>
      </c>
      <c r="H197" s="141">
        <v>10457.039999999999</v>
      </c>
      <c r="I197" s="141">
        <v>3283.28</v>
      </c>
      <c r="J197" s="126"/>
      <c r="K197" s="126"/>
      <c r="L197" s="136" t="s">
        <v>1351</v>
      </c>
    </row>
    <row r="198" spans="1:12" s="22" customFormat="1" ht="26.65" customHeight="1" x14ac:dyDescent="0.25">
      <c r="A198" s="126" t="s">
        <v>2683</v>
      </c>
      <c r="B198" s="143" t="s">
        <v>1362</v>
      </c>
      <c r="C198" s="140" t="s">
        <v>1335</v>
      </c>
      <c r="D198" s="137" t="s">
        <v>133</v>
      </c>
      <c r="E198" s="138">
        <v>92</v>
      </c>
      <c r="F198" s="139">
        <v>118.83</v>
      </c>
      <c r="G198" s="139">
        <v>52.24</v>
      </c>
      <c r="H198" s="141">
        <v>10932.36</v>
      </c>
      <c r="I198" s="141">
        <v>4806.08</v>
      </c>
      <c r="J198" s="126"/>
      <c r="K198" s="126"/>
      <c r="L198" s="136" t="s">
        <v>1351</v>
      </c>
    </row>
    <row r="199" spans="1:12" s="22" customFormat="1" ht="26.65" customHeight="1" x14ac:dyDescent="0.25">
      <c r="A199" s="126" t="s">
        <v>2683</v>
      </c>
      <c r="B199" s="143" t="s">
        <v>1363</v>
      </c>
      <c r="C199" s="140" t="s">
        <v>1364</v>
      </c>
      <c r="D199" s="137" t="s">
        <v>133</v>
      </c>
      <c r="E199" s="138">
        <v>92</v>
      </c>
      <c r="F199" s="139">
        <v>118.83</v>
      </c>
      <c r="G199" s="139">
        <v>52.24</v>
      </c>
      <c r="H199" s="141">
        <v>10932.36</v>
      </c>
      <c r="I199" s="141">
        <v>4806.08</v>
      </c>
      <c r="J199" s="126"/>
      <c r="K199" s="126"/>
      <c r="L199" s="136" t="s">
        <v>1351</v>
      </c>
    </row>
    <row r="200" spans="1:12" s="22" customFormat="1" ht="26.65" customHeight="1" x14ac:dyDescent="0.25">
      <c r="A200" s="126" t="s">
        <v>2683</v>
      </c>
      <c r="B200" s="143" t="s">
        <v>1365</v>
      </c>
      <c r="C200" s="140" t="s">
        <v>1366</v>
      </c>
      <c r="D200" s="137" t="s">
        <v>133</v>
      </c>
      <c r="E200" s="138">
        <v>52</v>
      </c>
      <c r="F200" s="139">
        <v>118.83</v>
      </c>
      <c r="G200" s="139">
        <v>62.19</v>
      </c>
      <c r="H200" s="141">
        <v>6179.16</v>
      </c>
      <c r="I200" s="141">
        <v>3233.88</v>
      </c>
      <c r="J200" s="126"/>
      <c r="K200" s="126"/>
      <c r="L200" s="136" t="s">
        <v>1351</v>
      </c>
    </row>
    <row r="201" spans="1:12" s="22" customFormat="1" ht="26.65" customHeight="1" x14ac:dyDescent="0.25">
      <c r="A201" s="126" t="s">
        <v>2683</v>
      </c>
      <c r="B201" s="143" t="s">
        <v>1367</v>
      </c>
      <c r="C201" s="140" t="s">
        <v>1368</v>
      </c>
      <c r="D201" s="137" t="s">
        <v>133</v>
      </c>
      <c r="E201" s="138">
        <v>64</v>
      </c>
      <c r="F201" s="139">
        <v>118.83</v>
      </c>
      <c r="G201" s="139">
        <v>80.84</v>
      </c>
      <c r="H201" s="141">
        <v>7605.12</v>
      </c>
      <c r="I201" s="141">
        <v>5173.76</v>
      </c>
      <c r="J201" s="126"/>
      <c r="K201" s="126"/>
      <c r="L201" s="136" t="s">
        <v>1351</v>
      </c>
    </row>
    <row r="202" spans="1:12" s="22" customFormat="1" ht="26.65" customHeight="1" x14ac:dyDescent="0.25">
      <c r="A202" s="126" t="s">
        <v>2683</v>
      </c>
      <c r="B202" s="143" t="s">
        <v>1369</v>
      </c>
      <c r="C202" s="140" t="s">
        <v>1368</v>
      </c>
      <c r="D202" s="137" t="s">
        <v>133</v>
      </c>
      <c r="E202" s="138">
        <v>64</v>
      </c>
      <c r="F202" s="139">
        <v>118.83</v>
      </c>
      <c r="G202" s="139">
        <v>80.84</v>
      </c>
      <c r="H202" s="141">
        <v>7605.12</v>
      </c>
      <c r="I202" s="141">
        <v>5173.76</v>
      </c>
      <c r="J202" s="126"/>
      <c r="K202" s="126"/>
      <c r="L202" s="136" t="s">
        <v>1351</v>
      </c>
    </row>
    <row r="203" spans="1:12" s="22" customFormat="1" ht="26.65" customHeight="1" x14ac:dyDescent="0.25">
      <c r="A203" s="126" t="s">
        <v>2683</v>
      </c>
      <c r="B203" s="143" t="s">
        <v>1370</v>
      </c>
      <c r="C203" s="140" t="s">
        <v>1368</v>
      </c>
      <c r="D203" s="137" t="s">
        <v>133</v>
      </c>
      <c r="E203" s="138">
        <v>64</v>
      </c>
      <c r="F203" s="139">
        <v>118.83</v>
      </c>
      <c r="G203" s="139">
        <v>80.84</v>
      </c>
      <c r="H203" s="141">
        <v>7605.12</v>
      </c>
      <c r="I203" s="141">
        <v>5173.76</v>
      </c>
      <c r="J203" s="126"/>
      <c r="K203" s="126"/>
      <c r="L203" s="136" t="s">
        <v>1351</v>
      </c>
    </row>
    <row r="204" spans="1:12" s="22" customFormat="1" ht="26.65" customHeight="1" x14ac:dyDescent="0.25">
      <c r="A204" s="126" t="s">
        <v>2683</v>
      </c>
      <c r="B204" s="143" t="s">
        <v>1371</v>
      </c>
      <c r="C204" s="140" t="s">
        <v>1372</v>
      </c>
      <c r="D204" s="137" t="s">
        <v>133</v>
      </c>
      <c r="E204" s="138">
        <v>30</v>
      </c>
      <c r="F204" s="139">
        <v>118.83</v>
      </c>
      <c r="G204" s="139">
        <v>80.84</v>
      </c>
      <c r="H204" s="141">
        <v>3564.9</v>
      </c>
      <c r="I204" s="141">
        <v>2425.2000000000003</v>
      </c>
      <c r="J204" s="126"/>
      <c r="K204" s="126"/>
      <c r="L204" s="136" t="s">
        <v>1351</v>
      </c>
    </row>
    <row r="205" spans="1:12" s="22" customFormat="1" ht="26.65" customHeight="1" x14ac:dyDescent="0.25">
      <c r="A205" s="126" t="s">
        <v>2683</v>
      </c>
      <c r="B205" s="143" t="s">
        <v>1373</v>
      </c>
      <c r="C205" s="140" t="s">
        <v>1374</v>
      </c>
      <c r="D205" s="137" t="s">
        <v>133</v>
      </c>
      <c r="E205" s="138">
        <v>68</v>
      </c>
      <c r="F205" s="139">
        <v>118.83</v>
      </c>
      <c r="G205" s="139">
        <v>12.44</v>
      </c>
      <c r="H205" s="141">
        <v>8080.44</v>
      </c>
      <c r="I205" s="141">
        <v>845.92</v>
      </c>
      <c r="J205" s="126"/>
      <c r="K205" s="126"/>
      <c r="L205" s="136" t="s">
        <v>1351</v>
      </c>
    </row>
    <row r="206" spans="1:12" s="22" customFormat="1" ht="26.65" customHeight="1" x14ac:dyDescent="0.25">
      <c r="A206" s="126" t="s">
        <v>2683</v>
      </c>
      <c r="B206" s="143" t="s">
        <v>1375</v>
      </c>
      <c r="C206" s="140" t="s">
        <v>1376</v>
      </c>
      <c r="D206" s="137" t="s">
        <v>133</v>
      </c>
      <c r="E206" s="138">
        <v>80</v>
      </c>
      <c r="F206" s="139">
        <v>3657.66</v>
      </c>
      <c r="G206" s="139">
        <v>124.38</v>
      </c>
      <c r="H206" s="141">
        <v>292612.8</v>
      </c>
      <c r="I206" s="141">
        <v>9950.4</v>
      </c>
      <c r="J206" s="126"/>
      <c r="K206" s="126"/>
      <c r="L206" s="136" t="s">
        <v>1351</v>
      </c>
    </row>
    <row r="207" spans="1:12" s="22" customFormat="1" ht="26.65" customHeight="1" x14ac:dyDescent="0.25">
      <c r="A207" s="126" t="s">
        <v>2683</v>
      </c>
      <c r="B207" s="143" t="s">
        <v>1377</v>
      </c>
      <c r="C207" s="140" t="s">
        <v>1378</v>
      </c>
      <c r="D207" s="137" t="s">
        <v>133</v>
      </c>
      <c r="E207" s="138">
        <v>72</v>
      </c>
      <c r="F207" s="139">
        <v>4483.91</v>
      </c>
      <c r="G207" s="139">
        <v>186.56</v>
      </c>
      <c r="H207" s="141">
        <v>322841.52</v>
      </c>
      <c r="I207" s="141">
        <v>13432.32</v>
      </c>
      <c r="J207" s="126"/>
      <c r="K207" s="126"/>
      <c r="L207" s="136" t="s">
        <v>1351</v>
      </c>
    </row>
    <row r="208" spans="1:12" s="22" customFormat="1" ht="26.65" customHeight="1" x14ac:dyDescent="0.25">
      <c r="A208" s="126" t="s">
        <v>2683</v>
      </c>
      <c r="B208" s="143" t="s">
        <v>1379</v>
      </c>
      <c r="C208" s="140" t="s">
        <v>1380</v>
      </c>
      <c r="D208" s="137" t="s">
        <v>2695</v>
      </c>
      <c r="E208" s="138">
        <v>40</v>
      </c>
      <c r="F208" s="139">
        <v>118.83</v>
      </c>
      <c r="G208" s="139">
        <v>98.26</v>
      </c>
      <c r="H208" s="141">
        <v>4753.2</v>
      </c>
      <c r="I208" s="141">
        <v>3930.4</v>
      </c>
      <c r="J208" s="126"/>
      <c r="K208" s="126"/>
      <c r="L208" s="136" t="s">
        <v>1351</v>
      </c>
    </row>
    <row r="209" spans="1:12" s="22" customFormat="1" ht="26.65" customHeight="1" x14ac:dyDescent="0.25">
      <c r="A209" s="126" t="s">
        <v>2683</v>
      </c>
      <c r="B209" s="143"/>
      <c r="C209" s="136" t="s">
        <v>1381</v>
      </c>
      <c r="D209" s="137"/>
      <c r="E209" s="138"/>
      <c r="F209" s="139"/>
      <c r="G209" s="139"/>
      <c r="H209" s="139"/>
      <c r="I209" s="139"/>
      <c r="J209" s="126"/>
      <c r="K209" s="126"/>
      <c r="L209" s="126"/>
    </row>
    <row r="210" spans="1:12" s="22" customFormat="1" ht="26.65" customHeight="1" x14ac:dyDescent="0.25">
      <c r="A210" s="126" t="s">
        <v>2683</v>
      </c>
      <c r="B210" s="143" t="s">
        <v>1382</v>
      </c>
      <c r="C210" s="140" t="s">
        <v>1383</v>
      </c>
      <c r="D210" s="137" t="s">
        <v>133</v>
      </c>
      <c r="E210" s="138">
        <v>64</v>
      </c>
      <c r="F210" s="139">
        <v>118.83</v>
      </c>
      <c r="G210" s="139">
        <v>370.64</v>
      </c>
      <c r="H210" s="141">
        <v>7605.12</v>
      </c>
      <c r="I210" s="141">
        <v>23720.959999999999</v>
      </c>
      <c r="J210" s="126"/>
      <c r="K210" s="126"/>
      <c r="L210" s="136" t="s">
        <v>1381</v>
      </c>
    </row>
    <row r="211" spans="1:12" s="22" customFormat="1" ht="26.65" customHeight="1" x14ac:dyDescent="0.25">
      <c r="A211" s="126" t="s">
        <v>2683</v>
      </c>
      <c r="B211" s="143" t="s">
        <v>1384</v>
      </c>
      <c r="C211" s="140" t="s">
        <v>1385</v>
      </c>
      <c r="D211" s="137" t="s">
        <v>133</v>
      </c>
      <c r="E211" s="138">
        <v>66</v>
      </c>
      <c r="F211" s="139">
        <v>118.83</v>
      </c>
      <c r="G211" s="139">
        <v>495.01</v>
      </c>
      <c r="H211" s="141">
        <v>7842.78</v>
      </c>
      <c r="I211" s="141">
        <v>32670.66</v>
      </c>
      <c r="J211" s="126"/>
      <c r="K211" s="126"/>
      <c r="L211" s="136" t="s">
        <v>1381</v>
      </c>
    </row>
    <row r="212" spans="1:12" s="22" customFormat="1" ht="26.65" customHeight="1" x14ac:dyDescent="0.25">
      <c r="A212" s="126" t="s">
        <v>2683</v>
      </c>
      <c r="B212" s="143"/>
      <c r="C212" s="136" t="s">
        <v>1386</v>
      </c>
      <c r="D212" s="137"/>
      <c r="E212" s="138"/>
      <c r="F212" s="139"/>
      <c r="G212" s="139"/>
      <c r="H212" s="139"/>
      <c r="I212" s="139"/>
      <c r="J212" s="126"/>
      <c r="K212" s="126"/>
      <c r="L212" s="126"/>
    </row>
    <row r="213" spans="1:12" s="22" customFormat="1" ht="26.65" customHeight="1" x14ac:dyDescent="0.25">
      <c r="A213" s="126" t="s">
        <v>2683</v>
      </c>
      <c r="B213" s="143" t="s">
        <v>1387</v>
      </c>
      <c r="C213" s="140" t="s">
        <v>1388</v>
      </c>
      <c r="D213" s="137" t="s">
        <v>133</v>
      </c>
      <c r="E213" s="138">
        <v>130</v>
      </c>
      <c r="F213" s="139">
        <v>79.23</v>
      </c>
      <c r="G213" s="139">
        <v>1.19</v>
      </c>
      <c r="H213" s="141">
        <v>10299.9</v>
      </c>
      <c r="I213" s="141">
        <v>154.69999999999999</v>
      </c>
      <c r="J213" s="126"/>
      <c r="K213" s="126"/>
      <c r="L213" s="136" t="s">
        <v>1386</v>
      </c>
    </row>
    <row r="214" spans="1:12" s="22" customFormat="1" ht="26.65" customHeight="1" x14ac:dyDescent="0.25">
      <c r="A214" s="126" t="s">
        <v>2683</v>
      </c>
      <c r="B214" s="143" t="s">
        <v>1389</v>
      </c>
      <c r="C214" s="140" t="s">
        <v>1390</v>
      </c>
      <c r="D214" s="137" t="s">
        <v>133</v>
      </c>
      <c r="E214" s="138">
        <v>180</v>
      </c>
      <c r="F214" s="139">
        <v>79.23</v>
      </c>
      <c r="G214" s="139">
        <v>1.39</v>
      </c>
      <c r="H214" s="141">
        <v>14261.400000000001</v>
      </c>
      <c r="I214" s="141">
        <v>250.2</v>
      </c>
      <c r="J214" s="126"/>
      <c r="K214" s="126"/>
      <c r="L214" s="136" t="s">
        <v>1386</v>
      </c>
    </row>
    <row r="215" spans="1:12" s="22" customFormat="1" ht="26.65" customHeight="1" x14ac:dyDescent="0.25">
      <c r="A215" s="126" t="s">
        <v>2683</v>
      </c>
      <c r="B215" s="143" t="s">
        <v>1391</v>
      </c>
      <c r="C215" s="140" t="s">
        <v>1392</v>
      </c>
      <c r="D215" s="137" t="s">
        <v>133</v>
      </c>
      <c r="E215" s="138">
        <v>80</v>
      </c>
      <c r="F215" s="139">
        <v>79.23</v>
      </c>
      <c r="G215" s="139">
        <v>5.35</v>
      </c>
      <c r="H215" s="141">
        <v>6338.4000000000005</v>
      </c>
      <c r="I215" s="141">
        <v>428</v>
      </c>
      <c r="J215" s="126"/>
      <c r="K215" s="126"/>
      <c r="L215" s="136" t="s">
        <v>1386</v>
      </c>
    </row>
    <row r="216" spans="1:12" s="22" customFormat="1" ht="26.65" customHeight="1" x14ac:dyDescent="0.25">
      <c r="A216" s="126" t="s">
        <v>2683</v>
      </c>
      <c r="B216" s="143" t="s">
        <v>1393</v>
      </c>
      <c r="C216" s="140" t="s">
        <v>1394</v>
      </c>
      <c r="D216" s="137" t="s">
        <v>133</v>
      </c>
      <c r="E216" s="138">
        <v>110</v>
      </c>
      <c r="F216" s="139">
        <v>79.23</v>
      </c>
      <c r="G216" s="139">
        <v>2.59</v>
      </c>
      <c r="H216" s="141">
        <v>8715.3000000000011</v>
      </c>
      <c r="I216" s="141">
        <v>284.89999999999998</v>
      </c>
      <c r="J216" s="126"/>
      <c r="K216" s="126"/>
      <c r="L216" s="136" t="s">
        <v>1386</v>
      </c>
    </row>
    <row r="217" spans="1:12" s="22" customFormat="1" ht="26.65" customHeight="1" x14ac:dyDescent="0.25">
      <c r="A217" s="126" t="s">
        <v>2683</v>
      </c>
      <c r="B217" s="143" t="s">
        <v>1395</v>
      </c>
      <c r="C217" s="140" t="s">
        <v>1396</v>
      </c>
      <c r="D217" s="137" t="s">
        <v>133</v>
      </c>
      <c r="E217" s="138">
        <v>542</v>
      </c>
      <c r="F217" s="139">
        <v>79.23</v>
      </c>
      <c r="G217" s="139">
        <v>5.75</v>
      </c>
      <c r="H217" s="141">
        <v>42942.66</v>
      </c>
      <c r="I217" s="141">
        <v>3116.5</v>
      </c>
      <c r="J217" s="126"/>
      <c r="K217" s="126"/>
      <c r="L217" s="136" t="s">
        <v>1386</v>
      </c>
    </row>
    <row r="218" spans="1:12" s="22" customFormat="1" ht="26.65" customHeight="1" x14ac:dyDescent="0.25">
      <c r="A218" s="126" t="s">
        <v>2683</v>
      </c>
      <c r="B218" s="143" t="s">
        <v>1397</v>
      </c>
      <c r="C218" s="140" t="s">
        <v>1398</v>
      </c>
      <c r="D218" s="137" t="s">
        <v>133</v>
      </c>
      <c r="E218" s="138">
        <v>244</v>
      </c>
      <c r="F218" s="139">
        <v>79.23</v>
      </c>
      <c r="G218" s="139">
        <v>10.050000000000001</v>
      </c>
      <c r="H218" s="141">
        <v>19332.120000000003</v>
      </c>
      <c r="I218" s="141">
        <v>2452.2000000000003</v>
      </c>
      <c r="J218" s="126"/>
      <c r="K218" s="126"/>
      <c r="L218" s="136" t="s">
        <v>1386</v>
      </c>
    </row>
    <row r="219" spans="1:12" s="22" customFormat="1" ht="26.65" customHeight="1" x14ac:dyDescent="0.25">
      <c r="A219" s="126" t="s">
        <v>2683</v>
      </c>
      <c r="B219" s="143" t="s">
        <v>1399</v>
      </c>
      <c r="C219" s="140" t="s">
        <v>1400</v>
      </c>
      <c r="D219" s="137" t="s">
        <v>133</v>
      </c>
      <c r="E219" s="138">
        <v>52</v>
      </c>
      <c r="F219" s="139">
        <v>79.23</v>
      </c>
      <c r="G219" s="139">
        <v>4.8</v>
      </c>
      <c r="H219" s="141">
        <v>4119.96</v>
      </c>
      <c r="I219" s="141">
        <v>249.6</v>
      </c>
      <c r="J219" s="126"/>
      <c r="K219" s="126"/>
      <c r="L219" s="136" t="s">
        <v>1386</v>
      </c>
    </row>
    <row r="220" spans="1:12" s="22" customFormat="1" ht="26.65" customHeight="1" x14ac:dyDescent="0.25">
      <c r="A220" s="126" t="s">
        <v>2683</v>
      </c>
      <c r="B220" s="143" t="s">
        <v>1401</v>
      </c>
      <c r="C220" s="140" t="s">
        <v>1402</v>
      </c>
      <c r="D220" s="137" t="s">
        <v>133</v>
      </c>
      <c r="E220" s="138">
        <v>104</v>
      </c>
      <c r="F220" s="139">
        <v>79.23</v>
      </c>
      <c r="G220" s="139">
        <v>11.14</v>
      </c>
      <c r="H220" s="141">
        <v>8239.92</v>
      </c>
      <c r="I220" s="141">
        <v>1158.56</v>
      </c>
      <c r="J220" s="126"/>
      <c r="K220" s="126"/>
      <c r="L220" s="136" t="s">
        <v>1386</v>
      </c>
    </row>
    <row r="221" spans="1:12" s="22" customFormat="1" ht="26.65" customHeight="1" x14ac:dyDescent="0.25">
      <c r="A221" s="126" t="s">
        <v>2683</v>
      </c>
      <c r="B221" s="143" t="s">
        <v>1403</v>
      </c>
      <c r="C221" s="140" t="s">
        <v>1404</v>
      </c>
      <c r="D221" s="137" t="s">
        <v>133</v>
      </c>
      <c r="E221" s="138">
        <v>104</v>
      </c>
      <c r="F221" s="139">
        <v>79.23</v>
      </c>
      <c r="G221" s="139">
        <v>5.8</v>
      </c>
      <c r="H221" s="141">
        <v>8239.92</v>
      </c>
      <c r="I221" s="141">
        <v>603.19999999999993</v>
      </c>
      <c r="J221" s="126"/>
      <c r="K221" s="126"/>
      <c r="L221" s="136" t="s">
        <v>1386</v>
      </c>
    </row>
    <row r="222" spans="1:12" s="22" customFormat="1" ht="26.65" customHeight="1" x14ac:dyDescent="0.25">
      <c r="A222" s="126" t="s">
        <v>2683</v>
      </c>
      <c r="B222" s="143" t="s">
        <v>1405</v>
      </c>
      <c r="C222" s="140" t="s">
        <v>1406</v>
      </c>
      <c r="D222" s="137" t="s">
        <v>133</v>
      </c>
      <c r="E222" s="138">
        <v>92</v>
      </c>
      <c r="F222" s="139">
        <v>79.23</v>
      </c>
      <c r="G222" s="139">
        <v>6.1</v>
      </c>
      <c r="H222" s="141">
        <v>7289.1600000000008</v>
      </c>
      <c r="I222" s="141">
        <v>561.19999999999993</v>
      </c>
      <c r="J222" s="126"/>
      <c r="K222" s="126"/>
      <c r="L222" s="136" t="s">
        <v>1386</v>
      </c>
    </row>
    <row r="223" spans="1:12" s="22" customFormat="1" ht="26.65" customHeight="1" x14ac:dyDescent="0.25">
      <c r="A223" s="126" t="s">
        <v>2683</v>
      </c>
      <c r="B223" s="143" t="s">
        <v>1407</v>
      </c>
      <c r="C223" s="140" t="s">
        <v>1408</v>
      </c>
      <c r="D223" s="137" t="s">
        <v>133</v>
      </c>
      <c r="E223" s="138">
        <v>160</v>
      </c>
      <c r="F223" s="139">
        <v>138.5</v>
      </c>
      <c r="G223" s="139">
        <v>13.73</v>
      </c>
      <c r="H223" s="141">
        <v>22160</v>
      </c>
      <c r="I223" s="141">
        <v>2196.8000000000002</v>
      </c>
      <c r="J223" s="126"/>
      <c r="K223" s="126"/>
      <c r="L223" s="136" t="s">
        <v>1386</v>
      </c>
    </row>
    <row r="224" spans="1:12" s="22" customFormat="1" ht="26.65" customHeight="1" x14ac:dyDescent="0.25">
      <c r="A224" s="126" t="s">
        <v>2683</v>
      </c>
      <c r="B224" s="143"/>
      <c r="C224" s="136" t="s">
        <v>1409</v>
      </c>
      <c r="D224" s="137"/>
      <c r="E224" s="138"/>
      <c r="F224" s="139"/>
      <c r="G224" s="139"/>
      <c r="H224" s="139"/>
      <c r="I224" s="139"/>
      <c r="J224" s="126"/>
      <c r="K224" s="126"/>
      <c r="L224" s="126"/>
    </row>
    <row r="225" spans="1:12" s="22" customFormat="1" ht="26.65" customHeight="1" x14ac:dyDescent="0.25">
      <c r="A225" s="126" t="s">
        <v>2683</v>
      </c>
      <c r="B225" s="143" t="s">
        <v>1410</v>
      </c>
      <c r="C225" s="140" t="s">
        <v>1411</v>
      </c>
      <c r="D225" s="137" t="s">
        <v>133</v>
      </c>
      <c r="E225" s="138">
        <v>88</v>
      </c>
      <c r="F225" s="139">
        <v>79.23</v>
      </c>
      <c r="G225" s="139">
        <v>1.24</v>
      </c>
      <c r="H225" s="141">
        <v>6972.2400000000007</v>
      </c>
      <c r="I225" s="141">
        <v>109.12</v>
      </c>
      <c r="J225" s="126"/>
      <c r="K225" s="126"/>
      <c r="L225" s="136" t="s">
        <v>1409</v>
      </c>
    </row>
    <row r="226" spans="1:12" s="22" customFormat="1" ht="26.65" customHeight="1" x14ac:dyDescent="0.25">
      <c r="A226" s="126" t="s">
        <v>2683</v>
      </c>
      <c r="B226" s="143" t="s">
        <v>1412</v>
      </c>
      <c r="C226" s="140" t="s">
        <v>1413</v>
      </c>
      <c r="D226" s="137" t="s">
        <v>133</v>
      </c>
      <c r="E226" s="138">
        <v>200</v>
      </c>
      <c r="F226" s="139">
        <v>79.23</v>
      </c>
      <c r="G226" s="139">
        <v>2.68</v>
      </c>
      <c r="H226" s="141">
        <v>15846</v>
      </c>
      <c r="I226" s="141">
        <v>536</v>
      </c>
      <c r="J226" s="126"/>
      <c r="K226" s="126"/>
      <c r="L226" s="136" t="s">
        <v>1409</v>
      </c>
    </row>
    <row r="227" spans="1:12" s="22" customFormat="1" ht="26.65" customHeight="1" x14ac:dyDescent="0.25">
      <c r="A227" s="126" t="s">
        <v>2683</v>
      </c>
      <c r="B227" s="143" t="s">
        <v>1414</v>
      </c>
      <c r="C227" s="140" t="s">
        <v>1415</v>
      </c>
      <c r="D227" s="137" t="s">
        <v>133</v>
      </c>
      <c r="E227" s="138">
        <v>506</v>
      </c>
      <c r="F227" s="139">
        <v>79.23</v>
      </c>
      <c r="G227" s="139">
        <v>3.18</v>
      </c>
      <c r="H227" s="141">
        <v>40090.380000000005</v>
      </c>
      <c r="I227" s="141">
        <v>1609.0800000000002</v>
      </c>
      <c r="J227" s="126"/>
      <c r="K227" s="126"/>
      <c r="L227" s="136" t="s">
        <v>1409</v>
      </c>
    </row>
    <row r="228" spans="1:12" s="22" customFormat="1" ht="26.65" customHeight="1" x14ac:dyDescent="0.25">
      <c r="A228" s="126" t="s">
        <v>2683</v>
      </c>
      <c r="B228" s="143" t="s">
        <v>1416</v>
      </c>
      <c r="C228" s="140" t="s">
        <v>1417</v>
      </c>
      <c r="D228" s="137" t="s">
        <v>133</v>
      </c>
      <c r="E228" s="138">
        <v>488</v>
      </c>
      <c r="F228" s="139">
        <v>79.23</v>
      </c>
      <c r="G228" s="139">
        <v>3.38</v>
      </c>
      <c r="H228" s="141">
        <v>38664.240000000005</v>
      </c>
      <c r="I228" s="141">
        <v>1649.44</v>
      </c>
      <c r="J228" s="126"/>
      <c r="K228" s="126"/>
      <c r="L228" s="136" t="s">
        <v>1409</v>
      </c>
    </row>
    <row r="229" spans="1:12" s="22" customFormat="1" ht="26.65" customHeight="1" x14ac:dyDescent="0.25">
      <c r="A229" s="126" t="s">
        <v>2683</v>
      </c>
      <c r="B229" s="143" t="s">
        <v>1418</v>
      </c>
      <c r="C229" s="140" t="s">
        <v>1419</v>
      </c>
      <c r="D229" s="137" t="s">
        <v>133</v>
      </c>
      <c r="E229" s="138">
        <v>332</v>
      </c>
      <c r="F229" s="139">
        <v>79.23</v>
      </c>
      <c r="G229" s="139">
        <v>3.58</v>
      </c>
      <c r="H229" s="141">
        <v>26304.36</v>
      </c>
      <c r="I229" s="141">
        <v>1188.56</v>
      </c>
      <c r="J229" s="126"/>
      <c r="K229" s="126"/>
      <c r="L229" s="136" t="s">
        <v>1409</v>
      </c>
    </row>
    <row r="230" spans="1:12" s="22" customFormat="1" ht="26.65" customHeight="1" x14ac:dyDescent="0.25">
      <c r="A230" s="126" t="s">
        <v>2683</v>
      </c>
      <c r="B230" s="143" t="s">
        <v>1420</v>
      </c>
      <c r="C230" s="140" t="s">
        <v>1421</v>
      </c>
      <c r="D230" s="137" t="s">
        <v>133</v>
      </c>
      <c r="E230" s="138">
        <v>200</v>
      </c>
      <c r="F230" s="139">
        <v>79.23</v>
      </c>
      <c r="G230" s="139">
        <v>3.63</v>
      </c>
      <c r="H230" s="141">
        <v>15846</v>
      </c>
      <c r="I230" s="141">
        <v>726</v>
      </c>
      <c r="J230" s="126"/>
      <c r="K230" s="126"/>
      <c r="L230" s="136" t="s">
        <v>1409</v>
      </c>
    </row>
    <row r="231" spans="1:12" s="22" customFormat="1" ht="26.65" customHeight="1" x14ac:dyDescent="0.25">
      <c r="A231" s="126" t="s">
        <v>2683</v>
      </c>
      <c r="B231" s="143" t="s">
        <v>1422</v>
      </c>
      <c r="C231" s="140" t="s">
        <v>1423</v>
      </c>
      <c r="D231" s="137" t="s">
        <v>133</v>
      </c>
      <c r="E231" s="138">
        <v>104</v>
      </c>
      <c r="F231" s="139">
        <v>79.23</v>
      </c>
      <c r="G231" s="139">
        <v>4.6500000000000004</v>
      </c>
      <c r="H231" s="141">
        <v>8239.92</v>
      </c>
      <c r="I231" s="141">
        <v>483.6</v>
      </c>
      <c r="J231" s="126"/>
      <c r="K231" s="126"/>
      <c r="L231" s="136" t="s">
        <v>1409</v>
      </c>
    </row>
    <row r="232" spans="1:12" s="22" customFormat="1" ht="26.65" customHeight="1" x14ac:dyDescent="0.25">
      <c r="A232" s="126" t="s">
        <v>2683</v>
      </c>
      <c r="B232" s="143" t="s">
        <v>1424</v>
      </c>
      <c r="C232" s="140" t="s">
        <v>1425</v>
      </c>
      <c r="D232" s="137" t="s">
        <v>133</v>
      </c>
      <c r="E232" s="138">
        <v>122</v>
      </c>
      <c r="F232" s="139">
        <v>79.23</v>
      </c>
      <c r="G232" s="139">
        <v>4.8</v>
      </c>
      <c r="H232" s="141">
        <v>9666.0600000000013</v>
      </c>
      <c r="I232" s="141">
        <v>585.6</v>
      </c>
      <c r="J232" s="126"/>
      <c r="K232" s="126"/>
      <c r="L232" s="136" t="s">
        <v>1409</v>
      </c>
    </row>
    <row r="233" spans="1:12" s="22" customFormat="1" ht="26.65" customHeight="1" x14ac:dyDescent="0.25">
      <c r="A233" s="126" t="s">
        <v>2683</v>
      </c>
      <c r="B233" s="143" t="s">
        <v>1426</v>
      </c>
      <c r="C233" s="140" t="s">
        <v>1427</v>
      </c>
      <c r="D233" s="137" t="s">
        <v>133</v>
      </c>
      <c r="E233" s="138">
        <v>174</v>
      </c>
      <c r="F233" s="139">
        <v>79.23</v>
      </c>
      <c r="G233" s="139">
        <v>6.4</v>
      </c>
      <c r="H233" s="141">
        <v>13786.02</v>
      </c>
      <c r="I233" s="141">
        <v>1113.6000000000001</v>
      </c>
      <c r="J233" s="126"/>
      <c r="K233" s="126"/>
      <c r="L233" s="136" t="s">
        <v>1409</v>
      </c>
    </row>
    <row r="234" spans="1:12" s="22" customFormat="1" ht="26.65" customHeight="1" x14ac:dyDescent="0.25">
      <c r="A234" s="126" t="s">
        <v>2683</v>
      </c>
      <c r="B234" s="143" t="s">
        <v>1428</v>
      </c>
      <c r="C234" s="140" t="s">
        <v>1429</v>
      </c>
      <c r="D234" s="137" t="s">
        <v>133</v>
      </c>
      <c r="E234" s="138">
        <v>472</v>
      </c>
      <c r="F234" s="139">
        <v>79.23</v>
      </c>
      <c r="G234" s="139">
        <v>7.71</v>
      </c>
      <c r="H234" s="141">
        <v>37396.560000000005</v>
      </c>
      <c r="I234" s="141">
        <v>3639.12</v>
      </c>
      <c r="J234" s="126"/>
      <c r="K234" s="126"/>
      <c r="L234" s="136" t="s">
        <v>1409</v>
      </c>
    </row>
    <row r="235" spans="1:12" s="22" customFormat="1" ht="26.65" customHeight="1" x14ac:dyDescent="0.25">
      <c r="A235" s="126" t="s">
        <v>2683</v>
      </c>
      <c r="B235" s="143" t="s">
        <v>1430</v>
      </c>
      <c r="C235" s="140" t="s">
        <v>1431</v>
      </c>
      <c r="D235" s="137" t="s">
        <v>133</v>
      </c>
      <c r="E235" s="138">
        <v>82</v>
      </c>
      <c r="F235" s="139">
        <v>79.23</v>
      </c>
      <c r="G235" s="139">
        <v>7.91</v>
      </c>
      <c r="H235" s="141">
        <v>6496.8600000000006</v>
      </c>
      <c r="I235" s="141">
        <v>648.62</v>
      </c>
      <c r="J235" s="126"/>
      <c r="K235" s="126"/>
      <c r="L235" s="136" t="s">
        <v>1409</v>
      </c>
    </row>
    <row r="236" spans="1:12" s="22" customFormat="1" ht="26.65" customHeight="1" x14ac:dyDescent="0.25">
      <c r="A236" s="126" t="s">
        <v>2683</v>
      </c>
      <c r="B236" s="143" t="s">
        <v>1432</v>
      </c>
      <c r="C236" s="140" t="s">
        <v>1433</v>
      </c>
      <c r="D236" s="137" t="s">
        <v>133</v>
      </c>
      <c r="E236" s="138">
        <v>104</v>
      </c>
      <c r="F236" s="139">
        <v>79.23</v>
      </c>
      <c r="G236" s="139">
        <v>8.11</v>
      </c>
      <c r="H236" s="141">
        <v>8239.92</v>
      </c>
      <c r="I236" s="141">
        <v>843.43999999999994</v>
      </c>
      <c r="J236" s="126"/>
      <c r="K236" s="126"/>
      <c r="L236" s="136" t="s">
        <v>1409</v>
      </c>
    </row>
    <row r="237" spans="1:12" s="22" customFormat="1" ht="26.65" customHeight="1" x14ac:dyDescent="0.25">
      <c r="A237" s="126" t="s">
        <v>2683</v>
      </c>
      <c r="B237" s="143" t="s">
        <v>1434</v>
      </c>
      <c r="C237" s="140" t="s">
        <v>1435</v>
      </c>
      <c r="D237" s="137" t="s">
        <v>133</v>
      </c>
      <c r="E237" s="138">
        <v>92</v>
      </c>
      <c r="F237" s="139">
        <v>79.23</v>
      </c>
      <c r="G237" s="139">
        <v>10.85</v>
      </c>
      <c r="H237" s="141">
        <v>7289.1600000000008</v>
      </c>
      <c r="I237" s="141">
        <v>998.19999999999993</v>
      </c>
      <c r="J237" s="126"/>
      <c r="K237" s="126"/>
      <c r="L237" s="136" t="s">
        <v>1409</v>
      </c>
    </row>
    <row r="238" spans="1:12" s="22" customFormat="1" ht="26.65" customHeight="1" x14ac:dyDescent="0.25">
      <c r="A238" s="126" t="s">
        <v>2683</v>
      </c>
      <c r="B238" s="143" t="s">
        <v>1436</v>
      </c>
      <c r="C238" s="140" t="s">
        <v>1437</v>
      </c>
      <c r="D238" s="137" t="s">
        <v>133</v>
      </c>
      <c r="E238" s="138">
        <v>122</v>
      </c>
      <c r="F238" s="139">
        <v>138.5</v>
      </c>
      <c r="G238" s="139">
        <v>24.08</v>
      </c>
      <c r="H238" s="141">
        <v>16897</v>
      </c>
      <c r="I238" s="141">
        <v>2937.7599999999998</v>
      </c>
      <c r="J238" s="126"/>
      <c r="K238" s="126"/>
      <c r="L238" s="136" t="s">
        <v>1409</v>
      </c>
    </row>
    <row r="239" spans="1:12" s="22" customFormat="1" ht="26.65" customHeight="1" x14ac:dyDescent="0.25">
      <c r="A239" s="126" t="s">
        <v>2683</v>
      </c>
      <c r="B239" s="143" t="s">
        <v>1438</v>
      </c>
      <c r="C239" s="140" t="s">
        <v>1439</v>
      </c>
      <c r="D239" s="137" t="s">
        <v>133</v>
      </c>
      <c r="E239" s="138">
        <v>122</v>
      </c>
      <c r="F239" s="139">
        <v>138.5</v>
      </c>
      <c r="G239" s="139">
        <v>24.9</v>
      </c>
      <c r="H239" s="141">
        <v>16897</v>
      </c>
      <c r="I239" s="141">
        <v>3037.7999999999997</v>
      </c>
      <c r="J239" s="126"/>
      <c r="K239" s="126"/>
      <c r="L239" s="136" t="s">
        <v>1409</v>
      </c>
    </row>
    <row r="240" spans="1:12" s="22" customFormat="1" ht="26.65" customHeight="1" x14ac:dyDescent="0.25">
      <c r="A240" s="126" t="s">
        <v>2683</v>
      </c>
      <c r="B240" s="143" t="s">
        <v>1440</v>
      </c>
      <c r="C240" s="140" t="s">
        <v>1441</v>
      </c>
      <c r="D240" s="137" t="s">
        <v>133</v>
      </c>
      <c r="E240" s="138">
        <v>122</v>
      </c>
      <c r="F240" s="139">
        <v>138.5</v>
      </c>
      <c r="G240" s="139">
        <v>26.7</v>
      </c>
      <c r="H240" s="141">
        <v>16897</v>
      </c>
      <c r="I240" s="141">
        <v>3257.4</v>
      </c>
      <c r="J240" s="126"/>
      <c r="K240" s="126"/>
      <c r="L240" s="136" t="s">
        <v>1409</v>
      </c>
    </row>
    <row r="241" spans="1:12" s="22" customFormat="1" ht="26.65" customHeight="1" x14ac:dyDescent="0.25">
      <c r="A241" s="126" t="s">
        <v>2683</v>
      </c>
      <c r="B241" s="143" t="s">
        <v>1442</v>
      </c>
      <c r="C241" s="140" t="s">
        <v>1443</v>
      </c>
      <c r="D241" s="137" t="s">
        <v>133</v>
      </c>
      <c r="E241" s="138">
        <v>192</v>
      </c>
      <c r="F241" s="139">
        <v>138.5</v>
      </c>
      <c r="G241" s="139">
        <v>27.59</v>
      </c>
      <c r="H241" s="141">
        <v>26592</v>
      </c>
      <c r="I241" s="141">
        <v>5297.28</v>
      </c>
      <c r="J241" s="126"/>
      <c r="K241" s="126"/>
      <c r="L241" s="136" t="s">
        <v>1409</v>
      </c>
    </row>
    <row r="242" spans="1:12" s="22" customFormat="1" ht="26.65" customHeight="1" x14ac:dyDescent="0.25">
      <c r="A242" s="126" t="s">
        <v>2683</v>
      </c>
      <c r="B242" s="143" t="s">
        <v>1444</v>
      </c>
      <c r="C242" s="140" t="s">
        <v>1445</v>
      </c>
      <c r="D242" s="137" t="s">
        <v>133</v>
      </c>
      <c r="E242" s="138">
        <v>70</v>
      </c>
      <c r="F242" s="139">
        <v>138.5</v>
      </c>
      <c r="G242" s="139">
        <v>29.38</v>
      </c>
      <c r="H242" s="141">
        <v>9695</v>
      </c>
      <c r="I242" s="141">
        <v>2056.6</v>
      </c>
      <c r="J242" s="126"/>
      <c r="K242" s="126"/>
      <c r="L242" s="136" t="s">
        <v>1409</v>
      </c>
    </row>
    <row r="243" spans="1:12" s="22" customFormat="1" ht="26.65" customHeight="1" x14ac:dyDescent="0.25">
      <c r="A243" s="126" t="s">
        <v>2683</v>
      </c>
      <c r="B243" s="143" t="s">
        <v>1446</v>
      </c>
      <c r="C243" s="140" t="s">
        <v>1447</v>
      </c>
      <c r="D243" s="137" t="s">
        <v>133</v>
      </c>
      <c r="E243" s="138">
        <v>160</v>
      </c>
      <c r="F243" s="139">
        <v>138.5</v>
      </c>
      <c r="G243" s="139">
        <v>42.14</v>
      </c>
      <c r="H243" s="141">
        <v>22160</v>
      </c>
      <c r="I243" s="141">
        <v>6742.4</v>
      </c>
      <c r="J243" s="126"/>
      <c r="K243" s="126"/>
      <c r="L243" s="136" t="s">
        <v>1409</v>
      </c>
    </row>
    <row r="244" spans="1:12" s="22" customFormat="1" ht="26.65" customHeight="1" x14ac:dyDescent="0.25">
      <c r="A244" s="126" t="s">
        <v>2683</v>
      </c>
      <c r="B244" s="143" t="s">
        <v>1448</v>
      </c>
      <c r="C244" s="140" t="s">
        <v>1449</v>
      </c>
      <c r="D244" s="137" t="s">
        <v>133</v>
      </c>
      <c r="E244" s="138">
        <v>88</v>
      </c>
      <c r="F244" s="139">
        <v>138.5</v>
      </c>
      <c r="G244" s="139">
        <v>43.83</v>
      </c>
      <c r="H244" s="141">
        <v>12188</v>
      </c>
      <c r="I244" s="141">
        <v>3857.04</v>
      </c>
      <c r="J244" s="126"/>
      <c r="K244" s="126"/>
      <c r="L244" s="136" t="s">
        <v>1409</v>
      </c>
    </row>
    <row r="245" spans="1:12" s="22" customFormat="1" ht="26.65" customHeight="1" x14ac:dyDescent="0.25">
      <c r="A245" s="126" t="s">
        <v>2683</v>
      </c>
      <c r="B245" s="143" t="s">
        <v>1450</v>
      </c>
      <c r="C245" s="140" t="s">
        <v>1451</v>
      </c>
      <c r="D245" s="137" t="s">
        <v>133</v>
      </c>
      <c r="E245" s="138">
        <v>66</v>
      </c>
      <c r="F245" s="139">
        <v>138.5</v>
      </c>
      <c r="G245" s="139">
        <v>67.59</v>
      </c>
      <c r="H245" s="141">
        <v>9141</v>
      </c>
      <c r="I245" s="141">
        <v>4460.9400000000005</v>
      </c>
      <c r="J245" s="126"/>
      <c r="K245" s="126"/>
      <c r="L245" s="136" t="s">
        <v>1409</v>
      </c>
    </row>
    <row r="246" spans="1:12" s="22" customFormat="1" ht="26.65" customHeight="1" x14ac:dyDescent="0.25">
      <c r="A246" s="126" t="s">
        <v>2683</v>
      </c>
      <c r="B246" s="143" t="s">
        <v>1452</v>
      </c>
      <c r="C246" s="140" t="s">
        <v>1453</v>
      </c>
      <c r="D246" s="137" t="s">
        <v>133</v>
      </c>
      <c r="E246" s="138">
        <v>74</v>
      </c>
      <c r="F246" s="139">
        <v>98.9</v>
      </c>
      <c r="G246" s="139">
        <v>80.84</v>
      </c>
      <c r="H246" s="141">
        <v>7318.6</v>
      </c>
      <c r="I246" s="141">
        <v>5982.16</v>
      </c>
      <c r="J246" s="126"/>
      <c r="K246" s="126"/>
      <c r="L246" s="136" t="s">
        <v>1409</v>
      </c>
    </row>
    <row r="247" spans="1:12" s="22" customFormat="1" ht="26.65" customHeight="1" x14ac:dyDescent="0.25">
      <c r="A247" s="126" t="s">
        <v>2683</v>
      </c>
      <c r="B247" s="143" t="s">
        <v>1454</v>
      </c>
      <c r="C247" s="140" t="s">
        <v>1455</v>
      </c>
      <c r="D247" s="137" t="s">
        <v>133</v>
      </c>
      <c r="E247" s="138">
        <v>192</v>
      </c>
      <c r="F247" s="139">
        <v>138.5</v>
      </c>
      <c r="G247" s="139">
        <v>83.88</v>
      </c>
      <c r="H247" s="141">
        <v>26592</v>
      </c>
      <c r="I247" s="141">
        <v>16104.96</v>
      </c>
      <c r="J247" s="126"/>
      <c r="K247" s="126"/>
      <c r="L247" s="136" t="s">
        <v>1409</v>
      </c>
    </row>
    <row r="248" spans="1:12" s="22" customFormat="1" ht="26.65" customHeight="1" x14ac:dyDescent="0.25">
      <c r="A248" s="126" t="s">
        <v>2683</v>
      </c>
      <c r="B248" s="143" t="s">
        <v>1456</v>
      </c>
      <c r="C248" s="140" t="s">
        <v>1457</v>
      </c>
      <c r="D248" s="137" t="s">
        <v>133</v>
      </c>
      <c r="E248" s="138">
        <v>78</v>
      </c>
      <c r="F248" s="139">
        <v>125.38</v>
      </c>
      <c r="G248" s="139">
        <v>84.4</v>
      </c>
      <c r="H248" s="141">
        <v>9779.64</v>
      </c>
      <c r="I248" s="141">
        <v>6583.2000000000007</v>
      </c>
      <c r="J248" s="126"/>
      <c r="K248" s="126"/>
      <c r="L248" s="136" t="s">
        <v>1409</v>
      </c>
    </row>
    <row r="249" spans="1:12" s="22" customFormat="1" ht="26.65" customHeight="1" x14ac:dyDescent="0.25">
      <c r="A249" s="126" t="s">
        <v>2683</v>
      </c>
      <c r="B249" s="143" t="s">
        <v>1458</v>
      </c>
      <c r="C249" s="140" t="s">
        <v>1459</v>
      </c>
      <c r="D249" s="137" t="s">
        <v>133</v>
      </c>
      <c r="E249" s="138">
        <v>88</v>
      </c>
      <c r="F249" s="139">
        <v>125.38</v>
      </c>
      <c r="G249" s="139">
        <v>120.64</v>
      </c>
      <c r="H249" s="141">
        <v>11033.439999999999</v>
      </c>
      <c r="I249" s="141">
        <v>10616.32</v>
      </c>
      <c r="J249" s="126"/>
      <c r="K249" s="126"/>
      <c r="L249" s="136" t="s">
        <v>1409</v>
      </c>
    </row>
    <row r="250" spans="1:12" s="22" customFormat="1" ht="26.65" customHeight="1" x14ac:dyDescent="0.25">
      <c r="A250" s="126" t="s">
        <v>2683</v>
      </c>
      <c r="B250" s="143" t="s">
        <v>1460</v>
      </c>
      <c r="C250" s="140" t="s">
        <v>1461</v>
      </c>
      <c r="D250" s="137" t="s">
        <v>133</v>
      </c>
      <c r="E250" s="138">
        <v>88</v>
      </c>
      <c r="F250" s="139">
        <v>125.38</v>
      </c>
      <c r="G250" s="139">
        <v>146.36000000000001</v>
      </c>
      <c r="H250" s="141">
        <v>11033.439999999999</v>
      </c>
      <c r="I250" s="141">
        <v>12879.68</v>
      </c>
      <c r="J250" s="126"/>
      <c r="K250" s="126"/>
      <c r="L250" s="136" t="s">
        <v>1409</v>
      </c>
    </row>
    <row r="251" spans="1:12" s="22" customFormat="1" ht="26.65" customHeight="1" x14ac:dyDescent="0.25">
      <c r="A251" s="126" t="s">
        <v>2683</v>
      </c>
      <c r="B251" s="143" t="s">
        <v>1462</v>
      </c>
      <c r="C251" s="140" t="s">
        <v>1463</v>
      </c>
      <c r="D251" s="137" t="s">
        <v>133</v>
      </c>
      <c r="E251" s="138">
        <v>70</v>
      </c>
      <c r="F251" s="139">
        <v>125.38</v>
      </c>
      <c r="G251" s="139">
        <v>251.24</v>
      </c>
      <c r="H251" s="141">
        <v>8776.6</v>
      </c>
      <c r="I251" s="141">
        <v>17586.8</v>
      </c>
      <c r="J251" s="126"/>
      <c r="K251" s="126"/>
      <c r="L251" s="136" t="s">
        <v>1409</v>
      </c>
    </row>
    <row r="252" spans="1:12" s="22" customFormat="1" ht="26.65" customHeight="1" x14ac:dyDescent="0.25">
      <c r="A252" s="126" t="s">
        <v>2683</v>
      </c>
      <c r="B252" s="143"/>
      <c r="C252" s="136" t="s">
        <v>1464</v>
      </c>
      <c r="D252" s="137"/>
      <c r="E252" s="138"/>
      <c r="F252" s="139"/>
      <c r="G252" s="139"/>
      <c r="H252" s="139"/>
      <c r="I252" s="139"/>
      <c r="J252" s="126"/>
      <c r="K252" s="126"/>
      <c r="L252" s="126"/>
    </row>
    <row r="253" spans="1:12" s="22" customFormat="1" ht="26.65" customHeight="1" x14ac:dyDescent="0.25">
      <c r="A253" s="126" t="s">
        <v>2683</v>
      </c>
      <c r="B253" s="143" t="s">
        <v>1465</v>
      </c>
      <c r="C253" s="140" t="s">
        <v>1411</v>
      </c>
      <c r="D253" s="137" t="s">
        <v>133</v>
      </c>
      <c r="E253" s="138">
        <v>76</v>
      </c>
      <c r="F253" s="139">
        <v>79.23</v>
      </c>
      <c r="G253" s="139">
        <v>1.24</v>
      </c>
      <c r="H253" s="141">
        <v>6021.4800000000005</v>
      </c>
      <c r="I253" s="141">
        <v>94.24</v>
      </c>
      <c r="J253" s="126"/>
      <c r="K253" s="126"/>
      <c r="L253" s="136" t="s">
        <v>1464</v>
      </c>
    </row>
    <row r="254" spans="1:12" s="22" customFormat="1" ht="26.65" customHeight="1" x14ac:dyDescent="0.25">
      <c r="A254" s="126" t="s">
        <v>2683</v>
      </c>
      <c r="B254" s="143" t="s">
        <v>1466</v>
      </c>
      <c r="C254" s="140" t="s">
        <v>1417</v>
      </c>
      <c r="D254" s="137" t="s">
        <v>133</v>
      </c>
      <c r="E254" s="138">
        <v>70</v>
      </c>
      <c r="F254" s="139">
        <v>79.23</v>
      </c>
      <c r="G254" s="139">
        <v>3.38</v>
      </c>
      <c r="H254" s="141">
        <v>5546.1</v>
      </c>
      <c r="I254" s="141">
        <v>236.6</v>
      </c>
      <c r="J254" s="126"/>
      <c r="K254" s="126"/>
      <c r="L254" s="136" t="s">
        <v>1464</v>
      </c>
    </row>
    <row r="255" spans="1:12" s="22" customFormat="1" ht="26.65" customHeight="1" x14ac:dyDescent="0.25">
      <c r="A255" s="126" t="s">
        <v>2683</v>
      </c>
      <c r="B255" s="143" t="s">
        <v>1467</v>
      </c>
      <c r="C255" s="140" t="s">
        <v>1417</v>
      </c>
      <c r="D255" s="137" t="s">
        <v>133</v>
      </c>
      <c r="E255" s="138">
        <v>158</v>
      </c>
      <c r="F255" s="139">
        <v>79.23</v>
      </c>
      <c r="G255" s="139">
        <v>3.38</v>
      </c>
      <c r="H255" s="141">
        <v>12518.34</v>
      </c>
      <c r="I255" s="141">
        <v>534.04</v>
      </c>
      <c r="J255" s="126"/>
      <c r="K255" s="126"/>
      <c r="L255" s="136" t="s">
        <v>1464</v>
      </c>
    </row>
    <row r="256" spans="1:12" s="22" customFormat="1" ht="26.65" customHeight="1" x14ac:dyDescent="0.25">
      <c r="A256" s="126" t="s">
        <v>2683</v>
      </c>
      <c r="B256" s="143" t="s">
        <v>1468</v>
      </c>
      <c r="C256" s="140" t="s">
        <v>1394</v>
      </c>
      <c r="D256" s="137" t="s">
        <v>133</v>
      </c>
      <c r="E256" s="138">
        <v>88</v>
      </c>
      <c r="F256" s="139">
        <v>79.23</v>
      </c>
      <c r="G256" s="139">
        <v>2.59</v>
      </c>
      <c r="H256" s="141">
        <v>6972.2400000000007</v>
      </c>
      <c r="I256" s="141">
        <v>227.92</v>
      </c>
      <c r="J256" s="126"/>
      <c r="K256" s="126"/>
      <c r="L256" s="136" t="s">
        <v>1464</v>
      </c>
    </row>
    <row r="257" spans="1:12" s="22" customFormat="1" ht="26.65" customHeight="1" x14ac:dyDescent="0.25">
      <c r="A257" s="126" t="s">
        <v>2683</v>
      </c>
      <c r="B257" s="143" t="s">
        <v>1469</v>
      </c>
      <c r="C257" s="140" t="s">
        <v>1470</v>
      </c>
      <c r="D257" s="137" t="s">
        <v>133</v>
      </c>
      <c r="E257" s="138">
        <v>210</v>
      </c>
      <c r="F257" s="139">
        <v>79.23</v>
      </c>
      <c r="G257" s="139">
        <v>5.65</v>
      </c>
      <c r="H257" s="141">
        <v>16638.3</v>
      </c>
      <c r="I257" s="141">
        <v>1186.5</v>
      </c>
      <c r="J257" s="126"/>
      <c r="K257" s="126"/>
      <c r="L257" s="136" t="s">
        <v>1464</v>
      </c>
    </row>
    <row r="258" spans="1:12" s="22" customFormat="1" ht="26.65" customHeight="1" x14ac:dyDescent="0.25">
      <c r="A258" s="126" t="s">
        <v>2683</v>
      </c>
      <c r="B258" s="143" t="s">
        <v>1471</v>
      </c>
      <c r="C258" s="140" t="s">
        <v>1417</v>
      </c>
      <c r="D258" s="137" t="s">
        <v>133</v>
      </c>
      <c r="E258" s="138">
        <v>104</v>
      </c>
      <c r="F258" s="139">
        <v>79.23</v>
      </c>
      <c r="G258" s="139">
        <v>3.38</v>
      </c>
      <c r="H258" s="141">
        <v>8239.92</v>
      </c>
      <c r="I258" s="141">
        <v>351.52</v>
      </c>
      <c r="J258" s="126"/>
      <c r="K258" s="126"/>
      <c r="L258" s="136" t="s">
        <v>1464</v>
      </c>
    </row>
    <row r="259" spans="1:12" s="22" customFormat="1" ht="26.65" customHeight="1" x14ac:dyDescent="0.25">
      <c r="A259" s="126" t="s">
        <v>2683</v>
      </c>
      <c r="B259" s="143" t="s">
        <v>1472</v>
      </c>
      <c r="C259" s="140" t="s">
        <v>1396</v>
      </c>
      <c r="D259" s="137" t="s">
        <v>133</v>
      </c>
      <c r="E259" s="138">
        <v>140</v>
      </c>
      <c r="F259" s="139">
        <v>79.23</v>
      </c>
      <c r="G259" s="139">
        <v>2.68</v>
      </c>
      <c r="H259" s="141">
        <v>11092.2</v>
      </c>
      <c r="I259" s="141">
        <v>375.20000000000005</v>
      </c>
      <c r="J259" s="126"/>
      <c r="K259" s="126"/>
      <c r="L259" s="136" t="s">
        <v>1464</v>
      </c>
    </row>
    <row r="260" spans="1:12" s="22" customFormat="1" ht="26.65" customHeight="1" x14ac:dyDescent="0.25">
      <c r="A260" s="126" t="s">
        <v>2683</v>
      </c>
      <c r="B260" s="143" t="s">
        <v>1473</v>
      </c>
      <c r="C260" s="140" t="s">
        <v>1396</v>
      </c>
      <c r="D260" s="137" t="s">
        <v>133</v>
      </c>
      <c r="E260" s="138">
        <v>280</v>
      </c>
      <c r="F260" s="139">
        <v>79.23</v>
      </c>
      <c r="G260" s="139">
        <v>2.68</v>
      </c>
      <c r="H260" s="141">
        <v>22184.400000000001</v>
      </c>
      <c r="I260" s="141">
        <v>750.40000000000009</v>
      </c>
      <c r="J260" s="126"/>
      <c r="K260" s="126"/>
      <c r="L260" s="136" t="s">
        <v>1464</v>
      </c>
    </row>
    <row r="261" spans="1:12" s="22" customFormat="1" ht="26.65" customHeight="1" x14ac:dyDescent="0.25">
      <c r="A261" s="126" t="s">
        <v>2683</v>
      </c>
      <c r="B261" s="143" t="s">
        <v>1474</v>
      </c>
      <c r="C261" s="140" t="s">
        <v>1475</v>
      </c>
      <c r="D261" s="137" t="s">
        <v>133</v>
      </c>
      <c r="E261" s="138">
        <v>210</v>
      </c>
      <c r="F261" s="139">
        <v>79.23</v>
      </c>
      <c r="G261" s="139">
        <v>5.55</v>
      </c>
      <c r="H261" s="141">
        <v>16638.3</v>
      </c>
      <c r="I261" s="141">
        <v>1165.5</v>
      </c>
      <c r="J261" s="126"/>
      <c r="K261" s="126"/>
      <c r="L261" s="136" t="s">
        <v>1464</v>
      </c>
    </row>
    <row r="262" spans="1:12" s="22" customFormat="1" ht="26.65" customHeight="1" x14ac:dyDescent="0.25">
      <c r="A262" s="126" t="s">
        <v>2683</v>
      </c>
      <c r="B262" s="143" t="s">
        <v>1476</v>
      </c>
      <c r="C262" s="140" t="s">
        <v>1477</v>
      </c>
      <c r="D262" s="137" t="s">
        <v>133</v>
      </c>
      <c r="E262" s="138">
        <v>70</v>
      </c>
      <c r="F262" s="139">
        <v>79.23</v>
      </c>
      <c r="G262" s="139">
        <v>4.6500000000000004</v>
      </c>
      <c r="H262" s="141">
        <v>5546.1</v>
      </c>
      <c r="I262" s="141">
        <v>325.5</v>
      </c>
      <c r="J262" s="126"/>
      <c r="K262" s="126"/>
      <c r="L262" s="136" t="s">
        <v>1464</v>
      </c>
    </row>
    <row r="263" spans="1:12" s="22" customFormat="1" ht="26.65" customHeight="1" x14ac:dyDescent="0.25">
      <c r="A263" s="126" t="s">
        <v>2683</v>
      </c>
      <c r="B263" s="143" t="s">
        <v>1478</v>
      </c>
      <c r="C263" s="140" t="s">
        <v>1479</v>
      </c>
      <c r="D263" s="137" t="s">
        <v>133</v>
      </c>
      <c r="E263" s="138">
        <v>162</v>
      </c>
      <c r="F263" s="139">
        <v>79.23</v>
      </c>
      <c r="G263" s="139">
        <v>4.8</v>
      </c>
      <c r="H263" s="141">
        <v>12835.26</v>
      </c>
      <c r="I263" s="141">
        <v>777.6</v>
      </c>
      <c r="J263" s="126"/>
      <c r="K263" s="126"/>
      <c r="L263" s="136" t="s">
        <v>1464</v>
      </c>
    </row>
    <row r="264" spans="1:12" s="22" customFormat="1" ht="26.65" customHeight="1" x14ac:dyDescent="0.25">
      <c r="A264" s="126" t="s">
        <v>2683</v>
      </c>
      <c r="B264" s="143" t="s">
        <v>1480</v>
      </c>
      <c r="C264" s="140" t="s">
        <v>1481</v>
      </c>
      <c r="D264" s="137" t="s">
        <v>133</v>
      </c>
      <c r="E264" s="138">
        <v>158</v>
      </c>
      <c r="F264" s="139">
        <v>79.23</v>
      </c>
      <c r="G264" s="139">
        <v>7.71</v>
      </c>
      <c r="H264" s="141">
        <v>12518.34</v>
      </c>
      <c r="I264" s="141">
        <v>1218.18</v>
      </c>
      <c r="J264" s="126"/>
      <c r="K264" s="126"/>
      <c r="L264" s="136" t="s">
        <v>1464</v>
      </c>
    </row>
    <row r="265" spans="1:12" s="22" customFormat="1" ht="26.65" customHeight="1" x14ac:dyDescent="0.25">
      <c r="A265" s="126" t="s">
        <v>2683</v>
      </c>
      <c r="B265" s="143" t="s">
        <v>1482</v>
      </c>
      <c r="C265" s="140" t="s">
        <v>1483</v>
      </c>
      <c r="D265" s="137" t="s">
        <v>133</v>
      </c>
      <c r="E265" s="138">
        <v>80</v>
      </c>
      <c r="F265" s="139">
        <v>138.5</v>
      </c>
      <c r="G265" s="139">
        <v>17.29</v>
      </c>
      <c r="H265" s="141">
        <v>11080</v>
      </c>
      <c r="I265" s="141">
        <v>1383.1999999999998</v>
      </c>
      <c r="J265" s="126"/>
      <c r="K265" s="126"/>
      <c r="L265" s="136" t="s">
        <v>1464</v>
      </c>
    </row>
    <row r="266" spans="1:12" s="22" customFormat="1" ht="26.65" customHeight="1" x14ac:dyDescent="0.25">
      <c r="A266" s="126" t="s">
        <v>2683</v>
      </c>
      <c r="B266" s="143" t="s">
        <v>1484</v>
      </c>
      <c r="C266" s="140" t="s">
        <v>1485</v>
      </c>
      <c r="D266" s="137" t="s">
        <v>133</v>
      </c>
      <c r="E266" s="138">
        <v>210</v>
      </c>
      <c r="F266" s="139">
        <v>138.5</v>
      </c>
      <c r="G266" s="139">
        <v>7.91</v>
      </c>
      <c r="H266" s="141">
        <v>29085</v>
      </c>
      <c r="I266" s="141">
        <v>1661.1000000000001</v>
      </c>
      <c r="J266" s="126"/>
      <c r="K266" s="126"/>
      <c r="L266" s="136" t="s">
        <v>1464</v>
      </c>
    </row>
    <row r="267" spans="1:12" s="22" customFormat="1" ht="26.65" customHeight="1" x14ac:dyDescent="0.25">
      <c r="A267" s="126" t="s">
        <v>2683</v>
      </c>
      <c r="B267" s="143" t="s">
        <v>1486</v>
      </c>
      <c r="C267" s="140" t="s">
        <v>1487</v>
      </c>
      <c r="D267" s="137" t="s">
        <v>133</v>
      </c>
      <c r="E267" s="138">
        <v>76</v>
      </c>
      <c r="F267" s="139">
        <v>138.5</v>
      </c>
      <c r="G267" s="139">
        <v>42.78</v>
      </c>
      <c r="H267" s="141">
        <v>10526</v>
      </c>
      <c r="I267" s="141">
        <v>3251.28</v>
      </c>
      <c r="J267" s="126"/>
      <c r="K267" s="126"/>
      <c r="L267" s="136" t="s">
        <v>1464</v>
      </c>
    </row>
    <row r="268" spans="1:12" s="22" customFormat="1" ht="26.65" customHeight="1" x14ac:dyDescent="0.25">
      <c r="A268" s="126" t="s">
        <v>2683</v>
      </c>
      <c r="B268" s="143" t="s">
        <v>1488</v>
      </c>
      <c r="C268" s="140" t="s">
        <v>1489</v>
      </c>
      <c r="D268" s="137" t="s">
        <v>133</v>
      </c>
      <c r="E268" s="138">
        <v>70</v>
      </c>
      <c r="F268" s="139">
        <v>138.5</v>
      </c>
      <c r="G268" s="139">
        <v>11.34</v>
      </c>
      <c r="H268" s="141">
        <v>9695</v>
      </c>
      <c r="I268" s="141">
        <v>793.8</v>
      </c>
      <c r="J268" s="126"/>
      <c r="K268" s="126"/>
      <c r="L268" s="136" t="s">
        <v>1464</v>
      </c>
    </row>
    <row r="269" spans="1:12" s="22" customFormat="1" ht="26.65" customHeight="1" x14ac:dyDescent="0.25">
      <c r="A269" s="126" t="s">
        <v>2683</v>
      </c>
      <c r="B269" s="143" t="s">
        <v>1490</v>
      </c>
      <c r="C269" s="140" t="s">
        <v>1491</v>
      </c>
      <c r="D269" s="137" t="s">
        <v>133</v>
      </c>
      <c r="E269" s="138">
        <v>104</v>
      </c>
      <c r="F269" s="139">
        <v>138.5</v>
      </c>
      <c r="G269" s="139">
        <v>55.8</v>
      </c>
      <c r="H269" s="141">
        <v>14404</v>
      </c>
      <c r="I269" s="141">
        <v>5803.2</v>
      </c>
      <c r="J269" s="126"/>
      <c r="K269" s="126"/>
      <c r="L269" s="136" t="s">
        <v>1464</v>
      </c>
    </row>
    <row r="270" spans="1:12" s="22" customFormat="1" ht="26.65" customHeight="1" x14ac:dyDescent="0.25">
      <c r="A270" s="126" t="s">
        <v>2683</v>
      </c>
      <c r="B270" s="143" t="s">
        <v>1492</v>
      </c>
      <c r="C270" s="140" t="s">
        <v>1481</v>
      </c>
      <c r="D270" s="137" t="s">
        <v>133</v>
      </c>
      <c r="E270" s="138">
        <v>1308</v>
      </c>
      <c r="F270" s="139">
        <v>138.5</v>
      </c>
      <c r="G270" s="139">
        <v>7.71</v>
      </c>
      <c r="H270" s="141">
        <v>181158</v>
      </c>
      <c r="I270" s="141">
        <v>10084.68</v>
      </c>
      <c r="J270" s="126"/>
      <c r="K270" s="126"/>
      <c r="L270" s="136" t="s">
        <v>1464</v>
      </c>
    </row>
    <row r="271" spans="1:12" s="22" customFormat="1" ht="26.65" customHeight="1" x14ac:dyDescent="0.25">
      <c r="A271" s="126" t="s">
        <v>2683</v>
      </c>
      <c r="B271" s="143" t="s">
        <v>1493</v>
      </c>
      <c r="C271" s="140" t="s">
        <v>1489</v>
      </c>
      <c r="D271" s="137" t="s">
        <v>133</v>
      </c>
      <c r="E271" s="138">
        <v>210</v>
      </c>
      <c r="F271" s="139">
        <v>138.5</v>
      </c>
      <c r="G271" s="139">
        <v>11.34</v>
      </c>
      <c r="H271" s="141">
        <v>29085</v>
      </c>
      <c r="I271" s="141">
        <v>2381.4</v>
      </c>
      <c r="J271" s="126"/>
      <c r="K271" s="126"/>
      <c r="L271" s="136" t="s">
        <v>1464</v>
      </c>
    </row>
    <row r="272" spans="1:12" s="22" customFormat="1" ht="26.65" customHeight="1" x14ac:dyDescent="0.25">
      <c r="A272" s="126" t="s">
        <v>2683</v>
      </c>
      <c r="B272" s="143"/>
      <c r="C272" s="136" t="s">
        <v>1494</v>
      </c>
      <c r="D272" s="137"/>
      <c r="E272" s="138"/>
      <c r="F272" s="139"/>
      <c r="G272" s="139"/>
      <c r="H272" s="139"/>
      <c r="I272" s="139"/>
      <c r="J272" s="126"/>
      <c r="K272" s="126"/>
      <c r="L272" s="126"/>
    </row>
    <row r="273" spans="1:12" s="22" customFormat="1" ht="26.65" customHeight="1" x14ac:dyDescent="0.25">
      <c r="A273" s="126" t="s">
        <v>2683</v>
      </c>
      <c r="B273" s="143" t="s">
        <v>1495</v>
      </c>
      <c r="C273" s="140" t="s">
        <v>1496</v>
      </c>
      <c r="D273" s="137" t="s">
        <v>133</v>
      </c>
      <c r="E273" s="138">
        <v>280</v>
      </c>
      <c r="F273" s="139">
        <v>96.06</v>
      </c>
      <c r="G273" s="139">
        <v>0</v>
      </c>
      <c r="H273" s="141">
        <v>26896.799999999999</v>
      </c>
      <c r="I273" s="141">
        <v>0</v>
      </c>
      <c r="J273" s="126"/>
      <c r="K273" s="126"/>
      <c r="L273" s="136" t="s">
        <v>1494</v>
      </c>
    </row>
    <row r="274" spans="1:12" s="22" customFormat="1" ht="26.65" customHeight="1" x14ac:dyDescent="0.25">
      <c r="A274" s="126" t="s">
        <v>2683</v>
      </c>
      <c r="B274" s="143" t="s">
        <v>1497</v>
      </c>
      <c r="C274" s="140" t="s">
        <v>1498</v>
      </c>
      <c r="D274" s="137" t="s">
        <v>133</v>
      </c>
      <c r="E274" s="138">
        <v>236</v>
      </c>
      <c r="F274" s="139">
        <v>104.16</v>
      </c>
      <c r="G274" s="139">
        <v>0</v>
      </c>
      <c r="H274" s="141">
        <v>24581.759999999998</v>
      </c>
      <c r="I274" s="141">
        <v>0</v>
      </c>
      <c r="J274" s="126"/>
      <c r="K274" s="126"/>
      <c r="L274" s="136" t="s">
        <v>1494</v>
      </c>
    </row>
    <row r="275" spans="1:12" s="22" customFormat="1" ht="26.65" customHeight="1" x14ac:dyDescent="0.25">
      <c r="A275" s="126" t="s">
        <v>2683</v>
      </c>
      <c r="B275" s="143" t="s">
        <v>1499</v>
      </c>
      <c r="C275" s="140" t="s">
        <v>1500</v>
      </c>
      <c r="D275" s="137" t="s">
        <v>133</v>
      </c>
      <c r="E275" s="138">
        <v>88</v>
      </c>
      <c r="F275" s="139">
        <v>151.38</v>
      </c>
      <c r="G275" s="139">
        <v>0</v>
      </c>
      <c r="H275" s="141">
        <v>13321.439999999999</v>
      </c>
      <c r="I275" s="141">
        <v>0</v>
      </c>
      <c r="J275" s="126"/>
      <c r="K275" s="126"/>
      <c r="L275" s="136" t="s">
        <v>1494</v>
      </c>
    </row>
    <row r="276" spans="1:12" s="22" customFormat="1" ht="26.65" customHeight="1" x14ac:dyDescent="0.25">
      <c r="A276" s="126" t="s">
        <v>2683</v>
      </c>
      <c r="B276" s="143"/>
      <c r="C276" s="136" t="s">
        <v>618</v>
      </c>
      <c r="D276" s="137"/>
      <c r="E276" s="138"/>
      <c r="F276" s="139"/>
      <c r="G276" s="139"/>
      <c r="H276" s="139"/>
      <c r="I276" s="139"/>
      <c r="J276" s="126"/>
      <c r="K276" s="126"/>
      <c r="L276" s="126"/>
    </row>
    <row r="277" spans="1:12" s="22" customFormat="1" ht="26.65" customHeight="1" x14ac:dyDescent="0.25">
      <c r="A277" s="126" t="s">
        <v>2683</v>
      </c>
      <c r="B277" s="143" t="s">
        <v>1501</v>
      </c>
      <c r="C277" s="140" t="s">
        <v>1502</v>
      </c>
      <c r="D277" s="137" t="s">
        <v>133</v>
      </c>
      <c r="E277" s="138">
        <v>88</v>
      </c>
      <c r="F277" s="139">
        <v>151.38</v>
      </c>
      <c r="G277" s="139">
        <v>0</v>
      </c>
      <c r="H277" s="141">
        <v>13321.439999999999</v>
      </c>
      <c r="I277" s="141">
        <v>0</v>
      </c>
      <c r="J277" s="126"/>
      <c r="K277" s="126"/>
      <c r="L277" s="136" t="s">
        <v>618</v>
      </c>
    </row>
    <row r="278" spans="1:12" s="22" customFormat="1" ht="26.65" customHeight="1" x14ac:dyDescent="0.25">
      <c r="A278" s="126" t="s">
        <v>2683</v>
      </c>
      <c r="B278" s="143" t="s">
        <v>1503</v>
      </c>
      <c r="C278" s="140" t="s">
        <v>1504</v>
      </c>
      <c r="D278" s="137" t="s">
        <v>133</v>
      </c>
      <c r="E278" s="138">
        <v>114</v>
      </c>
      <c r="F278" s="139">
        <v>167.59</v>
      </c>
      <c r="G278" s="139">
        <v>0</v>
      </c>
      <c r="H278" s="141">
        <v>19105.260000000002</v>
      </c>
      <c r="I278" s="141">
        <v>0</v>
      </c>
      <c r="J278" s="126"/>
      <c r="K278" s="126"/>
      <c r="L278" s="136" t="s">
        <v>618</v>
      </c>
    </row>
    <row r="279" spans="1:12" s="22" customFormat="1" ht="26.65" customHeight="1" x14ac:dyDescent="0.25">
      <c r="A279" s="126" t="s">
        <v>2683</v>
      </c>
      <c r="B279" s="143"/>
      <c r="C279" s="136" t="s">
        <v>1505</v>
      </c>
      <c r="D279" s="137"/>
      <c r="E279" s="138"/>
      <c r="F279" s="139"/>
      <c r="G279" s="139"/>
      <c r="H279" s="139"/>
      <c r="I279" s="139"/>
      <c r="J279" s="126"/>
      <c r="K279" s="126"/>
      <c r="L279" s="126"/>
    </row>
    <row r="280" spans="1:12" s="22" customFormat="1" ht="26.65" customHeight="1" x14ac:dyDescent="0.25">
      <c r="A280" s="126" t="s">
        <v>2683</v>
      </c>
      <c r="B280" s="143" t="s">
        <v>1506</v>
      </c>
      <c r="C280" s="140" t="s">
        <v>664</v>
      </c>
      <c r="D280" s="137" t="s">
        <v>43</v>
      </c>
      <c r="E280" s="138">
        <v>80</v>
      </c>
      <c r="F280" s="139">
        <v>152404.73000000001</v>
      </c>
      <c r="G280" s="139">
        <v>0</v>
      </c>
      <c r="H280" s="141">
        <v>12192378.4</v>
      </c>
      <c r="I280" s="141">
        <v>0</v>
      </c>
      <c r="J280" s="126"/>
      <c r="K280" s="126"/>
      <c r="L280" s="136" t="s">
        <v>1505</v>
      </c>
    </row>
    <row r="281" spans="1:12" s="22" customFormat="1" ht="26.65" customHeight="1" x14ac:dyDescent="0.25">
      <c r="A281" s="126" t="s">
        <v>2683</v>
      </c>
      <c r="B281" s="143" t="s">
        <v>1507</v>
      </c>
      <c r="C281" s="140" t="s">
        <v>666</v>
      </c>
      <c r="D281" s="137" t="s">
        <v>43</v>
      </c>
      <c r="E281" s="138">
        <v>72</v>
      </c>
      <c r="F281" s="139">
        <v>41667.58</v>
      </c>
      <c r="G281" s="139">
        <v>0</v>
      </c>
      <c r="H281" s="141">
        <v>3000065.7600000002</v>
      </c>
      <c r="I281" s="141">
        <v>0</v>
      </c>
      <c r="J281" s="126"/>
      <c r="K281" s="126"/>
      <c r="L281" s="136" t="s">
        <v>1505</v>
      </c>
    </row>
    <row r="282" spans="1:12" s="22" customFormat="1" ht="26.65" customHeight="1" x14ac:dyDescent="0.25">
      <c r="A282" s="126" t="s">
        <v>2683</v>
      </c>
      <c r="B282" s="143" t="s">
        <v>1508</v>
      </c>
      <c r="C282" s="140" t="s">
        <v>668</v>
      </c>
      <c r="D282" s="137" t="s">
        <v>43</v>
      </c>
      <c r="E282" s="138">
        <v>78</v>
      </c>
      <c r="F282" s="139">
        <v>51195.03</v>
      </c>
      <c r="G282" s="139">
        <v>0</v>
      </c>
      <c r="H282" s="141">
        <v>3993212.34</v>
      </c>
      <c r="I282" s="141">
        <v>0</v>
      </c>
      <c r="J282" s="126"/>
      <c r="K282" s="126"/>
      <c r="L282" s="136" t="s">
        <v>1505</v>
      </c>
    </row>
    <row r="283" spans="1:12" s="22" customFormat="1" ht="26.65" customHeight="1" x14ac:dyDescent="0.25">
      <c r="A283" s="126" t="s">
        <v>2683</v>
      </c>
      <c r="B283" s="143" t="s">
        <v>1509</v>
      </c>
      <c r="C283" s="140" t="s">
        <v>670</v>
      </c>
      <c r="D283" s="137" t="s">
        <v>43</v>
      </c>
      <c r="E283" s="138">
        <v>66</v>
      </c>
      <c r="F283" s="139">
        <v>41480.61</v>
      </c>
      <c r="G283" s="139">
        <v>0</v>
      </c>
      <c r="H283" s="141">
        <v>2737720.2600000002</v>
      </c>
      <c r="I283" s="141">
        <v>0</v>
      </c>
      <c r="J283" s="126"/>
      <c r="K283" s="126"/>
      <c r="L283" s="136" t="s">
        <v>1505</v>
      </c>
    </row>
    <row r="284" spans="1:12" s="22" customFormat="1" ht="26.65" customHeight="1" x14ac:dyDescent="0.25">
      <c r="A284" s="126" t="s">
        <v>2683</v>
      </c>
      <c r="B284" s="143" t="s">
        <v>1510</v>
      </c>
      <c r="C284" s="140" t="s">
        <v>647</v>
      </c>
      <c r="D284" s="137" t="s">
        <v>43</v>
      </c>
      <c r="E284" s="138">
        <v>80</v>
      </c>
      <c r="F284" s="139">
        <v>32385.55</v>
      </c>
      <c r="G284" s="139">
        <v>267</v>
      </c>
      <c r="H284" s="141">
        <v>2590844</v>
      </c>
      <c r="I284" s="141">
        <v>21360</v>
      </c>
      <c r="J284" s="126"/>
      <c r="K284" s="126"/>
      <c r="L284" s="136" t="s">
        <v>1505</v>
      </c>
    </row>
    <row r="285" spans="1:12" s="22" customFormat="1" ht="26.65" customHeight="1" x14ac:dyDescent="0.25">
      <c r="A285" s="126" t="s">
        <v>2683</v>
      </c>
      <c r="B285" s="143" t="s">
        <v>1511</v>
      </c>
      <c r="C285" s="140" t="s">
        <v>675</v>
      </c>
      <c r="D285" s="137" t="s">
        <v>43</v>
      </c>
      <c r="E285" s="138">
        <v>20</v>
      </c>
      <c r="F285" s="139">
        <v>34904.699999999997</v>
      </c>
      <c r="G285" s="139">
        <v>0</v>
      </c>
      <c r="H285" s="141">
        <v>698094</v>
      </c>
      <c r="I285" s="141">
        <v>0</v>
      </c>
      <c r="J285" s="126"/>
      <c r="K285" s="126"/>
      <c r="L285" s="136" t="s">
        <v>1505</v>
      </c>
    </row>
    <row r="286" spans="1:12" s="22" customFormat="1" ht="26.65" customHeight="1" x14ac:dyDescent="0.25">
      <c r="A286" s="126" t="s">
        <v>2683</v>
      </c>
      <c r="B286" s="143" t="s">
        <v>1512</v>
      </c>
      <c r="C286" s="140" t="s">
        <v>1513</v>
      </c>
      <c r="D286" s="137" t="s">
        <v>43</v>
      </c>
      <c r="E286" s="138">
        <v>20</v>
      </c>
      <c r="F286" s="139">
        <v>22622.55</v>
      </c>
      <c r="G286" s="139">
        <v>502.56</v>
      </c>
      <c r="H286" s="141">
        <v>452451</v>
      </c>
      <c r="I286" s="141">
        <v>10051.200000000001</v>
      </c>
      <c r="J286" s="126"/>
      <c r="K286" s="126"/>
      <c r="L286" s="136" t="s">
        <v>1505</v>
      </c>
    </row>
    <row r="287" spans="1:12" s="22" customFormat="1" ht="26.65" customHeight="1" x14ac:dyDescent="0.25">
      <c r="A287" s="126" t="s">
        <v>2683</v>
      </c>
      <c r="B287" s="143" t="s">
        <v>1514</v>
      </c>
      <c r="C287" s="140" t="s">
        <v>1515</v>
      </c>
      <c r="D287" s="137" t="s">
        <v>43</v>
      </c>
      <c r="E287" s="138">
        <v>20</v>
      </c>
      <c r="F287" s="139">
        <v>23934.23</v>
      </c>
      <c r="G287" s="139">
        <v>3109.38</v>
      </c>
      <c r="H287" s="141">
        <v>478684.6</v>
      </c>
      <c r="I287" s="141">
        <v>62187.600000000006</v>
      </c>
      <c r="J287" s="126"/>
      <c r="K287" s="126"/>
      <c r="L287" s="136" t="s">
        <v>1505</v>
      </c>
    </row>
    <row r="288" spans="1:12" s="22" customFormat="1" ht="26.65" customHeight="1" x14ac:dyDescent="0.25">
      <c r="A288" s="126" t="s">
        <v>2683</v>
      </c>
      <c r="B288" s="143" t="s">
        <v>1516</v>
      </c>
      <c r="C288" s="140" t="s">
        <v>649</v>
      </c>
      <c r="D288" s="137" t="s">
        <v>43</v>
      </c>
      <c r="E288" s="138">
        <v>20</v>
      </c>
      <c r="F288" s="139">
        <v>18241.080000000002</v>
      </c>
      <c r="G288" s="139">
        <v>669.55</v>
      </c>
      <c r="H288" s="141">
        <v>364821.60000000003</v>
      </c>
      <c r="I288" s="141">
        <v>13391</v>
      </c>
      <c r="J288" s="126"/>
      <c r="K288" s="126"/>
      <c r="L288" s="136" t="s">
        <v>1505</v>
      </c>
    </row>
    <row r="289" spans="1:12" s="22" customFormat="1" ht="26.65" customHeight="1" x14ac:dyDescent="0.25">
      <c r="A289" s="126" t="s">
        <v>2683</v>
      </c>
      <c r="B289" s="143" t="s">
        <v>1517</v>
      </c>
      <c r="C289" s="140" t="s">
        <v>678</v>
      </c>
      <c r="D289" s="137" t="s">
        <v>43</v>
      </c>
      <c r="E289" s="138">
        <v>58</v>
      </c>
      <c r="F289" s="139">
        <v>20715.009999999998</v>
      </c>
      <c r="G289" s="139">
        <v>0</v>
      </c>
      <c r="H289" s="141">
        <v>1201470.5799999998</v>
      </c>
      <c r="I289" s="141">
        <v>0</v>
      </c>
      <c r="J289" s="126"/>
      <c r="K289" s="126"/>
      <c r="L289" s="136" t="s">
        <v>1505</v>
      </c>
    </row>
    <row r="290" spans="1:12" s="22" customFormat="1" ht="26.65" customHeight="1" x14ac:dyDescent="0.25">
      <c r="A290" s="126" t="s">
        <v>2683</v>
      </c>
      <c r="B290" s="143" t="s">
        <v>1518</v>
      </c>
      <c r="C290" s="140" t="s">
        <v>651</v>
      </c>
      <c r="D290" s="137" t="s">
        <v>43</v>
      </c>
      <c r="E290" s="138">
        <v>20</v>
      </c>
      <c r="F290" s="139">
        <v>12432.79</v>
      </c>
      <c r="G290" s="139">
        <v>966.04</v>
      </c>
      <c r="H290" s="141">
        <v>248655.80000000002</v>
      </c>
      <c r="I290" s="141">
        <v>19320.8</v>
      </c>
      <c r="J290" s="126"/>
      <c r="K290" s="126"/>
      <c r="L290" s="136" t="s">
        <v>1505</v>
      </c>
    </row>
    <row r="291" spans="1:12" s="22" customFormat="1" ht="26.65" customHeight="1" x14ac:dyDescent="0.25">
      <c r="A291" s="126" t="s">
        <v>2683</v>
      </c>
      <c r="B291" s="143" t="s">
        <v>1519</v>
      </c>
      <c r="C291" s="140" t="s">
        <v>683</v>
      </c>
      <c r="D291" s="137" t="s">
        <v>43</v>
      </c>
      <c r="E291" s="138">
        <v>20</v>
      </c>
      <c r="F291" s="139">
        <v>10165.41</v>
      </c>
      <c r="G291" s="139">
        <v>1471.55</v>
      </c>
      <c r="H291" s="141">
        <v>203308.2</v>
      </c>
      <c r="I291" s="141">
        <v>29431</v>
      </c>
      <c r="J291" s="126"/>
      <c r="K291" s="126"/>
      <c r="L291" s="136" t="s">
        <v>1505</v>
      </c>
    </row>
    <row r="292" spans="1:12" s="22" customFormat="1" ht="26.65" customHeight="1" x14ac:dyDescent="0.25">
      <c r="A292" s="126" t="s">
        <v>2683</v>
      </c>
      <c r="B292" s="143" t="s">
        <v>1520</v>
      </c>
      <c r="C292" s="140" t="s">
        <v>685</v>
      </c>
      <c r="D292" s="137" t="s">
        <v>43</v>
      </c>
      <c r="E292" s="138">
        <v>20</v>
      </c>
      <c r="F292" s="139">
        <v>27889.74</v>
      </c>
      <c r="G292" s="139">
        <v>0</v>
      </c>
      <c r="H292" s="141">
        <v>557794.80000000005</v>
      </c>
      <c r="I292" s="141">
        <v>0</v>
      </c>
      <c r="J292" s="126"/>
      <c r="K292" s="126"/>
      <c r="L292" s="136" t="s">
        <v>1505</v>
      </c>
    </row>
    <row r="293" spans="1:12" s="22" customFormat="1" ht="26.65" customHeight="1" x14ac:dyDescent="0.25">
      <c r="A293" s="126" t="s">
        <v>2683</v>
      </c>
      <c r="B293" s="143" t="s">
        <v>1521</v>
      </c>
      <c r="C293" s="140" t="s">
        <v>689</v>
      </c>
      <c r="D293" s="137" t="s">
        <v>43</v>
      </c>
      <c r="E293" s="138">
        <v>20</v>
      </c>
      <c r="F293" s="139">
        <v>15678.95</v>
      </c>
      <c r="G293" s="139">
        <v>2216.8000000000002</v>
      </c>
      <c r="H293" s="141">
        <v>313579</v>
      </c>
      <c r="I293" s="141">
        <v>44336</v>
      </c>
      <c r="J293" s="126"/>
      <c r="K293" s="126"/>
      <c r="L293" s="136" t="s">
        <v>1505</v>
      </c>
    </row>
    <row r="294" spans="1:12" s="22" customFormat="1" ht="26.65" customHeight="1" x14ac:dyDescent="0.25">
      <c r="A294" s="126" t="s">
        <v>2683</v>
      </c>
      <c r="B294" s="143" t="s">
        <v>1522</v>
      </c>
      <c r="C294" s="140" t="s">
        <v>692</v>
      </c>
      <c r="D294" s="137" t="s">
        <v>43</v>
      </c>
      <c r="E294" s="138">
        <v>20</v>
      </c>
      <c r="F294" s="139">
        <v>41721.39</v>
      </c>
      <c r="G294" s="139">
        <v>0</v>
      </c>
      <c r="H294" s="141">
        <v>834427.8</v>
      </c>
      <c r="I294" s="141">
        <v>0</v>
      </c>
      <c r="J294" s="126"/>
      <c r="K294" s="126"/>
      <c r="L294" s="136" t="s">
        <v>1505</v>
      </c>
    </row>
    <row r="295" spans="1:12" s="22" customFormat="1" ht="26.65" customHeight="1" x14ac:dyDescent="0.25">
      <c r="A295" s="126" t="s">
        <v>2683</v>
      </c>
      <c r="B295" s="143" t="s">
        <v>1523</v>
      </c>
      <c r="C295" s="140" t="s">
        <v>694</v>
      </c>
      <c r="D295" s="137" t="s">
        <v>43</v>
      </c>
      <c r="E295" s="138">
        <v>72</v>
      </c>
      <c r="F295" s="139">
        <v>48195.78</v>
      </c>
      <c r="G295" s="139">
        <v>0</v>
      </c>
      <c r="H295" s="141">
        <v>3470096.16</v>
      </c>
      <c r="I295" s="141">
        <v>0</v>
      </c>
      <c r="J295" s="126"/>
      <c r="K295" s="126"/>
      <c r="L295" s="136" t="s">
        <v>1505</v>
      </c>
    </row>
    <row r="296" spans="1:12" s="22" customFormat="1" ht="26.65" customHeight="1" x14ac:dyDescent="0.25">
      <c r="A296" s="126" t="s">
        <v>2683</v>
      </c>
      <c r="B296" s="143" t="s">
        <v>1524</v>
      </c>
      <c r="C296" s="140" t="s">
        <v>696</v>
      </c>
      <c r="D296" s="137" t="s">
        <v>43</v>
      </c>
      <c r="E296" s="138">
        <v>32</v>
      </c>
      <c r="F296" s="139">
        <v>17465.03</v>
      </c>
      <c r="G296" s="139">
        <v>3206.53</v>
      </c>
      <c r="H296" s="141">
        <v>558880.96</v>
      </c>
      <c r="I296" s="141">
        <v>102608.96000000001</v>
      </c>
      <c r="J296" s="126"/>
      <c r="K296" s="126"/>
      <c r="L296" s="136" t="s">
        <v>1505</v>
      </c>
    </row>
    <row r="297" spans="1:12" s="22" customFormat="1" ht="26.65" customHeight="1" x14ac:dyDescent="0.25">
      <c r="A297" s="126" t="s">
        <v>2683</v>
      </c>
      <c r="B297" s="143" t="s">
        <v>1525</v>
      </c>
      <c r="C297" s="140" t="s">
        <v>1526</v>
      </c>
      <c r="D297" s="137" t="s">
        <v>43</v>
      </c>
      <c r="E297" s="138">
        <v>20</v>
      </c>
      <c r="F297" s="139">
        <v>50041.51</v>
      </c>
      <c r="G297" s="139">
        <v>0</v>
      </c>
      <c r="H297" s="141">
        <v>1000830.2000000001</v>
      </c>
      <c r="I297" s="141">
        <v>0</v>
      </c>
      <c r="J297" s="126"/>
      <c r="K297" s="126"/>
      <c r="L297" s="136" t="s">
        <v>1505</v>
      </c>
    </row>
    <row r="298" spans="1:12" s="22" customFormat="1" ht="26.65" customHeight="1" x14ac:dyDescent="0.25">
      <c r="A298" s="126" t="s">
        <v>2683</v>
      </c>
      <c r="B298" s="143" t="s">
        <v>1527</v>
      </c>
      <c r="C298" s="140" t="s">
        <v>1528</v>
      </c>
      <c r="D298" s="137" t="s">
        <v>43</v>
      </c>
      <c r="E298" s="138">
        <v>50</v>
      </c>
      <c r="F298" s="139">
        <v>49385.4</v>
      </c>
      <c r="G298" s="139">
        <v>0</v>
      </c>
      <c r="H298" s="141">
        <v>2469270</v>
      </c>
      <c r="I298" s="141">
        <v>0</v>
      </c>
      <c r="J298" s="126"/>
      <c r="K298" s="126"/>
      <c r="L298" s="136" t="s">
        <v>1505</v>
      </c>
    </row>
    <row r="299" spans="1:12" s="22" customFormat="1" ht="26.65" customHeight="1" x14ac:dyDescent="0.25">
      <c r="A299" s="126" t="s">
        <v>2683</v>
      </c>
      <c r="B299" s="143" t="s">
        <v>1529</v>
      </c>
      <c r="C299" s="140" t="s">
        <v>698</v>
      </c>
      <c r="D299" s="137" t="s">
        <v>43</v>
      </c>
      <c r="E299" s="138">
        <v>36</v>
      </c>
      <c r="F299" s="139">
        <v>19244.64</v>
      </c>
      <c r="G299" s="139">
        <v>4192.4799999999996</v>
      </c>
      <c r="H299" s="141">
        <v>692807.04</v>
      </c>
      <c r="I299" s="141">
        <v>150929.27999999997</v>
      </c>
      <c r="J299" s="126"/>
      <c r="K299" s="126"/>
      <c r="L299" s="136" t="s">
        <v>1505</v>
      </c>
    </row>
    <row r="300" spans="1:12" s="22" customFormat="1" ht="26.65" customHeight="1" x14ac:dyDescent="0.25">
      <c r="A300" s="126" t="s">
        <v>2683</v>
      </c>
      <c r="B300" s="143" t="s">
        <v>1530</v>
      </c>
      <c r="C300" s="140" t="s">
        <v>1531</v>
      </c>
      <c r="D300" s="137" t="s">
        <v>43</v>
      </c>
      <c r="E300" s="138">
        <v>20</v>
      </c>
      <c r="F300" s="139">
        <v>21033.49</v>
      </c>
      <c r="G300" s="139">
        <v>5619.6</v>
      </c>
      <c r="H300" s="141">
        <v>420669.80000000005</v>
      </c>
      <c r="I300" s="141">
        <v>112392</v>
      </c>
      <c r="J300" s="126"/>
      <c r="K300" s="126"/>
      <c r="L300" s="136" t="s">
        <v>1505</v>
      </c>
    </row>
    <row r="301" spans="1:12" s="22" customFormat="1" ht="26.65" customHeight="1" x14ac:dyDescent="0.25">
      <c r="A301" s="126" t="s">
        <v>2683</v>
      </c>
      <c r="B301" s="143" t="s">
        <v>1532</v>
      </c>
      <c r="C301" s="140" t="s">
        <v>657</v>
      </c>
      <c r="D301" s="137" t="s">
        <v>43</v>
      </c>
      <c r="E301" s="138">
        <v>20</v>
      </c>
      <c r="F301" s="139">
        <v>19189.150000000001</v>
      </c>
      <c r="G301" s="139">
        <v>4123.9399999999996</v>
      </c>
      <c r="H301" s="141">
        <v>383783</v>
      </c>
      <c r="I301" s="141">
        <v>82478.799999999988</v>
      </c>
      <c r="J301" s="126"/>
      <c r="K301" s="126"/>
      <c r="L301" s="136" t="s">
        <v>1505</v>
      </c>
    </row>
    <row r="302" spans="1:12" s="22" customFormat="1" ht="26.65" customHeight="1" x14ac:dyDescent="0.25">
      <c r="A302" s="126" t="s">
        <v>2683</v>
      </c>
      <c r="B302" s="143" t="s">
        <v>1533</v>
      </c>
      <c r="C302" s="140" t="s">
        <v>1534</v>
      </c>
      <c r="D302" s="137" t="s">
        <v>43</v>
      </c>
      <c r="E302" s="138">
        <v>58</v>
      </c>
      <c r="F302" s="139">
        <v>25506.18</v>
      </c>
      <c r="G302" s="139">
        <v>4975</v>
      </c>
      <c r="H302" s="141">
        <v>1479358.44</v>
      </c>
      <c r="I302" s="141">
        <v>288550</v>
      </c>
      <c r="J302" s="126"/>
      <c r="K302" s="126"/>
      <c r="L302" s="136" t="s">
        <v>1505</v>
      </c>
    </row>
    <row r="303" spans="1:12" s="22" customFormat="1" ht="26.65" customHeight="1" x14ac:dyDescent="0.25">
      <c r="A303" s="126" t="s">
        <v>2683</v>
      </c>
      <c r="B303" s="143"/>
      <c r="C303" s="136" t="s">
        <v>1535</v>
      </c>
      <c r="D303" s="137"/>
      <c r="E303" s="138"/>
      <c r="F303" s="139"/>
      <c r="G303" s="139"/>
      <c r="H303" s="139"/>
      <c r="I303" s="139"/>
      <c r="J303" s="126"/>
      <c r="K303" s="126"/>
      <c r="L303" s="126"/>
    </row>
    <row r="304" spans="1:12" s="22" customFormat="1" ht="26.65" customHeight="1" x14ac:dyDescent="0.25">
      <c r="A304" s="126" t="s">
        <v>2683</v>
      </c>
      <c r="B304" s="143" t="s">
        <v>1536</v>
      </c>
      <c r="C304" s="140" t="s">
        <v>675</v>
      </c>
      <c r="D304" s="137" t="s">
        <v>43</v>
      </c>
      <c r="E304" s="138">
        <v>60</v>
      </c>
      <c r="F304" s="139">
        <v>29941.21</v>
      </c>
      <c r="G304" s="139">
        <v>3482.5</v>
      </c>
      <c r="H304" s="141">
        <v>1796472.5999999999</v>
      </c>
      <c r="I304" s="141">
        <v>208950</v>
      </c>
      <c r="J304" s="126"/>
      <c r="K304" s="126"/>
      <c r="L304" s="136" t="s">
        <v>1535</v>
      </c>
    </row>
    <row r="305" spans="1:12" s="22" customFormat="1" ht="26.65" customHeight="1" x14ac:dyDescent="0.25">
      <c r="A305" s="126" t="s">
        <v>2683</v>
      </c>
      <c r="B305" s="143" t="s">
        <v>1537</v>
      </c>
      <c r="C305" s="140" t="s">
        <v>1538</v>
      </c>
      <c r="D305" s="137" t="s">
        <v>43</v>
      </c>
      <c r="E305" s="138">
        <v>60</v>
      </c>
      <c r="F305" s="139">
        <v>12432.79</v>
      </c>
      <c r="G305" s="139">
        <v>3482.5</v>
      </c>
      <c r="H305" s="141">
        <v>745967.4</v>
      </c>
      <c r="I305" s="141">
        <v>208950</v>
      </c>
      <c r="J305" s="126"/>
      <c r="K305" s="126"/>
      <c r="L305" s="136" t="s">
        <v>1535</v>
      </c>
    </row>
    <row r="306" spans="1:12" s="22" customFormat="1" ht="26.65" customHeight="1" x14ac:dyDescent="0.25">
      <c r="A306" s="126" t="s">
        <v>2683</v>
      </c>
      <c r="B306" s="143" t="s">
        <v>1539</v>
      </c>
      <c r="C306" s="140" t="s">
        <v>1540</v>
      </c>
      <c r="D306" s="137" t="s">
        <v>43</v>
      </c>
      <c r="E306" s="138">
        <v>62</v>
      </c>
      <c r="F306" s="139">
        <v>26443.11</v>
      </c>
      <c r="G306" s="139">
        <v>3482.5</v>
      </c>
      <c r="H306" s="141">
        <v>1639472.82</v>
      </c>
      <c r="I306" s="141">
        <v>215915</v>
      </c>
      <c r="J306" s="126"/>
      <c r="K306" s="126"/>
      <c r="L306" s="136" t="s">
        <v>1535</v>
      </c>
    </row>
    <row r="307" spans="1:12" s="22" customFormat="1" ht="26.65" customHeight="1" x14ac:dyDescent="0.25">
      <c r="A307" s="126" t="s">
        <v>2683</v>
      </c>
      <c r="B307" s="143" t="s">
        <v>1541</v>
      </c>
      <c r="C307" s="140" t="s">
        <v>1542</v>
      </c>
      <c r="D307" s="137" t="s">
        <v>43</v>
      </c>
      <c r="E307" s="138">
        <v>20</v>
      </c>
      <c r="F307" s="139">
        <v>44999.94</v>
      </c>
      <c r="G307" s="139">
        <v>3606.88</v>
      </c>
      <c r="H307" s="141">
        <v>899998.8</v>
      </c>
      <c r="I307" s="141">
        <v>72137.600000000006</v>
      </c>
      <c r="J307" s="126"/>
      <c r="K307" s="126"/>
      <c r="L307" s="136" t="s">
        <v>1535</v>
      </c>
    </row>
    <row r="308" spans="1:12" s="22" customFormat="1" ht="26.65" customHeight="1" x14ac:dyDescent="0.25">
      <c r="A308" s="126" t="s">
        <v>2683</v>
      </c>
      <c r="B308" s="143" t="s">
        <v>1543</v>
      </c>
      <c r="C308" s="140" t="s">
        <v>657</v>
      </c>
      <c r="D308" s="137" t="s">
        <v>43</v>
      </c>
      <c r="E308" s="138">
        <v>50</v>
      </c>
      <c r="F308" s="139">
        <v>36519.31</v>
      </c>
      <c r="G308" s="139">
        <v>3731.25</v>
      </c>
      <c r="H308" s="141">
        <v>1825965.5</v>
      </c>
      <c r="I308" s="141">
        <v>186562.5</v>
      </c>
      <c r="J308" s="126"/>
      <c r="K308" s="126"/>
      <c r="L308" s="136" t="s">
        <v>1535</v>
      </c>
    </row>
    <row r="309" spans="1:12" s="22" customFormat="1" ht="26.65" customHeight="1" x14ac:dyDescent="0.25">
      <c r="A309" s="126" t="s">
        <v>2683</v>
      </c>
      <c r="B309" s="143" t="s">
        <v>1544</v>
      </c>
      <c r="C309" s="140" t="s">
        <v>1545</v>
      </c>
      <c r="D309" s="137" t="s">
        <v>43</v>
      </c>
      <c r="E309" s="138">
        <v>20</v>
      </c>
      <c r="F309" s="139">
        <v>42711.54</v>
      </c>
      <c r="G309" s="139">
        <v>3731.25</v>
      </c>
      <c r="H309" s="141">
        <v>854230.8</v>
      </c>
      <c r="I309" s="141">
        <v>74625</v>
      </c>
      <c r="J309" s="126"/>
      <c r="K309" s="126"/>
      <c r="L309" s="136" t="s">
        <v>1535</v>
      </c>
    </row>
    <row r="310" spans="1:12" s="22" customFormat="1" ht="26.65" customHeight="1" x14ac:dyDescent="0.25">
      <c r="A310" s="126" t="s">
        <v>2683</v>
      </c>
      <c r="B310" s="143" t="s">
        <v>1546</v>
      </c>
      <c r="C310" s="140" t="s">
        <v>1547</v>
      </c>
      <c r="D310" s="137" t="s">
        <v>43</v>
      </c>
      <c r="E310" s="138">
        <v>20</v>
      </c>
      <c r="F310" s="139">
        <v>48934.23</v>
      </c>
      <c r="G310" s="139">
        <v>4353.13</v>
      </c>
      <c r="H310" s="141">
        <v>978684.60000000009</v>
      </c>
      <c r="I310" s="141">
        <v>87062.6</v>
      </c>
      <c r="J310" s="126"/>
      <c r="K310" s="126"/>
      <c r="L310" s="136" t="s">
        <v>1535</v>
      </c>
    </row>
    <row r="311" spans="1:12" s="22" customFormat="1" ht="26.65" customHeight="1" x14ac:dyDescent="0.25">
      <c r="A311" s="126" t="s">
        <v>2683</v>
      </c>
      <c r="B311" s="143" t="s">
        <v>1548</v>
      </c>
      <c r="C311" s="140" t="s">
        <v>1549</v>
      </c>
      <c r="D311" s="137" t="s">
        <v>43</v>
      </c>
      <c r="E311" s="138">
        <v>20</v>
      </c>
      <c r="F311" s="139">
        <v>51442.879999999997</v>
      </c>
      <c r="G311" s="139">
        <v>4353.13</v>
      </c>
      <c r="H311" s="141">
        <v>1028857.6</v>
      </c>
      <c r="I311" s="141">
        <v>87062.6</v>
      </c>
      <c r="J311" s="126"/>
      <c r="K311" s="126"/>
      <c r="L311" s="136" t="s">
        <v>1535</v>
      </c>
    </row>
    <row r="312" spans="1:12" s="22" customFormat="1" ht="26.65" customHeight="1" x14ac:dyDescent="0.25">
      <c r="A312" s="126" t="s">
        <v>2683</v>
      </c>
      <c r="B312" s="143"/>
      <c r="C312" s="136" t="s">
        <v>743</v>
      </c>
      <c r="D312" s="137"/>
      <c r="E312" s="138"/>
      <c r="F312" s="139"/>
      <c r="G312" s="139"/>
      <c r="H312" s="139"/>
      <c r="I312" s="139"/>
      <c r="J312" s="126"/>
      <c r="K312" s="126"/>
      <c r="L312" s="126"/>
    </row>
    <row r="313" spans="1:12" s="22" customFormat="1" ht="26.65" customHeight="1" x14ac:dyDescent="0.25">
      <c r="A313" s="126" t="s">
        <v>2683</v>
      </c>
      <c r="B313" s="143" t="s">
        <v>1550</v>
      </c>
      <c r="C313" s="140" t="s">
        <v>749</v>
      </c>
      <c r="D313" s="137" t="s">
        <v>43</v>
      </c>
      <c r="E313" s="138">
        <v>80</v>
      </c>
      <c r="F313" s="139">
        <v>96306.43</v>
      </c>
      <c r="G313" s="139">
        <v>0</v>
      </c>
      <c r="H313" s="141">
        <v>7704514.3999999994</v>
      </c>
      <c r="I313" s="141">
        <v>0</v>
      </c>
      <c r="J313" s="126"/>
      <c r="K313" s="126"/>
      <c r="L313" s="136" t="s">
        <v>743</v>
      </c>
    </row>
    <row r="314" spans="1:12" s="22" customFormat="1" ht="26.65" customHeight="1" x14ac:dyDescent="0.25">
      <c r="A314" s="126" t="s">
        <v>2683</v>
      </c>
      <c r="B314" s="143" t="s">
        <v>1551</v>
      </c>
      <c r="C314" s="140" t="s">
        <v>751</v>
      </c>
      <c r="D314" s="137" t="s">
        <v>43</v>
      </c>
      <c r="E314" s="138">
        <v>70</v>
      </c>
      <c r="F314" s="139">
        <v>84483.72</v>
      </c>
      <c r="G314" s="139">
        <v>0</v>
      </c>
      <c r="H314" s="141">
        <v>5913860.4000000004</v>
      </c>
      <c r="I314" s="141">
        <v>0</v>
      </c>
      <c r="J314" s="126"/>
      <c r="K314" s="126"/>
      <c r="L314" s="136" t="s">
        <v>743</v>
      </c>
    </row>
    <row r="315" spans="1:12" s="22" customFormat="1" ht="26.65" customHeight="1" x14ac:dyDescent="0.25">
      <c r="A315" s="126" t="s">
        <v>2683</v>
      </c>
      <c r="B315" s="143" t="s">
        <v>1552</v>
      </c>
      <c r="C315" s="140" t="s">
        <v>757</v>
      </c>
      <c r="D315" s="137" t="s">
        <v>43</v>
      </c>
      <c r="E315" s="138">
        <v>62</v>
      </c>
      <c r="F315" s="139">
        <v>80316.789999999994</v>
      </c>
      <c r="G315" s="139">
        <v>0</v>
      </c>
      <c r="H315" s="141">
        <v>4979640.9799999995</v>
      </c>
      <c r="I315" s="141">
        <v>0</v>
      </c>
      <c r="J315" s="126"/>
      <c r="K315" s="126"/>
      <c r="L315" s="136" t="s">
        <v>743</v>
      </c>
    </row>
    <row r="316" spans="1:12" s="22" customFormat="1" ht="26.65" customHeight="1" x14ac:dyDescent="0.25">
      <c r="A316" s="126" t="s">
        <v>2683</v>
      </c>
      <c r="B316" s="143" t="s">
        <v>1553</v>
      </c>
      <c r="C316" s="140" t="s">
        <v>759</v>
      </c>
      <c r="D316" s="137" t="s">
        <v>43</v>
      </c>
      <c r="E316" s="138">
        <v>76</v>
      </c>
      <c r="F316" s="139">
        <v>75606.759999999995</v>
      </c>
      <c r="G316" s="139">
        <v>0</v>
      </c>
      <c r="H316" s="141">
        <v>5746113.7599999998</v>
      </c>
      <c r="I316" s="141">
        <v>0</v>
      </c>
      <c r="J316" s="126"/>
      <c r="K316" s="126"/>
      <c r="L316" s="136" t="s">
        <v>743</v>
      </c>
    </row>
    <row r="317" spans="1:12" s="22" customFormat="1" ht="26.65" customHeight="1" x14ac:dyDescent="0.25">
      <c r="A317" s="126" t="s">
        <v>2683</v>
      </c>
      <c r="B317" s="143" t="s">
        <v>1554</v>
      </c>
      <c r="C317" s="140" t="s">
        <v>761</v>
      </c>
      <c r="D317" s="137" t="s">
        <v>43</v>
      </c>
      <c r="E317" s="138">
        <v>56</v>
      </c>
      <c r="F317" s="139">
        <v>78634.31</v>
      </c>
      <c r="G317" s="139">
        <v>0</v>
      </c>
      <c r="H317" s="141">
        <v>4403521.3599999994</v>
      </c>
      <c r="I317" s="141">
        <v>0</v>
      </c>
      <c r="J317" s="126"/>
      <c r="K317" s="126"/>
      <c r="L317" s="136" t="s">
        <v>743</v>
      </c>
    </row>
    <row r="318" spans="1:12" s="22" customFormat="1" ht="26.65" customHeight="1" x14ac:dyDescent="0.25">
      <c r="A318" s="126" t="s">
        <v>2683</v>
      </c>
      <c r="B318" s="143" t="s">
        <v>1555</v>
      </c>
      <c r="C318" s="140" t="s">
        <v>765</v>
      </c>
      <c r="D318" s="137" t="s">
        <v>43</v>
      </c>
      <c r="E318" s="138">
        <v>120</v>
      </c>
      <c r="F318" s="139">
        <v>71159.679999999993</v>
      </c>
      <c r="G318" s="139">
        <v>0</v>
      </c>
      <c r="H318" s="141">
        <v>8539161.5999999996</v>
      </c>
      <c r="I318" s="141">
        <v>0</v>
      </c>
      <c r="J318" s="126"/>
      <c r="K318" s="126"/>
      <c r="L318" s="136" t="s">
        <v>743</v>
      </c>
    </row>
    <row r="319" spans="1:12" s="22" customFormat="1" ht="26.65" customHeight="1" x14ac:dyDescent="0.25">
      <c r="A319" s="126" t="s">
        <v>2683</v>
      </c>
      <c r="B319" s="143" t="s">
        <v>1556</v>
      </c>
      <c r="C319" s="140" t="s">
        <v>1557</v>
      </c>
      <c r="D319" s="137" t="s">
        <v>40</v>
      </c>
      <c r="E319" s="138">
        <v>398</v>
      </c>
      <c r="F319" s="139">
        <v>1328.45</v>
      </c>
      <c r="G319" s="139">
        <v>0</v>
      </c>
      <c r="H319" s="141">
        <v>528723.1</v>
      </c>
      <c r="I319" s="141">
        <v>0</v>
      </c>
      <c r="J319" s="126"/>
      <c r="K319" s="126"/>
      <c r="L319" s="136" t="s">
        <v>743</v>
      </c>
    </row>
    <row r="320" spans="1:12" s="22" customFormat="1" ht="26.65" customHeight="1" x14ac:dyDescent="0.25">
      <c r="A320" s="126" t="s">
        <v>2683</v>
      </c>
      <c r="B320" s="143" t="s">
        <v>1558</v>
      </c>
      <c r="C320" s="140" t="s">
        <v>1559</v>
      </c>
      <c r="D320" s="137" t="s">
        <v>40</v>
      </c>
      <c r="E320" s="138">
        <v>200</v>
      </c>
      <c r="F320" s="139">
        <v>1836.73</v>
      </c>
      <c r="G320" s="139">
        <v>0</v>
      </c>
      <c r="H320" s="141">
        <v>367346</v>
      </c>
      <c r="I320" s="141">
        <v>0</v>
      </c>
      <c r="J320" s="126"/>
      <c r="K320" s="126"/>
      <c r="L320" s="136" t="s">
        <v>743</v>
      </c>
    </row>
    <row r="321" spans="1:12" s="22" customFormat="1" ht="26.65" customHeight="1" x14ac:dyDescent="0.25">
      <c r="A321" s="126" t="s">
        <v>2683</v>
      </c>
      <c r="B321" s="143"/>
      <c r="C321" s="136" t="s">
        <v>1560</v>
      </c>
      <c r="D321" s="137"/>
      <c r="E321" s="138"/>
      <c r="F321" s="139"/>
      <c r="G321" s="139"/>
      <c r="H321" s="139"/>
      <c r="I321" s="139"/>
      <c r="J321" s="126"/>
      <c r="K321" s="126"/>
      <c r="L321" s="126"/>
    </row>
    <row r="322" spans="1:12" s="22" customFormat="1" ht="26.65" customHeight="1" x14ac:dyDescent="0.25">
      <c r="A322" s="126" t="s">
        <v>2683</v>
      </c>
      <c r="B322" s="143" t="s">
        <v>1561</v>
      </c>
      <c r="C322" s="140" t="s">
        <v>1562</v>
      </c>
      <c r="D322" s="137" t="s">
        <v>43</v>
      </c>
      <c r="E322" s="138">
        <v>20</v>
      </c>
      <c r="F322" s="139">
        <v>32684.39</v>
      </c>
      <c r="G322" s="139">
        <v>0</v>
      </c>
      <c r="H322" s="141">
        <v>653687.80000000005</v>
      </c>
      <c r="I322" s="141">
        <v>0</v>
      </c>
      <c r="J322" s="126"/>
      <c r="K322" s="126"/>
      <c r="L322" s="136" t="s">
        <v>1560</v>
      </c>
    </row>
    <row r="323" spans="1:12" s="22" customFormat="1" ht="26.65" customHeight="1" x14ac:dyDescent="0.25">
      <c r="A323" s="126" t="s">
        <v>2683</v>
      </c>
      <c r="B323" s="143" t="s">
        <v>1563</v>
      </c>
      <c r="C323" s="140" t="s">
        <v>770</v>
      </c>
      <c r="D323" s="137" t="s">
        <v>43</v>
      </c>
      <c r="E323" s="138">
        <v>66</v>
      </c>
      <c r="F323" s="139">
        <v>92121.31</v>
      </c>
      <c r="G323" s="139">
        <v>0</v>
      </c>
      <c r="H323" s="141">
        <v>6080006.46</v>
      </c>
      <c r="I323" s="141">
        <v>0</v>
      </c>
      <c r="J323" s="126"/>
      <c r="K323" s="126"/>
      <c r="L323" s="136" t="s">
        <v>1560</v>
      </c>
    </row>
    <row r="324" spans="1:12" s="22" customFormat="1" ht="26.65" customHeight="1" x14ac:dyDescent="0.25">
      <c r="A324" s="126" t="s">
        <v>2683</v>
      </c>
      <c r="B324" s="143" t="s">
        <v>1564</v>
      </c>
      <c r="C324" s="140" t="s">
        <v>776</v>
      </c>
      <c r="D324" s="137" t="s">
        <v>43</v>
      </c>
      <c r="E324" s="138">
        <v>64</v>
      </c>
      <c r="F324" s="139">
        <v>110616.28</v>
      </c>
      <c r="G324" s="139">
        <v>0</v>
      </c>
      <c r="H324" s="141">
        <v>7079441.9199999999</v>
      </c>
      <c r="I324" s="141">
        <v>0</v>
      </c>
      <c r="J324" s="126"/>
      <c r="K324" s="126"/>
      <c r="L324" s="136" t="s">
        <v>1560</v>
      </c>
    </row>
    <row r="325" spans="1:12" s="22" customFormat="1" ht="26.65" customHeight="1" x14ac:dyDescent="0.25">
      <c r="A325" s="126" t="s">
        <v>2683</v>
      </c>
      <c r="B325" s="143" t="s">
        <v>1565</v>
      </c>
      <c r="C325" s="140" t="s">
        <v>772</v>
      </c>
      <c r="D325" s="137" t="s">
        <v>43</v>
      </c>
      <c r="E325" s="138">
        <v>58</v>
      </c>
      <c r="F325" s="139">
        <v>93164.96</v>
      </c>
      <c r="G325" s="139">
        <v>0</v>
      </c>
      <c r="H325" s="141">
        <v>5403567.6800000006</v>
      </c>
      <c r="I325" s="141">
        <v>0</v>
      </c>
      <c r="J325" s="126"/>
      <c r="K325" s="126"/>
      <c r="L325" s="136" t="s">
        <v>1560</v>
      </c>
    </row>
    <row r="326" spans="1:12" s="22" customFormat="1" ht="26.65" customHeight="1" x14ac:dyDescent="0.25">
      <c r="A326" s="126" t="s">
        <v>2683</v>
      </c>
      <c r="B326" s="143"/>
      <c r="C326" s="136" t="s">
        <v>1566</v>
      </c>
      <c r="D326" s="137"/>
      <c r="E326" s="138"/>
      <c r="F326" s="139"/>
      <c r="G326" s="139"/>
      <c r="H326" s="139"/>
      <c r="I326" s="139"/>
      <c r="J326" s="126"/>
      <c r="K326" s="126"/>
      <c r="L326" s="126"/>
    </row>
    <row r="327" spans="1:12" s="22" customFormat="1" ht="26.65" customHeight="1" x14ac:dyDescent="0.25">
      <c r="A327" s="126" t="s">
        <v>2683</v>
      </c>
      <c r="B327" s="143" t="s">
        <v>1567</v>
      </c>
      <c r="C327" s="140" t="s">
        <v>786</v>
      </c>
      <c r="D327" s="137" t="s">
        <v>43</v>
      </c>
      <c r="E327" s="138">
        <v>68</v>
      </c>
      <c r="F327" s="139">
        <v>62114.21</v>
      </c>
      <c r="G327" s="139">
        <v>0</v>
      </c>
      <c r="H327" s="141">
        <v>4223766.28</v>
      </c>
      <c r="I327" s="141">
        <v>0</v>
      </c>
      <c r="J327" s="126"/>
      <c r="K327" s="126"/>
      <c r="L327" s="136" t="s">
        <v>1566</v>
      </c>
    </row>
    <row r="328" spans="1:12" s="22" customFormat="1" ht="26.65" customHeight="1" x14ac:dyDescent="0.25">
      <c r="A328" s="126" t="s">
        <v>2683</v>
      </c>
      <c r="B328" s="143" t="s">
        <v>1568</v>
      </c>
      <c r="C328" s="140" t="s">
        <v>788</v>
      </c>
      <c r="D328" s="137" t="s">
        <v>43</v>
      </c>
      <c r="E328" s="138">
        <v>66</v>
      </c>
      <c r="F328" s="139">
        <v>54938.9</v>
      </c>
      <c r="G328" s="139">
        <v>0</v>
      </c>
      <c r="H328" s="141">
        <v>3625967.4</v>
      </c>
      <c r="I328" s="141">
        <v>0</v>
      </c>
      <c r="J328" s="126"/>
      <c r="K328" s="126"/>
      <c r="L328" s="136" t="s">
        <v>1566</v>
      </c>
    </row>
    <row r="329" spans="1:12" s="22" customFormat="1" ht="26.65" customHeight="1" x14ac:dyDescent="0.25">
      <c r="A329" s="126" t="s">
        <v>2683</v>
      </c>
      <c r="B329" s="143" t="s">
        <v>1569</v>
      </c>
      <c r="C329" s="140" t="s">
        <v>790</v>
      </c>
      <c r="D329" s="137" t="s">
        <v>43</v>
      </c>
      <c r="E329" s="138">
        <v>70</v>
      </c>
      <c r="F329" s="139">
        <v>60913.26</v>
      </c>
      <c r="G329" s="139">
        <v>0</v>
      </c>
      <c r="H329" s="141">
        <v>4263928.2</v>
      </c>
      <c r="I329" s="141">
        <v>0</v>
      </c>
      <c r="J329" s="126"/>
      <c r="K329" s="126"/>
      <c r="L329" s="136" t="s">
        <v>1566</v>
      </c>
    </row>
    <row r="330" spans="1:12" s="22" customFormat="1" ht="26.65" customHeight="1" x14ac:dyDescent="0.25">
      <c r="A330" s="126" t="s">
        <v>2683</v>
      </c>
      <c r="B330" s="143" t="s">
        <v>1570</v>
      </c>
      <c r="C330" s="140" t="s">
        <v>792</v>
      </c>
      <c r="D330" s="137" t="s">
        <v>43</v>
      </c>
      <c r="E330" s="138">
        <v>70</v>
      </c>
      <c r="F330" s="139">
        <v>55026.38</v>
      </c>
      <c r="G330" s="139">
        <v>0</v>
      </c>
      <c r="H330" s="141">
        <v>3851846.5999999996</v>
      </c>
      <c r="I330" s="141">
        <v>0</v>
      </c>
      <c r="J330" s="126"/>
      <c r="K330" s="126"/>
      <c r="L330" s="136" t="s">
        <v>1566</v>
      </c>
    </row>
    <row r="331" spans="1:12" s="22" customFormat="1" ht="26.65" customHeight="1" x14ac:dyDescent="0.25">
      <c r="A331" s="126" t="s">
        <v>2683</v>
      </c>
      <c r="B331" s="143" t="s">
        <v>1571</v>
      </c>
      <c r="C331" s="140" t="s">
        <v>794</v>
      </c>
      <c r="D331" s="137" t="s">
        <v>43</v>
      </c>
      <c r="E331" s="138">
        <v>68</v>
      </c>
      <c r="F331" s="139">
        <v>56792.63</v>
      </c>
      <c r="G331" s="139">
        <v>0</v>
      </c>
      <c r="H331" s="141">
        <v>3861898.84</v>
      </c>
      <c r="I331" s="141">
        <v>0</v>
      </c>
      <c r="J331" s="126"/>
      <c r="K331" s="126"/>
      <c r="L331" s="136" t="s">
        <v>1566</v>
      </c>
    </row>
    <row r="332" spans="1:12" s="22" customFormat="1" ht="26.65" customHeight="1" x14ac:dyDescent="0.25">
      <c r="A332" s="126" t="s">
        <v>2683</v>
      </c>
      <c r="B332" s="143" t="s">
        <v>1572</v>
      </c>
      <c r="C332" s="140" t="s">
        <v>1573</v>
      </c>
      <c r="D332" s="137" t="s">
        <v>43</v>
      </c>
      <c r="E332" s="138">
        <v>60</v>
      </c>
      <c r="F332" s="139">
        <v>74335.83</v>
      </c>
      <c r="G332" s="139">
        <v>0</v>
      </c>
      <c r="H332" s="141">
        <v>4460149.8</v>
      </c>
      <c r="I332" s="141">
        <v>0</v>
      </c>
      <c r="J332" s="126"/>
      <c r="K332" s="126"/>
      <c r="L332" s="136" t="s">
        <v>1566</v>
      </c>
    </row>
    <row r="333" spans="1:12" s="22" customFormat="1" ht="26.65" customHeight="1" x14ac:dyDescent="0.25">
      <c r="A333" s="126" t="s">
        <v>2683</v>
      </c>
      <c r="B333" s="143" t="s">
        <v>1574</v>
      </c>
      <c r="C333" s="140" t="s">
        <v>796</v>
      </c>
      <c r="D333" s="137" t="s">
        <v>43</v>
      </c>
      <c r="E333" s="138">
        <v>80</v>
      </c>
      <c r="F333" s="139">
        <v>76731.429999999993</v>
      </c>
      <c r="G333" s="139">
        <v>0</v>
      </c>
      <c r="H333" s="141">
        <v>6138514.3999999994</v>
      </c>
      <c r="I333" s="141">
        <v>0</v>
      </c>
      <c r="J333" s="126"/>
      <c r="K333" s="126"/>
      <c r="L333" s="136" t="s">
        <v>1566</v>
      </c>
    </row>
    <row r="334" spans="1:12" s="22" customFormat="1" ht="26.65" customHeight="1" x14ac:dyDescent="0.25">
      <c r="A334" s="126" t="s">
        <v>2683</v>
      </c>
      <c r="B334" s="143" t="s">
        <v>1575</v>
      </c>
      <c r="C334" s="140" t="s">
        <v>798</v>
      </c>
      <c r="D334" s="137" t="s">
        <v>43</v>
      </c>
      <c r="E334" s="138">
        <v>76</v>
      </c>
      <c r="F334" s="139">
        <v>77069.75</v>
      </c>
      <c r="G334" s="139">
        <v>0</v>
      </c>
      <c r="H334" s="141">
        <v>5857301</v>
      </c>
      <c r="I334" s="141">
        <v>0</v>
      </c>
      <c r="J334" s="126"/>
      <c r="K334" s="126"/>
      <c r="L334" s="136" t="s">
        <v>1566</v>
      </c>
    </row>
    <row r="335" spans="1:12" s="22" customFormat="1" ht="26.65" customHeight="1" x14ac:dyDescent="0.25">
      <c r="A335" s="126" t="s">
        <v>2683</v>
      </c>
      <c r="B335" s="143" t="s">
        <v>1576</v>
      </c>
      <c r="C335" s="140" t="s">
        <v>800</v>
      </c>
      <c r="D335" s="137" t="s">
        <v>43</v>
      </c>
      <c r="E335" s="138">
        <v>86</v>
      </c>
      <c r="F335" s="139">
        <v>76702.64</v>
      </c>
      <c r="G335" s="139">
        <v>0</v>
      </c>
      <c r="H335" s="141">
        <v>6596427.04</v>
      </c>
      <c r="I335" s="141">
        <v>0</v>
      </c>
      <c r="J335" s="126"/>
      <c r="K335" s="126"/>
      <c r="L335" s="136" t="s">
        <v>1566</v>
      </c>
    </row>
    <row r="336" spans="1:12" s="22" customFormat="1" ht="26.65" customHeight="1" x14ac:dyDescent="0.25">
      <c r="A336" s="126" t="s">
        <v>2683</v>
      </c>
      <c r="B336" s="143" t="s">
        <v>1577</v>
      </c>
      <c r="C336" s="140" t="s">
        <v>802</v>
      </c>
      <c r="D336" s="137" t="s">
        <v>43</v>
      </c>
      <c r="E336" s="138">
        <v>70</v>
      </c>
      <c r="F336" s="139">
        <v>76472.009999999995</v>
      </c>
      <c r="G336" s="139">
        <v>0</v>
      </c>
      <c r="H336" s="141">
        <v>5353040.6999999993</v>
      </c>
      <c r="I336" s="141">
        <v>0</v>
      </c>
      <c r="J336" s="126"/>
      <c r="K336" s="126"/>
      <c r="L336" s="136" t="s">
        <v>1566</v>
      </c>
    </row>
    <row r="337" spans="1:12" s="22" customFormat="1" ht="26.65" customHeight="1" x14ac:dyDescent="0.25">
      <c r="A337" s="126" t="s">
        <v>2683</v>
      </c>
      <c r="B337" s="143" t="s">
        <v>1578</v>
      </c>
      <c r="C337" s="140" t="s">
        <v>1579</v>
      </c>
      <c r="D337" s="137" t="s">
        <v>43</v>
      </c>
      <c r="E337" s="138">
        <v>88</v>
      </c>
      <c r="F337" s="139">
        <v>62946.55</v>
      </c>
      <c r="G337" s="139">
        <v>0</v>
      </c>
      <c r="H337" s="141">
        <v>5539296.4000000004</v>
      </c>
      <c r="I337" s="141">
        <v>0</v>
      </c>
      <c r="J337" s="126"/>
      <c r="K337" s="126"/>
      <c r="L337" s="136" t="s">
        <v>1566</v>
      </c>
    </row>
    <row r="338" spans="1:12" s="22" customFormat="1" ht="26.65" customHeight="1" x14ac:dyDescent="0.25">
      <c r="A338" s="126" t="s">
        <v>2683</v>
      </c>
      <c r="B338" s="143"/>
      <c r="C338" s="136" t="s">
        <v>808</v>
      </c>
      <c r="D338" s="137"/>
      <c r="E338" s="138"/>
      <c r="F338" s="139"/>
      <c r="G338" s="139"/>
      <c r="H338" s="139"/>
      <c r="I338" s="139"/>
      <c r="J338" s="126"/>
      <c r="K338" s="126"/>
      <c r="L338" s="126"/>
    </row>
    <row r="339" spans="1:12" s="22" customFormat="1" ht="26.65" customHeight="1" x14ac:dyDescent="0.25">
      <c r="A339" s="126" t="s">
        <v>2683</v>
      </c>
      <c r="B339" s="143" t="s">
        <v>1580</v>
      </c>
      <c r="C339" s="140" t="s">
        <v>1581</v>
      </c>
      <c r="D339" s="137" t="s">
        <v>43</v>
      </c>
      <c r="E339" s="138">
        <v>76</v>
      </c>
      <c r="F339" s="139">
        <v>113320.41</v>
      </c>
      <c r="G339" s="139">
        <v>0</v>
      </c>
      <c r="H339" s="141">
        <v>8612351.1600000001</v>
      </c>
      <c r="I339" s="141">
        <v>0</v>
      </c>
      <c r="J339" s="126"/>
      <c r="K339" s="126"/>
      <c r="L339" s="136" t="s">
        <v>808</v>
      </c>
    </row>
    <row r="340" spans="1:12" s="22" customFormat="1" ht="26.65" customHeight="1" x14ac:dyDescent="0.25">
      <c r="A340" s="126" t="s">
        <v>2683</v>
      </c>
      <c r="B340" s="143" t="s">
        <v>1582</v>
      </c>
      <c r="C340" s="140" t="s">
        <v>1583</v>
      </c>
      <c r="D340" s="137" t="s">
        <v>43</v>
      </c>
      <c r="E340" s="138">
        <v>64</v>
      </c>
      <c r="F340" s="139">
        <v>113622.95</v>
      </c>
      <c r="G340" s="139">
        <v>0</v>
      </c>
      <c r="H340" s="141">
        <v>7271868.7999999998</v>
      </c>
      <c r="I340" s="141">
        <v>0</v>
      </c>
      <c r="J340" s="126"/>
      <c r="K340" s="126"/>
      <c r="L340" s="136" t="s">
        <v>808</v>
      </c>
    </row>
    <row r="341" spans="1:12" s="22" customFormat="1" ht="26.65" customHeight="1" x14ac:dyDescent="0.25">
      <c r="A341" s="126" t="s">
        <v>2683</v>
      </c>
      <c r="B341" s="143" t="s">
        <v>1584</v>
      </c>
      <c r="C341" s="140" t="s">
        <v>1585</v>
      </c>
      <c r="D341" s="137" t="s">
        <v>43</v>
      </c>
      <c r="E341" s="138">
        <v>70</v>
      </c>
      <c r="F341" s="139">
        <v>115126.78</v>
      </c>
      <c r="G341" s="139">
        <v>0</v>
      </c>
      <c r="H341" s="141">
        <v>8058874.5999999996</v>
      </c>
      <c r="I341" s="141">
        <v>0</v>
      </c>
      <c r="J341" s="126"/>
      <c r="K341" s="126"/>
      <c r="L341" s="136" t="s">
        <v>808</v>
      </c>
    </row>
    <row r="342" spans="1:12" s="22" customFormat="1" ht="26.65" customHeight="1" x14ac:dyDescent="0.25">
      <c r="A342" s="126" t="s">
        <v>2683</v>
      </c>
      <c r="B342" s="143" t="s">
        <v>1586</v>
      </c>
      <c r="C342" s="140" t="s">
        <v>1587</v>
      </c>
      <c r="D342" s="137" t="s">
        <v>43</v>
      </c>
      <c r="E342" s="138">
        <v>74</v>
      </c>
      <c r="F342" s="139">
        <v>97819</v>
      </c>
      <c r="G342" s="139">
        <v>0</v>
      </c>
      <c r="H342" s="141">
        <v>7238606</v>
      </c>
      <c r="I342" s="141">
        <v>0</v>
      </c>
      <c r="J342" s="126"/>
      <c r="K342" s="126"/>
      <c r="L342" s="136" t="s">
        <v>808</v>
      </c>
    </row>
    <row r="343" spans="1:12" s="22" customFormat="1" ht="26.65" customHeight="1" x14ac:dyDescent="0.25">
      <c r="A343" s="126" t="s">
        <v>2683</v>
      </c>
      <c r="B343" s="143"/>
      <c r="C343" s="136" t="s">
        <v>1588</v>
      </c>
      <c r="D343" s="137"/>
      <c r="E343" s="138"/>
      <c r="F343" s="139"/>
      <c r="G343" s="139"/>
      <c r="H343" s="139"/>
      <c r="I343" s="139"/>
      <c r="J343" s="126"/>
      <c r="K343" s="126"/>
      <c r="L343" s="126"/>
    </row>
    <row r="344" spans="1:12" s="22" customFormat="1" ht="26.65" customHeight="1" x14ac:dyDescent="0.25">
      <c r="A344" s="126" t="s">
        <v>2683</v>
      </c>
      <c r="B344" s="143" t="s">
        <v>1589</v>
      </c>
      <c r="C344" s="140" t="s">
        <v>1590</v>
      </c>
      <c r="D344" s="137" t="s">
        <v>43</v>
      </c>
      <c r="E344" s="138">
        <v>200</v>
      </c>
      <c r="F344" s="139">
        <v>226990.11</v>
      </c>
      <c r="G344" s="139">
        <v>0</v>
      </c>
      <c r="H344" s="141">
        <v>45398022</v>
      </c>
      <c r="I344" s="141">
        <v>0</v>
      </c>
      <c r="J344" s="126"/>
      <c r="K344" s="126"/>
      <c r="L344" s="136" t="s">
        <v>1588</v>
      </c>
    </row>
    <row r="345" spans="1:12" s="22" customFormat="1" ht="26.65" customHeight="1" x14ac:dyDescent="0.25">
      <c r="A345" s="126" t="s">
        <v>2683</v>
      </c>
      <c r="B345" s="143" t="s">
        <v>1591</v>
      </c>
      <c r="C345" s="140" t="s">
        <v>1592</v>
      </c>
      <c r="D345" s="137" t="s">
        <v>43</v>
      </c>
      <c r="E345" s="138">
        <v>200</v>
      </c>
      <c r="F345" s="139">
        <v>203883.79</v>
      </c>
      <c r="G345" s="139">
        <v>0</v>
      </c>
      <c r="H345" s="141">
        <v>40776758</v>
      </c>
      <c r="I345" s="141">
        <v>0</v>
      </c>
      <c r="J345" s="126"/>
      <c r="K345" s="126"/>
      <c r="L345" s="136" t="s">
        <v>1588</v>
      </c>
    </row>
    <row r="346" spans="1:12" s="22" customFormat="1" ht="26.65" customHeight="1" x14ac:dyDescent="0.25">
      <c r="A346" s="126" t="s">
        <v>2683</v>
      </c>
      <c r="B346" s="143"/>
      <c r="C346" s="136" t="s">
        <v>1593</v>
      </c>
      <c r="D346" s="137"/>
      <c r="E346" s="138"/>
      <c r="F346" s="139"/>
      <c r="G346" s="139"/>
      <c r="H346" s="139"/>
      <c r="I346" s="139"/>
      <c r="J346" s="126"/>
      <c r="K346" s="126"/>
      <c r="L346" s="126"/>
    </row>
    <row r="347" spans="1:12" s="22" customFormat="1" ht="26.65" customHeight="1" x14ac:dyDescent="0.25">
      <c r="A347" s="126" t="s">
        <v>2683</v>
      </c>
      <c r="B347" s="143" t="s">
        <v>1594</v>
      </c>
      <c r="C347" s="140" t="s">
        <v>1595</v>
      </c>
      <c r="D347" s="137" t="s">
        <v>43</v>
      </c>
      <c r="E347" s="138">
        <v>78</v>
      </c>
      <c r="F347" s="139">
        <v>85110.2</v>
      </c>
      <c r="G347" s="139">
        <v>0</v>
      </c>
      <c r="H347" s="141">
        <v>6638595.5999999996</v>
      </c>
      <c r="I347" s="141">
        <v>0</v>
      </c>
      <c r="J347" s="126"/>
      <c r="K347" s="126"/>
      <c r="L347" s="136" t="s">
        <v>1593</v>
      </c>
    </row>
    <row r="348" spans="1:12" s="22" customFormat="1" ht="26.65" customHeight="1" x14ac:dyDescent="0.25">
      <c r="A348" s="126" t="s">
        <v>2683</v>
      </c>
      <c r="B348" s="143" t="s">
        <v>1596</v>
      </c>
      <c r="C348" s="140" t="s">
        <v>834</v>
      </c>
      <c r="D348" s="137" t="s">
        <v>43</v>
      </c>
      <c r="E348" s="138">
        <v>70</v>
      </c>
      <c r="F348" s="139">
        <v>83062.89</v>
      </c>
      <c r="G348" s="139">
        <v>0</v>
      </c>
      <c r="H348" s="141">
        <v>5814402.2999999998</v>
      </c>
      <c r="I348" s="141">
        <v>0</v>
      </c>
      <c r="J348" s="126"/>
      <c r="K348" s="126"/>
      <c r="L348" s="136" t="s">
        <v>1593</v>
      </c>
    </row>
    <row r="349" spans="1:12" s="22" customFormat="1" ht="26.65" customHeight="1" x14ac:dyDescent="0.25">
      <c r="A349" s="126" t="s">
        <v>2683</v>
      </c>
      <c r="B349" s="143" t="s">
        <v>1597</v>
      </c>
      <c r="C349" s="140" t="s">
        <v>836</v>
      </c>
      <c r="D349" s="137" t="s">
        <v>43</v>
      </c>
      <c r="E349" s="138">
        <v>60</v>
      </c>
      <c r="F349" s="139">
        <v>85355.5</v>
      </c>
      <c r="G349" s="139">
        <v>0</v>
      </c>
      <c r="H349" s="141">
        <v>5121330</v>
      </c>
      <c r="I349" s="141">
        <v>0</v>
      </c>
      <c r="J349" s="126"/>
      <c r="K349" s="126"/>
      <c r="L349" s="136" t="s">
        <v>1593</v>
      </c>
    </row>
    <row r="350" spans="1:12" s="22" customFormat="1" ht="26.65" customHeight="1" x14ac:dyDescent="0.25">
      <c r="A350" s="126" t="s">
        <v>2683</v>
      </c>
      <c r="B350" s="143" t="s">
        <v>1598</v>
      </c>
      <c r="C350" s="140" t="s">
        <v>1599</v>
      </c>
      <c r="D350" s="137" t="s">
        <v>43</v>
      </c>
      <c r="E350" s="138">
        <v>60</v>
      </c>
      <c r="F350" s="139">
        <v>72063.899999999994</v>
      </c>
      <c r="G350" s="139">
        <v>0</v>
      </c>
      <c r="H350" s="141">
        <v>4323834</v>
      </c>
      <c r="I350" s="141">
        <v>0</v>
      </c>
      <c r="J350" s="126"/>
      <c r="K350" s="126"/>
      <c r="L350" s="136" t="s">
        <v>1593</v>
      </c>
    </row>
    <row r="351" spans="1:12" s="22" customFormat="1" ht="26.65" customHeight="1" x14ac:dyDescent="0.25">
      <c r="A351" s="126" t="s">
        <v>2683</v>
      </c>
      <c r="B351" s="143"/>
      <c r="C351" s="136" t="s">
        <v>1600</v>
      </c>
      <c r="D351" s="137"/>
      <c r="E351" s="138"/>
      <c r="F351" s="139"/>
      <c r="G351" s="139"/>
      <c r="H351" s="139"/>
      <c r="I351" s="139"/>
      <c r="J351" s="126"/>
      <c r="K351" s="126"/>
      <c r="L351" s="126"/>
    </row>
    <row r="352" spans="1:12" s="22" customFormat="1" ht="26.65" customHeight="1" x14ac:dyDescent="0.25">
      <c r="A352" s="126" t="s">
        <v>2683</v>
      </c>
      <c r="B352" s="143" t="s">
        <v>1601</v>
      </c>
      <c r="C352" s="140" t="s">
        <v>1602</v>
      </c>
      <c r="D352" s="137" t="s">
        <v>43</v>
      </c>
      <c r="E352" s="138">
        <v>78</v>
      </c>
      <c r="F352" s="139">
        <v>20459.580000000002</v>
      </c>
      <c r="G352" s="139">
        <v>0</v>
      </c>
      <c r="H352" s="141">
        <v>1595847.2400000002</v>
      </c>
      <c r="I352" s="141">
        <v>0</v>
      </c>
      <c r="J352" s="126"/>
      <c r="K352" s="126"/>
      <c r="L352" s="136" t="s">
        <v>1600</v>
      </c>
    </row>
    <row r="353" spans="1:12" s="22" customFormat="1" ht="26.65" customHeight="1" x14ac:dyDescent="0.25">
      <c r="A353" s="126" t="s">
        <v>2683</v>
      </c>
      <c r="B353" s="143" t="s">
        <v>1603</v>
      </c>
      <c r="C353" s="140" t="s">
        <v>1604</v>
      </c>
      <c r="D353" s="137" t="s">
        <v>43</v>
      </c>
      <c r="E353" s="138">
        <v>50</v>
      </c>
      <c r="F353" s="139">
        <v>25816.080000000002</v>
      </c>
      <c r="G353" s="139">
        <v>0</v>
      </c>
      <c r="H353" s="141">
        <v>1290804</v>
      </c>
      <c r="I353" s="141">
        <v>0</v>
      </c>
      <c r="J353" s="126"/>
      <c r="K353" s="126"/>
      <c r="L353" s="136" t="s">
        <v>1600</v>
      </c>
    </row>
    <row r="354" spans="1:12" s="22" customFormat="1" ht="26.65" customHeight="1" x14ac:dyDescent="0.25">
      <c r="A354" s="126" t="s">
        <v>2683</v>
      </c>
      <c r="B354" s="143"/>
      <c r="C354" s="136" t="s">
        <v>1605</v>
      </c>
      <c r="D354" s="137"/>
      <c r="E354" s="138"/>
      <c r="F354" s="139"/>
      <c r="G354" s="139"/>
      <c r="H354" s="139"/>
      <c r="I354" s="139"/>
      <c r="J354" s="126"/>
      <c r="K354" s="126"/>
      <c r="L354" s="126"/>
    </row>
    <row r="355" spans="1:12" s="22" customFormat="1" ht="26.65" customHeight="1" x14ac:dyDescent="0.25">
      <c r="A355" s="126" t="s">
        <v>2683</v>
      </c>
      <c r="B355" s="143" t="s">
        <v>1606</v>
      </c>
      <c r="C355" s="140" t="s">
        <v>1607</v>
      </c>
      <c r="D355" s="137" t="s">
        <v>43</v>
      </c>
      <c r="E355" s="138">
        <v>70</v>
      </c>
      <c r="F355" s="139">
        <v>49753.34</v>
      </c>
      <c r="G355" s="139">
        <v>0</v>
      </c>
      <c r="H355" s="141">
        <v>3482733.8</v>
      </c>
      <c r="I355" s="141">
        <v>0</v>
      </c>
      <c r="J355" s="126"/>
      <c r="K355" s="126"/>
      <c r="L355" s="136" t="s">
        <v>1605</v>
      </c>
    </row>
    <row r="356" spans="1:12" s="22" customFormat="1" ht="26.65" customHeight="1" x14ac:dyDescent="0.25">
      <c r="A356" s="126" t="s">
        <v>2683</v>
      </c>
      <c r="B356" s="143" t="s">
        <v>1608</v>
      </c>
      <c r="C356" s="140" t="s">
        <v>700</v>
      </c>
      <c r="D356" s="137" t="s">
        <v>43</v>
      </c>
      <c r="E356" s="138">
        <v>60</v>
      </c>
      <c r="F356" s="139">
        <v>102670.55</v>
      </c>
      <c r="G356" s="139">
        <v>0</v>
      </c>
      <c r="H356" s="141">
        <v>6160233</v>
      </c>
      <c r="I356" s="141">
        <v>0</v>
      </c>
      <c r="J356" s="126"/>
      <c r="K356" s="126"/>
      <c r="L356" s="136" t="s">
        <v>1605</v>
      </c>
    </row>
    <row r="357" spans="1:12" s="22" customFormat="1" ht="26.65" customHeight="1" x14ac:dyDescent="0.25">
      <c r="A357" s="126" t="s">
        <v>2683</v>
      </c>
      <c r="B357" s="143" t="s">
        <v>1609</v>
      </c>
      <c r="C357" s="140" t="s">
        <v>702</v>
      </c>
      <c r="D357" s="137" t="s">
        <v>43</v>
      </c>
      <c r="E357" s="138">
        <v>70</v>
      </c>
      <c r="F357" s="139">
        <v>104830.2</v>
      </c>
      <c r="G357" s="139">
        <v>0</v>
      </c>
      <c r="H357" s="141">
        <v>7338114</v>
      </c>
      <c r="I357" s="141">
        <v>0</v>
      </c>
      <c r="J357" s="126"/>
      <c r="K357" s="126"/>
      <c r="L357" s="136" t="s">
        <v>1605</v>
      </c>
    </row>
    <row r="358" spans="1:12" s="22" customFormat="1" ht="26.65" customHeight="1" x14ac:dyDescent="0.25">
      <c r="A358" s="126" t="s">
        <v>2683</v>
      </c>
      <c r="B358" s="143" t="s">
        <v>1610</v>
      </c>
      <c r="C358" s="140" t="s">
        <v>1611</v>
      </c>
      <c r="D358" s="137" t="s">
        <v>43</v>
      </c>
      <c r="E358" s="138">
        <v>50</v>
      </c>
      <c r="F358" s="139">
        <v>107847.99</v>
      </c>
      <c r="G358" s="139">
        <v>0</v>
      </c>
      <c r="H358" s="141">
        <v>5392399.5</v>
      </c>
      <c r="I358" s="141">
        <v>0</v>
      </c>
      <c r="J358" s="126"/>
      <c r="K358" s="126"/>
      <c r="L358" s="136" t="s">
        <v>1605</v>
      </c>
    </row>
    <row r="359" spans="1:12" s="22" customFormat="1" ht="26.65" customHeight="1" x14ac:dyDescent="0.25">
      <c r="A359" s="126" t="s">
        <v>2683</v>
      </c>
      <c r="B359" s="143" t="s">
        <v>1612</v>
      </c>
      <c r="C359" s="140" t="s">
        <v>1613</v>
      </c>
      <c r="D359" s="137" t="s">
        <v>43</v>
      </c>
      <c r="E359" s="138">
        <v>66</v>
      </c>
      <c r="F359" s="139">
        <v>105117.53</v>
      </c>
      <c r="G359" s="139">
        <v>0</v>
      </c>
      <c r="H359" s="141">
        <v>6937756.9799999995</v>
      </c>
      <c r="I359" s="141">
        <v>0</v>
      </c>
      <c r="J359" s="126"/>
      <c r="K359" s="126"/>
      <c r="L359" s="136" t="s">
        <v>1605</v>
      </c>
    </row>
    <row r="360" spans="1:12" s="22" customFormat="1" ht="26.65" customHeight="1" x14ac:dyDescent="0.25">
      <c r="A360" s="126" t="s">
        <v>2683</v>
      </c>
      <c r="B360" s="143" t="s">
        <v>1614</v>
      </c>
      <c r="C360" s="140" t="s">
        <v>1615</v>
      </c>
      <c r="D360" s="137" t="s">
        <v>43</v>
      </c>
      <c r="E360" s="138">
        <v>50</v>
      </c>
      <c r="F360" s="139">
        <v>107727.46</v>
      </c>
      <c r="G360" s="139">
        <v>0</v>
      </c>
      <c r="H360" s="141">
        <v>5386373</v>
      </c>
      <c r="I360" s="141">
        <v>0</v>
      </c>
      <c r="J360" s="126"/>
      <c r="K360" s="126"/>
      <c r="L360" s="136" t="s">
        <v>1605</v>
      </c>
    </row>
    <row r="361" spans="1:12" s="22" customFormat="1" ht="26.65" customHeight="1" x14ac:dyDescent="0.25">
      <c r="A361" s="126" t="s">
        <v>2683</v>
      </c>
      <c r="B361" s="143" t="s">
        <v>1616</v>
      </c>
      <c r="C361" s="140" t="s">
        <v>1617</v>
      </c>
      <c r="D361" s="137" t="s">
        <v>43</v>
      </c>
      <c r="E361" s="138">
        <v>64</v>
      </c>
      <c r="F361" s="139">
        <v>109588.9</v>
      </c>
      <c r="G361" s="139">
        <v>0</v>
      </c>
      <c r="H361" s="141">
        <v>7013689.5999999996</v>
      </c>
      <c r="I361" s="141">
        <v>0</v>
      </c>
      <c r="J361" s="126"/>
      <c r="K361" s="126"/>
      <c r="L361" s="136" t="s">
        <v>1605</v>
      </c>
    </row>
    <row r="362" spans="1:12" s="22" customFormat="1" ht="26.65" customHeight="1" x14ac:dyDescent="0.25">
      <c r="A362" s="126" t="s">
        <v>2683</v>
      </c>
      <c r="B362" s="143" t="s">
        <v>1618</v>
      </c>
      <c r="C362" s="140" t="s">
        <v>710</v>
      </c>
      <c r="D362" s="137" t="s">
        <v>43</v>
      </c>
      <c r="E362" s="138">
        <v>90</v>
      </c>
      <c r="F362" s="139">
        <v>105881.83</v>
      </c>
      <c r="G362" s="139">
        <v>0</v>
      </c>
      <c r="H362" s="141">
        <v>9529364.6999999993</v>
      </c>
      <c r="I362" s="141">
        <v>0</v>
      </c>
      <c r="J362" s="126"/>
      <c r="K362" s="126"/>
      <c r="L362" s="136" t="s">
        <v>1605</v>
      </c>
    </row>
    <row r="363" spans="1:12" s="22" customFormat="1" ht="26.65" customHeight="1" x14ac:dyDescent="0.25">
      <c r="A363" s="126" t="s">
        <v>2683</v>
      </c>
      <c r="B363" s="143" t="s">
        <v>1619</v>
      </c>
      <c r="C363" s="140" t="s">
        <v>712</v>
      </c>
      <c r="D363" s="137" t="s">
        <v>43</v>
      </c>
      <c r="E363" s="138">
        <v>62</v>
      </c>
      <c r="F363" s="139">
        <v>103561.47</v>
      </c>
      <c r="G363" s="139">
        <v>0</v>
      </c>
      <c r="H363" s="141">
        <v>6420811.1399999997</v>
      </c>
      <c r="I363" s="141">
        <v>0</v>
      </c>
      <c r="J363" s="126"/>
      <c r="K363" s="126"/>
      <c r="L363" s="136" t="s">
        <v>1605</v>
      </c>
    </row>
    <row r="364" spans="1:12" s="22" customFormat="1" ht="26.65" customHeight="1" x14ac:dyDescent="0.25">
      <c r="A364" s="126" t="s">
        <v>2683</v>
      </c>
      <c r="B364" s="143" t="s">
        <v>1620</v>
      </c>
      <c r="C364" s="140" t="s">
        <v>714</v>
      </c>
      <c r="D364" s="137" t="s">
        <v>43</v>
      </c>
      <c r="E364" s="138">
        <v>54</v>
      </c>
      <c r="F364" s="139">
        <v>110718.09</v>
      </c>
      <c r="G364" s="139">
        <v>0</v>
      </c>
      <c r="H364" s="141">
        <v>5978776.8599999994</v>
      </c>
      <c r="I364" s="141">
        <v>0</v>
      </c>
      <c r="J364" s="126"/>
      <c r="K364" s="126"/>
      <c r="L364" s="136" t="s">
        <v>1605</v>
      </c>
    </row>
    <row r="365" spans="1:12" s="22" customFormat="1" ht="26.65" customHeight="1" x14ac:dyDescent="0.25">
      <c r="A365" s="126" t="s">
        <v>2683</v>
      </c>
      <c r="B365" s="143" t="s">
        <v>1621</v>
      </c>
      <c r="C365" s="140" t="s">
        <v>716</v>
      </c>
      <c r="D365" s="137" t="s">
        <v>43</v>
      </c>
      <c r="E365" s="138">
        <v>70</v>
      </c>
      <c r="F365" s="139">
        <v>107794.48</v>
      </c>
      <c r="G365" s="139">
        <v>0</v>
      </c>
      <c r="H365" s="141">
        <v>7545613.5999999996</v>
      </c>
      <c r="I365" s="141">
        <v>0</v>
      </c>
      <c r="J365" s="126"/>
      <c r="K365" s="126"/>
      <c r="L365" s="136" t="s">
        <v>1605</v>
      </c>
    </row>
    <row r="366" spans="1:12" s="22" customFormat="1" ht="26.65" customHeight="1" x14ac:dyDescent="0.25">
      <c r="A366" s="126" t="s">
        <v>2683</v>
      </c>
      <c r="B366" s="143" t="s">
        <v>1622</v>
      </c>
      <c r="C366" s="140" t="s">
        <v>1623</v>
      </c>
      <c r="D366" s="137" t="s">
        <v>43</v>
      </c>
      <c r="E366" s="138">
        <v>80</v>
      </c>
      <c r="F366" s="139">
        <v>104696.24</v>
      </c>
      <c r="G366" s="139">
        <v>0</v>
      </c>
      <c r="H366" s="141">
        <v>8375699.2000000002</v>
      </c>
      <c r="I366" s="141">
        <v>0</v>
      </c>
      <c r="J366" s="126"/>
      <c r="K366" s="126"/>
      <c r="L366" s="136" t="s">
        <v>1605</v>
      </c>
    </row>
    <row r="367" spans="1:12" s="22" customFormat="1" ht="26.65" customHeight="1" x14ac:dyDescent="0.25">
      <c r="A367" s="126" t="s">
        <v>2683</v>
      </c>
      <c r="B367" s="143" t="s">
        <v>1624</v>
      </c>
      <c r="C367" s="140" t="s">
        <v>718</v>
      </c>
      <c r="D367" s="137" t="s">
        <v>43</v>
      </c>
      <c r="E367" s="138">
        <v>58</v>
      </c>
      <c r="F367" s="139">
        <v>111699.64</v>
      </c>
      <c r="G367" s="139">
        <v>0</v>
      </c>
      <c r="H367" s="141">
        <v>6478579.1200000001</v>
      </c>
      <c r="I367" s="141">
        <v>0</v>
      </c>
      <c r="J367" s="126"/>
      <c r="K367" s="126"/>
      <c r="L367" s="136" t="s">
        <v>1605</v>
      </c>
    </row>
    <row r="368" spans="1:12" s="22" customFormat="1" ht="26.65" customHeight="1" x14ac:dyDescent="0.25">
      <c r="A368" s="126" t="s">
        <v>2683</v>
      </c>
      <c r="B368" s="143" t="s">
        <v>1625</v>
      </c>
      <c r="C368" s="140" t="s">
        <v>1626</v>
      </c>
      <c r="D368" s="137" t="s">
        <v>43</v>
      </c>
      <c r="E368" s="138">
        <v>50</v>
      </c>
      <c r="F368" s="139">
        <v>93020.25</v>
      </c>
      <c r="G368" s="139">
        <v>0</v>
      </c>
      <c r="H368" s="141">
        <v>4651012.5</v>
      </c>
      <c r="I368" s="141">
        <v>0</v>
      </c>
      <c r="J368" s="126"/>
      <c r="K368" s="126"/>
      <c r="L368" s="136" t="s">
        <v>1605</v>
      </c>
    </row>
    <row r="369" spans="1:12" s="22" customFormat="1" ht="26.65" customHeight="1" x14ac:dyDescent="0.25">
      <c r="A369" s="126" t="s">
        <v>2683</v>
      </c>
      <c r="B369" s="143" t="s">
        <v>1627</v>
      </c>
      <c r="C369" s="140" t="s">
        <v>726</v>
      </c>
      <c r="D369" s="137" t="s">
        <v>43</v>
      </c>
      <c r="E369" s="138">
        <v>50</v>
      </c>
      <c r="F369" s="139">
        <v>104529.07</v>
      </c>
      <c r="G369" s="139">
        <v>0</v>
      </c>
      <c r="H369" s="141">
        <v>5226453.5</v>
      </c>
      <c r="I369" s="141">
        <v>0</v>
      </c>
      <c r="J369" s="126"/>
      <c r="K369" s="126"/>
      <c r="L369" s="136" t="s">
        <v>1605</v>
      </c>
    </row>
    <row r="370" spans="1:12" s="22" customFormat="1" ht="26.65" customHeight="1" x14ac:dyDescent="0.25">
      <c r="A370" s="126" t="s">
        <v>2683</v>
      </c>
      <c r="B370" s="143" t="s">
        <v>1628</v>
      </c>
      <c r="C370" s="140" t="s">
        <v>1629</v>
      </c>
      <c r="D370" s="137" t="s">
        <v>43</v>
      </c>
      <c r="E370" s="138">
        <v>76</v>
      </c>
      <c r="F370" s="139">
        <v>110244.54</v>
      </c>
      <c r="G370" s="139">
        <v>0</v>
      </c>
      <c r="H370" s="141">
        <v>8378585.0399999991</v>
      </c>
      <c r="I370" s="141">
        <v>0</v>
      </c>
      <c r="J370" s="126"/>
      <c r="K370" s="126"/>
      <c r="L370" s="136" t="s">
        <v>1605</v>
      </c>
    </row>
    <row r="371" spans="1:12" s="22" customFormat="1" ht="26.65" customHeight="1" x14ac:dyDescent="0.25">
      <c r="A371" s="126" t="s">
        <v>2683</v>
      </c>
      <c r="B371" s="143" t="s">
        <v>1630</v>
      </c>
      <c r="C371" s="140" t="s">
        <v>1631</v>
      </c>
      <c r="D371" s="137" t="s">
        <v>43</v>
      </c>
      <c r="E371" s="138">
        <v>20</v>
      </c>
      <c r="F371" s="139">
        <v>103268.99</v>
      </c>
      <c r="G371" s="139">
        <v>0</v>
      </c>
      <c r="H371" s="141">
        <v>2065379.8</v>
      </c>
      <c r="I371" s="141">
        <v>0</v>
      </c>
      <c r="J371" s="126"/>
      <c r="K371" s="126"/>
      <c r="L371" s="136" t="s">
        <v>1605</v>
      </c>
    </row>
    <row r="372" spans="1:12" s="22" customFormat="1" ht="26.65" customHeight="1" x14ac:dyDescent="0.25">
      <c r="A372" s="126" t="s">
        <v>2683</v>
      </c>
      <c r="B372" s="143" t="s">
        <v>1632</v>
      </c>
      <c r="C372" s="140" t="s">
        <v>1633</v>
      </c>
      <c r="D372" s="137" t="s">
        <v>43</v>
      </c>
      <c r="E372" s="138">
        <v>72</v>
      </c>
      <c r="F372" s="139">
        <v>104113.94</v>
      </c>
      <c r="G372" s="139">
        <v>0</v>
      </c>
      <c r="H372" s="141">
        <v>7496203.6799999997</v>
      </c>
      <c r="I372" s="141">
        <v>0</v>
      </c>
      <c r="J372" s="126"/>
      <c r="K372" s="126"/>
      <c r="L372" s="136" t="s">
        <v>1605</v>
      </c>
    </row>
    <row r="373" spans="1:12" s="22" customFormat="1" ht="26.65" customHeight="1" x14ac:dyDescent="0.25">
      <c r="A373" s="126" t="s">
        <v>2683</v>
      </c>
      <c r="B373" s="143" t="s">
        <v>1634</v>
      </c>
      <c r="C373" s="140" t="s">
        <v>728</v>
      </c>
      <c r="D373" s="137" t="s">
        <v>43</v>
      </c>
      <c r="E373" s="138">
        <v>66</v>
      </c>
      <c r="F373" s="139">
        <v>107937.74</v>
      </c>
      <c r="G373" s="139">
        <v>0</v>
      </c>
      <c r="H373" s="141">
        <v>7123890.8400000008</v>
      </c>
      <c r="I373" s="141">
        <v>0</v>
      </c>
      <c r="J373" s="126"/>
      <c r="K373" s="126"/>
      <c r="L373" s="136" t="s">
        <v>1605</v>
      </c>
    </row>
    <row r="374" spans="1:12" s="22" customFormat="1" ht="26.65" customHeight="1" x14ac:dyDescent="0.25">
      <c r="A374" s="126" t="s">
        <v>2683</v>
      </c>
      <c r="B374" s="143" t="s">
        <v>1635</v>
      </c>
      <c r="C374" s="140" t="s">
        <v>732</v>
      </c>
      <c r="D374" s="137" t="s">
        <v>43</v>
      </c>
      <c r="E374" s="138">
        <v>56</v>
      </c>
      <c r="F374" s="139">
        <v>108910.81</v>
      </c>
      <c r="G374" s="139">
        <v>0</v>
      </c>
      <c r="H374" s="141">
        <v>6099005.3599999994</v>
      </c>
      <c r="I374" s="141">
        <v>0</v>
      </c>
      <c r="J374" s="126"/>
      <c r="K374" s="126"/>
      <c r="L374" s="136" t="s">
        <v>1605</v>
      </c>
    </row>
    <row r="375" spans="1:12" s="22" customFormat="1" ht="26.65" customHeight="1" x14ac:dyDescent="0.25">
      <c r="A375" s="126" t="s">
        <v>2683</v>
      </c>
      <c r="B375" s="143" t="s">
        <v>1636</v>
      </c>
      <c r="C375" s="140" t="s">
        <v>734</v>
      </c>
      <c r="D375" s="137" t="s">
        <v>43</v>
      </c>
      <c r="E375" s="138">
        <v>50</v>
      </c>
      <c r="F375" s="139">
        <v>90941.04</v>
      </c>
      <c r="G375" s="139">
        <v>0</v>
      </c>
      <c r="H375" s="141">
        <v>4547052</v>
      </c>
      <c r="I375" s="141">
        <v>0</v>
      </c>
      <c r="J375" s="126"/>
      <c r="K375" s="126"/>
      <c r="L375" s="136" t="s">
        <v>1605</v>
      </c>
    </row>
    <row r="376" spans="1:12" s="22" customFormat="1" ht="26.65" customHeight="1" x14ac:dyDescent="0.25">
      <c r="A376" s="126" t="s">
        <v>2683</v>
      </c>
      <c r="B376" s="143" t="s">
        <v>1637</v>
      </c>
      <c r="C376" s="140" t="s">
        <v>1638</v>
      </c>
      <c r="D376" s="137" t="s">
        <v>43</v>
      </c>
      <c r="E376" s="138">
        <v>68</v>
      </c>
      <c r="F376" s="139">
        <v>95223.81</v>
      </c>
      <c r="G376" s="139">
        <v>0</v>
      </c>
      <c r="H376" s="141">
        <v>6475219.0800000001</v>
      </c>
      <c r="I376" s="141">
        <v>0</v>
      </c>
      <c r="J376" s="126"/>
      <c r="K376" s="126"/>
      <c r="L376" s="136" t="s">
        <v>1605</v>
      </c>
    </row>
    <row r="377" spans="1:12" s="22" customFormat="1" ht="26.65" customHeight="1" x14ac:dyDescent="0.25">
      <c r="A377" s="126" t="s">
        <v>2683</v>
      </c>
      <c r="B377" s="143" t="s">
        <v>1639</v>
      </c>
      <c r="C377" s="140" t="s">
        <v>1640</v>
      </c>
      <c r="D377" s="137" t="s">
        <v>43</v>
      </c>
      <c r="E377" s="138">
        <v>50</v>
      </c>
      <c r="F377" s="139">
        <v>99704.15</v>
      </c>
      <c r="G377" s="139">
        <v>0</v>
      </c>
      <c r="H377" s="141">
        <v>4985207.5</v>
      </c>
      <c r="I377" s="141">
        <v>0</v>
      </c>
      <c r="J377" s="126"/>
      <c r="K377" s="126"/>
      <c r="L377" s="136" t="s">
        <v>1605</v>
      </c>
    </row>
    <row r="378" spans="1:12" s="22" customFormat="1" ht="26.65" customHeight="1" x14ac:dyDescent="0.25">
      <c r="A378" s="126" t="s">
        <v>2683</v>
      </c>
      <c r="B378" s="143" t="s">
        <v>1641</v>
      </c>
      <c r="C378" s="140" t="s">
        <v>1642</v>
      </c>
      <c r="D378" s="137" t="s">
        <v>43</v>
      </c>
      <c r="E378" s="138">
        <v>58</v>
      </c>
      <c r="F378" s="139">
        <v>118271.19</v>
      </c>
      <c r="G378" s="139">
        <v>0</v>
      </c>
      <c r="H378" s="141">
        <v>6859729.0200000005</v>
      </c>
      <c r="I378" s="141">
        <v>0</v>
      </c>
      <c r="J378" s="126"/>
      <c r="K378" s="126"/>
      <c r="L378" s="136" t="s">
        <v>1605</v>
      </c>
    </row>
    <row r="379" spans="1:12" s="22" customFormat="1" ht="26.65" customHeight="1" x14ac:dyDescent="0.25">
      <c r="A379" s="126" t="s">
        <v>2683</v>
      </c>
      <c r="B379" s="143" t="s">
        <v>1643</v>
      </c>
      <c r="C379" s="140" t="s">
        <v>1644</v>
      </c>
      <c r="D379" s="137" t="s">
        <v>43</v>
      </c>
      <c r="E379" s="138">
        <v>70</v>
      </c>
      <c r="F379" s="139">
        <v>144549.96</v>
      </c>
      <c r="G379" s="139">
        <v>0</v>
      </c>
      <c r="H379" s="141">
        <v>10118497.199999999</v>
      </c>
      <c r="I379" s="141">
        <v>0</v>
      </c>
      <c r="J379" s="126"/>
      <c r="K379" s="126"/>
      <c r="L379" s="136" t="s">
        <v>1605</v>
      </c>
    </row>
    <row r="380" spans="1:12" s="22" customFormat="1" ht="26.65" customHeight="1" x14ac:dyDescent="0.25">
      <c r="A380" s="126" t="s">
        <v>2683</v>
      </c>
      <c r="B380" s="143"/>
      <c r="C380" s="136" t="s">
        <v>1645</v>
      </c>
      <c r="D380" s="137"/>
      <c r="E380" s="138"/>
      <c r="F380" s="139"/>
      <c r="G380" s="139"/>
      <c r="H380" s="139"/>
      <c r="I380" s="139"/>
      <c r="J380" s="126"/>
      <c r="K380" s="126"/>
      <c r="L380" s="126"/>
    </row>
    <row r="381" spans="1:12" s="22" customFormat="1" ht="26.65" customHeight="1" x14ac:dyDescent="0.25">
      <c r="A381" s="126" t="s">
        <v>2683</v>
      </c>
      <c r="B381" s="143"/>
      <c r="C381" s="136" t="s">
        <v>1646</v>
      </c>
      <c r="D381" s="137"/>
      <c r="E381" s="138"/>
      <c r="F381" s="139"/>
      <c r="G381" s="139"/>
      <c r="H381" s="139"/>
      <c r="I381" s="139"/>
      <c r="J381" s="126"/>
      <c r="K381" s="126"/>
      <c r="L381" s="126"/>
    </row>
    <row r="382" spans="1:12" s="22" customFormat="1" ht="26.65" customHeight="1" x14ac:dyDescent="0.25">
      <c r="A382" s="126" t="s">
        <v>2683</v>
      </c>
      <c r="B382" s="143" t="s">
        <v>1647</v>
      </c>
      <c r="C382" s="140" t="s">
        <v>1648</v>
      </c>
      <c r="D382" s="137" t="s">
        <v>133</v>
      </c>
      <c r="E382" s="138">
        <v>20</v>
      </c>
      <c r="F382" s="139">
        <v>29429.33</v>
      </c>
      <c r="G382" s="139">
        <v>128395.2</v>
      </c>
      <c r="H382" s="141">
        <v>588586.60000000009</v>
      </c>
      <c r="I382" s="141">
        <v>2567904</v>
      </c>
      <c r="J382" s="136" t="s">
        <v>1645</v>
      </c>
      <c r="K382" s="126"/>
      <c r="L382" s="136" t="s">
        <v>1646</v>
      </c>
    </row>
    <row r="383" spans="1:12" s="22" customFormat="1" ht="26.65" customHeight="1" x14ac:dyDescent="0.25">
      <c r="A383" s="126" t="s">
        <v>2683</v>
      </c>
      <c r="B383" s="143" t="s">
        <v>1649</v>
      </c>
      <c r="C383" s="140" t="s">
        <v>1650</v>
      </c>
      <c r="D383" s="137" t="s">
        <v>133</v>
      </c>
      <c r="E383" s="138">
        <v>20</v>
      </c>
      <c r="F383" s="139">
        <v>20596.71</v>
      </c>
      <c r="G383" s="139">
        <v>108432.1</v>
      </c>
      <c r="H383" s="141">
        <v>411934.19999999995</v>
      </c>
      <c r="I383" s="141">
        <v>2168642</v>
      </c>
      <c r="J383" s="136" t="s">
        <v>1645</v>
      </c>
      <c r="K383" s="126"/>
      <c r="L383" s="136" t="s">
        <v>1646</v>
      </c>
    </row>
    <row r="384" spans="1:12" s="22" customFormat="1" ht="26.65" customHeight="1" x14ac:dyDescent="0.25">
      <c r="A384" s="126" t="s">
        <v>2683</v>
      </c>
      <c r="B384" s="143"/>
      <c r="C384" s="136" t="s">
        <v>1651</v>
      </c>
      <c r="D384" s="137"/>
      <c r="E384" s="138"/>
      <c r="F384" s="139"/>
      <c r="G384" s="139"/>
      <c r="H384" s="139"/>
      <c r="I384" s="139"/>
      <c r="J384" s="136" t="s">
        <v>1645</v>
      </c>
      <c r="K384" s="126"/>
      <c r="L384" s="126"/>
    </row>
    <row r="385" spans="1:12" s="22" customFormat="1" ht="26.65" customHeight="1" x14ac:dyDescent="0.25">
      <c r="A385" s="126" t="s">
        <v>2683</v>
      </c>
      <c r="B385" s="143" t="s">
        <v>1652</v>
      </c>
      <c r="C385" s="140" t="s">
        <v>1653</v>
      </c>
      <c r="D385" s="137" t="s">
        <v>133</v>
      </c>
      <c r="E385" s="138">
        <v>20</v>
      </c>
      <c r="F385" s="139">
        <v>14434.96</v>
      </c>
      <c r="G385" s="139">
        <v>1770.93</v>
      </c>
      <c r="H385" s="141">
        <v>288699.19999999995</v>
      </c>
      <c r="I385" s="141">
        <v>35418.6</v>
      </c>
      <c r="J385" s="136" t="s">
        <v>1645</v>
      </c>
      <c r="K385" s="126"/>
      <c r="L385" s="136" t="s">
        <v>1651</v>
      </c>
    </row>
    <row r="386" spans="1:12" s="22" customFormat="1" ht="26.65" customHeight="1" x14ac:dyDescent="0.25">
      <c r="A386" s="126" t="s">
        <v>2683</v>
      </c>
      <c r="B386" s="143" t="s">
        <v>1654</v>
      </c>
      <c r="C386" s="140" t="s">
        <v>1655</v>
      </c>
      <c r="D386" s="137" t="s">
        <v>133</v>
      </c>
      <c r="E386" s="138">
        <v>30</v>
      </c>
      <c r="F386" s="139">
        <v>15134.96</v>
      </c>
      <c r="G386" s="139">
        <v>2304.5</v>
      </c>
      <c r="H386" s="141">
        <v>454048.8</v>
      </c>
      <c r="I386" s="141">
        <v>69135</v>
      </c>
      <c r="J386" s="136" t="s">
        <v>1645</v>
      </c>
      <c r="K386" s="126"/>
      <c r="L386" s="136" t="s">
        <v>1651</v>
      </c>
    </row>
    <row r="387" spans="1:12" s="22" customFormat="1" ht="26.65" customHeight="1" x14ac:dyDescent="0.25">
      <c r="A387" s="126" t="s">
        <v>2683</v>
      </c>
      <c r="B387" s="143" t="s">
        <v>1656</v>
      </c>
      <c r="C387" s="140" t="s">
        <v>1657</v>
      </c>
      <c r="D387" s="137" t="s">
        <v>133</v>
      </c>
      <c r="E387" s="138">
        <v>30</v>
      </c>
      <c r="F387" s="139">
        <v>15134.96</v>
      </c>
      <c r="G387" s="139">
        <v>2304.5</v>
      </c>
      <c r="H387" s="141">
        <v>454048.8</v>
      </c>
      <c r="I387" s="141">
        <v>69135</v>
      </c>
      <c r="J387" s="136" t="s">
        <v>1645</v>
      </c>
      <c r="K387" s="126"/>
      <c r="L387" s="136" t="s">
        <v>1651</v>
      </c>
    </row>
    <row r="388" spans="1:12" s="22" customFormat="1" ht="26.65" customHeight="1" x14ac:dyDescent="0.25">
      <c r="A388" s="126" t="s">
        <v>2683</v>
      </c>
      <c r="B388" s="143" t="s">
        <v>1658</v>
      </c>
      <c r="C388" s="140" t="s">
        <v>1659</v>
      </c>
      <c r="D388" s="137" t="s">
        <v>133</v>
      </c>
      <c r="E388" s="138">
        <v>24</v>
      </c>
      <c r="F388" s="139">
        <v>12837.59</v>
      </c>
      <c r="G388" s="139">
        <v>8692.65</v>
      </c>
      <c r="H388" s="141">
        <v>308102.16000000003</v>
      </c>
      <c r="I388" s="141">
        <v>208623.59999999998</v>
      </c>
      <c r="J388" s="136" t="s">
        <v>1645</v>
      </c>
      <c r="K388" s="126"/>
      <c r="L388" s="136" t="s">
        <v>1651</v>
      </c>
    </row>
    <row r="389" spans="1:12" s="22" customFormat="1" ht="26.65" customHeight="1" x14ac:dyDescent="0.25">
      <c r="A389" s="126" t="s">
        <v>2683</v>
      </c>
      <c r="B389" s="143"/>
      <c r="C389" s="136" t="s">
        <v>1660</v>
      </c>
      <c r="D389" s="137"/>
      <c r="E389" s="138"/>
      <c r="F389" s="139"/>
      <c r="G389" s="139"/>
      <c r="H389" s="139"/>
      <c r="I389" s="139"/>
      <c r="J389" s="136" t="s">
        <v>1645</v>
      </c>
      <c r="K389" s="126"/>
      <c r="L389" s="126"/>
    </row>
    <row r="390" spans="1:12" s="22" customFormat="1" ht="26.65" customHeight="1" x14ac:dyDescent="0.25">
      <c r="A390" s="126" t="s">
        <v>2683</v>
      </c>
      <c r="B390" s="143" t="s">
        <v>1661</v>
      </c>
      <c r="C390" s="140" t="s">
        <v>1662</v>
      </c>
      <c r="D390" s="137" t="s">
        <v>133</v>
      </c>
      <c r="E390" s="138">
        <v>24</v>
      </c>
      <c r="F390" s="139">
        <v>12837.59</v>
      </c>
      <c r="G390" s="139">
        <v>13667.65</v>
      </c>
      <c r="H390" s="141">
        <v>308102.16000000003</v>
      </c>
      <c r="I390" s="141">
        <v>328023.59999999998</v>
      </c>
      <c r="J390" s="136" t="s">
        <v>1645</v>
      </c>
      <c r="K390" s="126"/>
      <c r="L390" s="136" t="s">
        <v>1660</v>
      </c>
    </row>
    <row r="391" spans="1:12" s="22" customFormat="1" ht="26.65" customHeight="1" x14ac:dyDescent="0.25">
      <c r="A391" s="126" t="s">
        <v>2683</v>
      </c>
      <c r="B391" s="143"/>
      <c r="C391" s="136" t="s">
        <v>1663</v>
      </c>
      <c r="D391" s="137"/>
      <c r="E391" s="138"/>
      <c r="F391" s="139"/>
      <c r="G391" s="139"/>
      <c r="H391" s="139"/>
      <c r="I391" s="139"/>
      <c r="J391" s="136" t="s">
        <v>1645</v>
      </c>
      <c r="K391" s="126"/>
      <c r="L391" s="126"/>
    </row>
    <row r="392" spans="1:12" s="22" customFormat="1" ht="26.65" customHeight="1" x14ac:dyDescent="0.25">
      <c r="A392" s="126" t="s">
        <v>2683</v>
      </c>
      <c r="B392" s="143" t="s">
        <v>1664</v>
      </c>
      <c r="C392" s="140" t="s">
        <v>1665</v>
      </c>
      <c r="D392" s="137" t="s">
        <v>133</v>
      </c>
      <c r="E392" s="138">
        <v>30</v>
      </c>
      <c r="F392" s="139">
        <v>14434.96</v>
      </c>
      <c r="G392" s="139">
        <v>14310.13</v>
      </c>
      <c r="H392" s="141">
        <v>433048.8</v>
      </c>
      <c r="I392" s="141">
        <v>429303.89999999997</v>
      </c>
      <c r="J392" s="136" t="s">
        <v>1645</v>
      </c>
      <c r="K392" s="126"/>
      <c r="L392" s="136" t="s">
        <v>1663</v>
      </c>
    </row>
    <row r="393" spans="1:12" s="22" customFormat="1" ht="26.65" customHeight="1" x14ac:dyDescent="0.25">
      <c r="A393" s="126" t="s">
        <v>2683</v>
      </c>
      <c r="B393" s="143"/>
      <c r="C393" s="136" t="s">
        <v>1666</v>
      </c>
      <c r="D393" s="137"/>
      <c r="E393" s="138"/>
      <c r="F393" s="139"/>
      <c r="G393" s="139"/>
      <c r="H393" s="139"/>
      <c r="I393" s="139"/>
      <c r="J393" s="136" t="s">
        <v>1645</v>
      </c>
      <c r="K393" s="126"/>
      <c r="L393" s="126"/>
    </row>
    <row r="394" spans="1:12" s="22" customFormat="1" ht="26.65" customHeight="1" x14ac:dyDescent="0.25">
      <c r="A394" s="126" t="s">
        <v>2683</v>
      </c>
      <c r="B394" s="143" t="s">
        <v>1667</v>
      </c>
      <c r="C394" s="140" t="s">
        <v>1668</v>
      </c>
      <c r="D394" s="137" t="s">
        <v>133</v>
      </c>
      <c r="E394" s="138">
        <v>26</v>
      </c>
      <c r="F394" s="139">
        <v>15134.96</v>
      </c>
      <c r="G394" s="139">
        <v>11393.75</v>
      </c>
      <c r="H394" s="141">
        <v>393508.95999999996</v>
      </c>
      <c r="I394" s="141">
        <v>296237.5</v>
      </c>
      <c r="J394" s="136" t="s">
        <v>1645</v>
      </c>
      <c r="K394" s="126"/>
      <c r="L394" s="136" t="s">
        <v>1666</v>
      </c>
    </row>
    <row r="395" spans="1:12" s="22" customFormat="1" ht="26.65" customHeight="1" x14ac:dyDescent="0.25">
      <c r="A395" s="126" t="s">
        <v>2683</v>
      </c>
      <c r="B395" s="143"/>
      <c r="C395" s="136" t="s">
        <v>1669</v>
      </c>
      <c r="D395" s="137"/>
      <c r="E395" s="138"/>
      <c r="F395" s="139"/>
      <c r="G395" s="139"/>
      <c r="H395" s="139"/>
      <c r="I395" s="139"/>
      <c r="J395" s="136" t="s">
        <v>1645</v>
      </c>
      <c r="K395" s="126"/>
      <c r="L395" s="126"/>
    </row>
    <row r="396" spans="1:12" s="22" customFormat="1" ht="26.65" customHeight="1" x14ac:dyDescent="0.25">
      <c r="A396" s="126" t="s">
        <v>2683</v>
      </c>
      <c r="B396" s="143" t="s">
        <v>1670</v>
      </c>
      <c r="C396" s="140" t="s">
        <v>1671</v>
      </c>
      <c r="D396" s="137" t="s">
        <v>133</v>
      </c>
      <c r="E396" s="138">
        <v>36</v>
      </c>
      <c r="F396" s="139">
        <v>11157.68</v>
      </c>
      <c r="G396" s="139">
        <v>308.70999999999998</v>
      </c>
      <c r="H396" s="141">
        <v>401676.48</v>
      </c>
      <c r="I396" s="141">
        <v>11113.56</v>
      </c>
      <c r="J396" s="136" t="s">
        <v>1645</v>
      </c>
      <c r="K396" s="126"/>
      <c r="L396" s="136" t="s">
        <v>1669</v>
      </c>
    </row>
    <row r="397" spans="1:12" s="22" customFormat="1" ht="26.65" customHeight="1" x14ac:dyDescent="0.25">
      <c r="A397" s="126" t="s">
        <v>2683</v>
      </c>
      <c r="B397" s="143" t="s">
        <v>1672</v>
      </c>
      <c r="C397" s="140" t="s">
        <v>1673</v>
      </c>
      <c r="D397" s="137" t="s">
        <v>133</v>
      </c>
      <c r="E397" s="138">
        <v>36</v>
      </c>
      <c r="F397" s="139">
        <v>11174.23</v>
      </c>
      <c r="G397" s="139">
        <v>1803.44</v>
      </c>
      <c r="H397" s="141">
        <v>402272.27999999997</v>
      </c>
      <c r="I397" s="141">
        <v>64923.840000000004</v>
      </c>
      <c r="J397" s="136" t="s">
        <v>1645</v>
      </c>
      <c r="K397" s="126"/>
      <c r="L397" s="136" t="s">
        <v>1669</v>
      </c>
    </row>
    <row r="398" spans="1:12" s="22" customFormat="1" ht="26.65" customHeight="1" x14ac:dyDescent="0.25">
      <c r="A398" s="126" t="s">
        <v>2683</v>
      </c>
      <c r="B398" s="143" t="s">
        <v>1674</v>
      </c>
      <c r="C398" s="140" t="s">
        <v>1675</v>
      </c>
      <c r="D398" s="137" t="s">
        <v>133</v>
      </c>
      <c r="E398" s="138">
        <v>40</v>
      </c>
      <c r="F398" s="139">
        <v>9311.85</v>
      </c>
      <c r="G398" s="139">
        <v>108.4</v>
      </c>
      <c r="H398" s="141">
        <v>372474</v>
      </c>
      <c r="I398" s="141">
        <v>4336</v>
      </c>
      <c r="J398" s="136" t="s">
        <v>1645</v>
      </c>
      <c r="K398" s="126"/>
      <c r="L398" s="136" t="s">
        <v>1669</v>
      </c>
    </row>
    <row r="399" spans="1:12" s="22" customFormat="1" ht="26.65" customHeight="1" x14ac:dyDescent="0.25">
      <c r="A399" s="126" t="s">
        <v>2683</v>
      </c>
      <c r="B399" s="143" t="s">
        <v>1676</v>
      </c>
      <c r="C399" s="140" t="s">
        <v>1677</v>
      </c>
      <c r="D399" s="137" t="s">
        <v>133</v>
      </c>
      <c r="E399" s="138">
        <v>20</v>
      </c>
      <c r="F399" s="139">
        <v>11174.23</v>
      </c>
      <c r="G399" s="139">
        <v>11131.56</v>
      </c>
      <c r="H399" s="141">
        <v>223484.59999999998</v>
      </c>
      <c r="I399" s="141">
        <v>222631.19999999998</v>
      </c>
      <c r="J399" s="136" t="s">
        <v>1645</v>
      </c>
      <c r="K399" s="126"/>
      <c r="L399" s="136" t="s">
        <v>1669</v>
      </c>
    </row>
    <row r="400" spans="1:12" s="22" customFormat="1" ht="26.65" customHeight="1" x14ac:dyDescent="0.25">
      <c r="A400" s="126" t="s">
        <v>2683</v>
      </c>
      <c r="B400" s="143"/>
      <c r="C400" s="136" t="s">
        <v>1678</v>
      </c>
      <c r="D400" s="137"/>
      <c r="E400" s="138"/>
      <c r="F400" s="139"/>
      <c r="G400" s="139"/>
      <c r="H400" s="139"/>
      <c r="I400" s="139"/>
      <c r="J400" s="126"/>
      <c r="K400" s="126"/>
      <c r="L400" s="126"/>
    </row>
    <row r="401" spans="1:12" s="22" customFormat="1" ht="26.65" customHeight="1" x14ac:dyDescent="0.25">
      <c r="A401" s="126" t="s">
        <v>2683</v>
      </c>
      <c r="B401" s="143"/>
      <c r="C401" s="136" t="s">
        <v>1679</v>
      </c>
      <c r="D401" s="137"/>
      <c r="E401" s="138"/>
      <c r="F401" s="139"/>
      <c r="G401" s="139"/>
      <c r="H401" s="139"/>
      <c r="I401" s="139"/>
      <c r="J401" s="126"/>
      <c r="K401" s="126"/>
      <c r="L401" s="126"/>
    </row>
    <row r="402" spans="1:12" s="22" customFormat="1" ht="26.65" customHeight="1" x14ac:dyDescent="0.25">
      <c r="A402" s="126" t="s">
        <v>2683</v>
      </c>
      <c r="B402" s="143" t="s">
        <v>1680</v>
      </c>
      <c r="C402" s="140" t="s">
        <v>1681</v>
      </c>
      <c r="D402" s="137" t="s">
        <v>133</v>
      </c>
      <c r="E402" s="138">
        <v>40</v>
      </c>
      <c r="F402" s="139">
        <v>127.15</v>
      </c>
      <c r="G402" s="139">
        <v>932.81</v>
      </c>
      <c r="H402" s="141">
        <v>5086</v>
      </c>
      <c r="I402" s="141">
        <v>37312.399999999994</v>
      </c>
      <c r="J402" s="136" t="s">
        <v>1678</v>
      </c>
      <c r="K402" s="126"/>
      <c r="L402" s="136" t="s">
        <v>1679</v>
      </c>
    </row>
    <row r="403" spans="1:12" s="22" customFormat="1" ht="26.65" customHeight="1" x14ac:dyDescent="0.25">
      <c r="A403" s="126" t="s">
        <v>2683</v>
      </c>
      <c r="B403" s="143" t="s">
        <v>1682</v>
      </c>
      <c r="C403" s="140" t="s">
        <v>1683</v>
      </c>
      <c r="D403" s="137" t="s">
        <v>133</v>
      </c>
      <c r="E403" s="138">
        <v>300</v>
      </c>
      <c r="F403" s="139">
        <v>127.15</v>
      </c>
      <c r="G403" s="139">
        <v>186.56</v>
      </c>
      <c r="H403" s="141">
        <v>38145</v>
      </c>
      <c r="I403" s="141">
        <v>55968</v>
      </c>
      <c r="J403" s="136" t="s">
        <v>1678</v>
      </c>
      <c r="K403" s="126"/>
      <c r="L403" s="136" t="s">
        <v>1679</v>
      </c>
    </row>
    <row r="404" spans="1:12" s="22" customFormat="1" ht="26.65" customHeight="1" x14ac:dyDescent="0.25">
      <c r="A404" s="126" t="s">
        <v>2683</v>
      </c>
      <c r="B404" s="143" t="s">
        <v>1684</v>
      </c>
      <c r="C404" s="140" t="s">
        <v>1685</v>
      </c>
      <c r="D404" s="137" t="s">
        <v>133</v>
      </c>
      <c r="E404" s="138">
        <v>214</v>
      </c>
      <c r="F404" s="139">
        <v>127.15</v>
      </c>
      <c r="G404" s="139">
        <v>559.69000000000005</v>
      </c>
      <c r="H404" s="141">
        <v>27210.100000000002</v>
      </c>
      <c r="I404" s="141">
        <v>119773.66000000002</v>
      </c>
      <c r="J404" s="136" t="s">
        <v>1678</v>
      </c>
      <c r="K404" s="126"/>
      <c r="L404" s="136" t="s">
        <v>1679</v>
      </c>
    </row>
    <row r="405" spans="1:12" s="22" customFormat="1" ht="26.65" customHeight="1" x14ac:dyDescent="0.25">
      <c r="A405" s="126" t="s">
        <v>2683</v>
      </c>
      <c r="B405" s="143" t="s">
        <v>1686</v>
      </c>
      <c r="C405" s="140" t="s">
        <v>1687</v>
      </c>
      <c r="D405" s="137" t="s">
        <v>133</v>
      </c>
      <c r="E405" s="138">
        <v>210</v>
      </c>
      <c r="F405" s="139">
        <v>127.15</v>
      </c>
      <c r="G405" s="139">
        <v>21081.56</v>
      </c>
      <c r="H405" s="141">
        <v>26701.5</v>
      </c>
      <c r="I405" s="141">
        <v>4427127.6000000006</v>
      </c>
      <c r="J405" s="136" t="s">
        <v>1678</v>
      </c>
      <c r="K405" s="126"/>
      <c r="L405" s="136" t="s">
        <v>1679</v>
      </c>
    </row>
    <row r="406" spans="1:12" s="22" customFormat="1" ht="26.65" customHeight="1" x14ac:dyDescent="0.25">
      <c r="A406" s="126" t="s">
        <v>2683</v>
      </c>
      <c r="B406" s="143"/>
      <c r="C406" s="136" t="s">
        <v>1688</v>
      </c>
      <c r="D406" s="137"/>
      <c r="E406" s="138"/>
      <c r="F406" s="139"/>
      <c r="G406" s="139"/>
      <c r="H406" s="139"/>
      <c r="I406" s="139"/>
      <c r="J406" s="136" t="s">
        <v>1678</v>
      </c>
      <c r="K406" s="126"/>
      <c r="L406" s="126"/>
    </row>
    <row r="407" spans="1:12" s="22" customFormat="1" ht="26.65" customHeight="1" x14ac:dyDescent="0.25">
      <c r="A407" s="126" t="s">
        <v>2683</v>
      </c>
      <c r="B407" s="143" t="s">
        <v>1689</v>
      </c>
      <c r="C407" s="140" t="s">
        <v>1690</v>
      </c>
      <c r="D407" s="137" t="s">
        <v>133</v>
      </c>
      <c r="E407" s="138">
        <v>30</v>
      </c>
      <c r="F407" s="139">
        <v>211.63</v>
      </c>
      <c r="G407" s="139">
        <v>124.38</v>
      </c>
      <c r="H407" s="141">
        <v>6348.9</v>
      </c>
      <c r="I407" s="141">
        <v>3731.3999999999996</v>
      </c>
      <c r="J407" s="136" t="s">
        <v>1678</v>
      </c>
      <c r="K407" s="126"/>
      <c r="L407" s="136" t="s">
        <v>1688</v>
      </c>
    </row>
    <row r="408" spans="1:12" s="22" customFormat="1" ht="26.65" customHeight="1" x14ac:dyDescent="0.25">
      <c r="A408" s="126" t="s">
        <v>2683</v>
      </c>
      <c r="B408" s="143"/>
      <c r="C408" s="136" t="s">
        <v>1691</v>
      </c>
      <c r="D408" s="137"/>
      <c r="E408" s="138"/>
      <c r="F408" s="139"/>
      <c r="G408" s="139"/>
      <c r="H408" s="139"/>
      <c r="I408" s="139"/>
      <c r="J408" s="136" t="s">
        <v>1678</v>
      </c>
      <c r="K408" s="126"/>
      <c r="L408" s="126"/>
    </row>
    <row r="409" spans="1:12" s="22" customFormat="1" ht="26.65" customHeight="1" x14ac:dyDescent="0.25">
      <c r="A409" s="126" t="s">
        <v>2683</v>
      </c>
      <c r="B409" s="143" t="s">
        <v>1692</v>
      </c>
      <c r="C409" s="140" t="s">
        <v>1693</v>
      </c>
      <c r="D409" s="137" t="s">
        <v>133</v>
      </c>
      <c r="E409" s="138">
        <v>40</v>
      </c>
      <c r="F409" s="139">
        <v>127.15</v>
      </c>
      <c r="G409" s="139">
        <v>16</v>
      </c>
      <c r="H409" s="141">
        <v>5086</v>
      </c>
      <c r="I409" s="141">
        <v>640</v>
      </c>
      <c r="J409" s="136" t="s">
        <v>1678</v>
      </c>
      <c r="K409" s="126"/>
      <c r="L409" s="136" t="s">
        <v>1691</v>
      </c>
    </row>
    <row r="410" spans="1:12" s="22" customFormat="1" ht="26.65" customHeight="1" x14ac:dyDescent="0.25">
      <c r="A410" s="126" t="s">
        <v>2683</v>
      </c>
      <c r="B410" s="143" t="s">
        <v>1694</v>
      </c>
      <c r="C410" s="140" t="s">
        <v>1695</v>
      </c>
      <c r="D410" s="137" t="s">
        <v>133</v>
      </c>
      <c r="E410" s="138">
        <v>110</v>
      </c>
      <c r="F410" s="139">
        <v>127.15</v>
      </c>
      <c r="G410" s="139">
        <v>16.16</v>
      </c>
      <c r="H410" s="141">
        <v>13986.5</v>
      </c>
      <c r="I410" s="141">
        <v>1777.6</v>
      </c>
      <c r="J410" s="136" t="s">
        <v>1678</v>
      </c>
      <c r="K410" s="126"/>
      <c r="L410" s="136" t="s">
        <v>1691</v>
      </c>
    </row>
    <row r="411" spans="1:12" s="22" customFormat="1" ht="26.65" customHeight="1" x14ac:dyDescent="0.25">
      <c r="A411" s="126" t="s">
        <v>2683</v>
      </c>
      <c r="B411" s="143" t="s">
        <v>1696</v>
      </c>
      <c r="C411" s="140" t="s">
        <v>1697</v>
      </c>
      <c r="D411" s="137" t="s">
        <v>133</v>
      </c>
      <c r="E411" s="138">
        <v>100</v>
      </c>
      <c r="F411" s="139">
        <v>127.15</v>
      </c>
      <c r="G411" s="139">
        <v>10.65</v>
      </c>
      <c r="H411" s="141">
        <v>12715</v>
      </c>
      <c r="I411" s="141">
        <v>1065</v>
      </c>
      <c r="J411" s="136" t="s">
        <v>1678</v>
      </c>
      <c r="K411" s="126"/>
      <c r="L411" s="136" t="s">
        <v>1691</v>
      </c>
    </row>
    <row r="412" spans="1:12" s="22" customFormat="1" ht="26.65" customHeight="1" x14ac:dyDescent="0.25">
      <c r="A412" s="126" t="s">
        <v>2683</v>
      </c>
      <c r="B412" s="143" t="s">
        <v>1698</v>
      </c>
      <c r="C412" s="140" t="s">
        <v>1699</v>
      </c>
      <c r="D412" s="137" t="s">
        <v>133</v>
      </c>
      <c r="E412" s="138">
        <v>274</v>
      </c>
      <c r="F412" s="139">
        <v>127.15</v>
      </c>
      <c r="G412" s="139">
        <v>13.68</v>
      </c>
      <c r="H412" s="141">
        <v>34839.1</v>
      </c>
      <c r="I412" s="141">
        <v>3748.3199999999997</v>
      </c>
      <c r="J412" s="136" t="s">
        <v>1678</v>
      </c>
      <c r="K412" s="126"/>
      <c r="L412" s="136" t="s">
        <v>1691</v>
      </c>
    </row>
    <row r="413" spans="1:12" s="22" customFormat="1" ht="26.65" customHeight="1" x14ac:dyDescent="0.25">
      <c r="A413" s="126" t="s">
        <v>2683</v>
      </c>
      <c r="B413" s="143" t="s">
        <v>1700</v>
      </c>
      <c r="C413" s="140" t="s">
        <v>1701</v>
      </c>
      <c r="D413" s="137" t="s">
        <v>133</v>
      </c>
      <c r="E413" s="138">
        <v>114</v>
      </c>
      <c r="F413" s="139">
        <v>127.15</v>
      </c>
      <c r="G413" s="139">
        <v>16.8</v>
      </c>
      <c r="H413" s="141">
        <v>14495.1</v>
      </c>
      <c r="I413" s="141">
        <v>1915.2</v>
      </c>
      <c r="J413" s="136" t="s">
        <v>1678</v>
      </c>
      <c r="K413" s="126"/>
      <c r="L413" s="136" t="s">
        <v>1691</v>
      </c>
    </row>
    <row r="414" spans="1:12" s="22" customFormat="1" ht="26.65" customHeight="1" x14ac:dyDescent="0.25">
      <c r="A414" s="126" t="s">
        <v>2683</v>
      </c>
      <c r="B414" s="143"/>
      <c r="C414" s="136" t="s">
        <v>1702</v>
      </c>
      <c r="D414" s="137"/>
      <c r="E414" s="138"/>
      <c r="F414" s="139"/>
      <c r="G414" s="139"/>
      <c r="H414" s="139"/>
      <c r="I414" s="139"/>
      <c r="J414" s="136" t="s">
        <v>1678</v>
      </c>
      <c r="K414" s="126"/>
      <c r="L414" s="126"/>
    </row>
    <row r="415" spans="1:12" s="22" customFormat="1" ht="26.65" customHeight="1" x14ac:dyDescent="0.25">
      <c r="A415" s="126" t="s">
        <v>2683</v>
      </c>
      <c r="B415" s="143" t="s">
        <v>1703</v>
      </c>
      <c r="C415" s="140" t="s">
        <v>1704</v>
      </c>
      <c r="D415" s="137" t="s">
        <v>133</v>
      </c>
      <c r="E415" s="138">
        <v>188</v>
      </c>
      <c r="F415" s="139">
        <v>127.15</v>
      </c>
      <c r="G415" s="139">
        <v>55.6</v>
      </c>
      <c r="H415" s="141">
        <v>23904.2</v>
      </c>
      <c r="I415" s="141">
        <v>10452.800000000001</v>
      </c>
      <c r="J415" s="136" t="s">
        <v>1678</v>
      </c>
      <c r="K415" s="126"/>
      <c r="L415" s="136" t="s">
        <v>1702</v>
      </c>
    </row>
    <row r="416" spans="1:12" s="22" customFormat="1" ht="26.65" customHeight="1" x14ac:dyDescent="0.25">
      <c r="A416" s="126" t="s">
        <v>2683</v>
      </c>
      <c r="B416" s="143"/>
      <c r="C416" s="136" t="s">
        <v>1705</v>
      </c>
      <c r="D416" s="137"/>
      <c r="E416" s="138"/>
      <c r="F416" s="139"/>
      <c r="G416" s="139"/>
      <c r="H416" s="139"/>
      <c r="I416" s="139"/>
      <c r="J416" s="136" t="s">
        <v>1678</v>
      </c>
      <c r="K416" s="126"/>
      <c r="L416" s="126"/>
    </row>
    <row r="417" spans="1:12" s="22" customFormat="1" ht="26.65" customHeight="1" x14ac:dyDescent="0.25">
      <c r="A417" s="126" t="s">
        <v>2683</v>
      </c>
      <c r="B417" s="143" t="s">
        <v>1706</v>
      </c>
      <c r="C417" s="140" t="s">
        <v>1707</v>
      </c>
      <c r="D417" s="137" t="s">
        <v>133</v>
      </c>
      <c r="E417" s="138">
        <v>560</v>
      </c>
      <c r="F417" s="139">
        <v>127.15</v>
      </c>
      <c r="G417" s="139">
        <v>11.94</v>
      </c>
      <c r="H417" s="141">
        <v>71204</v>
      </c>
      <c r="I417" s="141">
        <v>6686.4</v>
      </c>
      <c r="J417" s="136" t="s">
        <v>1678</v>
      </c>
      <c r="K417" s="126"/>
      <c r="L417" s="136" t="s">
        <v>1705</v>
      </c>
    </row>
    <row r="418" spans="1:12" s="22" customFormat="1" ht="26.65" customHeight="1" x14ac:dyDescent="0.25">
      <c r="A418" s="126" t="s">
        <v>2683</v>
      </c>
      <c r="B418" s="143" t="s">
        <v>1708</v>
      </c>
      <c r="C418" s="140" t="s">
        <v>1709</v>
      </c>
      <c r="D418" s="137" t="s">
        <v>133</v>
      </c>
      <c r="E418" s="138">
        <v>40</v>
      </c>
      <c r="F418" s="139">
        <v>127.15</v>
      </c>
      <c r="G418" s="139">
        <v>10.75</v>
      </c>
      <c r="H418" s="141">
        <v>5086</v>
      </c>
      <c r="I418" s="141">
        <v>430</v>
      </c>
      <c r="J418" s="136" t="s">
        <v>1678</v>
      </c>
      <c r="K418" s="126"/>
      <c r="L418" s="136" t="s">
        <v>1705</v>
      </c>
    </row>
    <row r="419" spans="1:12" s="22" customFormat="1" ht="26.65" customHeight="1" x14ac:dyDescent="0.25">
      <c r="A419" s="126" t="s">
        <v>2683</v>
      </c>
      <c r="B419" s="143" t="s">
        <v>1710</v>
      </c>
      <c r="C419" s="140" t="s">
        <v>1711</v>
      </c>
      <c r="D419" s="137" t="s">
        <v>133</v>
      </c>
      <c r="E419" s="138">
        <v>40</v>
      </c>
      <c r="F419" s="139">
        <v>127.15</v>
      </c>
      <c r="G419" s="139">
        <v>15.71</v>
      </c>
      <c r="H419" s="141">
        <v>5086</v>
      </c>
      <c r="I419" s="141">
        <v>628.40000000000009</v>
      </c>
      <c r="J419" s="136" t="s">
        <v>1678</v>
      </c>
      <c r="K419" s="126"/>
      <c r="L419" s="136" t="s">
        <v>1705</v>
      </c>
    </row>
    <row r="420" spans="1:12" s="22" customFormat="1" ht="26.65" customHeight="1" x14ac:dyDescent="0.25">
      <c r="A420" s="126" t="s">
        <v>2683</v>
      </c>
      <c r="B420" s="143" t="s">
        <v>1712</v>
      </c>
      <c r="C420" s="140" t="s">
        <v>1713</v>
      </c>
      <c r="D420" s="137" t="s">
        <v>133</v>
      </c>
      <c r="E420" s="138">
        <v>40</v>
      </c>
      <c r="F420" s="139">
        <v>127.15</v>
      </c>
      <c r="G420" s="139">
        <v>5.46</v>
      </c>
      <c r="H420" s="141">
        <v>5086</v>
      </c>
      <c r="I420" s="141">
        <v>218.4</v>
      </c>
      <c r="J420" s="136" t="s">
        <v>1678</v>
      </c>
      <c r="K420" s="126"/>
      <c r="L420" s="136" t="s">
        <v>1705</v>
      </c>
    </row>
    <row r="421" spans="1:12" s="22" customFormat="1" ht="26.65" customHeight="1" x14ac:dyDescent="0.25">
      <c r="A421" s="126" t="s">
        <v>2683</v>
      </c>
      <c r="B421" s="143" t="s">
        <v>1714</v>
      </c>
      <c r="C421" s="140" t="s">
        <v>1715</v>
      </c>
      <c r="D421" s="137" t="s">
        <v>133</v>
      </c>
      <c r="E421" s="138">
        <v>40</v>
      </c>
      <c r="F421" s="139">
        <v>127.15</v>
      </c>
      <c r="G421" s="139">
        <v>10.06</v>
      </c>
      <c r="H421" s="141">
        <v>5086</v>
      </c>
      <c r="I421" s="141">
        <v>402.40000000000003</v>
      </c>
      <c r="J421" s="136" t="s">
        <v>1678</v>
      </c>
      <c r="K421" s="126"/>
      <c r="L421" s="136" t="s">
        <v>1705</v>
      </c>
    </row>
    <row r="422" spans="1:12" s="22" customFormat="1" ht="26.65" customHeight="1" x14ac:dyDescent="0.25">
      <c r="A422" s="126" t="s">
        <v>2683</v>
      </c>
      <c r="B422" s="143" t="s">
        <v>1716</v>
      </c>
      <c r="C422" s="140" t="s">
        <v>1717</v>
      </c>
      <c r="D422" s="137" t="s">
        <v>133</v>
      </c>
      <c r="E422" s="138">
        <v>52</v>
      </c>
      <c r="F422" s="139">
        <v>127.15</v>
      </c>
      <c r="G422" s="139">
        <v>8.39</v>
      </c>
      <c r="H422" s="141">
        <v>6611.8</v>
      </c>
      <c r="I422" s="141">
        <v>436.28000000000003</v>
      </c>
      <c r="J422" s="136" t="s">
        <v>1678</v>
      </c>
      <c r="K422" s="126"/>
      <c r="L422" s="136" t="s">
        <v>1705</v>
      </c>
    </row>
    <row r="423" spans="1:12" s="22" customFormat="1" ht="26.65" customHeight="1" x14ac:dyDescent="0.25">
      <c r="A423" s="126" t="s">
        <v>2683</v>
      </c>
      <c r="B423" s="143"/>
      <c r="C423" s="136" t="s">
        <v>1718</v>
      </c>
      <c r="D423" s="137"/>
      <c r="E423" s="138"/>
      <c r="F423" s="139"/>
      <c r="G423" s="139"/>
      <c r="H423" s="139"/>
      <c r="I423" s="139"/>
      <c r="J423" s="136" t="s">
        <v>1678</v>
      </c>
      <c r="K423" s="126"/>
      <c r="L423" s="126"/>
    </row>
    <row r="424" spans="1:12" s="22" customFormat="1" ht="26.65" customHeight="1" x14ac:dyDescent="0.25">
      <c r="A424" s="126" t="s">
        <v>2683</v>
      </c>
      <c r="B424" s="143" t="s">
        <v>1719</v>
      </c>
      <c r="C424" s="140" t="s">
        <v>1720</v>
      </c>
      <c r="D424" s="137" t="s">
        <v>133</v>
      </c>
      <c r="E424" s="138">
        <v>76</v>
      </c>
      <c r="F424" s="139">
        <v>127.15</v>
      </c>
      <c r="G424" s="139">
        <v>7.6</v>
      </c>
      <c r="H424" s="141">
        <v>9663.4</v>
      </c>
      <c r="I424" s="141">
        <v>577.6</v>
      </c>
      <c r="J424" s="136" t="s">
        <v>1678</v>
      </c>
      <c r="K424" s="126"/>
      <c r="L424" s="136" t="s">
        <v>1718</v>
      </c>
    </row>
    <row r="425" spans="1:12" s="22" customFormat="1" ht="26.65" customHeight="1" x14ac:dyDescent="0.25">
      <c r="A425" s="126" t="s">
        <v>2683</v>
      </c>
      <c r="B425" s="143"/>
      <c r="C425" s="136" t="s">
        <v>1721</v>
      </c>
      <c r="D425" s="137"/>
      <c r="E425" s="138"/>
      <c r="F425" s="139"/>
      <c r="G425" s="139"/>
      <c r="H425" s="139"/>
      <c r="I425" s="139"/>
      <c r="J425" s="136" t="s">
        <v>1678</v>
      </c>
      <c r="K425" s="126"/>
      <c r="L425" s="126"/>
    </row>
    <row r="426" spans="1:12" s="22" customFormat="1" ht="26.65" customHeight="1" x14ac:dyDescent="0.25">
      <c r="A426" s="126" t="s">
        <v>2683</v>
      </c>
      <c r="B426" s="143" t="s">
        <v>1722</v>
      </c>
      <c r="C426" s="140" t="s">
        <v>1723</v>
      </c>
      <c r="D426" s="137" t="s">
        <v>133</v>
      </c>
      <c r="E426" s="138">
        <v>74</v>
      </c>
      <c r="F426" s="139">
        <v>127.15</v>
      </c>
      <c r="G426" s="139">
        <v>17.25</v>
      </c>
      <c r="H426" s="141">
        <v>9409.1</v>
      </c>
      <c r="I426" s="141">
        <v>1276.5</v>
      </c>
      <c r="J426" s="136" t="s">
        <v>1678</v>
      </c>
      <c r="K426" s="126"/>
      <c r="L426" s="136" t="s">
        <v>1721</v>
      </c>
    </row>
    <row r="427" spans="1:12" s="22" customFormat="1" ht="26.65" customHeight="1" x14ac:dyDescent="0.25">
      <c r="A427" s="126" t="s">
        <v>2683</v>
      </c>
      <c r="B427" s="143" t="s">
        <v>1724</v>
      </c>
      <c r="C427" s="140" t="s">
        <v>1725</v>
      </c>
      <c r="D427" s="137" t="s">
        <v>133</v>
      </c>
      <c r="E427" s="138">
        <v>56</v>
      </c>
      <c r="F427" s="139">
        <v>127.15</v>
      </c>
      <c r="G427" s="139">
        <v>9.18</v>
      </c>
      <c r="H427" s="141">
        <v>7120.4000000000005</v>
      </c>
      <c r="I427" s="141">
        <v>514.07999999999993</v>
      </c>
      <c r="J427" s="136" t="s">
        <v>1678</v>
      </c>
      <c r="K427" s="126"/>
      <c r="L427" s="136" t="s">
        <v>1721</v>
      </c>
    </row>
    <row r="428" spans="1:12" s="22" customFormat="1" ht="26.65" customHeight="1" x14ac:dyDescent="0.25">
      <c r="A428" s="126" t="s">
        <v>2683</v>
      </c>
      <c r="B428" s="143" t="s">
        <v>1726</v>
      </c>
      <c r="C428" s="140" t="s">
        <v>1727</v>
      </c>
      <c r="D428" s="137" t="s">
        <v>133</v>
      </c>
      <c r="E428" s="138">
        <v>40</v>
      </c>
      <c r="F428" s="139">
        <v>127.15</v>
      </c>
      <c r="G428" s="139">
        <v>11.59</v>
      </c>
      <c r="H428" s="141">
        <v>5086</v>
      </c>
      <c r="I428" s="141">
        <v>463.6</v>
      </c>
      <c r="J428" s="136" t="s">
        <v>1678</v>
      </c>
      <c r="K428" s="126"/>
      <c r="L428" s="136" t="s">
        <v>1721</v>
      </c>
    </row>
    <row r="429" spans="1:12" s="22" customFormat="1" ht="26.65" customHeight="1" x14ac:dyDescent="0.25">
      <c r="A429" s="126" t="s">
        <v>2683</v>
      </c>
      <c r="B429" s="143" t="s">
        <v>1728</v>
      </c>
      <c r="C429" s="140" t="s">
        <v>1729</v>
      </c>
      <c r="D429" s="137" t="s">
        <v>133</v>
      </c>
      <c r="E429" s="138">
        <v>400</v>
      </c>
      <c r="F429" s="139">
        <v>127.15</v>
      </c>
      <c r="G429" s="139">
        <v>30.94</v>
      </c>
      <c r="H429" s="141">
        <v>50860</v>
      </c>
      <c r="I429" s="141">
        <v>12376</v>
      </c>
      <c r="J429" s="136" t="s">
        <v>1678</v>
      </c>
      <c r="K429" s="126"/>
      <c r="L429" s="136" t="s">
        <v>1721</v>
      </c>
    </row>
    <row r="430" spans="1:12" s="22" customFormat="1" ht="26.65" customHeight="1" x14ac:dyDescent="0.25">
      <c r="A430" s="126" t="s">
        <v>2683</v>
      </c>
      <c r="B430" s="143"/>
      <c r="C430" s="136" t="s">
        <v>1730</v>
      </c>
      <c r="D430" s="137"/>
      <c r="E430" s="138"/>
      <c r="F430" s="139"/>
      <c r="G430" s="139"/>
      <c r="H430" s="139"/>
      <c r="I430" s="139"/>
      <c r="J430" s="136" t="s">
        <v>1678</v>
      </c>
      <c r="K430" s="126"/>
      <c r="L430" s="126"/>
    </row>
    <row r="431" spans="1:12" s="22" customFormat="1" ht="26.65" customHeight="1" x14ac:dyDescent="0.25">
      <c r="A431" s="126" t="s">
        <v>2683</v>
      </c>
      <c r="B431" s="143" t="s">
        <v>1731</v>
      </c>
      <c r="C431" s="140" t="s">
        <v>1732</v>
      </c>
      <c r="D431" s="137" t="s">
        <v>133</v>
      </c>
      <c r="E431" s="138">
        <v>88</v>
      </c>
      <c r="F431" s="139">
        <v>127.15</v>
      </c>
      <c r="G431" s="139">
        <v>18.66</v>
      </c>
      <c r="H431" s="141">
        <v>11189.2</v>
      </c>
      <c r="I431" s="141">
        <v>1642.08</v>
      </c>
      <c r="J431" s="136" t="s">
        <v>1678</v>
      </c>
      <c r="K431" s="126"/>
      <c r="L431" s="136" t="s">
        <v>1730</v>
      </c>
    </row>
    <row r="432" spans="1:12" s="22" customFormat="1" ht="26.65" customHeight="1" x14ac:dyDescent="0.25">
      <c r="A432" s="126" t="s">
        <v>2683</v>
      </c>
      <c r="B432" s="143" t="s">
        <v>1733</v>
      </c>
      <c r="C432" s="140" t="s">
        <v>1734</v>
      </c>
      <c r="D432" s="137" t="s">
        <v>133</v>
      </c>
      <c r="E432" s="138">
        <v>66</v>
      </c>
      <c r="F432" s="139">
        <v>127.15</v>
      </c>
      <c r="G432" s="139">
        <v>24.88</v>
      </c>
      <c r="H432" s="141">
        <v>8391.9</v>
      </c>
      <c r="I432" s="141">
        <v>1642.08</v>
      </c>
      <c r="J432" s="136" t="s">
        <v>1678</v>
      </c>
      <c r="K432" s="126"/>
      <c r="L432" s="136" t="s">
        <v>1730</v>
      </c>
    </row>
    <row r="433" spans="1:12" s="22" customFormat="1" ht="26.65" customHeight="1" x14ac:dyDescent="0.25">
      <c r="A433" s="126" t="s">
        <v>2683</v>
      </c>
      <c r="B433" s="143" t="s">
        <v>1735</v>
      </c>
      <c r="C433" s="140" t="s">
        <v>1736</v>
      </c>
      <c r="D433" s="137" t="s">
        <v>133</v>
      </c>
      <c r="E433" s="138">
        <v>74</v>
      </c>
      <c r="F433" s="139">
        <v>127.15</v>
      </c>
      <c r="G433" s="139">
        <v>21.14</v>
      </c>
      <c r="H433" s="141">
        <v>9409.1</v>
      </c>
      <c r="I433" s="141">
        <v>1564.3600000000001</v>
      </c>
      <c r="J433" s="136" t="s">
        <v>1678</v>
      </c>
      <c r="K433" s="126"/>
      <c r="L433" s="136" t="s">
        <v>1730</v>
      </c>
    </row>
    <row r="434" spans="1:12" s="22" customFormat="1" ht="26.65" customHeight="1" x14ac:dyDescent="0.25">
      <c r="A434" s="126" t="s">
        <v>2683</v>
      </c>
      <c r="B434" s="143" t="s">
        <v>1737</v>
      </c>
      <c r="C434" s="140" t="s">
        <v>1738</v>
      </c>
      <c r="D434" s="137" t="s">
        <v>133</v>
      </c>
      <c r="E434" s="138">
        <v>104</v>
      </c>
      <c r="F434" s="139">
        <v>127.15</v>
      </c>
      <c r="G434" s="139">
        <v>23.63</v>
      </c>
      <c r="H434" s="141">
        <v>13223.6</v>
      </c>
      <c r="I434" s="141">
        <v>2457.52</v>
      </c>
      <c r="J434" s="136" t="s">
        <v>1678</v>
      </c>
      <c r="K434" s="126"/>
      <c r="L434" s="136" t="s">
        <v>1730</v>
      </c>
    </row>
    <row r="435" spans="1:12" s="22" customFormat="1" ht="26.65" customHeight="1" x14ac:dyDescent="0.25">
      <c r="A435" s="126" t="s">
        <v>2683</v>
      </c>
      <c r="B435" s="143"/>
      <c r="C435" s="136" t="s">
        <v>1739</v>
      </c>
      <c r="D435" s="137"/>
      <c r="E435" s="138"/>
      <c r="F435" s="139"/>
      <c r="G435" s="139"/>
      <c r="H435" s="139"/>
      <c r="I435" s="139"/>
      <c r="J435" s="136" t="s">
        <v>1678</v>
      </c>
      <c r="K435" s="126"/>
      <c r="L435" s="126"/>
    </row>
    <row r="436" spans="1:12" s="22" customFormat="1" ht="26.65" customHeight="1" x14ac:dyDescent="0.25">
      <c r="A436" s="126" t="s">
        <v>2683</v>
      </c>
      <c r="B436" s="143" t="s">
        <v>1740</v>
      </c>
      <c r="C436" s="140" t="s">
        <v>1741</v>
      </c>
      <c r="D436" s="137" t="s">
        <v>133</v>
      </c>
      <c r="E436" s="138">
        <v>112</v>
      </c>
      <c r="F436" s="139">
        <v>211.63</v>
      </c>
      <c r="G436" s="139">
        <v>33.58</v>
      </c>
      <c r="H436" s="141">
        <v>23702.559999999998</v>
      </c>
      <c r="I436" s="141">
        <v>3760.96</v>
      </c>
      <c r="J436" s="136" t="s">
        <v>1678</v>
      </c>
      <c r="K436" s="126"/>
      <c r="L436" s="136" t="s">
        <v>1739</v>
      </c>
    </row>
    <row r="437" spans="1:12" s="22" customFormat="1" ht="26.65" customHeight="1" x14ac:dyDescent="0.25">
      <c r="A437" s="126" t="s">
        <v>2683</v>
      </c>
      <c r="B437" s="143"/>
      <c r="C437" s="136" t="s">
        <v>1742</v>
      </c>
      <c r="D437" s="137"/>
      <c r="E437" s="138"/>
      <c r="F437" s="139"/>
      <c r="G437" s="139"/>
      <c r="H437" s="139"/>
      <c r="I437" s="139"/>
      <c r="J437" s="136" t="s">
        <v>1678</v>
      </c>
      <c r="K437" s="126"/>
      <c r="L437" s="126"/>
    </row>
    <row r="438" spans="1:12" s="22" customFormat="1" ht="26.65" customHeight="1" x14ac:dyDescent="0.25">
      <c r="A438" s="126" t="s">
        <v>2683</v>
      </c>
      <c r="B438" s="143" t="s">
        <v>1743</v>
      </c>
      <c r="C438" s="140" t="s">
        <v>1744</v>
      </c>
      <c r="D438" s="137" t="s">
        <v>40</v>
      </c>
      <c r="E438" s="138">
        <v>200</v>
      </c>
      <c r="F438" s="139">
        <v>2507.5100000000002</v>
      </c>
      <c r="G438" s="139">
        <v>0</v>
      </c>
      <c r="H438" s="141">
        <v>501502.00000000006</v>
      </c>
      <c r="I438" s="141">
        <v>0</v>
      </c>
      <c r="J438" s="136" t="s">
        <v>1678</v>
      </c>
      <c r="K438" s="126"/>
      <c r="L438" s="136" t="s">
        <v>1742</v>
      </c>
    </row>
    <row r="439" spans="1:12" s="22" customFormat="1" ht="26.65" customHeight="1" x14ac:dyDescent="0.25">
      <c r="A439" s="126" t="s">
        <v>2683</v>
      </c>
      <c r="B439" s="143" t="s">
        <v>1745</v>
      </c>
      <c r="C439" s="140" t="s">
        <v>1746</v>
      </c>
      <c r="D439" s="137" t="s">
        <v>40</v>
      </c>
      <c r="E439" s="138">
        <v>400</v>
      </c>
      <c r="F439" s="139">
        <v>2431.64</v>
      </c>
      <c r="G439" s="139">
        <v>0</v>
      </c>
      <c r="H439" s="141">
        <v>972656</v>
      </c>
      <c r="I439" s="141">
        <v>0</v>
      </c>
      <c r="J439" s="136" t="s">
        <v>1678</v>
      </c>
      <c r="K439" s="126"/>
      <c r="L439" s="136" t="s">
        <v>1742</v>
      </c>
    </row>
    <row r="440" spans="1:12" s="22" customFormat="1" ht="26.65" customHeight="1" x14ac:dyDescent="0.25">
      <c r="A440" s="126" t="s">
        <v>2683</v>
      </c>
      <c r="B440" s="143" t="s">
        <v>1747</v>
      </c>
      <c r="C440" s="140" t="s">
        <v>1748</v>
      </c>
      <c r="D440" s="137" t="s">
        <v>40</v>
      </c>
      <c r="E440" s="138">
        <v>400</v>
      </c>
      <c r="F440" s="139">
        <v>2507.5100000000002</v>
      </c>
      <c r="G440" s="139">
        <v>0</v>
      </c>
      <c r="H440" s="141">
        <v>1003004.0000000001</v>
      </c>
      <c r="I440" s="141">
        <v>0</v>
      </c>
      <c r="J440" s="136" t="s">
        <v>1678</v>
      </c>
      <c r="K440" s="126"/>
      <c r="L440" s="136" t="s">
        <v>1742</v>
      </c>
    </row>
    <row r="441" spans="1:12" s="22" customFormat="1" ht="26.65" customHeight="1" x14ac:dyDescent="0.25">
      <c r="A441" s="126" t="s">
        <v>2683</v>
      </c>
      <c r="B441" s="143" t="s">
        <v>1749</v>
      </c>
      <c r="C441" s="140" t="s">
        <v>1750</v>
      </c>
      <c r="D441" s="137" t="s">
        <v>40</v>
      </c>
      <c r="E441" s="138">
        <v>200</v>
      </c>
      <c r="F441" s="139">
        <v>2507.5100000000002</v>
      </c>
      <c r="G441" s="139">
        <v>0</v>
      </c>
      <c r="H441" s="141">
        <v>501502.00000000006</v>
      </c>
      <c r="I441" s="141">
        <v>0</v>
      </c>
      <c r="J441" s="136" t="s">
        <v>1678</v>
      </c>
      <c r="K441" s="126"/>
      <c r="L441" s="136" t="s">
        <v>1742</v>
      </c>
    </row>
    <row r="442" spans="1:12" s="22" customFormat="1" ht="26.65" customHeight="1" x14ac:dyDescent="0.25">
      <c r="A442" s="126" t="s">
        <v>2683</v>
      </c>
      <c r="B442" s="143" t="s">
        <v>1751</v>
      </c>
      <c r="C442" s="140" t="s">
        <v>1752</v>
      </c>
      <c r="D442" s="137" t="s">
        <v>40</v>
      </c>
      <c r="E442" s="138">
        <v>118</v>
      </c>
      <c r="F442" s="139">
        <v>2431.64</v>
      </c>
      <c r="G442" s="139">
        <v>0</v>
      </c>
      <c r="H442" s="141">
        <v>286933.51999999996</v>
      </c>
      <c r="I442" s="141">
        <v>0</v>
      </c>
      <c r="J442" s="136" t="s">
        <v>1678</v>
      </c>
      <c r="K442" s="126"/>
      <c r="L442" s="136" t="s">
        <v>1742</v>
      </c>
    </row>
    <row r="443" spans="1:12" s="22" customFormat="1" ht="26.65" customHeight="1" x14ac:dyDescent="0.25">
      <c r="A443" s="126" t="s">
        <v>2683</v>
      </c>
      <c r="B443" s="143" t="s">
        <v>1753</v>
      </c>
      <c r="C443" s="140" t="s">
        <v>1754</v>
      </c>
      <c r="D443" s="137" t="s">
        <v>40</v>
      </c>
      <c r="E443" s="138">
        <v>862</v>
      </c>
      <c r="F443" s="139">
        <v>2507.5100000000002</v>
      </c>
      <c r="G443" s="139">
        <v>0</v>
      </c>
      <c r="H443" s="141">
        <v>2161473.62</v>
      </c>
      <c r="I443" s="141">
        <v>0</v>
      </c>
      <c r="J443" s="136" t="s">
        <v>1678</v>
      </c>
      <c r="K443" s="126"/>
      <c r="L443" s="136" t="s">
        <v>1742</v>
      </c>
    </row>
    <row r="444" spans="1:12" s="22" customFormat="1" ht="26.65" customHeight="1" x14ac:dyDescent="0.25">
      <c r="A444" s="126" t="s">
        <v>2683</v>
      </c>
      <c r="B444" s="143" t="s">
        <v>1755</v>
      </c>
      <c r="C444" s="140" t="s">
        <v>1756</v>
      </c>
      <c r="D444" s="137" t="s">
        <v>40</v>
      </c>
      <c r="E444" s="138">
        <v>440</v>
      </c>
      <c r="F444" s="139">
        <v>2507.5100000000002</v>
      </c>
      <c r="G444" s="139">
        <v>0</v>
      </c>
      <c r="H444" s="141">
        <v>1103304.4000000001</v>
      </c>
      <c r="I444" s="141">
        <v>0</v>
      </c>
      <c r="J444" s="136" t="s">
        <v>1678</v>
      </c>
      <c r="K444" s="126"/>
      <c r="L444" s="136" t="s">
        <v>1742</v>
      </c>
    </row>
    <row r="445" spans="1:12" s="22" customFormat="1" ht="26.65" customHeight="1" x14ac:dyDescent="0.25">
      <c r="A445" s="126" t="s">
        <v>2683</v>
      </c>
      <c r="B445" s="143"/>
      <c r="C445" s="136" t="s">
        <v>1757</v>
      </c>
      <c r="D445" s="137"/>
      <c r="E445" s="138"/>
      <c r="F445" s="139"/>
      <c r="G445" s="139"/>
      <c r="H445" s="139"/>
      <c r="I445" s="139"/>
      <c r="J445" s="136" t="s">
        <v>1678</v>
      </c>
      <c r="K445" s="126"/>
      <c r="L445" s="126"/>
    </row>
    <row r="446" spans="1:12" s="22" customFormat="1" ht="26.65" customHeight="1" x14ac:dyDescent="0.25">
      <c r="A446" s="126" t="s">
        <v>2683</v>
      </c>
      <c r="B446" s="143" t="s">
        <v>1758</v>
      </c>
      <c r="C446" s="140" t="s">
        <v>1759</v>
      </c>
      <c r="D446" s="137" t="s">
        <v>133</v>
      </c>
      <c r="E446" s="138">
        <v>200</v>
      </c>
      <c r="F446" s="139">
        <v>127.15</v>
      </c>
      <c r="G446" s="139">
        <v>43.53</v>
      </c>
      <c r="H446" s="141">
        <v>25430</v>
      </c>
      <c r="I446" s="141">
        <v>8706</v>
      </c>
      <c r="J446" s="136" t="s">
        <v>1678</v>
      </c>
      <c r="K446" s="126"/>
      <c r="L446" s="136" t="s">
        <v>1757</v>
      </c>
    </row>
    <row r="447" spans="1:12" s="22" customFormat="1" ht="26.65" customHeight="1" x14ac:dyDescent="0.25">
      <c r="A447" s="126" t="s">
        <v>2683</v>
      </c>
      <c r="B447" s="143" t="s">
        <v>1760</v>
      </c>
      <c r="C447" s="140" t="s">
        <v>1761</v>
      </c>
      <c r="D447" s="137" t="s">
        <v>133</v>
      </c>
      <c r="E447" s="138">
        <v>192</v>
      </c>
      <c r="F447" s="139">
        <v>127.15</v>
      </c>
      <c r="G447" s="139">
        <v>37.31</v>
      </c>
      <c r="H447" s="141">
        <v>24412.800000000003</v>
      </c>
      <c r="I447" s="141">
        <v>7163.52</v>
      </c>
      <c r="J447" s="136" t="s">
        <v>1678</v>
      </c>
      <c r="K447" s="126"/>
      <c r="L447" s="136" t="s">
        <v>1757</v>
      </c>
    </row>
    <row r="448" spans="1:12" s="22" customFormat="1" ht="26.65" customHeight="1" x14ac:dyDescent="0.25">
      <c r="A448" s="126" t="s">
        <v>2683</v>
      </c>
      <c r="B448" s="143"/>
      <c r="C448" s="136" t="s">
        <v>1762</v>
      </c>
      <c r="D448" s="137"/>
      <c r="E448" s="138"/>
      <c r="F448" s="139"/>
      <c r="G448" s="139"/>
      <c r="H448" s="139"/>
      <c r="I448" s="139"/>
      <c r="J448" s="136" t="s">
        <v>1678</v>
      </c>
      <c r="K448" s="126"/>
      <c r="L448" s="126"/>
    </row>
    <row r="449" spans="1:12" s="22" customFormat="1" ht="26.65" customHeight="1" x14ac:dyDescent="0.25">
      <c r="A449" s="126" t="s">
        <v>2683</v>
      </c>
      <c r="B449" s="143" t="s">
        <v>1763</v>
      </c>
      <c r="C449" s="140" t="s">
        <v>1764</v>
      </c>
      <c r="D449" s="137" t="s">
        <v>133</v>
      </c>
      <c r="E449" s="138">
        <v>86</v>
      </c>
      <c r="F449" s="139">
        <v>127.15</v>
      </c>
      <c r="G449" s="139">
        <v>52.24</v>
      </c>
      <c r="H449" s="141">
        <v>10934.9</v>
      </c>
      <c r="I449" s="141">
        <v>4492.6400000000003</v>
      </c>
      <c r="J449" s="136" t="s">
        <v>1678</v>
      </c>
      <c r="K449" s="126"/>
      <c r="L449" s="136" t="s">
        <v>1762</v>
      </c>
    </row>
    <row r="450" spans="1:12" s="22" customFormat="1" ht="26.65" customHeight="1" x14ac:dyDescent="0.25">
      <c r="A450" s="126" t="s">
        <v>2683</v>
      </c>
      <c r="B450" s="143"/>
      <c r="C450" s="136" t="s">
        <v>1765</v>
      </c>
      <c r="D450" s="137"/>
      <c r="E450" s="138"/>
      <c r="F450" s="139"/>
      <c r="G450" s="139"/>
      <c r="H450" s="139"/>
      <c r="I450" s="139"/>
      <c r="J450" s="136" t="s">
        <v>1678</v>
      </c>
      <c r="K450" s="126"/>
      <c r="L450" s="126"/>
    </row>
    <row r="451" spans="1:12" s="22" customFormat="1" ht="26.65" customHeight="1" x14ac:dyDescent="0.25">
      <c r="A451" s="126" t="s">
        <v>2683</v>
      </c>
      <c r="B451" s="143" t="s">
        <v>1766</v>
      </c>
      <c r="C451" s="140" t="s">
        <v>1767</v>
      </c>
      <c r="D451" s="137" t="s">
        <v>133</v>
      </c>
      <c r="E451" s="138">
        <v>200</v>
      </c>
      <c r="F451" s="139">
        <v>127.15</v>
      </c>
      <c r="G451" s="139">
        <v>43.53</v>
      </c>
      <c r="H451" s="141">
        <v>25430</v>
      </c>
      <c r="I451" s="141">
        <v>8706</v>
      </c>
      <c r="J451" s="136" t="s">
        <v>1678</v>
      </c>
      <c r="K451" s="126"/>
      <c r="L451" s="136" t="s">
        <v>1765</v>
      </c>
    </row>
    <row r="452" spans="1:12" s="22" customFormat="1" ht="26.65" customHeight="1" x14ac:dyDescent="0.25">
      <c r="A452" s="126" t="s">
        <v>2683</v>
      </c>
      <c r="B452" s="143" t="s">
        <v>1768</v>
      </c>
      <c r="C452" s="140" t="s">
        <v>1769</v>
      </c>
      <c r="D452" s="137" t="s">
        <v>133</v>
      </c>
      <c r="E452" s="138">
        <v>240</v>
      </c>
      <c r="F452" s="139">
        <v>144.84</v>
      </c>
      <c r="G452" s="139">
        <v>21.14</v>
      </c>
      <c r="H452" s="141">
        <v>34761.599999999999</v>
      </c>
      <c r="I452" s="141">
        <v>5073.6000000000004</v>
      </c>
      <c r="J452" s="136" t="s">
        <v>1678</v>
      </c>
      <c r="K452" s="126"/>
      <c r="L452" s="136" t="s">
        <v>1765</v>
      </c>
    </row>
    <row r="453" spans="1:12" s="22" customFormat="1" ht="26.65" customHeight="1" x14ac:dyDescent="0.25">
      <c r="A453" s="126" t="s">
        <v>2683</v>
      </c>
      <c r="B453" s="143" t="s">
        <v>1770</v>
      </c>
      <c r="C453" s="140" t="s">
        <v>1771</v>
      </c>
      <c r="D453" s="137" t="s">
        <v>133</v>
      </c>
      <c r="E453" s="138">
        <v>122</v>
      </c>
      <c r="F453" s="139">
        <v>190.6</v>
      </c>
      <c r="G453" s="139">
        <v>2582.4</v>
      </c>
      <c r="H453" s="141">
        <v>23253.200000000001</v>
      </c>
      <c r="I453" s="141">
        <v>315052.79999999999</v>
      </c>
      <c r="J453" s="136" t="s">
        <v>1678</v>
      </c>
      <c r="K453" s="126"/>
      <c r="L453" s="136" t="s">
        <v>1765</v>
      </c>
    </row>
    <row r="454" spans="1:12" s="22" customFormat="1" ht="26.65" customHeight="1" x14ac:dyDescent="0.25">
      <c r="A454" s="126" t="s">
        <v>2683</v>
      </c>
      <c r="B454" s="143" t="s">
        <v>1772</v>
      </c>
      <c r="C454" s="140" t="s">
        <v>1773</v>
      </c>
      <c r="D454" s="137" t="s">
        <v>133</v>
      </c>
      <c r="E454" s="138">
        <v>158</v>
      </c>
      <c r="F454" s="139">
        <v>190.6</v>
      </c>
      <c r="G454" s="139">
        <v>2582.4</v>
      </c>
      <c r="H454" s="141">
        <v>30114.799999999999</v>
      </c>
      <c r="I454" s="141">
        <v>408019.20000000001</v>
      </c>
      <c r="J454" s="136" t="s">
        <v>1678</v>
      </c>
      <c r="K454" s="126"/>
      <c r="L454" s="136" t="s">
        <v>1765</v>
      </c>
    </row>
    <row r="455" spans="1:12" s="22" customFormat="1" ht="26.65" customHeight="1" x14ac:dyDescent="0.25">
      <c r="A455" s="126" t="s">
        <v>2683</v>
      </c>
      <c r="B455" s="143" t="s">
        <v>1774</v>
      </c>
      <c r="C455" s="140" t="s">
        <v>1775</v>
      </c>
      <c r="D455" s="137" t="s">
        <v>133</v>
      </c>
      <c r="E455" s="138">
        <v>34</v>
      </c>
      <c r="F455" s="139">
        <v>127.15</v>
      </c>
      <c r="G455" s="139">
        <v>33.58</v>
      </c>
      <c r="H455" s="141">
        <v>4323.1000000000004</v>
      </c>
      <c r="I455" s="141">
        <v>1141.72</v>
      </c>
      <c r="J455" s="136" t="s">
        <v>1678</v>
      </c>
      <c r="K455" s="126"/>
      <c r="L455" s="136" t="s">
        <v>1765</v>
      </c>
    </row>
    <row r="456" spans="1:12" s="22" customFormat="1" ht="26.65" customHeight="1" x14ac:dyDescent="0.25">
      <c r="A456" s="126" t="s">
        <v>2683</v>
      </c>
      <c r="B456" s="143"/>
      <c r="C456" s="136" t="s">
        <v>1776</v>
      </c>
      <c r="D456" s="137"/>
      <c r="E456" s="138"/>
      <c r="F456" s="139"/>
      <c r="G456" s="139"/>
      <c r="H456" s="139"/>
      <c r="I456" s="139"/>
      <c r="J456" s="136" t="s">
        <v>1678</v>
      </c>
      <c r="K456" s="126"/>
      <c r="L456" s="126"/>
    </row>
    <row r="457" spans="1:12" s="22" customFormat="1" ht="26.65" customHeight="1" x14ac:dyDescent="0.25">
      <c r="A457" s="126" t="s">
        <v>2683</v>
      </c>
      <c r="B457" s="143" t="s">
        <v>1777</v>
      </c>
      <c r="C457" s="140" t="s">
        <v>1778</v>
      </c>
      <c r="D457" s="137" t="s">
        <v>133</v>
      </c>
      <c r="E457" s="138">
        <v>76</v>
      </c>
      <c r="F457" s="139">
        <v>127.15</v>
      </c>
      <c r="G457" s="139">
        <v>3980</v>
      </c>
      <c r="H457" s="141">
        <v>9663.4</v>
      </c>
      <c r="I457" s="141">
        <v>302480</v>
      </c>
      <c r="J457" s="136" t="s">
        <v>1678</v>
      </c>
      <c r="K457" s="126"/>
      <c r="L457" s="136" t="s">
        <v>1776</v>
      </c>
    </row>
    <row r="458" spans="1:12" s="22" customFormat="1" ht="26.65" customHeight="1" x14ac:dyDescent="0.25">
      <c r="A458" s="126" t="s">
        <v>2683</v>
      </c>
      <c r="B458" s="143"/>
      <c r="C458" s="136" t="s">
        <v>1779</v>
      </c>
      <c r="D458" s="137"/>
      <c r="E458" s="138"/>
      <c r="F458" s="139"/>
      <c r="G458" s="139"/>
      <c r="H458" s="139"/>
      <c r="I458" s="139"/>
      <c r="J458" s="136" t="s">
        <v>1678</v>
      </c>
      <c r="K458" s="126"/>
      <c r="L458" s="126"/>
    </row>
    <row r="459" spans="1:12" s="22" customFormat="1" ht="26.65" customHeight="1" x14ac:dyDescent="0.25">
      <c r="A459" s="126" t="s">
        <v>2683</v>
      </c>
      <c r="B459" s="143" t="s">
        <v>1780</v>
      </c>
      <c r="C459" s="140" t="s">
        <v>1781</v>
      </c>
      <c r="D459" s="137" t="s">
        <v>133</v>
      </c>
      <c r="E459" s="138">
        <v>84</v>
      </c>
      <c r="F459" s="139">
        <v>127.15</v>
      </c>
      <c r="G459" s="139">
        <v>21.14</v>
      </c>
      <c r="H459" s="141">
        <v>10680.6</v>
      </c>
      <c r="I459" s="141">
        <v>1775.76</v>
      </c>
      <c r="J459" s="136" t="s">
        <v>1678</v>
      </c>
      <c r="K459" s="126"/>
      <c r="L459" s="136" t="s">
        <v>1779</v>
      </c>
    </row>
    <row r="460" spans="1:12" s="22" customFormat="1" ht="26.65" customHeight="1" x14ac:dyDescent="0.25">
      <c r="A460" s="126" t="s">
        <v>2683</v>
      </c>
      <c r="B460" s="143"/>
      <c r="C460" s="136" t="s">
        <v>1782</v>
      </c>
      <c r="D460" s="137"/>
      <c r="E460" s="138"/>
      <c r="F460" s="139"/>
      <c r="G460" s="139"/>
      <c r="H460" s="139"/>
      <c r="I460" s="139"/>
      <c r="J460" s="136" t="s">
        <v>1678</v>
      </c>
      <c r="K460" s="126"/>
      <c r="L460" s="126"/>
    </row>
    <row r="461" spans="1:12" s="22" customFormat="1" ht="26.65" customHeight="1" x14ac:dyDescent="0.25">
      <c r="A461" s="126" t="s">
        <v>2683</v>
      </c>
      <c r="B461" s="143" t="s">
        <v>1783</v>
      </c>
      <c r="C461" s="140" t="s">
        <v>1784</v>
      </c>
      <c r="D461" s="137" t="s">
        <v>133</v>
      </c>
      <c r="E461" s="138">
        <v>122</v>
      </c>
      <c r="F461" s="139">
        <v>127.15</v>
      </c>
      <c r="G461" s="139">
        <v>27.36</v>
      </c>
      <c r="H461" s="141">
        <v>15512.300000000001</v>
      </c>
      <c r="I461" s="141">
        <v>3337.92</v>
      </c>
      <c r="J461" s="136" t="s">
        <v>1678</v>
      </c>
      <c r="K461" s="126"/>
      <c r="L461" s="136" t="s">
        <v>1782</v>
      </c>
    </row>
    <row r="462" spans="1:12" s="22" customFormat="1" ht="26.65" customHeight="1" x14ac:dyDescent="0.25">
      <c r="A462" s="126" t="s">
        <v>2683</v>
      </c>
      <c r="B462" s="143" t="s">
        <v>1785</v>
      </c>
      <c r="C462" s="140" t="s">
        <v>1786</v>
      </c>
      <c r="D462" s="137" t="s">
        <v>133</v>
      </c>
      <c r="E462" s="138">
        <v>44</v>
      </c>
      <c r="F462" s="139">
        <v>127.15</v>
      </c>
      <c r="G462" s="139">
        <v>35.700000000000003</v>
      </c>
      <c r="H462" s="141">
        <v>5594.6</v>
      </c>
      <c r="I462" s="141">
        <v>1570.8000000000002</v>
      </c>
      <c r="J462" s="136" t="s">
        <v>1678</v>
      </c>
      <c r="K462" s="126"/>
      <c r="L462" s="136" t="s">
        <v>1782</v>
      </c>
    </row>
    <row r="463" spans="1:12" s="22" customFormat="1" ht="26.65" customHeight="1" x14ac:dyDescent="0.25">
      <c r="A463" s="126" t="s">
        <v>2683</v>
      </c>
      <c r="B463" s="143" t="s">
        <v>1787</v>
      </c>
      <c r="C463" s="140" t="s">
        <v>1788</v>
      </c>
      <c r="D463" s="137" t="s">
        <v>133</v>
      </c>
      <c r="E463" s="138">
        <v>24</v>
      </c>
      <c r="F463" s="139">
        <v>211.63</v>
      </c>
      <c r="G463" s="139">
        <v>21.14</v>
      </c>
      <c r="H463" s="141">
        <v>5079.12</v>
      </c>
      <c r="I463" s="141">
        <v>507.36</v>
      </c>
      <c r="J463" s="136" t="s">
        <v>1678</v>
      </c>
      <c r="K463" s="126"/>
      <c r="L463" s="136" t="s">
        <v>1782</v>
      </c>
    </row>
    <row r="464" spans="1:12" s="22" customFormat="1" ht="26.65" customHeight="1" x14ac:dyDescent="0.25">
      <c r="A464" s="126" t="s">
        <v>2683</v>
      </c>
      <c r="B464" s="143" t="s">
        <v>1789</v>
      </c>
      <c r="C464" s="140" t="s">
        <v>1790</v>
      </c>
      <c r="D464" s="137" t="s">
        <v>133</v>
      </c>
      <c r="E464" s="138">
        <v>44</v>
      </c>
      <c r="F464" s="139">
        <v>127.15</v>
      </c>
      <c r="G464" s="139">
        <v>27.36</v>
      </c>
      <c r="H464" s="141">
        <v>5594.6</v>
      </c>
      <c r="I464" s="141">
        <v>1203.8399999999999</v>
      </c>
      <c r="J464" s="136" t="s">
        <v>1678</v>
      </c>
      <c r="K464" s="126"/>
      <c r="L464" s="136" t="s">
        <v>1782</v>
      </c>
    </row>
    <row r="465" spans="1:12" s="22" customFormat="1" ht="26.65" customHeight="1" x14ac:dyDescent="0.25">
      <c r="A465" s="126" t="s">
        <v>2683</v>
      </c>
      <c r="B465" s="143"/>
      <c r="C465" s="136" t="s">
        <v>1791</v>
      </c>
      <c r="D465" s="137"/>
      <c r="E465" s="138"/>
      <c r="F465" s="139"/>
      <c r="G465" s="139"/>
      <c r="H465" s="139"/>
      <c r="I465" s="139"/>
      <c r="J465" s="136" t="s">
        <v>1678</v>
      </c>
      <c r="K465" s="126"/>
      <c r="L465" s="126"/>
    </row>
    <row r="466" spans="1:12" s="22" customFormat="1" ht="26.65" customHeight="1" x14ac:dyDescent="0.25">
      <c r="A466" s="126" t="s">
        <v>2683</v>
      </c>
      <c r="B466" s="143" t="s">
        <v>1792</v>
      </c>
      <c r="C466" s="140" t="s">
        <v>1793</v>
      </c>
      <c r="D466" s="137" t="s">
        <v>133</v>
      </c>
      <c r="E466" s="138">
        <v>262</v>
      </c>
      <c r="F466" s="139">
        <v>63.44</v>
      </c>
      <c r="G466" s="139">
        <v>18.66</v>
      </c>
      <c r="H466" s="141">
        <v>16621.28</v>
      </c>
      <c r="I466" s="141">
        <v>4888.92</v>
      </c>
      <c r="J466" s="136" t="s">
        <v>1678</v>
      </c>
      <c r="K466" s="126"/>
      <c r="L466" s="136" t="s">
        <v>1791</v>
      </c>
    </row>
    <row r="467" spans="1:12" s="22" customFormat="1" ht="26.65" customHeight="1" x14ac:dyDescent="0.25">
      <c r="A467" s="126" t="s">
        <v>2683</v>
      </c>
      <c r="B467" s="143"/>
      <c r="C467" s="136" t="s">
        <v>1794</v>
      </c>
      <c r="D467" s="137"/>
      <c r="E467" s="138"/>
      <c r="F467" s="139"/>
      <c r="G467" s="139"/>
      <c r="H467" s="139"/>
      <c r="I467" s="139"/>
      <c r="J467" s="126"/>
      <c r="K467" s="126"/>
      <c r="L467" s="126"/>
    </row>
    <row r="468" spans="1:12" s="22" customFormat="1" ht="26.65" customHeight="1" x14ac:dyDescent="0.25">
      <c r="A468" s="126" t="s">
        <v>2683</v>
      </c>
      <c r="B468" s="143"/>
      <c r="C468" s="136" t="s">
        <v>1795</v>
      </c>
      <c r="D468" s="137"/>
      <c r="E468" s="138"/>
      <c r="F468" s="139"/>
      <c r="G468" s="139"/>
      <c r="H468" s="139"/>
      <c r="I468" s="139"/>
      <c r="J468" s="136" t="s">
        <v>1794</v>
      </c>
      <c r="K468" s="126"/>
      <c r="L468" s="126"/>
    </row>
    <row r="469" spans="1:12" s="22" customFormat="1" ht="26.65" customHeight="1" x14ac:dyDescent="0.25">
      <c r="A469" s="126" t="s">
        <v>2683</v>
      </c>
      <c r="B469" s="143" t="s">
        <v>1796</v>
      </c>
      <c r="C469" s="140" t="s">
        <v>1797</v>
      </c>
      <c r="D469" s="137" t="s">
        <v>133</v>
      </c>
      <c r="E469" s="138">
        <v>184</v>
      </c>
      <c r="F469" s="139">
        <v>1311.53</v>
      </c>
      <c r="G469" s="139">
        <v>27.36</v>
      </c>
      <c r="H469" s="141">
        <v>241321.52</v>
      </c>
      <c r="I469" s="141">
        <v>5034.24</v>
      </c>
      <c r="J469" s="136" t="s">
        <v>1794</v>
      </c>
      <c r="K469" s="126"/>
      <c r="L469" s="136" t="s">
        <v>1795</v>
      </c>
    </row>
    <row r="470" spans="1:12" s="22" customFormat="1" ht="26.65" customHeight="1" x14ac:dyDescent="0.25">
      <c r="A470" s="126" t="s">
        <v>2683</v>
      </c>
      <c r="B470" s="143" t="s">
        <v>1798</v>
      </c>
      <c r="C470" s="140" t="s">
        <v>1799</v>
      </c>
      <c r="D470" s="137" t="s">
        <v>133</v>
      </c>
      <c r="E470" s="138">
        <v>340</v>
      </c>
      <c r="F470" s="139">
        <v>1311.53</v>
      </c>
      <c r="G470" s="139">
        <v>29.85</v>
      </c>
      <c r="H470" s="141">
        <v>445920.2</v>
      </c>
      <c r="I470" s="141">
        <v>10149</v>
      </c>
      <c r="J470" s="136" t="s">
        <v>1794</v>
      </c>
      <c r="K470" s="126"/>
      <c r="L470" s="136" t="s">
        <v>1795</v>
      </c>
    </row>
    <row r="471" spans="1:12" s="22" customFormat="1" ht="26.65" customHeight="1" x14ac:dyDescent="0.25">
      <c r="A471" s="126" t="s">
        <v>2683</v>
      </c>
      <c r="B471" s="143"/>
      <c r="C471" s="136" t="s">
        <v>1800</v>
      </c>
      <c r="D471" s="137"/>
      <c r="E471" s="138"/>
      <c r="F471" s="139"/>
      <c r="G471" s="139"/>
      <c r="H471" s="139"/>
      <c r="I471" s="139"/>
      <c r="J471" s="136" t="s">
        <v>1794</v>
      </c>
      <c r="K471" s="126"/>
      <c r="L471" s="126"/>
    </row>
    <row r="472" spans="1:12" s="22" customFormat="1" ht="26.65" customHeight="1" x14ac:dyDescent="0.25">
      <c r="A472" s="126" t="s">
        <v>2683</v>
      </c>
      <c r="B472" s="143" t="s">
        <v>1801</v>
      </c>
      <c r="C472" s="140" t="s">
        <v>1802</v>
      </c>
      <c r="D472" s="137" t="s">
        <v>133</v>
      </c>
      <c r="E472" s="138">
        <v>40</v>
      </c>
      <c r="F472" s="139">
        <v>1086.5899999999999</v>
      </c>
      <c r="G472" s="139">
        <v>25.75</v>
      </c>
      <c r="H472" s="141">
        <v>43463.6</v>
      </c>
      <c r="I472" s="141">
        <v>1030</v>
      </c>
      <c r="J472" s="136" t="s">
        <v>1794</v>
      </c>
      <c r="K472" s="126"/>
      <c r="L472" s="136" t="s">
        <v>1800</v>
      </c>
    </row>
    <row r="473" spans="1:12" s="22" customFormat="1" ht="26.65" customHeight="1" x14ac:dyDescent="0.25">
      <c r="A473" s="126" t="s">
        <v>2683</v>
      </c>
      <c r="B473" s="143" t="s">
        <v>1803</v>
      </c>
      <c r="C473" s="140" t="s">
        <v>1804</v>
      </c>
      <c r="D473" s="137" t="s">
        <v>133</v>
      </c>
      <c r="E473" s="138">
        <v>92</v>
      </c>
      <c r="F473" s="139">
        <v>1086.5899999999999</v>
      </c>
      <c r="G473" s="139">
        <v>32.340000000000003</v>
      </c>
      <c r="H473" s="141">
        <v>99966.28</v>
      </c>
      <c r="I473" s="141">
        <v>2975.28</v>
      </c>
      <c r="J473" s="136" t="s">
        <v>1794</v>
      </c>
      <c r="K473" s="126"/>
      <c r="L473" s="136" t="s">
        <v>1800</v>
      </c>
    </row>
    <row r="474" spans="1:12" s="22" customFormat="1" ht="26.65" customHeight="1" x14ac:dyDescent="0.25">
      <c r="A474" s="126" t="s">
        <v>2683</v>
      </c>
      <c r="B474" s="143" t="s">
        <v>1805</v>
      </c>
      <c r="C474" s="140" t="s">
        <v>1806</v>
      </c>
      <c r="D474" s="137" t="s">
        <v>133</v>
      </c>
      <c r="E474" s="138">
        <v>144</v>
      </c>
      <c r="F474" s="139">
        <v>1086.5899999999999</v>
      </c>
      <c r="G474" s="139">
        <v>39.799999999999997</v>
      </c>
      <c r="H474" s="141">
        <v>156468.96</v>
      </c>
      <c r="I474" s="141">
        <v>5731.2</v>
      </c>
      <c r="J474" s="136" t="s">
        <v>1794</v>
      </c>
      <c r="K474" s="126"/>
      <c r="L474" s="136" t="s">
        <v>1800</v>
      </c>
    </row>
    <row r="475" spans="1:12" s="22" customFormat="1" ht="26.65" customHeight="1" x14ac:dyDescent="0.25">
      <c r="A475" s="126" t="s">
        <v>2683</v>
      </c>
      <c r="B475" s="143" t="s">
        <v>1807</v>
      </c>
      <c r="C475" s="140" t="s">
        <v>1808</v>
      </c>
      <c r="D475" s="137" t="s">
        <v>133</v>
      </c>
      <c r="E475" s="138">
        <v>62</v>
      </c>
      <c r="F475" s="139">
        <v>1086.5899999999999</v>
      </c>
      <c r="G475" s="139">
        <v>39.799999999999997</v>
      </c>
      <c r="H475" s="141">
        <v>67368.58</v>
      </c>
      <c r="I475" s="141">
        <v>2467.6</v>
      </c>
      <c r="J475" s="136" t="s">
        <v>1794</v>
      </c>
      <c r="K475" s="126"/>
      <c r="L475" s="136" t="s">
        <v>1800</v>
      </c>
    </row>
    <row r="476" spans="1:12" s="22" customFormat="1" ht="26.65" customHeight="1" x14ac:dyDescent="0.25">
      <c r="A476" s="126" t="s">
        <v>2683</v>
      </c>
      <c r="B476" s="143" t="s">
        <v>1809</v>
      </c>
      <c r="C476" s="140" t="s">
        <v>1810</v>
      </c>
      <c r="D476" s="137" t="s">
        <v>133</v>
      </c>
      <c r="E476" s="138">
        <v>88</v>
      </c>
      <c r="F476" s="139">
        <v>1210.3399999999999</v>
      </c>
      <c r="G476" s="139">
        <v>0</v>
      </c>
      <c r="H476" s="141">
        <v>106509.92</v>
      </c>
      <c r="I476" s="141">
        <v>0</v>
      </c>
      <c r="J476" s="136" t="s">
        <v>1794</v>
      </c>
      <c r="K476" s="126"/>
      <c r="L476" s="136" t="s">
        <v>1800</v>
      </c>
    </row>
    <row r="477" spans="1:12" s="22" customFormat="1" ht="26.65" customHeight="1" x14ac:dyDescent="0.25">
      <c r="A477" s="126" t="s">
        <v>2683</v>
      </c>
      <c r="B477" s="143" t="s">
        <v>1811</v>
      </c>
      <c r="C477" s="140" t="s">
        <v>1812</v>
      </c>
      <c r="D477" s="137" t="s">
        <v>133</v>
      </c>
      <c r="E477" s="138">
        <v>66</v>
      </c>
      <c r="F477" s="139">
        <v>1228.8599999999999</v>
      </c>
      <c r="G477" s="139">
        <v>0</v>
      </c>
      <c r="H477" s="141">
        <v>81104.759999999995</v>
      </c>
      <c r="I477" s="141">
        <v>0</v>
      </c>
      <c r="J477" s="136" t="s">
        <v>1794</v>
      </c>
      <c r="K477" s="126"/>
      <c r="L477" s="136" t="s">
        <v>1800</v>
      </c>
    </row>
    <row r="478" spans="1:12" s="22" customFormat="1" ht="26.65" customHeight="1" x14ac:dyDescent="0.25">
      <c r="A478" s="126" t="s">
        <v>2683</v>
      </c>
      <c r="B478" s="143" t="s">
        <v>1813</v>
      </c>
      <c r="C478" s="140" t="s">
        <v>1814</v>
      </c>
      <c r="D478" s="137" t="s">
        <v>133</v>
      </c>
      <c r="E478" s="138">
        <v>96</v>
      </c>
      <c r="F478" s="139">
        <v>1366.51</v>
      </c>
      <c r="G478" s="139">
        <v>0</v>
      </c>
      <c r="H478" s="141">
        <v>131184.95999999999</v>
      </c>
      <c r="I478" s="141">
        <v>0</v>
      </c>
      <c r="J478" s="136" t="s">
        <v>1794</v>
      </c>
      <c r="K478" s="126"/>
      <c r="L478" s="136" t="s">
        <v>1800</v>
      </c>
    </row>
    <row r="479" spans="1:12" s="22" customFormat="1" ht="26.65" customHeight="1" x14ac:dyDescent="0.25">
      <c r="A479" s="126" t="s">
        <v>2683</v>
      </c>
      <c r="B479" s="143" t="s">
        <v>1815</v>
      </c>
      <c r="C479" s="140" t="s">
        <v>1816</v>
      </c>
      <c r="D479" s="137" t="s">
        <v>133</v>
      </c>
      <c r="E479" s="138">
        <v>500</v>
      </c>
      <c r="F479" s="139">
        <v>1182.58</v>
      </c>
      <c r="G479" s="139">
        <v>0</v>
      </c>
      <c r="H479" s="141">
        <v>591290</v>
      </c>
      <c r="I479" s="141">
        <v>0</v>
      </c>
      <c r="J479" s="136" t="s">
        <v>1794</v>
      </c>
      <c r="K479" s="126"/>
      <c r="L479" s="136" t="s">
        <v>1800</v>
      </c>
    </row>
    <row r="480" spans="1:12" s="22" customFormat="1" ht="26.65" customHeight="1" x14ac:dyDescent="0.25">
      <c r="A480" s="126" t="s">
        <v>2683</v>
      </c>
      <c r="B480" s="143" t="s">
        <v>1817</v>
      </c>
      <c r="C480" s="140" t="s">
        <v>1818</v>
      </c>
      <c r="D480" s="137" t="s">
        <v>133</v>
      </c>
      <c r="E480" s="138">
        <v>96</v>
      </c>
      <c r="F480" s="139">
        <v>1298.99</v>
      </c>
      <c r="G480" s="139">
        <v>0</v>
      </c>
      <c r="H480" s="141">
        <v>124703.04000000001</v>
      </c>
      <c r="I480" s="141">
        <v>0</v>
      </c>
      <c r="J480" s="136" t="s">
        <v>1794</v>
      </c>
      <c r="K480" s="126"/>
      <c r="L480" s="136" t="s">
        <v>1800</v>
      </c>
    </row>
    <row r="481" spans="1:12" s="22" customFormat="1" ht="26.65" customHeight="1" x14ac:dyDescent="0.25">
      <c r="A481" s="126" t="s">
        <v>2683</v>
      </c>
      <c r="B481" s="143" t="s">
        <v>1819</v>
      </c>
      <c r="C481" s="140" t="s">
        <v>1820</v>
      </c>
      <c r="D481" s="137" t="s">
        <v>133</v>
      </c>
      <c r="E481" s="138">
        <v>168</v>
      </c>
      <c r="F481" s="139">
        <v>1485.95</v>
      </c>
      <c r="G481" s="139">
        <v>0</v>
      </c>
      <c r="H481" s="141">
        <v>249639.6</v>
      </c>
      <c r="I481" s="141">
        <v>0</v>
      </c>
      <c r="J481" s="136" t="s">
        <v>1794</v>
      </c>
      <c r="K481" s="126"/>
      <c r="L481" s="136" t="s">
        <v>1800</v>
      </c>
    </row>
    <row r="482" spans="1:12" s="22" customFormat="1" ht="26.65" customHeight="1" x14ac:dyDescent="0.25">
      <c r="A482" s="126" t="s">
        <v>2683</v>
      </c>
      <c r="B482" s="143" t="s">
        <v>1821</v>
      </c>
      <c r="C482" s="140" t="s">
        <v>1822</v>
      </c>
      <c r="D482" s="137" t="s">
        <v>133</v>
      </c>
      <c r="E482" s="138">
        <v>76</v>
      </c>
      <c r="F482" s="139">
        <v>1485.95</v>
      </c>
      <c r="G482" s="139">
        <v>0</v>
      </c>
      <c r="H482" s="141">
        <v>112932.2</v>
      </c>
      <c r="I482" s="141">
        <v>0</v>
      </c>
      <c r="J482" s="136" t="s">
        <v>1794</v>
      </c>
      <c r="K482" s="126"/>
      <c r="L482" s="136" t="s">
        <v>1800</v>
      </c>
    </row>
    <row r="483" spans="1:12" s="22" customFormat="1" ht="26.65" customHeight="1" x14ac:dyDescent="0.25">
      <c r="A483" s="126" t="s">
        <v>2683</v>
      </c>
      <c r="B483" s="143" t="s">
        <v>1823</v>
      </c>
      <c r="C483" s="140" t="s">
        <v>1824</v>
      </c>
      <c r="D483" s="137" t="s">
        <v>133</v>
      </c>
      <c r="E483" s="138">
        <v>86</v>
      </c>
      <c r="F483" s="139">
        <v>2207.54</v>
      </c>
      <c r="G483" s="139">
        <v>0</v>
      </c>
      <c r="H483" s="141">
        <v>189848.44</v>
      </c>
      <c r="I483" s="141">
        <v>0</v>
      </c>
      <c r="J483" s="136" t="s">
        <v>1794</v>
      </c>
      <c r="K483" s="126"/>
      <c r="L483" s="136" t="s">
        <v>1800</v>
      </c>
    </row>
    <row r="484" spans="1:12" s="22" customFormat="1" ht="26.65" customHeight="1" x14ac:dyDescent="0.25">
      <c r="A484" s="126" t="s">
        <v>2683</v>
      </c>
      <c r="B484" s="143" t="s">
        <v>1825</v>
      </c>
      <c r="C484" s="140" t="s">
        <v>1826</v>
      </c>
      <c r="D484" s="137" t="s">
        <v>133</v>
      </c>
      <c r="E484" s="138">
        <v>74</v>
      </c>
      <c r="F484" s="139">
        <v>2403.84</v>
      </c>
      <c r="G484" s="139">
        <v>0</v>
      </c>
      <c r="H484" s="141">
        <v>177884.16</v>
      </c>
      <c r="I484" s="141">
        <v>0</v>
      </c>
      <c r="J484" s="136" t="s">
        <v>1794</v>
      </c>
      <c r="K484" s="126"/>
      <c r="L484" s="136" t="s">
        <v>1800</v>
      </c>
    </row>
    <row r="485" spans="1:12" s="22" customFormat="1" ht="26.65" customHeight="1" x14ac:dyDescent="0.25">
      <c r="A485" s="126" t="s">
        <v>2683</v>
      </c>
      <c r="B485" s="143"/>
      <c r="C485" s="136" t="s">
        <v>1827</v>
      </c>
      <c r="D485" s="137"/>
      <c r="E485" s="138"/>
      <c r="F485" s="139"/>
      <c r="G485" s="139"/>
      <c r="H485" s="139"/>
      <c r="I485" s="139"/>
      <c r="J485" s="136" t="s">
        <v>1794</v>
      </c>
      <c r="K485" s="126"/>
      <c r="L485" s="126"/>
    </row>
    <row r="486" spans="1:12" s="22" customFormat="1" ht="26.65" customHeight="1" x14ac:dyDescent="0.25">
      <c r="A486" s="126" t="s">
        <v>2683</v>
      </c>
      <c r="B486" s="143" t="s">
        <v>1828</v>
      </c>
      <c r="C486" s="140" t="s">
        <v>1829</v>
      </c>
      <c r="D486" s="137" t="s">
        <v>40</v>
      </c>
      <c r="E486" s="138">
        <v>600</v>
      </c>
      <c r="F486" s="139">
        <v>59.91</v>
      </c>
      <c r="G486" s="139">
        <v>0</v>
      </c>
      <c r="H486" s="141">
        <v>35946</v>
      </c>
      <c r="I486" s="141">
        <v>0</v>
      </c>
      <c r="J486" s="136" t="s">
        <v>1794</v>
      </c>
      <c r="K486" s="126"/>
      <c r="L486" s="136" t="s">
        <v>1827</v>
      </c>
    </row>
    <row r="487" spans="1:12" s="22" customFormat="1" ht="26.65" customHeight="1" x14ac:dyDescent="0.25">
      <c r="A487" s="126" t="s">
        <v>2683</v>
      </c>
      <c r="B487" s="143" t="s">
        <v>1830</v>
      </c>
      <c r="C487" s="140" t="s">
        <v>1831</v>
      </c>
      <c r="D487" s="137" t="s">
        <v>40</v>
      </c>
      <c r="E487" s="138">
        <v>204</v>
      </c>
      <c r="F487" s="139">
        <v>59.91</v>
      </c>
      <c r="G487" s="139">
        <v>0</v>
      </c>
      <c r="H487" s="141">
        <v>12221.64</v>
      </c>
      <c r="I487" s="141">
        <v>0</v>
      </c>
      <c r="J487" s="136" t="s">
        <v>1794</v>
      </c>
      <c r="K487" s="126"/>
      <c r="L487" s="136" t="s">
        <v>1827</v>
      </c>
    </row>
    <row r="488" spans="1:12" s="22" customFormat="1" ht="26.65" customHeight="1" x14ac:dyDescent="0.25">
      <c r="A488" s="126" t="s">
        <v>2683</v>
      </c>
      <c r="B488" s="143" t="s">
        <v>1832</v>
      </c>
      <c r="C488" s="140" t="s">
        <v>1833</v>
      </c>
      <c r="D488" s="137" t="s">
        <v>40</v>
      </c>
      <c r="E488" s="138">
        <v>228</v>
      </c>
      <c r="F488" s="139">
        <v>67.28</v>
      </c>
      <c r="G488" s="139">
        <v>0</v>
      </c>
      <c r="H488" s="141">
        <v>15339.84</v>
      </c>
      <c r="I488" s="141">
        <v>0</v>
      </c>
      <c r="J488" s="136" t="s">
        <v>1794</v>
      </c>
      <c r="K488" s="126"/>
      <c r="L488" s="136" t="s">
        <v>1827</v>
      </c>
    </row>
    <row r="489" spans="1:12" s="22" customFormat="1" ht="26.65" customHeight="1" x14ac:dyDescent="0.25">
      <c r="A489" s="126" t="s">
        <v>2683</v>
      </c>
      <c r="B489" s="143" t="s">
        <v>1834</v>
      </c>
      <c r="C489" s="140" t="s">
        <v>1835</v>
      </c>
      <c r="D489" s="137" t="s">
        <v>40</v>
      </c>
      <c r="E489" s="138">
        <v>204</v>
      </c>
      <c r="F489" s="139">
        <v>67.28</v>
      </c>
      <c r="G489" s="139">
        <v>0</v>
      </c>
      <c r="H489" s="141">
        <v>13725.12</v>
      </c>
      <c r="I489" s="141">
        <v>0</v>
      </c>
      <c r="J489" s="136" t="s">
        <v>1794</v>
      </c>
      <c r="K489" s="126"/>
      <c r="L489" s="136" t="s">
        <v>1827</v>
      </c>
    </row>
    <row r="490" spans="1:12" s="22" customFormat="1" ht="26.65" customHeight="1" x14ac:dyDescent="0.25">
      <c r="A490" s="126" t="s">
        <v>2683</v>
      </c>
      <c r="B490" s="143" t="s">
        <v>1836</v>
      </c>
      <c r="C490" s="140" t="s">
        <v>1837</v>
      </c>
      <c r="D490" s="137" t="s">
        <v>40</v>
      </c>
      <c r="E490" s="138">
        <v>216</v>
      </c>
      <c r="F490" s="139">
        <v>67.28</v>
      </c>
      <c r="G490" s="139">
        <v>0</v>
      </c>
      <c r="H490" s="141">
        <v>14532.48</v>
      </c>
      <c r="I490" s="141">
        <v>0</v>
      </c>
      <c r="J490" s="136" t="s">
        <v>1794</v>
      </c>
      <c r="K490" s="126"/>
      <c r="L490" s="136" t="s">
        <v>1827</v>
      </c>
    </row>
    <row r="491" spans="1:12" s="22" customFormat="1" ht="26.65" customHeight="1" x14ac:dyDescent="0.25">
      <c r="A491" s="126" t="s">
        <v>2683</v>
      </c>
      <c r="B491" s="143" t="s">
        <v>1838</v>
      </c>
      <c r="C491" s="140" t="s">
        <v>1839</v>
      </c>
      <c r="D491" s="137" t="s">
        <v>40</v>
      </c>
      <c r="E491" s="138">
        <v>442</v>
      </c>
      <c r="F491" s="139">
        <v>67.28</v>
      </c>
      <c r="G491" s="139">
        <v>0</v>
      </c>
      <c r="H491" s="141">
        <v>29737.760000000002</v>
      </c>
      <c r="I491" s="141">
        <v>0</v>
      </c>
      <c r="J491" s="136" t="s">
        <v>1794</v>
      </c>
      <c r="K491" s="126"/>
      <c r="L491" s="136" t="s">
        <v>1827</v>
      </c>
    </row>
    <row r="492" spans="1:12" s="22" customFormat="1" ht="26.65" customHeight="1" x14ac:dyDescent="0.25">
      <c r="A492" s="126" t="s">
        <v>2683</v>
      </c>
      <c r="B492" s="143" t="s">
        <v>1840</v>
      </c>
      <c r="C492" s="140" t="s">
        <v>1841</v>
      </c>
      <c r="D492" s="137" t="s">
        <v>40</v>
      </c>
      <c r="E492" s="138">
        <v>600</v>
      </c>
      <c r="F492" s="139">
        <v>184.8</v>
      </c>
      <c r="G492" s="139">
        <v>0</v>
      </c>
      <c r="H492" s="141">
        <v>110880</v>
      </c>
      <c r="I492" s="141">
        <v>0</v>
      </c>
      <c r="J492" s="136" t="s">
        <v>1794</v>
      </c>
      <c r="K492" s="126"/>
      <c r="L492" s="136" t="s">
        <v>1827</v>
      </c>
    </row>
    <row r="493" spans="1:12" s="22" customFormat="1" ht="26.65" customHeight="1" x14ac:dyDescent="0.25">
      <c r="A493" s="126" t="s">
        <v>2683</v>
      </c>
      <c r="B493" s="143" t="s">
        <v>1842</v>
      </c>
      <c r="C493" s="140" t="s">
        <v>1843</v>
      </c>
      <c r="D493" s="137" t="s">
        <v>40</v>
      </c>
      <c r="E493" s="138">
        <v>199.86</v>
      </c>
      <c r="F493" s="139">
        <v>302.20999999999998</v>
      </c>
      <c r="G493" s="139">
        <v>0</v>
      </c>
      <c r="H493" s="141">
        <v>60399.690600000002</v>
      </c>
      <c r="I493" s="141">
        <v>0</v>
      </c>
      <c r="J493" s="136" t="s">
        <v>1794</v>
      </c>
      <c r="K493" s="126"/>
      <c r="L493" s="136" t="s">
        <v>1827</v>
      </c>
    </row>
    <row r="494" spans="1:12" s="22" customFormat="1" ht="26.65" customHeight="1" x14ac:dyDescent="0.25">
      <c r="A494" s="126" t="s">
        <v>2683</v>
      </c>
      <c r="B494" s="143" t="s">
        <v>1844</v>
      </c>
      <c r="C494" s="140" t="s">
        <v>1845</v>
      </c>
      <c r="D494" s="137" t="s">
        <v>40</v>
      </c>
      <c r="E494" s="138">
        <v>700</v>
      </c>
      <c r="F494" s="139">
        <v>283.31</v>
      </c>
      <c r="G494" s="139">
        <v>0</v>
      </c>
      <c r="H494" s="141">
        <v>198317</v>
      </c>
      <c r="I494" s="141">
        <v>0</v>
      </c>
      <c r="J494" s="136" t="s">
        <v>1794</v>
      </c>
      <c r="K494" s="126"/>
      <c r="L494" s="136" t="s">
        <v>1827</v>
      </c>
    </row>
    <row r="495" spans="1:12" s="22" customFormat="1" ht="26.65" customHeight="1" x14ac:dyDescent="0.25">
      <c r="A495" s="126" t="s">
        <v>2683</v>
      </c>
      <c r="B495" s="143"/>
      <c r="C495" s="136" t="s">
        <v>1846</v>
      </c>
      <c r="D495" s="137"/>
      <c r="E495" s="138"/>
      <c r="F495" s="139"/>
      <c r="G495" s="139"/>
      <c r="H495" s="139"/>
      <c r="I495" s="139"/>
      <c r="J495" s="136" t="s">
        <v>1794</v>
      </c>
      <c r="K495" s="126"/>
      <c r="L495" s="126"/>
    </row>
    <row r="496" spans="1:12" s="22" customFormat="1" ht="26.65" customHeight="1" x14ac:dyDescent="0.25">
      <c r="A496" s="126" t="s">
        <v>2683</v>
      </c>
      <c r="B496" s="143" t="s">
        <v>1847</v>
      </c>
      <c r="C496" s="140" t="s">
        <v>1848</v>
      </c>
      <c r="D496" s="137" t="s">
        <v>133</v>
      </c>
      <c r="E496" s="138">
        <v>400</v>
      </c>
      <c r="F496" s="139">
        <v>3204.25</v>
      </c>
      <c r="G496" s="139">
        <v>0</v>
      </c>
      <c r="H496" s="141">
        <v>1281700</v>
      </c>
      <c r="I496" s="141">
        <v>0</v>
      </c>
      <c r="J496" s="136" t="s">
        <v>1794</v>
      </c>
      <c r="K496" s="126"/>
      <c r="L496" s="136" t="s">
        <v>1846</v>
      </c>
    </row>
    <row r="497" spans="1:12" s="22" customFormat="1" ht="26.65" customHeight="1" x14ac:dyDescent="0.25">
      <c r="A497" s="126" t="s">
        <v>2683</v>
      </c>
      <c r="B497" s="143" t="s">
        <v>1849</v>
      </c>
      <c r="C497" s="140" t="s">
        <v>1850</v>
      </c>
      <c r="D497" s="137" t="s">
        <v>133</v>
      </c>
      <c r="E497" s="138">
        <v>136</v>
      </c>
      <c r="F497" s="139">
        <v>3096.76</v>
      </c>
      <c r="G497" s="139">
        <v>0</v>
      </c>
      <c r="H497" s="141">
        <v>421159.36000000004</v>
      </c>
      <c r="I497" s="141">
        <v>0</v>
      </c>
      <c r="J497" s="136" t="s">
        <v>1794</v>
      </c>
      <c r="K497" s="126"/>
      <c r="L497" s="136" t="s">
        <v>1846</v>
      </c>
    </row>
    <row r="498" spans="1:12" s="22" customFormat="1" ht="26.65" customHeight="1" x14ac:dyDescent="0.25">
      <c r="A498" s="126" t="s">
        <v>2683</v>
      </c>
      <c r="B498" s="143" t="s">
        <v>1851</v>
      </c>
      <c r="C498" s="140" t="s">
        <v>1852</v>
      </c>
      <c r="D498" s="137" t="s">
        <v>133</v>
      </c>
      <c r="E498" s="138">
        <v>400</v>
      </c>
      <c r="F498" s="139">
        <v>3096.76</v>
      </c>
      <c r="G498" s="139">
        <v>0</v>
      </c>
      <c r="H498" s="141">
        <v>1238704</v>
      </c>
      <c r="I498" s="141">
        <v>0</v>
      </c>
      <c r="J498" s="136" t="s">
        <v>1794</v>
      </c>
      <c r="K498" s="126"/>
      <c r="L498" s="136" t="s">
        <v>1846</v>
      </c>
    </row>
    <row r="499" spans="1:12" s="22" customFormat="1" ht="26.65" customHeight="1" x14ac:dyDescent="0.25">
      <c r="A499" s="126" t="s">
        <v>2683</v>
      </c>
      <c r="B499" s="143" t="s">
        <v>1853</v>
      </c>
      <c r="C499" s="140" t="s">
        <v>1854</v>
      </c>
      <c r="D499" s="137" t="s">
        <v>133</v>
      </c>
      <c r="E499" s="138">
        <v>400</v>
      </c>
      <c r="F499" s="139">
        <v>9126.65</v>
      </c>
      <c r="G499" s="139">
        <v>0</v>
      </c>
      <c r="H499" s="141">
        <v>3650660</v>
      </c>
      <c r="I499" s="141">
        <v>0</v>
      </c>
      <c r="J499" s="136" t="s">
        <v>1794</v>
      </c>
      <c r="K499" s="126"/>
      <c r="L499" s="136" t="s">
        <v>1846</v>
      </c>
    </row>
    <row r="500" spans="1:12" s="22" customFormat="1" ht="26.65" customHeight="1" x14ac:dyDescent="0.25">
      <c r="A500" s="126" t="s">
        <v>2683</v>
      </c>
      <c r="B500" s="143" t="s">
        <v>1855</v>
      </c>
      <c r="C500" s="140" t="s">
        <v>1856</v>
      </c>
      <c r="D500" s="137" t="s">
        <v>133</v>
      </c>
      <c r="E500" s="138">
        <v>400</v>
      </c>
      <c r="F500" s="139">
        <v>3383.95</v>
      </c>
      <c r="G500" s="139">
        <v>0</v>
      </c>
      <c r="H500" s="141">
        <v>1353580</v>
      </c>
      <c r="I500" s="141">
        <v>0</v>
      </c>
      <c r="J500" s="136" t="s">
        <v>1794</v>
      </c>
      <c r="K500" s="126"/>
      <c r="L500" s="136" t="s">
        <v>1846</v>
      </c>
    </row>
    <row r="501" spans="1:12" s="22" customFormat="1" ht="26.65" customHeight="1" x14ac:dyDescent="0.25">
      <c r="A501" s="126" t="s">
        <v>2683</v>
      </c>
      <c r="B501" s="143" t="s">
        <v>1857</v>
      </c>
      <c r="C501" s="140" t="s">
        <v>1858</v>
      </c>
      <c r="D501" s="137" t="s">
        <v>133</v>
      </c>
      <c r="E501" s="138">
        <v>62</v>
      </c>
      <c r="F501" s="139">
        <v>3383.95</v>
      </c>
      <c r="G501" s="139">
        <v>0</v>
      </c>
      <c r="H501" s="141">
        <v>209804.9</v>
      </c>
      <c r="I501" s="141">
        <v>0</v>
      </c>
      <c r="J501" s="136" t="s">
        <v>1794</v>
      </c>
      <c r="K501" s="126"/>
      <c r="L501" s="136" t="s">
        <v>1846</v>
      </c>
    </row>
    <row r="502" spans="1:12" s="22" customFormat="1" ht="26.65" customHeight="1" x14ac:dyDescent="0.25">
      <c r="A502" s="126" t="s">
        <v>2683</v>
      </c>
      <c r="B502" s="143" t="s">
        <v>1859</v>
      </c>
      <c r="C502" s="140" t="s">
        <v>1860</v>
      </c>
      <c r="D502" s="137" t="s">
        <v>133</v>
      </c>
      <c r="E502" s="138">
        <v>66</v>
      </c>
      <c r="F502" s="139">
        <v>1975.78</v>
      </c>
      <c r="G502" s="139">
        <v>0</v>
      </c>
      <c r="H502" s="141">
        <v>130401.48</v>
      </c>
      <c r="I502" s="141">
        <v>0</v>
      </c>
      <c r="J502" s="136" t="s">
        <v>1794</v>
      </c>
      <c r="K502" s="126"/>
      <c r="L502" s="136" t="s">
        <v>1846</v>
      </c>
    </row>
    <row r="503" spans="1:12" s="22" customFormat="1" ht="26.65" customHeight="1" x14ac:dyDescent="0.25">
      <c r="A503" s="126" t="s">
        <v>2683</v>
      </c>
      <c r="B503" s="143"/>
      <c r="C503" s="136" t="s">
        <v>1861</v>
      </c>
      <c r="D503" s="137"/>
      <c r="E503" s="138"/>
      <c r="F503" s="139"/>
      <c r="G503" s="139"/>
      <c r="H503" s="139"/>
      <c r="I503" s="139"/>
      <c r="J503" s="136" t="s">
        <v>1794</v>
      </c>
      <c r="K503" s="126"/>
      <c r="L503" s="126"/>
    </row>
    <row r="504" spans="1:12" s="22" customFormat="1" ht="26.65" customHeight="1" x14ac:dyDescent="0.25">
      <c r="A504" s="126" t="s">
        <v>2683</v>
      </c>
      <c r="B504" s="143" t="s">
        <v>1862</v>
      </c>
      <c r="C504" s="140" t="s">
        <v>1863</v>
      </c>
      <c r="D504" s="137" t="s">
        <v>133</v>
      </c>
      <c r="E504" s="138">
        <v>166</v>
      </c>
      <c r="F504" s="139">
        <v>1311.53</v>
      </c>
      <c r="G504" s="139">
        <v>32.340000000000003</v>
      </c>
      <c r="H504" s="141">
        <v>217713.97999999998</v>
      </c>
      <c r="I504" s="141">
        <v>5368.4400000000005</v>
      </c>
      <c r="J504" s="136" t="s">
        <v>1794</v>
      </c>
      <c r="K504" s="126"/>
      <c r="L504" s="136" t="s">
        <v>1861</v>
      </c>
    </row>
    <row r="505" spans="1:12" s="22" customFormat="1" ht="26.65" customHeight="1" x14ac:dyDescent="0.25">
      <c r="A505" s="126" t="s">
        <v>2683</v>
      </c>
      <c r="B505" s="143"/>
      <c r="C505" s="136" t="s">
        <v>1864</v>
      </c>
      <c r="D505" s="137"/>
      <c r="E505" s="138"/>
      <c r="F505" s="139"/>
      <c r="G505" s="139"/>
      <c r="H505" s="139"/>
      <c r="I505" s="139"/>
      <c r="J505" s="136" t="s">
        <v>1794</v>
      </c>
      <c r="K505" s="126"/>
      <c r="L505" s="126"/>
    </row>
    <row r="506" spans="1:12" s="22" customFormat="1" ht="26.65" customHeight="1" x14ac:dyDescent="0.25">
      <c r="A506" s="126" t="s">
        <v>2683</v>
      </c>
      <c r="B506" s="143" t="s">
        <v>1865</v>
      </c>
      <c r="C506" s="140" t="s">
        <v>1866</v>
      </c>
      <c r="D506" s="137" t="s">
        <v>133</v>
      </c>
      <c r="E506" s="138">
        <v>100</v>
      </c>
      <c r="F506" s="139">
        <v>1311.53</v>
      </c>
      <c r="G506" s="139">
        <v>39.799999999999997</v>
      </c>
      <c r="H506" s="141">
        <v>131153</v>
      </c>
      <c r="I506" s="141">
        <v>3979.9999999999995</v>
      </c>
      <c r="J506" s="136" t="s">
        <v>1794</v>
      </c>
      <c r="K506" s="126"/>
      <c r="L506" s="136" t="s">
        <v>1864</v>
      </c>
    </row>
    <row r="507" spans="1:12" s="22" customFormat="1" ht="26.65" customHeight="1" x14ac:dyDescent="0.25">
      <c r="A507" s="126" t="s">
        <v>2683</v>
      </c>
      <c r="B507" s="143"/>
      <c r="C507" s="136" t="s">
        <v>1867</v>
      </c>
      <c r="D507" s="137"/>
      <c r="E507" s="138"/>
      <c r="F507" s="139"/>
      <c r="G507" s="139"/>
      <c r="H507" s="139"/>
      <c r="I507" s="139"/>
      <c r="J507" s="136" t="s">
        <v>1794</v>
      </c>
      <c r="K507" s="126"/>
      <c r="L507" s="126"/>
    </row>
    <row r="508" spans="1:12" s="22" customFormat="1" ht="26.65" customHeight="1" x14ac:dyDescent="0.25">
      <c r="A508" s="126" t="s">
        <v>2683</v>
      </c>
      <c r="B508" s="143" t="s">
        <v>1868</v>
      </c>
      <c r="C508" s="140" t="s">
        <v>1869</v>
      </c>
      <c r="D508" s="137" t="s">
        <v>133</v>
      </c>
      <c r="E508" s="138">
        <v>62</v>
      </c>
      <c r="F508" s="139">
        <v>1311.53</v>
      </c>
      <c r="G508" s="139">
        <v>45.65</v>
      </c>
      <c r="H508" s="141">
        <v>81314.86</v>
      </c>
      <c r="I508" s="141">
        <v>2830.2999999999997</v>
      </c>
      <c r="J508" s="136" t="s">
        <v>1794</v>
      </c>
      <c r="K508" s="126"/>
      <c r="L508" s="136" t="s">
        <v>1867</v>
      </c>
    </row>
    <row r="509" spans="1:12" s="22" customFormat="1" ht="26.65" customHeight="1" x14ac:dyDescent="0.25">
      <c r="A509" s="126" t="s">
        <v>2683</v>
      </c>
      <c r="B509" s="143"/>
      <c r="C509" s="136" t="s">
        <v>1870</v>
      </c>
      <c r="D509" s="137"/>
      <c r="E509" s="138"/>
      <c r="F509" s="139"/>
      <c r="G509" s="139"/>
      <c r="H509" s="139"/>
      <c r="I509" s="139"/>
      <c r="J509" s="136" t="s">
        <v>1794</v>
      </c>
      <c r="K509" s="126"/>
      <c r="L509" s="126"/>
    </row>
    <row r="510" spans="1:12" s="22" customFormat="1" ht="26.65" customHeight="1" x14ac:dyDescent="0.25">
      <c r="A510" s="126" t="s">
        <v>2683</v>
      </c>
      <c r="B510" s="143" t="s">
        <v>1871</v>
      </c>
      <c r="C510" s="140" t="s">
        <v>1872</v>
      </c>
      <c r="D510" s="137" t="s">
        <v>133</v>
      </c>
      <c r="E510" s="138">
        <v>62</v>
      </c>
      <c r="F510" s="139">
        <v>1311.53</v>
      </c>
      <c r="G510" s="139">
        <v>21.14</v>
      </c>
      <c r="H510" s="141">
        <v>81314.86</v>
      </c>
      <c r="I510" s="141">
        <v>1310.68</v>
      </c>
      <c r="J510" s="136" t="s">
        <v>1794</v>
      </c>
      <c r="K510" s="126"/>
      <c r="L510" s="136" t="s">
        <v>1870</v>
      </c>
    </row>
    <row r="511" spans="1:12" s="22" customFormat="1" ht="26.65" customHeight="1" x14ac:dyDescent="0.25">
      <c r="A511" s="126" t="s">
        <v>2683</v>
      </c>
      <c r="B511" s="143" t="s">
        <v>1873</v>
      </c>
      <c r="C511" s="140" t="s">
        <v>1874</v>
      </c>
      <c r="D511" s="137" t="s">
        <v>133</v>
      </c>
      <c r="E511" s="138">
        <v>100</v>
      </c>
      <c r="F511" s="139">
        <v>1311.53</v>
      </c>
      <c r="G511" s="139">
        <v>32.340000000000003</v>
      </c>
      <c r="H511" s="141">
        <v>131153</v>
      </c>
      <c r="I511" s="141">
        <v>3234.0000000000005</v>
      </c>
      <c r="J511" s="136" t="s">
        <v>1794</v>
      </c>
      <c r="K511" s="126"/>
      <c r="L511" s="136" t="s">
        <v>1870</v>
      </c>
    </row>
    <row r="512" spans="1:12" s="22" customFormat="1" ht="26.65" customHeight="1" x14ac:dyDescent="0.25">
      <c r="A512" s="126" t="s">
        <v>2683</v>
      </c>
      <c r="B512" s="143"/>
      <c r="C512" s="136" t="s">
        <v>1875</v>
      </c>
      <c r="D512" s="137"/>
      <c r="E512" s="138"/>
      <c r="F512" s="139"/>
      <c r="G512" s="139"/>
      <c r="H512" s="139"/>
      <c r="I512" s="139"/>
      <c r="J512" s="136" t="s">
        <v>1794</v>
      </c>
      <c r="K512" s="126"/>
      <c r="L512" s="126"/>
    </row>
    <row r="513" spans="1:12" s="22" customFormat="1" ht="26.65" customHeight="1" x14ac:dyDescent="0.25">
      <c r="A513" s="126" t="s">
        <v>2683</v>
      </c>
      <c r="B513" s="143" t="s">
        <v>1876</v>
      </c>
      <c r="C513" s="140" t="s">
        <v>1877</v>
      </c>
      <c r="D513" s="137" t="s">
        <v>133</v>
      </c>
      <c r="E513" s="138">
        <v>80</v>
      </c>
      <c r="F513" s="139">
        <v>1629.74</v>
      </c>
      <c r="G513" s="139">
        <v>0</v>
      </c>
      <c r="H513" s="141">
        <v>130379.2</v>
      </c>
      <c r="I513" s="141">
        <v>0</v>
      </c>
      <c r="J513" s="136" t="s">
        <v>1794</v>
      </c>
      <c r="K513" s="126"/>
      <c r="L513" s="136" t="s">
        <v>1875</v>
      </c>
    </row>
    <row r="514" spans="1:12" s="22" customFormat="1" ht="26.65" customHeight="1" x14ac:dyDescent="0.25">
      <c r="A514" s="126" t="s">
        <v>2683</v>
      </c>
      <c r="B514" s="143" t="s">
        <v>1878</v>
      </c>
      <c r="C514" s="140" t="s">
        <v>1879</v>
      </c>
      <c r="D514" s="137" t="s">
        <v>133</v>
      </c>
      <c r="E514" s="138">
        <v>56</v>
      </c>
      <c r="F514" s="139">
        <v>1629.74</v>
      </c>
      <c r="G514" s="139">
        <v>0</v>
      </c>
      <c r="H514" s="141">
        <v>91265.44</v>
      </c>
      <c r="I514" s="141">
        <v>0</v>
      </c>
      <c r="J514" s="136" t="s">
        <v>1794</v>
      </c>
      <c r="K514" s="126"/>
      <c r="L514" s="136" t="s">
        <v>1875</v>
      </c>
    </row>
    <row r="515" spans="1:12" s="22" customFormat="1" ht="26.65" customHeight="1" x14ac:dyDescent="0.25">
      <c r="A515" s="126" t="s">
        <v>2683</v>
      </c>
      <c r="B515" s="143" t="s">
        <v>1880</v>
      </c>
      <c r="C515" s="140" t="s">
        <v>1881</v>
      </c>
      <c r="D515" s="137" t="s">
        <v>133</v>
      </c>
      <c r="E515" s="138">
        <v>306</v>
      </c>
      <c r="F515" s="139">
        <v>1311.53</v>
      </c>
      <c r="G515" s="139">
        <v>42.29</v>
      </c>
      <c r="H515" s="141">
        <v>401328.18</v>
      </c>
      <c r="I515" s="141">
        <v>12940.74</v>
      </c>
      <c r="J515" s="136" t="s">
        <v>1794</v>
      </c>
      <c r="K515" s="126"/>
      <c r="L515" s="136" t="s">
        <v>1875</v>
      </c>
    </row>
    <row r="516" spans="1:12" s="22" customFormat="1" ht="26.65" customHeight="1" x14ac:dyDescent="0.25">
      <c r="A516" s="126" t="s">
        <v>2683</v>
      </c>
      <c r="B516" s="143"/>
      <c r="C516" s="136" t="s">
        <v>1882</v>
      </c>
      <c r="D516" s="137"/>
      <c r="E516" s="138"/>
      <c r="F516" s="139"/>
      <c r="G516" s="139"/>
      <c r="H516" s="139"/>
      <c r="I516" s="139"/>
      <c r="J516" s="136" t="s">
        <v>1794</v>
      </c>
      <c r="K516" s="126"/>
      <c r="L516" s="126"/>
    </row>
    <row r="517" spans="1:12" s="22" customFormat="1" ht="26.65" customHeight="1" x14ac:dyDescent="0.25">
      <c r="A517" s="126" t="s">
        <v>2683</v>
      </c>
      <c r="B517" s="143" t="s">
        <v>1883</v>
      </c>
      <c r="C517" s="140" t="s">
        <v>1884</v>
      </c>
      <c r="D517" s="137" t="s">
        <v>133</v>
      </c>
      <c r="E517" s="138">
        <v>148</v>
      </c>
      <c r="F517" s="139">
        <v>1311.53</v>
      </c>
      <c r="G517" s="139">
        <v>42.29</v>
      </c>
      <c r="H517" s="141">
        <v>194106.44</v>
      </c>
      <c r="I517" s="141">
        <v>6258.92</v>
      </c>
      <c r="J517" s="136" t="s">
        <v>1794</v>
      </c>
      <c r="K517" s="126"/>
      <c r="L517" s="136" t="s">
        <v>1882</v>
      </c>
    </row>
    <row r="518" spans="1:12" s="22" customFormat="1" ht="26.65" customHeight="1" x14ac:dyDescent="0.25">
      <c r="A518" s="126" t="s">
        <v>2683</v>
      </c>
      <c r="B518" s="143"/>
      <c r="C518" s="136" t="s">
        <v>1885</v>
      </c>
      <c r="D518" s="137"/>
      <c r="E518" s="138"/>
      <c r="F518" s="139"/>
      <c r="G518" s="139"/>
      <c r="H518" s="139"/>
      <c r="I518" s="139"/>
      <c r="J518" s="136" t="s">
        <v>1794</v>
      </c>
      <c r="K518" s="126"/>
      <c r="L518" s="126"/>
    </row>
    <row r="519" spans="1:12" s="22" customFormat="1" ht="26.65" customHeight="1" x14ac:dyDescent="0.25">
      <c r="A519" s="126" t="s">
        <v>2683</v>
      </c>
      <c r="B519" s="143" t="s">
        <v>1886</v>
      </c>
      <c r="C519" s="140" t="s">
        <v>1887</v>
      </c>
      <c r="D519" s="137" t="s">
        <v>133</v>
      </c>
      <c r="E519" s="138">
        <v>60</v>
      </c>
      <c r="F519" s="139">
        <v>11912.58</v>
      </c>
      <c r="G519" s="139">
        <v>0</v>
      </c>
      <c r="H519" s="141">
        <v>714754.8</v>
      </c>
      <c r="I519" s="141">
        <v>0</v>
      </c>
      <c r="J519" s="136" t="s">
        <v>1794</v>
      </c>
      <c r="K519" s="126"/>
      <c r="L519" s="136" t="s">
        <v>1885</v>
      </c>
    </row>
    <row r="520" spans="1:12" s="22" customFormat="1" ht="26.65" customHeight="1" x14ac:dyDescent="0.25">
      <c r="A520" s="126" t="s">
        <v>2683</v>
      </c>
      <c r="B520" s="143" t="s">
        <v>1888</v>
      </c>
      <c r="C520" s="140" t="s">
        <v>1889</v>
      </c>
      <c r="D520" s="137" t="s">
        <v>133</v>
      </c>
      <c r="E520" s="138">
        <v>100</v>
      </c>
      <c r="F520" s="139">
        <v>352.61</v>
      </c>
      <c r="G520" s="139">
        <v>1902.94</v>
      </c>
      <c r="H520" s="141">
        <v>35261</v>
      </c>
      <c r="I520" s="141">
        <v>190294</v>
      </c>
      <c r="J520" s="136" t="s">
        <v>1794</v>
      </c>
      <c r="K520" s="126"/>
      <c r="L520" s="136" t="s">
        <v>1885</v>
      </c>
    </row>
    <row r="521" spans="1:12" s="22" customFormat="1" ht="26.65" customHeight="1" x14ac:dyDescent="0.25">
      <c r="A521" s="126" t="s">
        <v>2683</v>
      </c>
      <c r="B521" s="143" t="s">
        <v>1890</v>
      </c>
      <c r="C521" s="140" t="s">
        <v>1891</v>
      </c>
      <c r="D521" s="137" t="s">
        <v>133</v>
      </c>
      <c r="E521" s="138">
        <v>36</v>
      </c>
      <c r="F521" s="139">
        <v>352.61</v>
      </c>
      <c r="G521" s="139">
        <v>2238.75</v>
      </c>
      <c r="H521" s="141">
        <v>12693.960000000001</v>
      </c>
      <c r="I521" s="141">
        <v>80595</v>
      </c>
      <c r="J521" s="136" t="s">
        <v>1794</v>
      </c>
      <c r="K521" s="126"/>
      <c r="L521" s="136" t="s">
        <v>1885</v>
      </c>
    </row>
    <row r="522" spans="1:12" s="22" customFormat="1" ht="26.65" customHeight="1" x14ac:dyDescent="0.25">
      <c r="A522" s="126" t="s">
        <v>2683</v>
      </c>
      <c r="B522" s="143" t="s">
        <v>1892</v>
      </c>
      <c r="C522" s="140" t="s">
        <v>1893</v>
      </c>
      <c r="D522" s="137" t="s">
        <v>133</v>
      </c>
      <c r="E522" s="138">
        <v>28</v>
      </c>
      <c r="F522" s="139">
        <v>352.61</v>
      </c>
      <c r="G522" s="139">
        <v>1902.94</v>
      </c>
      <c r="H522" s="141">
        <v>9873.08</v>
      </c>
      <c r="I522" s="141">
        <v>53282.32</v>
      </c>
      <c r="J522" s="136" t="s">
        <v>1794</v>
      </c>
      <c r="K522" s="126"/>
      <c r="L522" s="136" t="s">
        <v>1885</v>
      </c>
    </row>
    <row r="523" spans="1:12" s="22" customFormat="1" ht="26.65" customHeight="1" x14ac:dyDescent="0.25">
      <c r="A523" s="126" t="s">
        <v>2683</v>
      </c>
      <c r="B523" s="143" t="s">
        <v>1894</v>
      </c>
      <c r="C523" s="140" t="s">
        <v>1895</v>
      </c>
      <c r="D523" s="137" t="s">
        <v>133</v>
      </c>
      <c r="E523" s="138">
        <v>70</v>
      </c>
      <c r="F523" s="139">
        <v>352.61</v>
      </c>
      <c r="G523" s="139">
        <v>1902.94</v>
      </c>
      <c r="H523" s="141">
        <v>24682.7</v>
      </c>
      <c r="I523" s="141">
        <v>133205.80000000002</v>
      </c>
      <c r="J523" s="136" t="s">
        <v>1794</v>
      </c>
      <c r="K523" s="126"/>
      <c r="L523" s="136" t="s">
        <v>1885</v>
      </c>
    </row>
    <row r="524" spans="1:12" s="22" customFormat="1" ht="26.65" customHeight="1" x14ac:dyDescent="0.25">
      <c r="A524" s="126" t="s">
        <v>2683</v>
      </c>
      <c r="B524" s="143"/>
      <c r="C524" s="136" t="s">
        <v>1896</v>
      </c>
      <c r="D524" s="137"/>
      <c r="E524" s="138"/>
      <c r="F524" s="139"/>
      <c r="G524" s="139"/>
      <c r="H524" s="139"/>
      <c r="I524" s="139"/>
      <c r="J524" s="136" t="s">
        <v>1794</v>
      </c>
      <c r="K524" s="126"/>
      <c r="L524" s="126"/>
    </row>
    <row r="525" spans="1:12" s="22" customFormat="1" ht="26.65" customHeight="1" x14ac:dyDescent="0.25">
      <c r="A525" s="126" t="s">
        <v>2683</v>
      </c>
      <c r="B525" s="143" t="s">
        <v>1897</v>
      </c>
      <c r="C525" s="140" t="s">
        <v>1898</v>
      </c>
      <c r="D525" s="137" t="s">
        <v>133</v>
      </c>
      <c r="E525" s="138">
        <v>60</v>
      </c>
      <c r="F525" s="139">
        <v>352.61</v>
      </c>
      <c r="G525" s="139">
        <v>1119.3800000000001</v>
      </c>
      <c r="H525" s="141">
        <v>21156.600000000002</v>
      </c>
      <c r="I525" s="141">
        <v>67162.8</v>
      </c>
      <c r="J525" s="136" t="s">
        <v>1794</v>
      </c>
      <c r="K525" s="126"/>
      <c r="L525" s="136" t="s">
        <v>1896</v>
      </c>
    </row>
    <row r="526" spans="1:12" s="22" customFormat="1" ht="26.65" customHeight="1" x14ac:dyDescent="0.25">
      <c r="A526" s="126" t="s">
        <v>2683</v>
      </c>
      <c r="B526" s="143" t="s">
        <v>1899</v>
      </c>
      <c r="C526" s="140" t="s">
        <v>1900</v>
      </c>
      <c r="D526" s="137" t="s">
        <v>133</v>
      </c>
      <c r="E526" s="138">
        <v>68</v>
      </c>
      <c r="F526" s="139">
        <v>352.61</v>
      </c>
      <c r="G526" s="139">
        <v>1119.3800000000001</v>
      </c>
      <c r="H526" s="141">
        <v>23977.48</v>
      </c>
      <c r="I526" s="141">
        <v>76117.840000000011</v>
      </c>
      <c r="J526" s="136" t="s">
        <v>1794</v>
      </c>
      <c r="K526" s="126"/>
      <c r="L526" s="136" t="s">
        <v>1896</v>
      </c>
    </row>
    <row r="527" spans="1:12" s="22" customFormat="1" ht="26.65" customHeight="1" x14ac:dyDescent="0.25">
      <c r="A527" s="126" t="s">
        <v>2683</v>
      </c>
      <c r="B527" s="143" t="s">
        <v>1901</v>
      </c>
      <c r="C527" s="140" t="s">
        <v>1902</v>
      </c>
      <c r="D527" s="137" t="s">
        <v>133</v>
      </c>
      <c r="E527" s="138">
        <v>118</v>
      </c>
      <c r="F527" s="139">
        <v>352.61</v>
      </c>
      <c r="G527" s="139">
        <v>1119.3800000000001</v>
      </c>
      <c r="H527" s="141">
        <v>41607.980000000003</v>
      </c>
      <c r="I527" s="141">
        <v>132086.84000000003</v>
      </c>
      <c r="J527" s="136" t="s">
        <v>1794</v>
      </c>
      <c r="K527" s="126"/>
      <c r="L527" s="136" t="s">
        <v>1896</v>
      </c>
    </row>
    <row r="528" spans="1:12" s="22" customFormat="1" ht="26.65" customHeight="1" x14ac:dyDescent="0.25">
      <c r="A528" s="126" t="s">
        <v>2683</v>
      </c>
      <c r="B528" s="143"/>
      <c r="C528" s="136" t="s">
        <v>1903</v>
      </c>
      <c r="D528" s="137"/>
      <c r="E528" s="138"/>
      <c r="F528" s="139"/>
      <c r="G528" s="139"/>
      <c r="H528" s="139"/>
      <c r="I528" s="139"/>
      <c r="J528" s="136" t="s">
        <v>1794</v>
      </c>
      <c r="K528" s="126"/>
      <c r="L528" s="126"/>
    </row>
    <row r="529" spans="1:12" s="22" customFormat="1" ht="26.65" customHeight="1" x14ac:dyDescent="0.25">
      <c r="A529" s="126" t="s">
        <v>2683</v>
      </c>
      <c r="B529" s="143" t="s">
        <v>1904</v>
      </c>
      <c r="C529" s="140" t="s">
        <v>1905</v>
      </c>
      <c r="D529" s="137" t="s">
        <v>133</v>
      </c>
      <c r="E529" s="138">
        <v>70</v>
      </c>
      <c r="F529" s="139">
        <v>352.61</v>
      </c>
      <c r="G529" s="139">
        <v>1902.94</v>
      </c>
      <c r="H529" s="141">
        <v>24682.7</v>
      </c>
      <c r="I529" s="141">
        <v>133205.80000000002</v>
      </c>
      <c r="J529" s="136" t="s">
        <v>1794</v>
      </c>
      <c r="K529" s="126"/>
      <c r="L529" s="136" t="s">
        <v>1903</v>
      </c>
    </row>
    <row r="530" spans="1:12" s="22" customFormat="1" ht="26.65" customHeight="1" x14ac:dyDescent="0.25">
      <c r="A530" s="126" t="s">
        <v>2683</v>
      </c>
      <c r="B530" s="143" t="s">
        <v>1906</v>
      </c>
      <c r="C530" s="140" t="s">
        <v>1907</v>
      </c>
      <c r="D530" s="137" t="s">
        <v>133</v>
      </c>
      <c r="E530" s="138">
        <v>76</v>
      </c>
      <c r="F530" s="139">
        <v>352.61</v>
      </c>
      <c r="G530" s="139">
        <v>1902.94</v>
      </c>
      <c r="H530" s="141">
        <v>26798.36</v>
      </c>
      <c r="I530" s="141">
        <v>144623.44</v>
      </c>
      <c r="J530" s="136" t="s">
        <v>1794</v>
      </c>
      <c r="K530" s="126"/>
      <c r="L530" s="136" t="s">
        <v>1903</v>
      </c>
    </row>
    <row r="531" spans="1:12" s="22" customFormat="1" ht="26.65" customHeight="1" x14ac:dyDescent="0.25">
      <c r="A531" s="126" t="s">
        <v>2683</v>
      </c>
      <c r="B531" s="143"/>
      <c r="C531" s="136" t="s">
        <v>1908</v>
      </c>
      <c r="D531" s="137"/>
      <c r="E531" s="138"/>
      <c r="F531" s="139"/>
      <c r="G531" s="139"/>
      <c r="H531" s="139"/>
      <c r="I531" s="139"/>
      <c r="J531" s="136" t="s">
        <v>1794</v>
      </c>
      <c r="K531" s="126"/>
      <c r="L531" s="126"/>
    </row>
    <row r="532" spans="1:12" s="22" customFormat="1" ht="26.65" customHeight="1" x14ac:dyDescent="0.25">
      <c r="A532" s="126" t="s">
        <v>2683</v>
      </c>
      <c r="B532" s="143" t="s">
        <v>1909</v>
      </c>
      <c r="C532" s="140" t="s">
        <v>1908</v>
      </c>
      <c r="D532" s="137" t="s">
        <v>133</v>
      </c>
      <c r="E532" s="138">
        <v>60</v>
      </c>
      <c r="F532" s="139">
        <v>108680.28</v>
      </c>
      <c r="G532" s="139">
        <v>0</v>
      </c>
      <c r="H532" s="141">
        <v>6520816.7999999998</v>
      </c>
      <c r="I532" s="141">
        <v>0</v>
      </c>
      <c r="J532" s="136" t="s">
        <v>1794</v>
      </c>
      <c r="K532" s="126"/>
      <c r="L532" s="136" t="s">
        <v>1908</v>
      </c>
    </row>
    <row r="533" spans="1:12" s="22" customFormat="1" ht="26.65" customHeight="1" x14ac:dyDescent="0.25">
      <c r="A533" s="126" t="s">
        <v>2683</v>
      </c>
      <c r="B533" s="143" t="s">
        <v>1910</v>
      </c>
      <c r="C533" s="140" t="s">
        <v>1911</v>
      </c>
      <c r="D533" s="137" t="s">
        <v>133</v>
      </c>
      <c r="E533" s="138">
        <v>28</v>
      </c>
      <c r="F533" s="139">
        <v>108680.28</v>
      </c>
      <c r="G533" s="139">
        <v>0</v>
      </c>
      <c r="H533" s="141">
        <v>3043047.84</v>
      </c>
      <c r="I533" s="141">
        <v>0</v>
      </c>
      <c r="J533" s="136" t="s">
        <v>1794</v>
      </c>
      <c r="K533" s="126"/>
      <c r="L533" s="136" t="s">
        <v>1908</v>
      </c>
    </row>
    <row r="534" spans="1:12" s="22" customFormat="1" ht="26.65" customHeight="1" x14ac:dyDescent="0.25">
      <c r="A534" s="126" t="s">
        <v>2683</v>
      </c>
      <c r="B534" s="143" t="s">
        <v>1912</v>
      </c>
      <c r="C534" s="140" t="s">
        <v>1913</v>
      </c>
      <c r="D534" s="137" t="s">
        <v>133</v>
      </c>
      <c r="E534" s="138">
        <v>22</v>
      </c>
      <c r="F534" s="139">
        <v>108680.28</v>
      </c>
      <c r="G534" s="139">
        <v>0</v>
      </c>
      <c r="H534" s="141">
        <v>2390966.16</v>
      </c>
      <c r="I534" s="141">
        <v>0</v>
      </c>
      <c r="J534" s="136" t="s">
        <v>1794</v>
      </c>
      <c r="K534" s="126"/>
      <c r="L534" s="136" t="s">
        <v>1908</v>
      </c>
    </row>
    <row r="535" spans="1:12" s="22" customFormat="1" ht="26.65" customHeight="1" x14ac:dyDescent="0.25">
      <c r="A535" s="126" t="s">
        <v>2683</v>
      </c>
      <c r="B535" s="143" t="s">
        <v>1914</v>
      </c>
      <c r="C535" s="140" t="s">
        <v>1915</v>
      </c>
      <c r="D535" s="137" t="s">
        <v>133</v>
      </c>
      <c r="E535" s="138">
        <v>22</v>
      </c>
      <c r="F535" s="139">
        <v>117016.61</v>
      </c>
      <c r="G535" s="139">
        <v>0</v>
      </c>
      <c r="H535" s="141">
        <v>2574365.42</v>
      </c>
      <c r="I535" s="141">
        <v>0</v>
      </c>
      <c r="J535" s="136" t="s">
        <v>1794</v>
      </c>
      <c r="K535" s="126"/>
      <c r="L535" s="136" t="s">
        <v>1908</v>
      </c>
    </row>
    <row r="536" spans="1:12" s="22" customFormat="1" ht="26.65" customHeight="1" x14ac:dyDescent="0.25">
      <c r="A536" s="126" t="s">
        <v>2683</v>
      </c>
      <c r="B536" s="143" t="s">
        <v>1916</v>
      </c>
      <c r="C536" s="140" t="s">
        <v>1917</v>
      </c>
      <c r="D536" s="137" t="s">
        <v>133</v>
      </c>
      <c r="E536" s="138">
        <v>30</v>
      </c>
      <c r="F536" s="139">
        <v>8194.81</v>
      </c>
      <c r="G536" s="139">
        <v>0</v>
      </c>
      <c r="H536" s="141">
        <v>245844.3</v>
      </c>
      <c r="I536" s="141">
        <v>0</v>
      </c>
      <c r="J536" s="136" t="s">
        <v>1794</v>
      </c>
      <c r="K536" s="126"/>
      <c r="L536" s="136" t="s">
        <v>1908</v>
      </c>
    </row>
    <row r="537" spans="1:12" s="22" customFormat="1" ht="26.65" customHeight="1" x14ac:dyDescent="0.25">
      <c r="A537" s="126" t="s">
        <v>2683</v>
      </c>
      <c r="B537" s="143" t="s">
        <v>1918</v>
      </c>
      <c r="C537" s="140" t="s">
        <v>1919</v>
      </c>
      <c r="D537" s="137" t="s">
        <v>133</v>
      </c>
      <c r="E537" s="138">
        <v>24</v>
      </c>
      <c r="F537" s="139">
        <v>8194.81</v>
      </c>
      <c r="G537" s="139">
        <v>0</v>
      </c>
      <c r="H537" s="141">
        <v>196675.44</v>
      </c>
      <c r="I537" s="141">
        <v>0</v>
      </c>
      <c r="J537" s="136" t="s">
        <v>1794</v>
      </c>
      <c r="K537" s="126"/>
      <c r="L537" s="136" t="s">
        <v>1908</v>
      </c>
    </row>
    <row r="538" spans="1:12" s="22" customFormat="1" ht="26.65" customHeight="1" x14ac:dyDescent="0.25">
      <c r="A538" s="126" t="s">
        <v>2683</v>
      </c>
      <c r="B538" s="143"/>
      <c r="C538" s="136" t="s">
        <v>1920</v>
      </c>
      <c r="D538" s="137"/>
      <c r="E538" s="138"/>
      <c r="F538" s="139"/>
      <c r="G538" s="139"/>
      <c r="H538" s="139"/>
      <c r="I538" s="139"/>
      <c r="J538" s="136" t="s">
        <v>1794</v>
      </c>
      <c r="K538" s="126"/>
      <c r="L538" s="126"/>
    </row>
    <row r="539" spans="1:12" s="22" customFormat="1" ht="26.65" customHeight="1" x14ac:dyDescent="0.25">
      <c r="A539" s="126" t="s">
        <v>2683</v>
      </c>
      <c r="B539" s="143" t="s">
        <v>1921</v>
      </c>
      <c r="C539" s="140" t="s">
        <v>1922</v>
      </c>
      <c r="D539" s="137" t="s">
        <v>133</v>
      </c>
      <c r="E539" s="138">
        <v>160</v>
      </c>
      <c r="F539" s="139">
        <v>1104.08</v>
      </c>
      <c r="G539" s="139">
        <v>0</v>
      </c>
      <c r="H539" s="141">
        <v>176652.79999999999</v>
      </c>
      <c r="I539" s="141">
        <v>0</v>
      </c>
      <c r="J539" s="136" t="s">
        <v>1794</v>
      </c>
      <c r="K539" s="126"/>
      <c r="L539" s="136" t="s">
        <v>1920</v>
      </c>
    </row>
    <row r="540" spans="1:12" s="22" customFormat="1" ht="26.65" customHeight="1" x14ac:dyDescent="0.25">
      <c r="A540" s="126" t="s">
        <v>2683</v>
      </c>
      <c r="B540" s="143" t="s">
        <v>1923</v>
      </c>
      <c r="C540" s="140" t="s">
        <v>1924</v>
      </c>
      <c r="D540" s="137" t="s">
        <v>133</v>
      </c>
      <c r="E540" s="138">
        <v>160</v>
      </c>
      <c r="F540" s="139">
        <v>1233.33</v>
      </c>
      <c r="G540" s="139">
        <v>0</v>
      </c>
      <c r="H540" s="141">
        <v>197332.8</v>
      </c>
      <c r="I540" s="141">
        <v>0</v>
      </c>
      <c r="J540" s="136" t="s">
        <v>1794</v>
      </c>
      <c r="K540" s="126"/>
      <c r="L540" s="136" t="s">
        <v>1920</v>
      </c>
    </row>
    <row r="541" spans="1:12" s="22" customFormat="1" ht="26.65" customHeight="1" x14ac:dyDescent="0.25">
      <c r="A541" s="126" t="s">
        <v>2683</v>
      </c>
      <c r="B541" s="143"/>
      <c r="C541" s="136" t="s">
        <v>1925</v>
      </c>
      <c r="D541" s="137"/>
      <c r="E541" s="138"/>
      <c r="F541" s="139"/>
      <c r="G541" s="139"/>
      <c r="H541" s="139"/>
      <c r="I541" s="139"/>
      <c r="J541" s="136" t="s">
        <v>1794</v>
      </c>
      <c r="K541" s="126"/>
      <c r="L541" s="126"/>
    </row>
    <row r="542" spans="1:12" s="22" customFormat="1" ht="26.65" customHeight="1" x14ac:dyDescent="0.25">
      <c r="A542" s="126" t="s">
        <v>2683</v>
      </c>
      <c r="B542" s="143" t="s">
        <v>1926</v>
      </c>
      <c r="C542" s="140" t="s">
        <v>1927</v>
      </c>
      <c r="D542" s="137" t="s">
        <v>133</v>
      </c>
      <c r="E542" s="138">
        <v>74</v>
      </c>
      <c r="F542" s="139">
        <v>1355.43</v>
      </c>
      <c r="G542" s="139">
        <v>0</v>
      </c>
      <c r="H542" s="141">
        <v>100301.82</v>
      </c>
      <c r="I542" s="141">
        <v>0</v>
      </c>
      <c r="J542" s="136" t="s">
        <v>1794</v>
      </c>
      <c r="K542" s="126"/>
      <c r="L542" s="136" t="s">
        <v>1925</v>
      </c>
    </row>
    <row r="543" spans="1:12" s="22" customFormat="1" ht="26.65" customHeight="1" x14ac:dyDescent="0.25">
      <c r="A543" s="126" t="s">
        <v>2683</v>
      </c>
      <c r="B543" s="143"/>
      <c r="C543" s="136" t="s">
        <v>1928</v>
      </c>
      <c r="D543" s="137"/>
      <c r="E543" s="138"/>
      <c r="F543" s="139"/>
      <c r="G543" s="139"/>
      <c r="H543" s="139"/>
      <c r="I543" s="139"/>
      <c r="J543" s="136" t="s">
        <v>1794</v>
      </c>
      <c r="K543" s="126"/>
      <c r="L543" s="126"/>
    </row>
    <row r="544" spans="1:12" s="22" customFormat="1" ht="26.65" customHeight="1" x14ac:dyDescent="0.25">
      <c r="A544" s="126" t="s">
        <v>2683</v>
      </c>
      <c r="B544" s="143" t="s">
        <v>1929</v>
      </c>
      <c r="C544" s="140" t="s">
        <v>1930</v>
      </c>
      <c r="D544" s="137" t="s">
        <v>133</v>
      </c>
      <c r="E544" s="138">
        <v>200</v>
      </c>
      <c r="F544" s="139">
        <v>2845.76</v>
      </c>
      <c r="G544" s="139">
        <v>0</v>
      </c>
      <c r="H544" s="141">
        <v>569152</v>
      </c>
      <c r="I544" s="141">
        <v>0</v>
      </c>
      <c r="J544" s="136" t="s">
        <v>1794</v>
      </c>
      <c r="K544" s="126"/>
      <c r="L544" s="136" t="s">
        <v>1928</v>
      </c>
    </row>
    <row r="545" spans="1:12" s="22" customFormat="1" ht="26.65" customHeight="1" x14ac:dyDescent="0.25">
      <c r="A545" s="126" t="s">
        <v>2683</v>
      </c>
      <c r="B545" s="143" t="s">
        <v>1931</v>
      </c>
      <c r="C545" s="140" t="s">
        <v>1932</v>
      </c>
      <c r="D545" s="137" t="s">
        <v>133</v>
      </c>
      <c r="E545" s="138">
        <v>200</v>
      </c>
      <c r="F545" s="139">
        <v>3123.64</v>
      </c>
      <c r="G545" s="139">
        <v>0</v>
      </c>
      <c r="H545" s="141">
        <v>624728</v>
      </c>
      <c r="I545" s="141">
        <v>0</v>
      </c>
      <c r="J545" s="136" t="s">
        <v>1794</v>
      </c>
      <c r="K545" s="126"/>
      <c r="L545" s="136" t="s">
        <v>1928</v>
      </c>
    </row>
    <row r="546" spans="1:12" s="22" customFormat="1" ht="26.65" customHeight="1" x14ac:dyDescent="0.25">
      <c r="A546" s="126" t="s">
        <v>2683</v>
      </c>
      <c r="B546" s="143" t="s">
        <v>1933</v>
      </c>
      <c r="C546" s="140" t="s">
        <v>1934</v>
      </c>
      <c r="D546" s="137" t="s">
        <v>133</v>
      </c>
      <c r="E546" s="138">
        <v>240</v>
      </c>
      <c r="F546" s="139">
        <v>4096.2</v>
      </c>
      <c r="G546" s="139">
        <v>0</v>
      </c>
      <c r="H546" s="141">
        <v>983088</v>
      </c>
      <c r="I546" s="141">
        <v>0</v>
      </c>
      <c r="J546" s="136" t="s">
        <v>1794</v>
      </c>
      <c r="K546" s="126"/>
      <c r="L546" s="136" t="s">
        <v>1928</v>
      </c>
    </row>
    <row r="547" spans="1:12" s="22" customFormat="1" ht="26.65" customHeight="1" x14ac:dyDescent="0.25">
      <c r="A547" s="126" t="s">
        <v>2683</v>
      </c>
      <c r="B547" s="143"/>
      <c r="C547" s="136" t="s">
        <v>1935</v>
      </c>
      <c r="D547" s="137"/>
      <c r="E547" s="138"/>
      <c r="F547" s="139"/>
      <c r="G547" s="139"/>
      <c r="H547" s="139"/>
      <c r="I547" s="139"/>
      <c r="J547" s="136" t="s">
        <v>1794</v>
      </c>
      <c r="K547" s="126"/>
      <c r="L547" s="126"/>
    </row>
    <row r="548" spans="1:12" s="22" customFormat="1" ht="26.65" customHeight="1" x14ac:dyDescent="0.25">
      <c r="A548" s="126" t="s">
        <v>2683</v>
      </c>
      <c r="B548" s="143" t="s">
        <v>1936</v>
      </c>
      <c r="C548" s="140" t="s">
        <v>1937</v>
      </c>
      <c r="D548" s="137" t="s">
        <v>133</v>
      </c>
      <c r="E548" s="138">
        <v>88</v>
      </c>
      <c r="F548" s="139">
        <v>2598.65</v>
      </c>
      <c r="G548" s="139">
        <v>0</v>
      </c>
      <c r="H548" s="141">
        <v>228681.2</v>
      </c>
      <c r="I548" s="141">
        <v>0</v>
      </c>
      <c r="J548" s="136" t="s">
        <v>1794</v>
      </c>
      <c r="K548" s="126"/>
      <c r="L548" s="136" t="s">
        <v>1935</v>
      </c>
    </row>
    <row r="549" spans="1:12" s="22" customFormat="1" ht="26.65" customHeight="1" x14ac:dyDescent="0.25">
      <c r="A549" s="126" t="s">
        <v>2683</v>
      </c>
      <c r="B549" s="143" t="s">
        <v>1938</v>
      </c>
      <c r="C549" s="140" t="s">
        <v>1939</v>
      </c>
      <c r="D549" s="137" t="s">
        <v>133</v>
      </c>
      <c r="E549" s="138">
        <v>240</v>
      </c>
      <c r="F549" s="139">
        <v>2840.55</v>
      </c>
      <c r="G549" s="139">
        <v>0</v>
      </c>
      <c r="H549" s="141">
        <v>681732</v>
      </c>
      <c r="I549" s="141">
        <v>0</v>
      </c>
      <c r="J549" s="136" t="s">
        <v>1794</v>
      </c>
      <c r="K549" s="126"/>
      <c r="L549" s="136" t="s">
        <v>1935</v>
      </c>
    </row>
    <row r="550" spans="1:12" s="22" customFormat="1" ht="26.65" customHeight="1" x14ac:dyDescent="0.25">
      <c r="A550" s="126" t="s">
        <v>2683</v>
      </c>
      <c r="B550" s="143" t="s">
        <v>1940</v>
      </c>
      <c r="C550" s="140" t="s">
        <v>1941</v>
      </c>
      <c r="D550" s="137" t="s">
        <v>133</v>
      </c>
      <c r="E550" s="138">
        <v>240</v>
      </c>
      <c r="F550" s="139">
        <v>3413.31</v>
      </c>
      <c r="G550" s="139">
        <v>0</v>
      </c>
      <c r="H550" s="141">
        <v>819194.4</v>
      </c>
      <c r="I550" s="141">
        <v>0</v>
      </c>
      <c r="J550" s="136" t="s">
        <v>1794</v>
      </c>
      <c r="K550" s="126"/>
      <c r="L550" s="136" t="s">
        <v>1935</v>
      </c>
    </row>
    <row r="551" spans="1:12" s="22" customFormat="1" ht="26.65" customHeight="1" x14ac:dyDescent="0.25">
      <c r="A551" s="126" t="s">
        <v>2683</v>
      </c>
      <c r="B551" s="143"/>
      <c r="C551" s="136" t="s">
        <v>1942</v>
      </c>
      <c r="D551" s="137"/>
      <c r="E551" s="138"/>
      <c r="F551" s="139"/>
      <c r="G551" s="139"/>
      <c r="H551" s="139"/>
      <c r="I551" s="139"/>
      <c r="J551" s="136" t="s">
        <v>1794</v>
      </c>
      <c r="K551" s="126"/>
      <c r="L551" s="126"/>
    </row>
    <row r="552" spans="1:12" s="22" customFormat="1" ht="26.65" customHeight="1" x14ac:dyDescent="0.25">
      <c r="A552" s="126" t="s">
        <v>2683</v>
      </c>
      <c r="B552" s="143" t="s">
        <v>1943</v>
      </c>
      <c r="C552" s="140" t="s">
        <v>1944</v>
      </c>
      <c r="D552" s="137" t="s">
        <v>133</v>
      </c>
      <c r="E552" s="138">
        <v>200</v>
      </c>
      <c r="F552" s="139">
        <v>570.58000000000004</v>
      </c>
      <c r="G552" s="139">
        <v>42.29</v>
      </c>
      <c r="H552" s="141">
        <v>114116.00000000001</v>
      </c>
      <c r="I552" s="141">
        <v>8458</v>
      </c>
      <c r="J552" s="136" t="s">
        <v>1794</v>
      </c>
      <c r="K552" s="126"/>
      <c r="L552" s="136" t="s">
        <v>1942</v>
      </c>
    </row>
    <row r="553" spans="1:12" s="22" customFormat="1" ht="26.65" customHeight="1" x14ac:dyDescent="0.25">
      <c r="A553" s="126" t="s">
        <v>2683</v>
      </c>
      <c r="B553" s="143" t="s">
        <v>1945</v>
      </c>
      <c r="C553" s="140" t="s">
        <v>1946</v>
      </c>
      <c r="D553" s="137" t="s">
        <v>133</v>
      </c>
      <c r="E553" s="138">
        <v>200</v>
      </c>
      <c r="F553" s="139">
        <v>570.58000000000004</v>
      </c>
      <c r="G553" s="139">
        <v>37.31</v>
      </c>
      <c r="H553" s="141">
        <v>114116.00000000001</v>
      </c>
      <c r="I553" s="141">
        <v>7462</v>
      </c>
      <c r="J553" s="136" t="s">
        <v>1794</v>
      </c>
      <c r="K553" s="126"/>
      <c r="L553" s="136" t="s">
        <v>1942</v>
      </c>
    </row>
    <row r="554" spans="1:12" s="22" customFormat="1" ht="26.65" customHeight="1" x14ac:dyDescent="0.25">
      <c r="A554" s="126" t="s">
        <v>2683</v>
      </c>
      <c r="B554" s="143"/>
      <c r="C554" s="136" t="s">
        <v>1947</v>
      </c>
      <c r="D554" s="137"/>
      <c r="E554" s="138"/>
      <c r="F554" s="139"/>
      <c r="G554" s="139"/>
      <c r="H554" s="139"/>
      <c r="I554" s="139"/>
      <c r="J554" s="136" t="s">
        <v>1794</v>
      </c>
      <c r="K554" s="126"/>
      <c r="L554" s="126"/>
    </row>
    <row r="555" spans="1:12" s="22" customFormat="1" ht="26.65" customHeight="1" x14ac:dyDescent="0.25">
      <c r="A555" s="126" t="s">
        <v>2683</v>
      </c>
      <c r="B555" s="143" t="s">
        <v>1948</v>
      </c>
      <c r="C555" s="140" t="s">
        <v>1949</v>
      </c>
      <c r="D555" s="137" t="s">
        <v>133</v>
      </c>
      <c r="E555" s="138">
        <v>40</v>
      </c>
      <c r="F555" s="139">
        <v>3479.35</v>
      </c>
      <c r="G555" s="139">
        <v>0</v>
      </c>
      <c r="H555" s="141">
        <v>139174</v>
      </c>
      <c r="I555" s="141">
        <v>0</v>
      </c>
      <c r="J555" s="136" t="s">
        <v>1794</v>
      </c>
      <c r="K555" s="126"/>
      <c r="L555" s="136" t="s">
        <v>1947</v>
      </c>
    </row>
    <row r="556" spans="1:12" s="22" customFormat="1" ht="26.65" customHeight="1" x14ac:dyDescent="0.25">
      <c r="A556" s="126" t="s">
        <v>2683</v>
      </c>
      <c r="B556" s="143"/>
      <c r="C556" s="136" t="s">
        <v>1950</v>
      </c>
      <c r="D556" s="137"/>
      <c r="E556" s="138"/>
      <c r="F556" s="139"/>
      <c r="G556" s="139"/>
      <c r="H556" s="139"/>
      <c r="I556" s="139"/>
      <c r="J556" s="136" t="s">
        <v>1794</v>
      </c>
      <c r="K556" s="126"/>
      <c r="L556" s="126"/>
    </row>
    <row r="557" spans="1:12" s="22" customFormat="1" ht="26.65" customHeight="1" x14ac:dyDescent="0.25">
      <c r="A557" s="126" t="s">
        <v>2683</v>
      </c>
      <c r="B557" s="143" t="s">
        <v>1951</v>
      </c>
      <c r="C557" s="140" t="s">
        <v>1952</v>
      </c>
      <c r="D557" s="137" t="s">
        <v>40</v>
      </c>
      <c r="E557" s="138">
        <v>196</v>
      </c>
      <c r="F557" s="139">
        <v>2058.4</v>
      </c>
      <c r="G557" s="139">
        <v>0</v>
      </c>
      <c r="H557" s="141">
        <v>403446.4</v>
      </c>
      <c r="I557" s="141">
        <v>0</v>
      </c>
      <c r="J557" s="136" t="s">
        <v>1794</v>
      </c>
      <c r="K557" s="126"/>
      <c r="L557" s="136" t="s">
        <v>1950</v>
      </c>
    </row>
    <row r="558" spans="1:12" s="22" customFormat="1" ht="26.65" customHeight="1" x14ac:dyDescent="0.25">
      <c r="A558" s="126" t="s">
        <v>2683</v>
      </c>
      <c r="B558" s="143" t="s">
        <v>1953</v>
      </c>
      <c r="C558" s="140" t="s">
        <v>1954</v>
      </c>
      <c r="D558" s="137" t="s">
        <v>40</v>
      </c>
      <c r="E558" s="138">
        <v>186</v>
      </c>
      <c r="F558" s="139">
        <v>1391.5</v>
      </c>
      <c r="G558" s="139">
        <v>0</v>
      </c>
      <c r="H558" s="141">
        <v>258819</v>
      </c>
      <c r="I558" s="141">
        <v>0</v>
      </c>
      <c r="J558" s="136" t="s">
        <v>1794</v>
      </c>
      <c r="K558" s="126"/>
      <c r="L558" s="136" t="s">
        <v>1950</v>
      </c>
    </row>
    <row r="559" spans="1:12" s="22" customFormat="1" ht="26.65" customHeight="1" x14ac:dyDescent="0.25">
      <c r="A559" s="126" t="s">
        <v>2683</v>
      </c>
      <c r="B559" s="143" t="s">
        <v>1955</v>
      </c>
      <c r="C559" s="140" t="s">
        <v>1956</v>
      </c>
      <c r="D559" s="137" t="s">
        <v>40</v>
      </c>
      <c r="E559" s="138">
        <v>614</v>
      </c>
      <c r="F559" s="139">
        <v>1271.08</v>
      </c>
      <c r="G559" s="139">
        <v>0</v>
      </c>
      <c r="H559" s="141">
        <v>780443.12</v>
      </c>
      <c r="I559" s="141">
        <v>0</v>
      </c>
      <c r="J559" s="136" t="s">
        <v>1794</v>
      </c>
      <c r="K559" s="126"/>
      <c r="L559" s="136" t="s">
        <v>1950</v>
      </c>
    </row>
    <row r="560" spans="1:12" s="22" customFormat="1" ht="26.65" customHeight="1" x14ac:dyDescent="0.25">
      <c r="A560" s="126" t="s">
        <v>2683</v>
      </c>
      <c r="B560" s="143"/>
      <c r="C560" s="136" t="s">
        <v>1957</v>
      </c>
      <c r="D560" s="137"/>
      <c r="E560" s="138"/>
      <c r="F560" s="139"/>
      <c r="G560" s="139"/>
      <c r="H560" s="139"/>
      <c r="I560" s="139"/>
      <c r="J560" s="136" t="s">
        <v>1794</v>
      </c>
      <c r="K560" s="126"/>
      <c r="L560" s="126"/>
    </row>
    <row r="561" spans="1:12" s="22" customFormat="1" ht="26.65" customHeight="1" x14ac:dyDescent="0.25">
      <c r="A561" s="126" t="s">
        <v>2683</v>
      </c>
      <c r="B561" s="143" t="s">
        <v>1958</v>
      </c>
      <c r="C561" s="140" t="s">
        <v>1959</v>
      </c>
      <c r="D561" s="137" t="s">
        <v>133</v>
      </c>
      <c r="E561" s="138">
        <v>70</v>
      </c>
      <c r="F561" s="139">
        <v>2545.85</v>
      </c>
      <c r="G561" s="139">
        <v>0</v>
      </c>
      <c r="H561" s="141">
        <v>178209.5</v>
      </c>
      <c r="I561" s="141">
        <v>0</v>
      </c>
      <c r="J561" s="136" t="s">
        <v>1794</v>
      </c>
      <c r="K561" s="126"/>
      <c r="L561" s="136" t="s">
        <v>1957</v>
      </c>
    </row>
    <row r="562" spans="1:12" s="22" customFormat="1" ht="26.65" customHeight="1" x14ac:dyDescent="0.25">
      <c r="A562" s="126" t="s">
        <v>2683</v>
      </c>
      <c r="B562" s="143" t="s">
        <v>1960</v>
      </c>
      <c r="C562" s="140" t="s">
        <v>1961</v>
      </c>
      <c r="D562" s="137" t="s">
        <v>133</v>
      </c>
      <c r="E562" s="138">
        <v>80</v>
      </c>
      <c r="F562" s="139">
        <v>1655.44</v>
      </c>
      <c r="G562" s="139">
        <v>0</v>
      </c>
      <c r="H562" s="141">
        <v>132435.20000000001</v>
      </c>
      <c r="I562" s="141">
        <v>0</v>
      </c>
      <c r="J562" s="136" t="s">
        <v>1794</v>
      </c>
      <c r="K562" s="126"/>
      <c r="L562" s="136" t="s">
        <v>1957</v>
      </c>
    </row>
    <row r="563" spans="1:12" s="22" customFormat="1" ht="26.65" customHeight="1" x14ac:dyDescent="0.25">
      <c r="A563" s="126" t="s">
        <v>2683</v>
      </c>
      <c r="B563" s="143"/>
      <c r="C563" s="136" t="s">
        <v>1962</v>
      </c>
      <c r="D563" s="137"/>
      <c r="E563" s="138"/>
      <c r="F563" s="139"/>
      <c r="G563" s="139"/>
      <c r="H563" s="139"/>
      <c r="I563" s="139"/>
      <c r="J563" s="126"/>
      <c r="K563" s="126"/>
      <c r="L563" s="126"/>
    </row>
    <row r="564" spans="1:12" s="22" customFormat="1" ht="26.65" customHeight="1" x14ac:dyDescent="0.25">
      <c r="A564" s="126" t="s">
        <v>2683</v>
      </c>
      <c r="B564" s="143" t="s">
        <v>1963</v>
      </c>
      <c r="C564" s="140" t="s">
        <v>1964</v>
      </c>
      <c r="D564" s="137" t="s">
        <v>133</v>
      </c>
      <c r="E564" s="138">
        <v>200</v>
      </c>
      <c r="F564" s="139">
        <v>1923.25</v>
      </c>
      <c r="G564" s="139">
        <v>0</v>
      </c>
      <c r="H564" s="141">
        <v>384650</v>
      </c>
      <c r="I564" s="141">
        <v>0</v>
      </c>
      <c r="J564" s="126"/>
      <c r="K564" s="126"/>
      <c r="L564" s="136" t="s">
        <v>1962</v>
      </c>
    </row>
    <row r="565" spans="1:12" s="22" customFormat="1" ht="26.65" customHeight="1" x14ac:dyDescent="0.25">
      <c r="A565" s="126" t="s">
        <v>2683</v>
      </c>
      <c r="B565" s="143" t="s">
        <v>1965</v>
      </c>
      <c r="C565" s="140" t="s">
        <v>1966</v>
      </c>
      <c r="D565" s="137" t="s">
        <v>2695</v>
      </c>
      <c r="E565" s="138">
        <v>300</v>
      </c>
      <c r="F565" s="139">
        <v>4029.74</v>
      </c>
      <c r="G565" s="139">
        <v>0</v>
      </c>
      <c r="H565" s="141">
        <v>1208922</v>
      </c>
      <c r="I565" s="141">
        <v>0</v>
      </c>
      <c r="J565" s="126"/>
      <c r="K565" s="126"/>
      <c r="L565" s="136" t="s">
        <v>1962</v>
      </c>
    </row>
    <row r="566" spans="1:12" s="22" customFormat="1" ht="26.65" customHeight="1" x14ac:dyDescent="0.25">
      <c r="A566" s="126" t="s">
        <v>2683</v>
      </c>
      <c r="B566" s="143" t="s">
        <v>1967</v>
      </c>
      <c r="C566" s="140" t="s">
        <v>1968</v>
      </c>
      <c r="D566" s="137" t="s">
        <v>2695</v>
      </c>
      <c r="E566" s="138">
        <v>124</v>
      </c>
      <c r="F566" s="139">
        <v>1223.3</v>
      </c>
      <c r="G566" s="139">
        <v>0</v>
      </c>
      <c r="H566" s="141">
        <v>151689.19999999998</v>
      </c>
      <c r="I566" s="141">
        <v>0</v>
      </c>
      <c r="J566" s="126"/>
      <c r="K566" s="126"/>
      <c r="L566" s="136" t="s">
        <v>1962</v>
      </c>
    </row>
    <row r="567" spans="1:12" s="22" customFormat="1" ht="26.65" customHeight="1" x14ac:dyDescent="0.25">
      <c r="A567" s="126" t="s">
        <v>2683</v>
      </c>
      <c r="B567" s="143"/>
      <c r="C567" s="136" t="s">
        <v>1969</v>
      </c>
      <c r="D567" s="137"/>
      <c r="E567" s="138"/>
      <c r="F567" s="139"/>
      <c r="G567" s="139"/>
      <c r="H567" s="139"/>
      <c r="I567" s="139"/>
      <c r="J567" s="126"/>
      <c r="K567" s="126"/>
      <c r="L567" s="126"/>
    </row>
    <row r="568" spans="1:12" s="22" customFormat="1" ht="26.65" customHeight="1" x14ac:dyDescent="0.25">
      <c r="A568" s="126" t="s">
        <v>2683</v>
      </c>
      <c r="B568" s="143" t="s">
        <v>1970</v>
      </c>
      <c r="C568" s="140" t="s">
        <v>1971</v>
      </c>
      <c r="D568" s="137" t="s">
        <v>2695</v>
      </c>
      <c r="E568" s="138">
        <v>132</v>
      </c>
      <c r="F568" s="139">
        <v>5701.66</v>
      </c>
      <c r="G568" s="139">
        <v>0</v>
      </c>
      <c r="H568" s="141">
        <v>752619.12</v>
      </c>
      <c r="I568" s="141">
        <v>0</v>
      </c>
      <c r="J568" s="126"/>
      <c r="K568" s="126"/>
      <c r="L568" s="136" t="s">
        <v>1969</v>
      </c>
    </row>
    <row r="569" spans="1:12" s="22" customFormat="1" ht="26.65" customHeight="1" x14ac:dyDescent="0.25">
      <c r="A569" s="126" t="s">
        <v>2683</v>
      </c>
      <c r="B569" s="143" t="s">
        <v>1972</v>
      </c>
      <c r="C569" s="140" t="s">
        <v>1973</v>
      </c>
      <c r="D569" s="137" t="s">
        <v>2695</v>
      </c>
      <c r="E569" s="138">
        <v>202</v>
      </c>
      <c r="F569" s="139">
        <v>6949.84</v>
      </c>
      <c r="G569" s="139">
        <v>0</v>
      </c>
      <c r="H569" s="141">
        <v>1403867.68</v>
      </c>
      <c r="I569" s="141">
        <v>0</v>
      </c>
      <c r="J569" s="126"/>
      <c r="K569" s="126"/>
      <c r="L569" s="136" t="s">
        <v>1969</v>
      </c>
    </row>
    <row r="570" spans="1:12" s="22" customFormat="1" ht="26.65" customHeight="1" x14ac:dyDescent="0.25">
      <c r="A570" s="126" t="s">
        <v>2683</v>
      </c>
      <c r="B570" s="143" t="s">
        <v>1974</v>
      </c>
      <c r="C570" s="140" t="s">
        <v>1975</v>
      </c>
      <c r="D570" s="137" t="s">
        <v>2695</v>
      </c>
      <c r="E570" s="138">
        <v>162</v>
      </c>
      <c r="F570" s="139">
        <v>3561.36</v>
      </c>
      <c r="G570" s="139">
        <v>0</v>
      </c>
      <c r="H570" s="141">
        <v>576940.32000000007</v>
      </c>
      <c r="I570" s="141">
        <v>0</v>
      </c>
      <c r="J570" s="126"/>
      <c r="K570" s="126"/>
      <c r="L570" s="136" t="s">
        <v>1969</v>
      </c>
    </row>
    <row r="571" spans="1:12" s="22" customFormat="1" ht="26.65" customHeight="1" x14ac:dyDescent="0.25">
      <c r="A571" s="126" t="s">
        <v>2683</v>
      </c>
      <c r="B571" s="143" t="s">
        <v>1976</v>
      </c>
      <c r="C571" s="140" t="s">
        <v>1977</v>
      </c>
      <c r="D571" s="137" t="s">
        <v>2695</v>
      </c>
      <c r="E571" s="138">
        <v>126</v>
      </c>
      <c r="F571" s="139">
        <v>13238.28</v>
      </c>
      <c r="G571" s="139">
        <v>0</v>
      </c>
      <c r="H571" s="141">
        <v>1668023.28</v>
      </c>
      <c r="I571" s="141">
        <v>0</v>
      </c>
      <c r="J571" s="126"/>
      <c r="K571" s="126"/>
      <c r="L571" s="136" t="s">
        <v>1969</v>
      </c>
    </row>
    <row r="572" spans="1:12" s="22" customFormat="1" ht="26.65" customHeight="1" x14ac:dyDescent="0.25">
      <c r="A572" s="126" t="s">
        <v>2683</v>
      </c>
      <c r="B572" s="143"/>
      <c r="C572" s="136" t="s">
        <v>1978</v>
      </c>
      <c r="D572" s="137"/>
      <c r="E572" s="138"/>
      <c r="F572" s="139"/>
      <c r="G572" s="139"/>
      <c r="H572" s="139"/>
      <c r="I572" s="139"/>
      <c r="J572" s="126"/>
      <c r="K572" s="126"/>
      <c r="L572" s="126"/>
    </row>
    <row r="573" spans="1:12" s="22" customFormat="1" ht="26.65" customHeight="1" x14ac:dyDescent="0.25">
      <c r="A573" s="126" t="s">
        <v>2683</v>
      </c>
      <c r="B573" s="143" t="s">
        <v>1979</v>
      </c>
      <c r="C573" s="140" t="s">
        <v>1980</v>
      </c>
      <c r="D573" s="137" t="s">
        <v>2695</v>
      </c>
      <c r="E573" s="138">
        <v>404</v>
      </c>
      <c r="F573" s="139">
        <v>1735.03</v>
      </c>
      <c r="G573" s="139">
        <v>0</v>
      </c>
      <c r="H573" s="141">
        <v>700952.12</v>
      </c>
      <c r="I573" s="141">
        <v>0</v>
      </c>
      <c r="J573" s="126"/>
      <c r="K573" s="126"/>
      <c r="L573" s="136" t="s">
        <v>1978</v>
      </c>
    </row>
    <row r="574" spans="1:12" s="22" customFormat="1" ht="26.65" customHeight="1" x14ac:dyDescent="0.25">
      <c r="A574" s="126" t="s">
        <v>2683</v>
      </c>
      <c r="B574" s="143"/>
      <c r="C574" s="136" t="s">
        <v>1981</v>
      </c>
      <c r="D574" s="137"/>
      <c r="E574" s="138"/>
      <c r="F574" s="139"/>
      <c r="G574" s="139"/>
      <c r="H574" s="139"/>
      <c r="I574" s="139"/>
      <c r="J574" s="126"/>
      <c r="K574" s="126"/>
      <c r="L574" s="126"/>
    </row>
    <row r="575" spans="1:12" s="22" customFormat="1" ht="26.65" customHeight="1" x14ac:dyDescent="0.25">
      <c r="A575" s="126" t="s">
        <v>2683</v>
      </c>
      <c r="B575" s="143" t="s">
        <v>1982</v>
      </c>
      <c r="C575" s="140" t="s">
        <v>1981</v>
      </c>
      <c r="D575" s="137" t="s">
        <v>2695</v>
      </c>
      <c r="E575" s="138">
        <v>614</v>
      </c>
      <c r="F575" s="139">
        <v>830.63</v>
      </c>
      <c r="G575" s="139">
        <v>0</v>
      </c>
      <c r="H575" s="141">
        <v>510006.82</v>
      </c>
      <c r="I575" s="141">
        <v>0</v>
      </c>
      <c r="J575" s="126"/>
      <c r="K575" s="126"/>
      <c r="L575" s="136" t="s">
        <v>1981</v>
      </c>
    </row>
    <row r="576" spans="1:12" s="22" customFormat="1" ht="26.65" customHeight="1" x14ac:dyDescent="0.25">
      <c r="A576" s="126" t="s">
        <v>2683</v>
      </c>
      <c r="B576" s="143" t="s">
        <v>1983</v>
      </c>
      <c r="C576" s="140" t="s">
        <v>1984</v>
      </c>
      <c r="D576" s="137" t="s">
        <v>2695</v>
      </c>
      <c r="E576" s="138">
        <v>284.7</v>
      </c>
      <c r="F576" s="139">
        <v>896.48</v>
      </c>
      <c r="G576" s="139">
        <v>0</v>
      </c>
      <c r="H576" s="141">
        <v>255227.856</v>
      </c>
      <c r="I576" s="141">
        <v>0</v>
      </c>
      <c r="J576" s="126"/>
      <c r="K576" s="126"/>
      <c r="L576" s="136" t="s">
        <v>1981</v>
      </c>
    </row>
    <row r="577" spans="1:12" s="22" customFormat="1" ht="26.65" customHeight="1" x14ac:dyDescent="0.25">
      <c r="A577" s="126" t="s">
        <v>2683</v>
      </c>
      <c r="B577" s="143" t="s">
        <v>1985</v>
      </c>
      <c r="C577" s="140" t="s">
        <v>1986</v>
      </c>
      <c r="D577" s="137" t="s">
        <v>2695</v>
      </c>
      <c r="E577" s="138">
        <v>614</v>
      </c>
      <c r="F577" s="139">
        <v>2295.75</v>
      </c>
      <c r="G577" s="139">
        <v>0</v>
      </c>
      <c r="H577" s="141">
        <v>1409590.5</v>
      </c>
      <c r="I577" s="141">
        <v>0</v>
      </c>
      <c r="J577" s="126"/>
      <c r="K577" s="126"/>
      <c r="L577" s="136" t="s">
        <v>1981</v>
      </c>
    </row>
    <row r="578" spans="1:12" s="22" customFormat="1" ht="26.65" customHeight="1" x14ac:dyDescent="0.25">
      <c r="A578" s="126" t="s">
        <v>2683</v>
      </c>
      <c r="B578" s="143"/>
      <c r="C578" s="136" t="s">
        <v>1987</v>
      </c>
      <c r="D578" s="137"/>
      <c r="E578" s="138"/>
      <c r="F578" s="139"/>
      <c r="G578" s="139"/>
      <c r="H578" s="139"/>
      <c r="I578" s="139"/>
      <c r="J578" s="126"/>
      <c r="K578" s="126"/>
      <c r="L578" s="126"/>
    </row>
    <row r="579" spans="1:12" s="22" customFormat="1" ht="26.65" customHeight="1" x14ac:dyDescent="0.25">
      <c r="A579" s="126" t="s">
        <v>2683</v>
      </c>
      <c r="B579" s="143" t="s">
        <v>1988</v>
      </c>
      <c r="C579" s="140" t="s">
        <v>1989</v>
      </c>
      <c r="D579" s="137" t="s">
        <v>40</v>
      </c>
      <c r="E579" s="138">
        <v>200</v>
      </c>
      <c r="F579" s="139">
        <v>1374.25</v>
      </c>
      <c r="G579" s="139">
        <v>0</v>
      </c>
      <c r="H579" s="141">
        <v>274850</v>
      </c>
      <c r="I579" s="141">
        <v>0</v>
      </c>
      <c r="J579" s="126"/>
      <c r="K579" s="126"/>
      <c r="L579" s="136" t="s">
        <v>1987</v>
      </c>
    </row>
    <row r="580" spans="1:12" s="22" customFormat="1" ht="26.65" customHeight="1" x14ac:dyDescent="0.25">
      <c r="A580" s="126" t="s">
        <v>2683</v>
      </c>
      <c r="B580" s="143"/>
      <c r="C580" s="136" t="s">
        <v>1990</v>
      </c>
      <c r="D580" s="137"/>
      <c r="E580" s="138"/>
      <c r="F580" s="139"/>
      <c r="G580" s="139"/>
      <c r="H580" s="139"/>
      <c r="I580" s="139"/>
      <c r="J580" s="126"/>
      <c r="K580" s="126"/>
      <c r="L580" s="126"/>
    </row>
    <row r="581" spans="1:12" s="22" customFormat="1" ht="26.65" customHeight="1" x14ac:dyDescent="0.25">
      <c r="A581" s="126" t="s">
        <v>2683</v>
      </c>
      <c r="B581" s="143" t="s">
        <v>1991</v>
      </c>
      <c r="C581" s="140" t="s">
        <v>1992</v>
      </c>
      <c r="D581" s="137" t="s">
        <v>1993</v>
      </c>
      <c r="E581" s="138">
        <v>1710</v>
      </c>
      <c r="F581" s="139">
        <v>2736.25</v>
      </c>
      <c r="G581" s="139">
        <v>0</v>
      </c>
      <c r="H581" s="141">
        <v>4678987.5</v>
      </c>
      <c r="I581" s="141">
        <v>0</v>
      </c>
      <c r="J581" s="126"/>
      <c r="K581" s="126"/>
      <c r="L581" s="136" t="s">
        <v>1990</v>
      </c>
    </row>
    <row r="582" spans="1:12" s="22" customFormat="1" ht="26.65" customHeight="1" x14ac:dyDescent="0.25">
      <c r="A582" s="126" t="s">
        <v>2683</v>
      </c>
      <c r="B582" s="143" t="s">
        <v>1994</v>
      </c>
      <c r="C582" s="140" t="s">
        <v>1995</v>
      </c>
      <c r="D582" s="137" t="s">
        <v>1993</v>
      </c>
      <c r="E582" s="138">
        <v>4000</v>
      </c>
      <c r="F582" s="139">
        <v>808.44</v>
      </c>
      <c r="G582" s="139">
        <v>0</v>
      </c>
      <c r="H582" s="141">
        <v>3233760</v>
      </c>
      <c r="I582" s="141">
        <v>0</v>
      </c>
      <c r="J582" s="126"/>
      <c r="K582" s="126"/>
      <c r="L582" s="136" t="s">
        <v>1990</v>
      </c>
    </row>
    <row r="583" spans="1:12" s="22" customFormat="1" ht="26.65" customHeight="1" x14ac:dyDescent="0.25">
      <c r="A583" s="126" t="s">
        <v>2683</v>
      </c>
      <c r="B583" s="143" t="s">
        <v>1996</v>
      </c>
      <c r="C583" s="140" t="s">
        <v>1997</v>
      </c>
      <c r="D583" s="137" t="s">
        <v>1993</v>
      </c>
      <c r="E583" s="138">
        <v>2000</v>
      </c>
      <c r="F583" s="139">
        <v>559.69000000000005</v>
      </c>
      <c r="G583" s="139">
        <v>0</v>
      </c>
      <c r="H583" s="141">
        <v>1119380</v>
      </c>
      <c r="I583" s="141">
        <v>0</v>
      </c>
      <c r="J583" s="126"/>
      <c r="K583" s="126"/>
      <c r="L583" s="136" t="s">
        <v>1990</v>
      </c>
    </row>
    <row r="584" spans="1:12" s="22" customFormat="1" ht="26.65" customHeight="1" x14ac:dyDescent="0.25">
      <c r="A584" s="126" t="s">
        <v>2683</v>
      </c>
      <c r="B584" s="143" t="s">
        <v>1998</v>
      </c>
      <c r="C584" s="140" t="s">
        <v>1999</v>
      </c>
      <c r="D584" s="137" t="s">
        <v>1993</v>
      </c>
      <c r="E584" s="138">
        <v>2000</v>
      </c>
      <c r="F584" s="139">
        <v>559.69000000000005</v>
      </c>
      <c r="G584" s="139">
        <v>0</v>
      </c>
      <c r="H584" s="141">
        <v>1119380</v>
      </c>
      <c r="I584" s="141">
        <v>0</v>
      </c>
      <c r="J584" s="126"/>
      <c r="K584" s="126"/>
      <c r="L584" s="136" t="s">
        <v>1990</v>
      </c>
    </row>
    <row r="585" spans="1:12" s="22" customFormat="1" ht="26.65" customHeight="1" x14ac:dyDescent="0.25">
      <c r="A585" s="126" t="s">
        <v>2683</v>
      </c>
      <c r="B585" s="143" t="s">
        <v>2000</v>
      </c>
      <c r="C585" s="140" t="s">
        <v>2001</v>
      </c>
      <c r="D585" s="137" t="s">
        <v>1993</v>
      </c>
      <c r="E585" s="138">
        <v>2000</v>
      </c>
      <c r="F585" s="139">
        <v>808.44</v>
      </c>
      <c r="G585" s="139">
        <v>0</v>
      </c>
      <c r="H585" s="141">
        <v>1616880</v>
      </c>
      <c r="I585" s="141">
        <v>0</v>
      </c>
      <c r="J585" s="126"/>
      <c r="K585" s="126"/>
      <c r="L585" s="136" t="s">
        <v>1990</v>
      </c>
    </row>
    <row r="586" spans="1:12" s="22" customFormat="1" ht="26.65" customHeight="1" x14ac:dyDescent="0.25">
      <c r="A586" s="126" t="s">
        <v>2683</v>
      </c>
      <c r="B586" s="143"/>
      <c r="C586" s="136" t="s">
        <v>920</v>
      </c>
      <c r="D586" s="137"/>
      <c r="E586" s="138"/>
      <c r="F586" s="139"/>
      <c r="G586" s="139"/>
      <c r="H586" s="139"/>
      <c r="I586" s="139"/>
      <c r="J586" s="126"/>
      <c r="K586" s="126"/>
      <c r="L586" s="126"/>
    </row>
    <row r="587" spans="1:12" s="22" customFormat="1" ht="26.65" customHeight="1" x14ac:dyDescent="0.25">
      <c r="A587" s="126" t="s">
        <v>2683</v>
      </c>
      <c r="B587" s="143" t="s">
        <v>2002</v>
      </c>
      <c r="C587" s="140" t="s">
        <v>922</v>
      </c>
      <c r="D587" s="137" t="s">
        <v>133</v>
      </c>
      <c r="E587" s="138">
        <v>220</v>
      </c>
      <c r="F587" s="139">
        <v>10059.26</v>
      </c>
      <c r="G587" s="139">
        <v>0</v>
      </c>
      <c r="H587" s="141">
        <v>2213037.2000000002</v>
      </c>
      <c r="I587" s="141">
        <v>0</v>
      </c>
      <c r="J587" s="126"/>
      <c r="K587" s="126"/>
      <c r="L587" s="136" t="s">
        <v>920</v>
      </c>
    </row>
    <row r="588" spans="1:12" s="22" customFormat="1" ht="26.65" customHeight="1" x14ac:dyDescent="0.25">
      <c r="A588" s="126" t="s">
        <v>2683</v>
      </c>
      <c r="B588" s="143" t="s">
        <v>2003</v>
      </c>
      <c r="C588" s="140" t="s">
        <v>924</v>
      </c>
      <c r="D588" s="137" t="s">
        <v>133</v>
      </c>
      <c r="E588" s="138">
        <v>220</v>
      </c>
      <c r="F588" s="139">
        <v>10059.26</v>
      </c>
      <c r="G588" s="139">
        <v>0</v>
      </c>
      <c r="H588" s="141">
        <v>2213037.2000000002</v>
      </c>
      <c r="I588" s="141">
        <v>0</v>
      </c>
      <c r="J588" s="126"/>
      <c r="K588" s="126"/>
      <c r="L588" s="136" t="s">
        <v>920</v>
      </c>
    </row>
    <row r="589" spans="1:12" s="22" customFormat="1" ht="26.65" customHeight="1" x14ac:dyDescent="0.25">
      <c r="A589" s="126" t="s">
        <v>2683</v>
      </c>
      <c r="B589" s="143" t="s">
        <v>2004</v>
      </c>
      <c r="C589" s="140" t="s">
        <v>926</v>
      </c>
      <c r="D589" s="137" t="s">
        <v>133</v>
      </c>
      <c r="E589" s="138">
        <v>220</v>
      </c>
      <c r="F589" s="139">
        <v>10059.26</v>
      </c>
      <c r="G589" s="139">
        <v>0</v>
      </c>
      <c r="H589" s="141">
        <v>2213037.2000000002</v>
      </c>
      <c r="I589" s="141">
        <v>0</v>
      </c>
      <c r="J589" s="126"/>
      <c r="K589" s="126"/>
      <c r="L589" s="136" t="s">
        <v>920</v>
      </c>
    </row>
    <row r="590" spans="1:12" s="22" customFormat="1" ht="26.65" customHeight="1" x14ac:dyDescent="0.25">
      <c r="A590" s="126" t="s">
        <v>2683</v>
      </c>
      <c r="B590" s="143" t="s">
        <v>2005</v>
      </c>
      <c r="C590" s="140" t="s">
        <v>928</v>
      </c>
      <c r="D590" s="137" t="s">
        <v>133</v>
      </c>
      <c r="E590" s="138">
        <v>220</v>
      </c>
      <c r="F590" s="139">
        <v>10059.26</v>
      </c>
      <c r="G590" s="139">
        <v>0</v>
      </c>
      <c r="H590" s="141">
        <v>2213037.2000000002</v>
      </c>
      <c r="I590" s="141">
        <v>0</v>
      </c>
      <c r="J590" s="126"/>
      <c r="K590" s="126"/>
      <c r="L590" s="136" t="s">
        <v>920</v>
      </c>
    </row>
    <row r="591" spans="1:12" s="22" customFormat="1" ht="26.65" customHeight="1" x14ac:dyDescent="0.25">
      <c r="A591" s="126" t="s">
        <v>2683</v>
      </c>
      <c r="B591" s="143" t="s">
        <v>2006</v>
      </c>
      <c r="C591" s="140" t="s">
        <v>930</v>
      </c>
      <c r="D591" s="137" t="s">
        <v>133</v>
      </c>
      <c r="E591" s="138">
        <v>220</v>
      </c>
      <c r="F591" s="139">
        <v>10059.26</v>
      </c>
      <c r="G591" s="139">
        <v>0</v>
      </c>
      <c r="H591" s="141">
        <v>2213037.2000000002</v>
      </c>
      <c r="I591" s="141">
        <v>0</v>
      </c>
      <c r="J591" s="126"/>
      <c r="K591" s="126"/>
      <c r="L591" s="136" t="s">
        <v>920</v>
      </c>
    </row>
    <row r="592" spans="1:12" s="22" customFormat="1" ht="26.65" customHeight="1" x14ac:dyDescent="0.25">
      <c r="A592" s="126" t="s">
        <v>2683</v>
      </c>
      <c r="B592" s="143" t="s">
        <v>2007</v>
      </c>
      <c r="C592" s="140" t="s">
        <v>932</v>
      </c>
      <c r="D592" s="137" t="s">
        <v>133</v>
      </c>
      <c r="E592" s="138">
        <v>220</v>
      </c>
      <c r="F592" s="139">
        <v>10059.26</v>
      </c>
      <c r="G592" s="139">
        <v>0</v>
      </c>
      <c r="H592" s="141">
        <v>2213037.2000000002</v>
      </c>
      <c r="I592" s="141">
        <v>0</v>
      </c>
      <c r="J592" s="126"/>
      <c r="K592" s="126"/>
      <c r="L592" s="136" t="s">
        <v>920</v>
      </c>
    </row>
    <row r="593" spans="1:12" s="22" customFormat="1" ht="26.65" customHeight="1" x14ac:dyDescent="0.25">
      <c r="A593" s="126" t="s">
        <v>2683</v>
      </c>
      <c r="B593" s="143" t="s">
        <v>2008</v>
      </c>
      <c r="C593" s="140" t="s">
        <v>934</v>
      </c>
      <c r="D593" s="137" t="s">
        <v>133</v>
      </c>
      <c r="E593" s="138">
        <v>220</v>
      </c>
      <c r="F593" s="139">
        <v>10059.26</v>
      </c>
      <c r="G593" s="139">
        <v>0</v>
      </c>
      <c r="H593" s="141">
        <v>2213037.2000000002</v>
      </c>
      <c r="I593" s="141">
        <v>0</v>
      </c>
      <c r="J593" s="126"/>
      <c r="K593" s="126"/>
      <c r="L593" s="136" t="s">
        <v>920</v>
      </c>
    </row>
    <row r="594" spans="1:12" s="22" customFormat="1" ht="26.65" customHeight="1" x14ac:dyDescent="0.25">
      <c r="A594" s="126" t="s">
        <v>2683</v>
      </c>
      <c r="B594" s="143" t="s">
        <v>2009</v>
      </c>
      <c r="C594" s="140" t="s">
        <v>936</v>
      </c>
      <c r="D594" s="137" t="s">
        <v>133</v>
      </c>
      <c r="E594" s="138">
        <v>200</v>
      </c>
      <c r="F594" s="139">
        <v>10059.26</v>
      </c>
      <c r="G594" s="139">
        <v>0</v>
      </c>
      <c r="H594" s="141">
        <v>2011852</v>
      </c>
      <c r="I594" s="141">
        <v>0</v>
      </c>
      <c r="J594" s="126"/>
      <c r="K594" s="126"/>
      <c r="L594" s="136" t="s">
        <v>920</v>
      </c>
    </row>
    <row r="595" spans="1:12" s="22" customFormat="1" ht="26.65" customHeight="1" x14ac:dyDescent="0.25">
      <c r="A595" s="126" t="s">
        <v>2683</v>
      </c>
      <c r="B595" s="143" t="s">
        <v>2010</v>
      </c>
      <c r="C595" s="140" t="s">
        <v>938</v>
      </c>
      <c r="D595" s="137" t="s">
        <v>133</v>
      </c>
      <c r="E595" s="138">
        <v>200</v>
      </c>
      <c r="F595" s="139">
        <v>10059.26</v>
      </c>
      <c r="G595" s="139">
        <v>0</v>
      </c>
      <c r="H595" s="141">
        <v>2011852</v>
      </c>
      <c r="I595" s="141">
        <v>0</v>
      </c>
      <c r="J595" s="126"/>
      <c r="K595" s="126"/>
      <c r="L595" s="136" t="s">
        <v>920</v>
      </c>
    </row>
    <row r="596" spans="1:12" s="22" customFormat="1" ht="26.65" customHeight="1" x14ac:dyDescent="0.25">
      <c r="A596" s="126" t="s">
        <v>2683</v>
      </c>
      <c r="B596" s="143" t="s">
        <v>2011</v>
      </c>
      <c r="C596" s="140" t="s">
        <v>940</v>
      </c>
      <c r="D596" s="137" t="s">
        <v>133</v>
      </c>
      <c r="E596" s="138">
        <v>200</v>
      </c>
      <c r="F596" s="139">
        <v>10059.26</v>
      </c>
      <c r="G596" s="139">
        <v>0</v>
      </c>
      <c r="H596" s="141">
        <v>2011852</v>
      </c>
      <c r="I596" s="141">
        <v>0</v>
      </c>
      <c r="J596" s="126"/>
      <c r="K596" s="126"/>
      <c r="L596" s="136" t="s">
        <v>920</v>
      </c>
    </row>
    <row r="597" spans="1:12" s="22" customFormat="1" ht="26.65" customHeight="1" x14ac:dyDescent="0.25">
      <c r="A597" s="126" t="s">
        <v>2683</v>
      </c>
      <c r="B597" s="143" t="s">
        <v>2012</v>
      </c>
      <c r="C597" s="140" t="s">
        <v>942</v>
      </c>
      <c r="D597" s="137" t="s">
        <v>133</v>
      </c>
      <c r="E597" s="138">
        <v>200</v>
      </c>
      <c r="F597" s="139">
        <v>11964.73</v>
      </c>
      <c r="G597" s="139">
        <v>0</v>
      </c>
      <c r="H597" s="141">
        <v>2392946</v>
      </c>
      <c r="I597" s="141">
        <v>0</v>
      </c>
      <c r="J597" s="126"/>
      <c r="K597" s="126"/>
      <c r="L597" s="136" t="s">
        <v>920</v>
      </c>
    </row>
    <row r="598" spans="1:12" s="22" customFormat="1" ht="26.65" customHeight="1" x14ac:dyDescent="0.25">
      <c r="A598" s="126" t="s">
        <v>2683</v>
      </c>
      <c r="B598" s="143" t="s">
        <v>2013</v>
      </c>
      <c r="C598" s="140" t="s">
        <v>944</v>
      </c>
      <c r="D598" s="137" t="s">
        <v>133</v>
      </c>
      <c r="E598" s="138">
        <v>200</v>
      </c>
      <c r="F598" s="139">
        <v>11964.73</v>
      </c>
      <c r="G598" s="139">
        <v>0</v>
      </c>
      <c r="H598" s="141">
        <v>2392946</v>
      </c>
      <c r="I598" s="141">
        <v>0</v>
      </c>
      <c r="J598" s="126"/>
      <c r="K598" s="126"/>
      <c r="L598" s="136" t="s">
        <v>920</v>
      </c>
    </row>
    <row r="599" spans="1:12" s="22" customFormat="1" ht="26.65" customHeight="1" x14ac:dyDescent="0.25">
      <c r="A599" s="126" t="s">
        <v>2683</v>
      </c>
      <c r="B599" s="143" t="s">
        <v>2014</v>
      </c>
      <c r="C599" s="140" t="s">
        <v>946</v>
      </c>
      <c r="D599" s="137" t="s">
        <v>133</v>
      </c>
      <c r="E599" s="138">
        <v>200</v>
      </c>
      <c r="F599" s="139">
        <v>11964.73</v>
      </c>
      <c r="G599" s="139">
        <v>0</v>
      </c>
      <c r="H599" s="141">
        <v>2392946</v>
      </c>
      <c r="I599" s="141">
        <v>0</v>
      </c>
      <c r="J599" s="126"/>
      <c r="K599" s="126"/>
      <c r="L599" s="136" t="s">
        <v>920</v>
      </c>
    </row>
    <row r="600" spans="1:12" s="22" customFormat="1" ht="26.65" customHeight="1" x14ac:dyDescent="0.25">
      <c r="A600" s="126" t="s">
        <v>2683</v>
      </c>
      <c r="B600" s="143" t="s">
        <v>2015</v>
      </c>
      <c r="C600" s="140" t="s">
        <v>948</v>
      </c>
      <c r="D600" s="137" t="s">
        <v>133</v>
      </c>
      <c r="E600" s="138">
        <v>200</v>
      </c>
      <c r="F600" s="139">
        <v>11964.73</v>
      </c>
      <c r="G600" s="139">
        <v>0</v>
      </c>
      <c r="H600" s="141">
        <v>2392946</v>
      </c>
      <c r="I600" s="141">
        <v>0</v>
      </c>
      <c r="J600" s="126"/>
      <c r="K600" s="126"/>
      <c r="L600" s="136" t="s">
        <v>920</v>
      </c>
    </row>
    <row r="601" spans="1:12" s="22" customFormat="1" ht="26.65" customHeight="1" x14ac:dyDescent="0.25">
      <c r="A601" s="126" t="s">
        <v>2683</v>
      </c>
      <c r="B601" s="143" t="s">
        <v>2016</v>
      </c>
      <c r="C601" s="140" t="s">
        <v>950</v>
      </c>
      <c r="D601" s="137" t="s">
        <v>133</v>
      </c>
      <c r="E601" s="138">
        <v>200</v>
      </c>
      <c r="F601" s="139">
        <v>11964.73</v>
      </c>
      <c r="G601" s="139">
        <v>0</v>
      </c>
      <c r="H601" s="141">
        <v>2392946</v>
      </c>
      <c r="I601" s="141">
        <v>0</v>
      </c>
      <c r="J601" s="126"/>
      <c r="K601" s="126"/>
      <c r="L601" s="136" t="s">
        <v>920</v>
      </c>
    </row>
    <row r="602" spans="1:12" s="22" customFormat="1" ht="26.65" customHeight="1" x14ac:dyDescent="0.25">
      <c r="A602" s="126" t="s">
        <v>2683</v>
      </c>
      <c r="B602" s="143" t="s">
        <v>2017</v>
      </c>
      <c r="C602" s="140" t="s">
        <v>952</v>
      </c>
      <c r="D602" s="137" t="s">
        <v>133</v>
      </c>
      <c r="E602" s="138">
        <v>200</v>
      </c>
      <c r="F602" s="139">
        <v>11964.73</v>
      </c>
      <c r="G602" s="139">
        <v>0</v>
      </c>
      <c r="H602" s="141">
        <v>2392946</v>
      </c>
      <c r="I602" s="141">
        <v>0</v>
      </c>
      <c r="J602" s="126"/>
      <c r="K602" s="126"/>
      <c r="L602" s="136" t="s">
        <v>920</v>
      </c>
    </row>
    <row r="603" spans="1:12" s="22" customFormat="1" ht="26.65" customHeight="1" x14ac:dyDescent="0.25">
      <c r="A603" s="126" t="s">
        <v>2683</v>
      </c>
      <c r="B603" s="143" t="s">
        <v>2018</v>
      </c>
      <c r="C603" s="140" t="s">
        <v>954</v>
      </c>
      <c r="D603" s="137" t="s">
        <v>133</v>
      </c>
      <c r="E603" s="138">
        <v>160</v>
      </c>
      <c r="F603" s="139">
        <v>11964.73</v>
      </c>
      <c r="G603" s="139">
        <v>0</v>
      </c>
      <c r="H603" s="141">
        <v>1914356.7999999998</v>
      </c>
      <c r="I603" s="141">
        <v>0</v>
      </c>
      <c r="J603" s="126"/>
      <c r="K603" s="126"/>
      <c r="L603" s="136" t="s">
        <v>920</v>
      </c>
    </row>
    <row r="604" spans="1:12" s="22" customFormat="1" ht="26.65" customHeight="1" x14ac:dyDescent="0.25">
      <c r="A604" s="126" t="s">
        <v>2683</v>
      </c>
      <c r="B604" s="143" t="s">
        <v>2019</v>
      </c>
      <c r="C604" s="140" t="s">
        <v>956</v>
      </c>
      <c r="D604" s="137" t="s">
        <v>133</v>
      </c>
      <c r="E604" s="138">
        <v>160</v>
      </c>
      <c r="F604" s="139">
        <v>13296.96</v>
      </c>
      <c r="G604" s="139">
        <v>0</v>
      </c>
      <c r="H604" s="141">
        <v>2127513.5999999996</v>
      </c>
      <c r="I604" s="141">
        <v>0</v>
      </c>
      <c r="J604" s="126"/>
      <c r="K604" s="126"/>
      <c r="L604" s="136" t="s">
        <v>920</v>
      </c>
    </row>
    <row r="605" spans="1:12" s="22" customFormat="1" ht="26.65" customHeight="1" x14ac:dyDescent="0.25">
      <c r="A605" s="126" t="s">
        <v>2683</v>
      </c>
      <c r="B605" s="143" t="s">
        <v>2020</v>
      </c>
      <c r="C605" s="140" t="s">
        <v>958</v>
      </c>
      <c r="D605" s="137" t="s">
        <v>133</v>
      </c>
      <c r="E605" s="138">
        <v>160</v>
      </c>
      <c r="F605" s="139">
        <v>13296.96</v>
      </c>
      <c r="G605" s="139">
        <v>0</v>
      </c>
      <c r="H605" s="141">
        <v>2127513.5999999996</v>
      </c>
      <c r="I605" s="141">
        <v>0</v>
      </c>
      <c r="J605" s="126"/>
      <c r="K605" s="126"/>
      <c r="L605" s="136" t="s">
        <v>920</v>
      </c>
    </row>
    <row r="606" spans="1:12" s="22" customFormat="1" ht="26.65" customHeight="1" x14ac:dyDescent="0.25">
      <c r="A606" s="126" t="s">
        <v>2683</v>
      </c>
      <c r="B606" s="143" t="s">
        <v>2021</v>
      </c>
      <c r="C606" s="140" t="s">
        <v>960</v>
      </c>
      <c r="D606" s="137" t="s">
        <v>133</v>
      </c>
      <c r="E606" s="138">
        <v>160</v>
      </c>
      <c r="F606" s="139">
        <v>13296.96</v>
      </c>
      <c r="G606" s="139">
        <v>0</v>
      </c>
      <c r="H606" s="141">
        <v>2127513.5999999996</v>
      </c>
      <c r="I606" s="141">
        <v>0</v>
      </c>
      <c r="J606" s="126"/>
      <c r="K606" s="126"/>
      <c r="L606" s="136" t="s">
        <v>920</v>
      </c>
    </row>
    <row r="607" spans="1:12" s="22" customFormat="1" ht="26.65" customHeight="1" x14ac:dyDescent="0.25">
      <c r="A607" s="126" t="s">
        <v>2683</v>
      </c>
      <c r="B607" s="143" t="s">
        <v>2022</v>
      </c>
      <c r="C607" s="140" t="s">
        <v>962</v>
      </c>
      <c r="D607" s="137" t="s">
        <v>133</v>
      </c>
      <c r="E607" s="138">
        <v>160</v>
      </c>
      <c r="F607" s="139">
        <v>13296.96</v>
      </c>
      <c r="G607" s="139">
        <v>0</v>
      </c>
      <c r="H607" s="141">
        <v>2127513.5999999996</v>
      </c>
      <c r="I607" s="141">
        <v>0</v>
      </c>
      <c r="J607" s="126"/>
      <c r="K607" s="126"/>
      <c r="L607" s="136" t="s">
        <v>920</v>
      </c>
    </row>
    <row r="608" spans="1:12" s="22" customFormat="1" ht="26.65" customHeight="1" x14ac:dyDescent="0.25">
      <c r="A608" s="126" t="s">
        <v>2683</v>
      </c>
      <c r="B608" s="143" t="s">
        <v>2023</v>
      </c>
      <c r="C608" s="140" t="s">
        <v>964</v>
      </c>
      <c r="D608" s="137" t="s">
        <v>133</v>
      </c>
      <c r="E608" s="138">
        <v>160</v>
      </c>
      <c r="F608" s="139">
        <v>13296.96</v>
      </c>
      <c r="G608" s="139">
        <v>0</v>
      </c>
      <c r="H608" s="141">
        <v>2127513.5999999996</v>
      </c>
      <c r="I608" s="141">
        <v>0</v>
      </c>
      <c r="J608" s="126"/>
      <c r="K608" s="126"/>
      <c r="L608" s="136" t="s">
        <v>920</v>
      </c>
    </row>
    <row r="609" spans="1:12" s="22" customFormat="1" ht="26.65" customHeight="1" x14ac:dyDescent="0.25">
      <c r="A609" s="126" t="s">
        <v>2683</v>
      </c>
      <c r="B609" s="143" t="s">
        <v>2024</v>
      </c>
      <c r="C609" s="140" t="s">
        <v>966</v>
      </c>
      <c r="D609" s="137" t="s">
        <v>133</v>
      </c>
      <c r="E609" s="138">
        <v>160</v>
      </c>
      <c r="F609" s="139">
        <v>13296.96</v>
      </c>
      <c r="G609" s="139">
        <v>0</v>
      </c>
      <c r="H609" s="141">
        <v>2127513.5999999996</v>
      </c>
      <c r="I609" s="141">
        <v>0</v>
      </c>
      <c r="J609" s="126"/>
      <c r="K609" s="126"/>
      <c r="L609" s="136" t="s">
        <v>920</v>
      </c>
    </row>
    <row r="610" spans="1:12" s="22" customFormat="1" ht="26.65" customHeight="1" x14ac:dyDescent="0.25">
      <c r="A610" s="126" t="s">
        <v>2683</v>
      </c>
      <c r="B610" s="143" t="s">
        <v>2025</v>
      </c>
      <c r="C610" s="140" t="s">
        <v>968</v>
      </c>
      <c r="D610" s="137" t="s">
        <v>133</v>
      </c>
      <c r="E610" s="138">
        <v>160</v>
      </c>
      <c r="F610" s="139">
        <v>13296.96</v>
      </c>
      <c r="G610" s="139">
        <v>0</v>
      </c>
      <c r="H610" s="141">
        <v>2127513.5999999996</v>
      </c>
      <c r="I610" s="141">
        <v>0</v>
      </c>
      <c r="J610" s="126"/>
      <c r="K610" s="126"/>
      <c r="L610" s="136" t="s">
        <v>920</v>
      </c>
    </row>
    <row r="611" spans="1:12" s="22" customFormat="1" ht="26.65" customHeight="1" x14ac:dyDescent="0.25">
      <c r="A611" s="126" t="s">
        <v>2683</v>
      </c>
      <c r="B611" s="143" t="s">
        <v>2026</v>
      </c>
      <c r="C611" s="140" t="s">
        <v>970</v>
      </c>
      <c r="D611" s="137" t="s">
        <v>133</v>
      </c>
      <c r="E611" s="138">
        <v>160</v>
      </c>
      <c r="F611" s="139">
        <v>13296.96</v>
      </c>
      <c r="G611" s="139">
        <v>0</v>
      </c>
      <c r="H611" s="141">
        <v>2127513.5999999996</v>
      </c>
      <c r="I611" s="141">
        <v>0</v>
      </c>
      <c r="J611" s="126"/>
      <c r="K611" s="126"/>
      <c r="L611" s="136" t="s">
        <v>920</v>
      </c>
    </row>
    <row r="612" spans="1:12" s="22" customFormat="1" ht="26.65" customHeight="1" x14ac:dyDescent="0.25">
      <c r="A612" s="126" t="s">
        <v>2683</v>
      </c>
      <c r="B612" s="143" t="s">
        <v>2027</v>
      </c>
      <c r="C612" s="140" t="s">
        <v>972</v>
      </c>
      <c r="D612" s="137" t="s">
        <v>133</v>
      </c>
      <c r="E612" s="138">
        <v>100</v>
      </c>
      <c r="F612" s="139">
        <v>13296.96</v>
      </c>
      <c r="G612" s="139">
        <v>0</v>
      </c>
      <c r="H612" s="141">
        <v>1329696</v>
      </c>
      <c r="I612" s="141">
        <v>0</v>
      </c>
      <c r="J612" s="126"/>
      <c r="K612" s="126"/>
      <c r="L612" s="136" t="s">
        <v>920</v>
      </c>
    </row>
    <row r="613" spans="1:12" s="22" customFormat="1" ht="26.65" customHeight="1" x14ac:dyDescent="0.25">
      <c r="A613" s="126" t="s">
        <v>2683</v>
      </c>
      <c r="B613" s="143" t="s">
        <v>2028</v>
      </c>
      <c r="C613" s="140" t="s">
        <v>974</v>
      </c>
      <c r="D613" s="137" t="s">
        <v>133</v>
      </c>
      <c r="E613" s="138">
        <v>100</v>
      </c>
      <c r="F613" s="139">
        <v>13296.96</v>
      </c>
      <c r="G613" s="139">
        <v>0</v>
      </c>
      <c r="H613" s="141">
        <v>1329696</v>
      </c>
      <c r="I613" s="141">
        <v>0</v>
      </c>
      <c r="J613" s="126"/>
      <c r="K613" s="126"/>
      <c r="L613" s="136" t="s">
        <v>920</v>
      </c>
    </row>
    <row r="614" spans="1:12" s="22" customFormat="1" ht="26.65" customHeight="1" x14ac:dyDescent="0.25">
      <c r="A614" s="126" t="s">
        <v>2683</v>
      </c>
      <c r="B614" s="143" t="s">
        <v>2029</v>
      </c>
      <c r="C614" s="140" t="s">
        <v>976</v>
      </c>
      <c r="D614" s="137" t="s">
        <v>133</v>
      </c>
      <c r="E614" s="138">
        <v>100</v>
      </c>
      <c r="F614" s="139">
        <v>13296.96</v>
      </c>
      <c r="G614" s="139">
        <v>0</v>
      </c>
      <c r="H614" s="141">
        <v>1329696</v>
      </c>
      <c r="I614" s="141">
        <v>0</v>
      </c>
      <c r="J614" s="126"/>
      <c r="K614" s="126"/>
      <c r="L614" s="136" t="s">
        <v>920</v>
      </c>
    </row>
    <row r="615" spans="1:12" s="22" customFormat="1" ht="26.65" customHeight="1" x14ac:dyDescent="0.25">
      <c r="A615" s="126" t="s">
        <v>2683</v>
      </c>
      <c r="B615" s="143" t="s">
        <v>2030</v>
      </c>
      <c r="C615" s="140" t="s">
        <v>978</v>
      </c>
      <c r="D615" s="137" t="s">
        <v>133</v>
      </c>
      <c r="E615" s="138">
        <v>100</v>
      </c>
      <c r="F615" s="139">
        <v>13296.96</v>
      </c>
      <c r="G615" s="139">
        <v>0</v>
      </c>
      <c r="H615" s="141">
        <v>1329696</v>
      </c>
      <c r="I615" s="141">
        <v>0</v>
      </c>
      <c r="J615" s="126"/>
      <c r="K615" s="126"/>
      <c r="L615" s="136" t="s">
        <v>920</v>
      </c>
    </row>
    <row r="616" spans="1:12" s="22" customFormat="1" ht="26.65" customHeight="1" x14ac:dyDescent="0.25">
      <c r="A616" s="126" t="s">
        <v>2683</v>
      </c>
      <c r="B616" s="143" t="s">
        <v>2031</v>
      </c>
      <c r="C616" s="140" t="s">
        <v>980</v>
      </c>
      <c r="D616" s="137" t="s">
        <v>133</v>
      </c>
      <c r="E616" s="138">
        <v>80</v>
      </c>
      <c r="F616" s="139">
        <v>19094.05</v>
      </c>
      <c r="G616" s="139">
        <v>0</v>
      </c>
      <c r="H616" s="141">
        <v>1527524</v>
      </c>
      <c r="I616" s="141">
        <v>0</v>
      </c>
      <c r="J616" s="126"/>
      <c r="K616" s="126"/>
      <c r="L616" s="136" t="s">
        <v>920</v>
      </c>
    </row>
    <row r="617" spans="1:12" s="22" customFormat="1" ht="26.65" customHeight="1" x14ac:dyDescent="0.25">
      <c r="A617" s="126" t="s">
        <v>2683</v>
      </c>
      <c r="B617" s="143" t="s">
        <v>2032</v>
      </c>
      <c r="C617" s="140" t="s">
        <v>982</v>
      </c>
      <c r="D617" s="137" t="s">
        <v>133</v>
      </c>
      <c r="E617" s="138">
        <v>80</v>
      </c>
      <c r="F617" s="139">
        <v>19094.05</v>
      </c>
      <c r="G617" s="139">
        <v>0</v>
      </c>
      <c r="H617" s="141">
        <v>1527524</v>
      </c>
      <c r="I617" s="141">
        <v>0</v>
      </c>
      <c r="J617" s="126"/>
      <c r="K617" s="126"/>
      <c r="L617" s="136" t="s">
        <v>920</v>
      </c>
    </row>
    <row r="618" spans="1:12" s="22" customFormat="1" ht="26.65" customHeight="1" x14ac:dyDescent="0.25">
      <c r="A618" s="126" t="s">
        <v>2683</v>
      </c>
      <c r="B618" s="143" t="s">
        <v>2033</v>
      </c>
      <c r="C618" s="140" t="s">
        <v>984</v>
      </c>
      <c r="D618" s="137" t="s">
        <v>133</v>
      </c>
      <c r="E618" s="138">
        <v>80</v>
      </c>
      <c r="F618" s="139">
        <v>19094.05</v>
      </c>
      <c r="G618" s="139">
        <v>0</v>
      </c>
      <c r="H618" s="141">
        <v>1527524</v>
      </c>
      <c r="I618" s="141">
        <v>0</v>
      </c>
      <c r="J618" s="126"/>
      <c r="K618" s="126"/>
      <c r="L618" s="136" t="s">
        <v>920</v>
      </c>
    </row>
    <row r="619" spans="1:12" s="22" customFormat="1" ht="26.65" customHeight="1" x14ac:dyDescent="0.25">
      <c r="A619" s="126" t="s">
        <v>2683</v>
      </c>
      <c r="B619" s="143" t="s">
        <v>2034</v>
      </c>
      <c r="C619" s="140" t="s">
        <v>986</v>
      </c>
      <c r="D619" s="137" t="s">
        <v>133</v>
      </c>
      <c r="E619" s="138">
        <v>80</v>
      </c>
      <c r="F619" s="139">
        <v>19094.05</v>
      </c>
      <c r="G619" s="139">
        <v>0</v>
      </c>
      <c r="H619" s="141">
        <v>1527524</v>
      </c>
      <c r="I619" s="141">
        <v>0</v>
      </c>
      <c r="J619" s="126"/>
      <c r="K619" s="126"/>
      <c r="L619" s="136" t="s">
        <v>920</v>
      </c>
    </row>
    <row r="620" spans="1:12" s="22" customFormat="1" ht="26.65" customHeight="1" x14ac:dyDescent="0.25">
      <c r="A620" s="126" t="s">
        <v>2683</v>
      </c>
      <c r="B620" s="143" t="s">
        <v>2035</v>
      </c>
      <c r="C620" s="140" t="s">
        <v>988</v>
      </c>
      <c r="D620" s="137" t="s">
        <v>133</v>
      </c>
      <c r="E620" s="138">
        <v>80</v>
      </c>
      <c r="F620" s="139">
        <v>19094.05</v>
      </c>
      <c r="G620" s="139">
        <v>0</v>
      </c>
      <c r="H620" s="141">
        <v>1527524</v>
      </c>
      <c r="I620" s="141">
        <v>0</v>
      </c>
      <c r="J620" s="126"/>
      <c r="K620" s="126"/>
      <c r="L620" s="136" t="s">
        <v>920</v>
      </c>
    </row>
    <row r="621" spans="1:12" s="22" customFormat="1" ht="26.65" customHeight="1" x14ac:dyDescent="0.25">
      <c r="A621" s="126" t="s">
        <v>2683</v>
      </c>
      <c r="B621" s="143" t="s">
        <v>2036</v>
      </c>
      <c r="C621" s="140" t="s">
        <v>990</v>
      </c>
      <c r="D621" s="137" t="s">
        <v>133</v>
      </c>
      <c r="E621" s="138">
        <v>80</v>
      </c>
      <c r="F621" s="139">
        <v>19094.05</v>
      </c>
      <c r="G621" s="139">
        <v>0</v>
      </c>
      <c r="H621" s="141">
        <v>1527524</v>
      </c>
      <c r="I621" s="141">
        <v>0</v>
      </c>
      <c r="J621" s="126"/>
      <c r="K621" s="126"/>
      <c r="L621" s="136" t="s">
        <v>920</v>
      </c>
    </row>
    <row r="622" spans="1:12" s="22" customFormat="1" ht="26.65" customHeight="1" x14ac:dyDescent="0.25">
      <c r="A622" s="126" t="s">
        <v>2683</v>
      </c>
      <c r="B622" s="143" t="s">
        <v>2037</v>
      </c>
      <c r="C622" s="140" t="s">
        <v>992</v>
      </c>
      <c r="D622" s="137" t="s">
        <v>133</v>
      </c>
      <c r="E622" s="138">
        <v>70</v>
      </c>
      <c r="F622" s="139">
        <v>19094.05</v>
      </c>
      <c r="G622" s="139">
        <v>0</v>
      </c>
      <c r="H622" s="141">
        <v>1336583.5</v>
      </c>
      <c r="I622" s="141">
        <v>0</v>
      </c>
      <c r="J622" s="126"/>
      <c r="K622" s="126"/>
      <c r="L622" s="136" t="s">
        <v>920</v>
      </c>
    </row>
    <row r="623" spans="1:12" s="22" customFormat="1" ht="26.65" customHeight="1" x14ac:dyDescent="0.25">
      <c r="A623" s="126" t="s">
        <v>2683</v>
      </c>
      <c r="B623" s="143" t="s">
        <v>2038</v>
      </c>
      <c r="C623" s="140" t="s">
        <v>994</v>
      </c>
      <c r="D623" s="137" t="s">
        <v>133</v>
      </c>
      <c r="E623" s="138">
        <v>70</v>
      </c>
      <c r="F623" s="139">
        <v>19094.05</v>
      </c>
      <c r="G623" s="139">
        <v>0</v>
      </c>
      <c r="H623" s="141">
        <v>1336583.5</v>
      </c>
      <c r="I623" s="141">
        <v>0</v>
      </c>
      <c r="J623" s="126"/>
      <c r="K623" s="126"/>
      <c r="L623" s="136" t="s">
        <v>920</v>
      </c>
    </row>
    <row r="624" spans="1:12" s="22" customFormat="1" ht="26.65" customHeight="1" x14ac:dyDescent="0.25">
      <c r="A624" s="126" t="s">
        <v>2683</v>
      </c>
      <c r="B624" s="143" t="s">
        <v>2039</v>
      </c>
      <c r="C624" s="140" t="s">
        <v>996</v>
      </c>
      <c r="D624" s="137" t="s">
        <v>133</v>
      </c>
      <c r="E624" s="138">
        <v>70</v>
      </c>
      <c r="F624" s="139">
        <v>19094.05</v>
      </c>
      <c r="G624" s="139">
        <v>0</v>
      </c>
      <c r="H624" s="141">
        <v>1336583.5</v>
      </c>
      <c r="I624" s="141">
        <v>0</v>
      </c>
      <c r="J624" s="126"/>
      <c r="K624" s="126"/>
      <c r="L624" s="136" t="s">
        <v>920</v>
      </c>
    </row>
    <row r="625" spans="1:12" s="22" customFormat="1" ht="26.65" customHeight="1" x14ac:dyDescent="0.25">
      <c r="A625" s="126" t="s">
        <v>2683</v>
      </c>
      <c r="B625" s="143" t="s">
        <v>2040</v>
      </c>
      <c r="C625" s="140" t="s">
        <v>998</v>
      </c>
      <c r="D625" s="137" t="s">
        <v>133</v>
      </c>
      <c r="E625" s="138">
        <v>70</v>
      </c>
      <c r="F625" s="139">
        <v>19094.05</v>
      </c>
      <c r="G625" s="139">
        <v>0</v>
      </c>
      <c r="H625" s="141">
        <v>1336583.5</v>
      </c>
      <c r="I625" s="141">
        <v>0</v>
      </c>
      <c r="J625" s="126"/>
      <c r="K625" s="126"/>
      <c r="L625" s="136" t="s">
        <v>920</v>
      </c>
    </row>
    <row r="626" spans="1:12" s="22" customFormat="1" ht="26.65" customHeight="1" x14ac:dyDescent="0.25">
      <c r="A626" s="126" t="s">
        <v>2683</v>
      </c>
      <c r="B626" s="143" t="s">
        <v>2041</v>
      </c>
      <c r="C626" s="140" t="s">
        <v>1000</v>
      </c>
      <c r="D626" s="137" t="s">
        <v>133</v>
      </c>
      <c r="E626" s="138">
        <v>70</v>
      </c>
      <c r="F626" s="139">
        <v>19094.05</v>
      </c>
      <c r="G626" s="139">
        <v>0</v>
      </c>
      <c r="H626" s="141">
        <v>1336583.5</v>
      </c>
      <c r="I626" s="141">
        <v>0</v>
      </c>
      <c r="J626" s="126"/>
      <c r="K626" s="126"/>
      <c r="L626" s="136" t="s">
        <v>920</v>
      </c>
    </row>
    <row r="627" spans="1:12" s="22" customFormat="1" ht="26.65" customHeight="1" x14ac:dyDescent="0.25">
      <c r="A627" s="126" t="s">
        <v>2683</v>
      </c>
      <c r="B627" s="143" t="s">
        <v>2042</v>
      </c>
      <c r="C627" s="140" t="s">
        <v>1002</v>
      </c>
      <c r="D627" s="137" t="s">
        <v>133</v>
      </c>
      <c r="E627" s="138">
        <v>70</v>
      </c>
      <c r="F627" s="139">
        <v>19094.05</v>
      </c>
      <c r="G627" s="139">
        <v>0</v>
      </c>
      <c r="H627" s="141">
        <v>1336583.5</v>
      </c>
      <c r="I627" s="141">
        <v>0</v>
      </c>
      <c r="J627" s="126"/>
      <c r="K627" s="126"/>
      <c r="L627" s="136" t="s">
        <v>920</v>
      </c>
    </row>
    <row r="628" spans="1:12" s="22" customFormat="1" ht="26.65" customHeight="1" x14ac:dyDescent="0.25">
      <c r="A628" s="126" t="s">
        <v>2683</v>
      </c>
      <c r="B628" s="143" t="s">
        <v>2043</v>
      </c>
      <c r="C628" s="140" t="s">
        <v>1004</v>
      </c>
      <c r="D628" s="137" t="s">
        <v>133</v>
      </c>
      <c r="E628" s="138">
        <v>70</v>
      </c>
      <c r="F628" s="139">
        <v>19094.05</v>
      </c>
      <c r="G628" s="139">
        <v>0</v>
      </c>
      <c r="H628" s="141">
        <v>1336583.5</v>
      </c>
      <c r="I628" s="141">
        <v>0</v>
      </c>
      <c r="J628" s="126"/>
      <c r="K628" s="126"/>
      <c r="L628" s="136" t="s">
        <v>920</v>
      </c>
    </row>
    <row r="629" spans="1:12" s="22" customFormat="1" ht="26.65" customHeight="1" x14ac:dyDescent="0.25">
      <c r="A629" s="126" t="s">
        <v>2683</v>
      </c>
      <c r="B629" s="143"/>
      <c r="C629" s="136" t="s">
        <v>2044</v>
      </c>
      <c r="D629" s="137"/>
      <c r="E629" s="138"/>
      <c r="F629" s="139"/>
      <c r="G629" s="139"/>
      <c r="H629" s="139"/>
      <c r="I629" s="139"/>
      <c r="J629" s="126"/>
      <c r="K629" s="126"/>
      <c r="L629" s="126"/>
    </row>
    <row r="630" spans="1:12" s="22" customFormat="1" ht="26.65" customHeight="1" x14ac:dyDescent="0.25">
      <c r="A630" s="126" t="s">
        <v>2683</v>
      </c>
      <c r="B630" s="143" t="s">
        <v>2045</v>
      </c>
      <c r="C630" s="140" t="s">
        <v>2046</v>
      </c>
      <c r="D630" s="137" t="s">
        <v>133</v>
      </c>
      <c r="E630" s="138">
        <v>160</v>
      </c>
      <c r="F630" s="139">
        <v>2985</v>
      </c>
      <c r="G630" s="139">
        <v>0</v>
      </c>
      <c r="H630" s="141">
        <v>477600</v>
      </c>
      <c r="I630" s="141">
        <v>0</v>
      </c>
      <c r="J630" s="126"/>
      <c r="K630" s="126"/>
      <c r="L630" s="136" t="s">
        <v>2044</v>
      </c>
    </row>
    <row r="631" spans="1:12" s="22" customFormat="1" ht="26.65" customHeight="1" x14ac:dyDescent="0.25">
      <c r="A631" s="126" t="s">
        <v>2683</v>
      </c>
      <c r="B631" s="143" t="s">
        <v>2047</v>
      </c>
      <c r="C631" s="140" t="s">
        <v>924</v>
      </c>
      <c r="D631" s="137" t="s">
        <v>133</v>
      </c>
      <c r="E631" s="138">
        <v>160</v>
      </c>
      <c r="F631" s="139">
        <v>2985</v>
      </c>
      <c r="G631" s="139">
        <v>0</v>
      </c>
      <c r="H631" s="141">
        <v>477600</v>
      </c>
      <c r="I631" s="141">
        <v>0</v>
      </c>
      <c r="J631" s="126"/>
      <c r="K631" s="126"/>
      <c r="L631" s="136" t="s">
        <v>2044</v>
      </c>
    </row>
    <row r="632" spans="1:12" s="22" customFormat="1" ht="26.65" customHeight="1" x14ac:dyDescent="0.25">
      <c r="A632" s="126" t="s">
        <v>2683</v>
      </c>
      <c r="B632" s="143" t="s">
        <v>2048</v>
      </c>
      <c r="C632" s="140" t="s">
        <v>2049</v>
      </c>
      <c r="D632" s="137" t="s">
        <v>133</v>
      </c>
      <c r="E632" s="138">
        <v>160</v>
      </c>
      <c r="F632" s="139">
        <v>2985</v>
      </c>
      <c r="G632" s="139">
        <v>0</v>
      </c>
      <c r="H632" s="141">
        <v>477600</v>
      </c>
      <c r="I632" s="141">
        <v>0</v>
      </c>
      <c r="J632" s="126"/>
      <c r="K632" s="126"/>
      <c r="L632" s="136" t="s">
        <v>2044</v>
      </c>
    </row>
    <row r="633" spans="1:12" s="22" customFormat="1" ht="26.65" customHeight="1" x14ac:dyDescent="0.25">
      <c r="A633" s="126" t="s">
        <v>2683</v>
      </c>
      <c r="B633" s="143" t="s">
        <v>2050</v>
      </c>
      <c r="C633" s="140" t="s">
        <v>928</v>
      </c>
      <c r="D633" s="137" t="s">
        <v>133</v>
      </c>
      <c r="E633" s="138">
        <v>160</v>
      </c>
      <c r="F633" s="139">
        <v>2985</v>
      </c>
      <c r="G633" s="139">
        <v>0</v>
      </c>
      <c r="H633" s="141">
        <v>477600</v>
      </c>
      <c r="I633" s="141">
        <v>0</v>
      </c>
      <c r="J633" s="126"/>
      <c r="K633" s="126"/>
      <c r="L633" s="136" t="s">
        <v>2044</v>
      </c>
    </row>
    <row r="634" spans="1:12" s="22" customFormat="1" ht="26.65" customHeight="1" x14ac:dyDescent="0.25">
      <c r="A634" s="126" t="s">
        <v>2683</v>
      </c>
      <c r="B634" s="143" t="s">
        <v>2051</v>
      </c>
      <c r="C634" s="140" t="s">
        <v>930</v>
      </c>
      <c r="D634" s="137" t="s">
        <v>133</v>
      </c>
      <c r="E634" s="138">
        <v>160</v>
      </c>
      <c r="F634" s="139">
        <v>2985</v>
      </c>
      <c r="G634" s="139">
        <v>0</v>
      </c>
      <c r="H634" s="141">
        <v>477600</v>
      </c>
      <c r="I634" s="141">
        <v>0</v>
      </c>
      <c r="J634" s="126"/>
      <c r="K634" s="126"/>
      <c r="L634" s="136" t="s">
        <v>2044</v>
      </c>
    </row>
    <row r="635" spans="1:12" s="22" customFormat="1" ht="26.65" customHeight="1" x14ac:dyDescent="0.25">
      <c r="A635" s="126" t="s">
        <v>2683</v>
      </c>
      <c r="B635" s="143" t="s">
        <v>2052</v>
      </c>
      <c r="C635" s="140" t="s">
        <v>932</v>
      </c>
      <c r="D635" s="137" t="s">
        <v>133</v>
      </c>
      <c r="E635" s="138">
        <v>160</v>
      </c>
      <c r="F635" s="139">
        <v>3980</v>
      </c>
      <c r="G635" s="139">
        <v>0</v>
      </c>
      <c r="H635" s="141">
        <v>636800</v>
      </c>
      <c r="I635" s="141">
        <v>0</v>
      </c>
      <c r="J635" s="126"/>
      <c r="K635" s="126"/>
      <c r="L635" s="136" t="s">
        <v>2044</v>
      </c>
    </row>
    <row r="636" spans="1:12" s="22" customFormat="1" ht="26.65" customHeight="1" x14ac:dyDescent="0.25">
      <c r="A636" s="126" t="s">
        <v>2683</v>
      </c>
      <c r="B636" s="143" t="s">
        <v>2053</v>
      </c>
      <c r="C636" s="140" t="s">
        <v>934</v>
      </c>
      <c r="D636" s="137" t="s">
        <v>133</v>
      </c>
      <c r="E636" s="138">
        <v>160</v>
      </c>
      <c r="F636" s="139">
        <v>3980</v>
      </c>
      <c r="G636" s="139">
        <v>0</v>
      </c>
      <c r="H636" s="141">
        <v>636800</v>
      </c>
      <c r="I636" s="141">
        <v>0</v>
      </c>
      <c r="J636" s="126"/>
      <c r="K636" s="126"/>
      <c r="L636" s="136" t="s">
        <v>2044</v>
      </c>
    </row>
    <row r="637" spans="1:12" s="22" customFormat="1" ht="26.65" customHeight="1" x14ac:dyDescent="0.25">
      <c r="A637" s="126" t="s">
        <v>2683</v>
      </c>
      <c r="B637" s="143" t="s">
        <v>2054</v>
      </c>
      <c r="C637" s="140" t="s">
        <v>936</v>
      </c>
      <c r="D637" s="137" t="s">
        <v>133</v>
      </c>
      <c r="E637" s="138">
        <v>140</v>
      </c>
      <c r="F637" s="139">
        <v>5970</v>
      </c>
      <c r="G637" s="139">
        <v>0</v>
      </c>
      <c r="H637" s="141">
        <v>835800</v>
      </c>
      <c r="I637" s="141">
        <v>0</v>
      </c>
      <c r="J637" s="126"/>
      <c r="K637" s="126"/>
      <c r="L637" s="136" t="s">
        <v>2044</v>
      </c>
    </row>
    <row r="638" spans="1:12" s="22" customFormat="1" ht="26.65" customHeight="1" x14ac:dyDescent="0.25">
      <c r="A638" s="126" t="s">
        <v>2683</v>
      </c>
      <c r="B638" s="143" t="s">
        <v>2055</v>
      </c>
      <c r="C638" s="140" t="s">
        <v>938</v>
      </c>
      <c r="D638" s="137" t="s">
        <v>133</v>
      </c>
      <c r="E638" s="138">
        <v>140</v>
      </c>
      <c r="F638" s="139">
        <v>5970</v>
      </c>
      <c r="G638" s="139">
        <v>0</v>
      </c>
      <c r="H638" s="141">
        <v>835800</v>
      </c>
      <c r="I638" s="141">
        <v>0</v>
      </c>
      <c r="J638" s="126"/>
      <c r="K638" s="126"/>
      <c r="L638" s="136" t="s">
        <v>2044</v>
      </c>
    </row>
    <row r="639" spans="1:12" s="22" customFormat="1" ht="26.65" customHeight="1" x14ac:dyDescent="0.25">
      <c r="A639" s="126" t="s">
        <v>2683</v>
      </c>
      <c r="B639" s="143" t="s">
        <v>2056</v>
      </c>
      <c r="C639" s="140" t="s">
        <v>940</v>
      </c>
      <c r="D639" s="137" t="s">
        <v>133</v>
      </c>
      <c r="E639" s="138">
        <v>140</v>
      </c>
      <c r="F639" s="139">
        <v>7960</v>
      </c>
      <c r="G639" s="139">
        <v>0</v>
      </c>
      <c r="H639" s="141">
        <v>1114400</v>
      </c>
      <c r="I639" s="141">
        <v>0</v>
      </c>
      <c r="J639" s="126"/>
      <c r="K639" s="126"/>
      <c r="L639" s="136" t="s">
        <v>2044</v>
      </c>
    </row>
    <row r="640" spans="1:12" s="22" customFormat="1" ht="26.65" customHeight="1" x14ac:dyDescent="0.25">
      <c r="A640" s="126" t="s">
        <v>2683</v>
      </c>
      <c r="B640" s="143" t="s">
        <v>2057</v>
      </c>
      <c r="C640" s="140" t="s">
        <v>942</v>
      </c>
      <c r="D640" s="137" t="s">
        <v>133</v>
      </c>
      <c r="E640" s="138">
        <v>140</v>
      </c>
      <c r="F640" s="139">
        <v>9950</v>
      </c>
      <c r="G640" s="139">
        <v>0</v>
      </c>
      <c r="H640" s="141">
        <v>1393000</v>
      </c>
      <c r="I640" s="141">
        <v>0</v>
      </c>
      <c r="J640" s="126"/>
      <c r="K640" s="126"/>
      <c r="L640" s="136" t="s">
        <v>2044</v>
      </c>
    </row>
    <row r="641" spans="1:12" s="22" customFormat="1" ht="26.65" customHeight="1" x14ac:dyDescent="0.25">
      <c r="A641" s="126" t="s">
        <v>2683</v>
      </c>
      <c r="B641" s="143" t="s">
        <v>2058</v>
      </c>
      <c r="C641" s="140" t="s">
        <v>944</v>
      </c>
      <c r="D641" s="137" t="s">
        <v>133</v>
      </c>
      <c r="E641" s="138">
        <v>140</v>
      </c>
      <c r="F641" s="139">
        <v>9950</v>
      </c>
      <c r="G641" s="139">
        <v>0</v>
      </c>
      <c r="H641" s="141">
        <v>1393000</v>
      </c>
      <c r="I641" s="141">
        <v>0</v>
      </c>
      <c r="J641" s="126"/>
      <c r="K641" s="126"/>
      <c r="L641" s="136" t="s">
        <v>2044</v>
      </c>
    </row>
    <row r="642" spans="1:12" s="22" customFormat="1" ht="26.65" customHeight="1" x14ac:dyDescent="0.25">
      <c r="A642" s="126" t="s">
        <v>2683</v>
      </c>
      <c r="B642" s="143" t="s">
        <v>2059</v>
      </c>
      <c r="C642" s="140" t="s">
        <v>946</v>
      </c>
      <c r="D642" s="137" t="s">
        <v>133</v>
      </c>
      <c r="E642" s="138">
        <v>140</v>
      </c>
      <c r="F642" s="139">
        <v>11940</v>
      </c>
      <c r="G642" s="139">
        <v>0</v>
      </c>
      <c r="H642" s="141">
        <v>1671600</v>
      </c>
      <c r="I642" s="141">
        <v>0</v>
      </c>
      <c r="J642" s="126"/>
      <c r="K642" s="126"/>
      <c r="L642" s="136" t="s">
        <v>2044</v>
      </c>
    </row>
    <row r="643" spans="1:12" s="22" customFormat="1" ht="26.65" customHeight="1" x14ac:dyDescent="0.25">
      <c r="A643" s="126" t="s">
        <v>2683</v>
      </c>
      <c r="B643" s="143" t="s">
        <v>2060</v>
      </c>
      <c r="C643" s="140" t="s">
        <v>948</v>
      </c>
      <c r="D643" s="137" t="s">
        <v>133</v>
      </c>
      <c r="E643" s="138">
        <v>140</v>
      </c>
      <c r="F643" s="139">
        <v>11940</v>
      </c>
      <c r="G643" s="139">
        <v>0</v>
      </c>
      <c r="H643" s="141">
        <v>1671600</v>
      </c>
      <c r="I643" s="141">
        <v>0</v>
      </c>
      <c r="J643" s="126"/>
      <c r="K643" s="126"/>
      <c r="L643" s="136" t="s">
        <v>2044</v>
      </c>
    </row>
    <row r="644" spans="1:12" s="22" customFormat="1" ht="26.65" customHeight="1" x14ac:dyDescent="0.25">
      <c r="A644" s="126" t="s">
        <v>2683</v>
      </c>
      <c r="B644" s="143" t="s">
        <v>2061</v>
      </c>
      <c r="C644" s="140" t="s">
        <v>950</v>
      </c>
      <c r="D644" s="137" t="s">
        <v>133</v>
      </c>
      <c r="E644" s="138">
        <v>140</v>
      </c>
      <c r="F644" s="139">
        <v>13930</v>
      </c>
      <c r="G644" s="139">
        <v>0</v>
      </c>
      <c r="H644" s="141">
        <v>1950200</v>
      </c>
      <c r="I644" s="141">
        <v>0</v>
      </c>
      <c r="J644" s="126"/>
      <c r="K644" s="126"/>
      <c r="L644" s="136" t="s">
        <v>2044</v>
      </c>
    </row>
    <row r="645" spans="1:12" s="22" customFormat="1" ht="26.65" customHeight="1" x14ac:dyDescent="0.25">
      <c r="A645" s="126" t="s">
        <v>2683</v>
      </c>
      <c r="B645" s="143" t="s">
        <v>2062</v>
      </c>
      <c r="C645" s="140" t="s">
        <v>952</v>
      </c>
      <c r="D645" s="137" t="s">
        <v>133</v>
      </c>
      <c r="E645" s="138">
        <v>140</v>
      </c>
      <c r="F645" s="139">
        <v>13930</v>
      </c>
      <c r="G645" s="139">
        <v>0</v>
      </c>
      <c r="H645" s="141">
        <v>1950200</v>
      </c>
      <c r="I645" s="141">
        <v>0</v>
      </c>
      <c r="J645" s="126"/>
      <c r="K645" s="126"/>
      <c r="L645" s="136" t="s">
        <v>2044</v>
      </c>
    </row>
    <row r="646" spans="1:12" s="22" customFormat="1" ht="26.65" customHeight="1" x14ac:dyDescent="0.25">
      <c r="A646" s="126" t="s">
        <v>2683</v>
      </c>
      <c r="B646" s="143" t="s">
        <v>2063</v>
      </c>
      <c r="C646" s="140" t="s">
        <v>954</v>
      </c>
      <c r="D646" s="137" t="s">
        <v>133</v>
      </c>
      <c r="E646" s="138">
        <v>100</v>
      </c>
      <c r="F646" s="139">
        <v>15920</v>
      </c>
      <c r="G646" s="139">
        <v>0</v>
      </c>
      <c r="H646" s="141">
        <v>1592000</v>
      </c>
      <c r="I646" s="141">
        <v>0</v>
      </c>
      <c r="J646" s="126"/>
      <c r="K646" s="126"/>
      <c r="L646" s="136" t="s">
        <v>2044</v>
      </c>
    </row>
    <row r="647" spans="1:12" s="22" customFormat="1" ht="26.65" customHeight="1" x14ac:dyDescent="0.25">
      <c r="A647" s="126" t="s">
        <v>2683</v>
      </c>
      <c r="B647" s="143" t="s">
        <v>2064</v>
      </c>
      <c r="C647" s="140" t="s">
        <v>956</v>
      </c>
      <c r="D647" s="137" t="s">
        <v>133</v>
      </c>
      <c r="E647" s="138">
        <v>100</v>
      </c>
      <c r="F647" s="139">
        <v>17910</v>
      </c>
      <c r="G647" s="139">
        <v>0</v>
      </c>
      <c r="H647" s="141">
        <v>1791000</v>
      </c>
      <c r="I647" s="141">
        <v>0</v>
      </c>
      <c r="J647" s="126"/>
      <c r="K647" s="126"/>
      <c r="L647" s="136" t="s">
        <v>2044</v>
      </c>
    </row>
    <row r="648" spans="1:12" s="22" customFormat="1" ht="26.65" customHeight="1" x14ac:dyDescent="0.25">
      <c r="A648" s="126" t="s">
        <v>2683</v>
      </c>
      <c r="B648" s="143" t="s">
        <v>2065</v>
      </c>
      <c r="C648" s="140" t="s">
        <v>958</v>
      </c>
      <c r="D648" s="137" t="s">
        <v>133</v>
      </c>
      <c r="E648" s="138">
        <v>100</v>
      </c>
      <c r="F648" s="139">
        <v>17910</v>
      </c>
      <c r="G648" s="139">
        <v>0</v>
      </c>
      <c r="H648" s="141">
        <v>1791000</v>
      </c>
      <c r="I648" s="141">
        <v>0</v>
      </c>
      <c r="J648" s="126"/>
      <c r="K648" s="126"/>
      <c r="L648" s="136" t="s">
        <v>2044</v>
      </c>
    </row>
    <row r="649" spans="1:12" s="22" customFormat="1" ht="26.65" customHeight="1" x14ac:dyDescent="0.25">
      <c r="A649" s="126" t="s">
        <v>2683</v>
      </c>
      <c r="B649" s="143" t="s">
        <v>2066</v>
      </c>
      <c r="C649" s="140" t="s">
        <v>960</v>
      </c>
      <c r="D649" s="137" t="s">
        <v>133</v>
      </c>
      <c r="E649" s="138">
        <v>100</v>
      </c>
      <c r="F649" s="139">
        <v>17910</v>
      </c>
      <c r="G649" s="139">
        <v>0</v>
      </c>
      <c r="H649" s="141">
        <v>1791000</v>
      </c>
      <c r="I649" s="141">
        <v>0</v>
      </c>
      <c r="J649" s="126"/>
      <c r="K649" s="126"/>
      <c r="L649" s="136" t="s">
        <v>2044</v>
      </c>
    </row>
    <row r="650" spans="1:12" s="22" customFormat="1" ht="26.65" customHeight="1" x14ac:dyDescent="0.25">
      <c r="A650" s="126" t="s">
        <v>2683</v>
      </c>
      <c r="B650" s="143" t="s">
        <v>2067</v>
      </c>
      <c r="C650" s="140" t="s">
        <v>962</v>
      </c>
      <c r="D650" s="137" t="s">
        <v>133</v>
      </c>
      <c r="E650" s="138">
        <v>100</v>
      </c>
      <c r="F650" s="139">
        <v>17910</v>
      </c>
      <c r="G650" s="139">
        <v>0</v>
      </c>
      <c r="H650" s="141">
        <v>1791000</v>
      </c>
      <c r="I650" s="141">
        <v>0</v>
      </c>
      <c r="J650" s="126"/>
      <c r="K650" s="126"/>
      <c r="L650" s="136" t="s">
        <v>2044</v>
      </c>
    </row>
    <row r="651" spans="1:12" s="22" customFormat="1" ht="26.65" customHeight="1" x14ac:dyDescent="0.25">
      <c r="A651" s="126" t="s">
        <v>2683</v>
      </c>
      <c r="B651" s="143" t="s">
        <v>2068</v>
      </c>
      <c r="C651" s="140" t="s">
        <v>964</v>
      </c>
      <c r="D651" s="137" t="s">
        <v>133</v>
      </c>
      <c r="E651" s="138">
        <v>100</v>
      </c>
      <c r="F651" s="139">
        <v>1990</v>
      </c>
      <c r="G651" s="139">
        <v>0</v>
      </c>
      <c r="H651" s="141">
        <v>199000</v>
      </c>
      <c r="I651" s="141">
        <v>0</v>
      </c>
      <c r="J651" s="126"/>
      <c r="K651" s="126"/>
      <c r="L651" s="136" t="s">
        <v>2044</v>
      </c>
    </row>
    <row r="652" spans="1:12" s="22" customFormat="1" ht="26.65" customHeight="1" x14ac:dyDescent="0.25">
      <c r="A652" s="126" t="s">
        <v>2683</v>
      </c>
      <c r="B652" s="143" t="s">
        <v>2069</v>
      </c>
      <c r="C652" s="140" t="s">
        <v>966</v>
      </c>
      <c r="D652" s="137" t="s">
        <v>133</v>
      </c>
      <c r="E652" s="138">
        <v>100</v>
      </c>
      <c r="F652" s="139">
        <v>1990</v>
      </c>
      <c r="G652" s="139">
        <v>0</v>
      </c>
      <c r="H652" s="141">
        <v>199000</v>
      </c>
      <c r="I652" s="141">
        <v>0</v>
      </c>
      <c r="J652" s="126"/>
      <c r="K652" s="126"/>
      <c r="L652" s="136" t="s">
        <v>2044</v>
      </c>
    </row>
    <row r="653" spans="1:12" s="22" customFormat="1" ht="26.65" customHeight="1" x14ac:dyDescent="0.25">
      <c r="A653" s="126" t="s">
        <v>2683</v>
      </c>
      <c r="B653" s="143" t="s">
        <v>2070</v>
      </c>
      <c r="C653" s="140" t="s">
        <v>968</v>
      </c>
      <c r="D653" s="137" t="s">
        <v>133</v>
      </c>
      <c r="E653" s="138">
        <v>100</v>
      </c>
      <c r="F653" s="139">
        <v>1990</v>
      </c>
      <c r="G653" s="139">
        <v>0</v>
      </c>
      <c r="H653" s="141">
        <v>199000</v>
      </c>
      <c r="I653" s="141">
        <v>0</v>
      </c>
      <c r="J653" s="126"/>
      <c r="K653" s="126"/>
      <c r="L653" s="136" t="s">
        <v>2044</v>
      </c>
    </row>
    <row r="654" spans="1:12" s="22" customFormat="1" ht="26.65" customHeight="1" x14ac:dyDescent="0.25">
      <c r="A654" s="126" t="s">
        <v>2683</v>
      </c>
      <c r="B654" s="143" t="s">
        <v>2071</v>
      </c>
      <c r="C654" s="140" t="s">
        <v>970</v>
      </c>
      <c r="D654" s="137" t="s">
        <v>133</v>
      </c>
      <c r="E654" s="138">
        <v>100</v>
      </c>
      <c r="F654" s="139">
        <v>1990</v>
      </c>
      <c r="G654" s="139">
        <v>0</v>
      </c>
      <c r="H654" s="141">
        <v>199000</v>
      </c>
      <c r="I654" s="141">
        <v>0</v>
      </c>
      <c r="J654" s="126"/>
      <c r="K654" s="126"/>
      <c r="L654" s="136" t="s">
        <v>2044</v>
      </c>
    </row>
    <row r="655" spans="1:12" s="22" customFormat="1" ht="26.65" customHeight="1" x14ac:dyDescent="0.25">
      <c r="A655" s="126" t="s">
        <v>2683</v>
      </c>
      <c r="B655" s="143" t="s">
        <v>2072</v>
      </c>
      <c r="C655" s="140" t="s">
        <v>972</v>
      </c>
      <c r="D655" s="137" t="s">
        <v>133</v>
      </c>
      <c r="E655" s="138">
        <v>100</v>
      </c>
      <c r="F655" s="139">
        <v>23880</v>
      </c>
      <c r="G655" s="139">
        <v>0</v>
      </c>
      <c r="H655" s="141">
        <v>2388000</v>
      </c>
      <c r="I655" s="141">
        <v>0</v>
      </c>
      <c r="J655" s="126"/>
      <c r="K655" s="126"/>
      <c r="L655" s="136" t="s">
        <v>2044</v>
      </c>
    </row>
    <row r="656" spans="1:12" s="22" customFormat="1" ht="26.65" customHeight="1" x14ac:dyDescent="0.25">
      <c r="A656" s="126" t="s">
        <v>2683</v>
      </c>
      <c r="B656" s="143" t="s">
        <v>2073</v>
      </c>
      <c r="C656" s="140" t="s">
        <v>974</v>
      </c>
      <c r="D656" s="137" t="s">
        <v>133</v>
      </c>
      <c r="E656" s="138">
        <v>100</v>
      </c>
      <c r="F656" s="139">
        <v>23880</v>
      </c>
      <c r="G656" s="139">
        <v>0</v>
      </c>
      <c r="H656" s="141">
        <v>2388000</v>
      </c>
      <c r="I656" s="141">
        <v>0</v>
      </c>
      <c r="J656" s="126"/>
      <c r="K656" s="126"/>
      <c r="L656" s="136" t="s">
        <v>2044</v>
      </c>
    </row>
    <row r="657" spans="1:12" s="22" customFormat="1" ht="26.65" customHeight="1" x14ac:dyDescent="0.25">
      <c r="A657" s="126" t="s">
        <v>2683</v>
      </c>
      <c r="B657" s="143" t="s">
        <v>2074</v>
      </c>
      <c r="C657" s="140" t="s">
        <v>976</v>
      </c>
      <c r="D657" s="137" t="s">
        <v>133</v>
      </c>
      <c r="E657" s="138">
        <v>100</v>
      </c>
      <c r="F657" s="139">
        <v>23880</v>
      </c>
      <c r="G657" s="139">
        <v>0</v>
      </c>
      <c r="H657" s="141">
        <v>2388000</v>
      </c>
      <c r="I657" s="141">
        <v>0</v>
      </c>
      <c r="J657" s="126"/>
      <c r="K657" s="126"/>
      <c r="L657" s="136" t="s">
        <v>2044</v>
      </c>
    </row>
    <row r="658" spans="1:12" s="22" customFormat="1" ht="26.65" customHeight="1" x14ac:dyDescent="0.25">
      <c r="A658" s="126" t="s">
        <v>2683</v>
      </c>
      <c r="B658" s="143" t="s">
        <v>2075</v>
      </c>
      <c r="C658" s="140" t="s">
        <v>978</v>
      </c>
      <c r="D658" s="137" t="s">
        <v>133</v>
      </c>
      <c r="E658" s="138">
        <v>100</v>
      </c>
      <c r="F658" s="139">
        <v>23880</v>
      </c>
      <c r="G658" s="139">
        <v>0</v>
      </c>
      <c r="H658" s="141">
        <v>2388000</v>
      </c>
      <c r="I658" s="141">
        <v>0</v>
      </c>
      <c r="J658" s="126"/>
      <c r="K658" s="126"/>
      <c r="L658" s="136" t="s">
        <v>2044</v>
      </c>
    </row>
    <row r="659" spans="1:12" s="22" customFormat="1" ht="26.65" customHeight="1" x14ac:dyDescent="0.25">
      <c r="A659" s="126" t="s">
        <v>2683</v>
      </c>
      <c r="B659" s="143" t="s">
        <v>2076</v>
      </c>
      <c r="C659" s="140" t="s">
        <v>980</v>
      </c>
      <c r="D659" s="137" t="s">
        <v>133</v>
      </c>
      <c r="E659" s="138">
        <v>80</v>
      </c>
      <c r="F659" s="139">
        <v>29850</v>
      </c>
      <c r="G659" s="139">
        <v>0</v>
      </c>
      <c r="H659" s="141">
        <v>2388000</v>
      </c>
      <c r="I659" s="141">
        <v>0</v>
      </c>
      <c r="J659" s="126"/>
      <c r="K659" s="126"/>
      <c r="L659" s="136" t="s">
        <v>2044</v>
      </c>
    </row>
    <row r="660" spans="1:12" s="22" customFormat="1" ht="26.65" customHeight="1" x14ac:dyDescent="0.25">
      <c r="A660" s="126" t="s">
        <v>2683</v>
      </c>
      <c r="B660" s="143" t="s">
        <v>2077</v>
      </c>
      <c r="C660" s="140" t="s">
        <v>982</v>
      </c>
      <c r="D660" s="137" t="s">
        <v>133</v>
      </c>
      <c r="E660" s="138">
        <v>80</v>
      </c>
      <c r="F660" s="139">
        <v>29850</v>
      </c>
      <c r="G660" s="139">
        <v>0</v>
      </c>
      <c r="H660" s="141">
        <v>2388000</v>
      </c>
      <c r="I660" s="141">
        <v>0</v>
      </c>
      <c r="J660" s="126"/>
      <c r="K660" s="126"/>
      <c r="L660" s="136" t="s">
        <v>2044</v>
      </c>
    </row>
    <row r="661" spans="1:12" s="22" customFormat="1" ht="26.65" customHeight="1" x14ac:dyDescent="0.25">
      <c r="A661" s="126" t="s">
        <v>2683</v>
      </c>
      <c r="B661" s="143" t="s">
        <v>2078</v>
      </c>
      <c r="C661" s="140" t="s">
        <v>984</v>
      </c>
      <c r="D661" s="137" t="s">
        <v>133</v>
      </c>
      <c r="E661" s="138">
        <v>80</v>
      </c>
      <c r="F661" s="139">
        <v>29850</v>
      </c>
      <c r="G661" s="139">
        <v>0</v>
      </c>
      <c r="H661" s="141">
        <v>2388000</v>
      </c>
      <c r="I661" s="141">
        <v>0</v>
      </c>
      <c r="J661" s="126"/>
      <c r="K661" s="126"/>
      <c r="L661" s="136" t="s">
        <v>2044</v>
      </c>
    </row>
    <row r="662" spans="1:12" s="22" customFormat="1" ht="26.65" customHeight="1" x14ac:dyDescent="0.25">
      <c r="A662" s="126" t="s">
        <v>2683</v>
      </c>
      <c r="B662" s="143" t="s">
        <v>2079</v>
      </c>
      <c r="C662" s="140" t="s">
        <v>986</v>
      </c>
      <c r="D662" s="137" t="s">
        <v>133</v>
      </c>
      <c r="E662" s="138">
        <v>80</v>
      </c>
      <c r="F662" s="139">
        <v>29850</v>
      </c>
      <c r="G662" s="139">
        <v>0</v>
      </c>
      <c r="H662" s="141">
        <v>2388000</v>
      </c>
      <c r="I662" s="141">
        <v>0</v>
      </c>
      <c r="J662" s="126"/>
      <c r="K662" s="126"/>
      <c r="L662" s="136" t="s">
        <v>2044</v>
      </c>
    </row>
    <row r="663" spans="1:12" s="22" customFormat="1" ht="26.65" customHeight="1" x14ac:dyDescent="0.25">
      <c r="A663" s="126" t="s">
        <v>2683</v>
      </c>
      <c r="B663" s="143" t="s">
        <v>2080</v>
      </c>
      <c r="C663" s="140" t="s">
        <v>988</v>
      </c>
      <c r="D663" s="137" t="s">
        <v>133</v>
      </c>
      <c r="E663" s="138">
        <v>80</v>
      </c>
      <c r="F663" s="139">
        <v>29850</v>
      </c>
      <c r="G663" s="139">
        <v>0</v>
      </c>
      <c r="H663" s="141">
        <v>2388000</v>
      </c>
      <c r="I663" s="141">
        <v>0</v>
      </c>
      <c r="J663" s="126"/>
      <c r="K663" s="126"/>
      <c r="L663" s="136" t="s">
        <v>2044</v>
      </c>
    </row>
    <row r="664" spans="1:12" s="22" customFormat="1" ht="26.65" customHeight="1" x14ac:dyDescent="0.25">
      <c r="A664" s="126" t="s">
        <v>2683</v>
      </c>
      <c r="B664" s="143" t="s">
        <v>2081</v>
      </c>
      <c r="C664" s="140" t="s">
        <v>990</v>
      </c>
      <c r="D664" s="137" t="s">
        <v>133</v>
      </c>
      <c r="E664" s="138">
        <v>80</v>
      </c>
      <c r="F664" s="139">
        <v>29850</v>
      </c>
      <c r="G664" s="139">
        <v>0</v>
      </c>
      <c r="H664" s="141">
        <v>2388000</v>
      </c>
      <c r="I664" s="141">
        <v>0</v>
      </c>
      <c r="J664" s="126"/>
      <c r="K664" s="126"/>
      <c r="L664" s="136" t="s">
        <v>2044</v>
      </c>
    </row>
    <row r="665" spans="1:12" s="22" customFormat="1" ht="26.65" customHeight="1" x14ac:dyDescent="0.25">
      <c r="A665" s="126" t="s">
        <v>2683</v>
      </c>
      <c r="B665" s="143" t="s">
        <v>2082</v>
      </c>
      <c r="C665" s="140" t="s">
        <v>992</v>
      </c>
      <c r="D665" s="137" t="s">
        <v>133</v>
      </c>
      <c r="E665" s="138">
        <v>110</v>
      </c>
      <c r="F665" s="139">
        <v>35820</v>
      </c>
      <c r="G665" s="139">
        <v>0</v>
      </c>
      <c r="H665" s="141">
        <v>3940200</v>
      </c>
      <c r="I665" s="141">
        <v>0</v>
      </c>
      <c r="J665" s="126"/>
      <c r="K665" s="126"/>
      <c r="L665" s="136" t="s">
        <v>2044</v>
      </c>
    </row>
    <row r="666" spans="1:12" s="22" customFormat="1" ht="26.65" customHeight="1" x14ac:dyDescent="0.25">
      <c r="A666" s="126" t="s">
        <v>2683</v>
      </c>
      <c r="B666" s="143" t="s">
        <v>2083</v>
      </c>
      <c r="C666" s="140" t="s">
        <v>994</v>
      </c>
      <c r="D666" s="137" t="s">
        <v>133</v>
      </c>
      <c r="E666" s="138">
        <v>70</v>
      </c>
      <c r="F666" s="139">
        <v>35820</v>
      </c>
      <c r="G666" s="139">
        <v>0</v>
      </c>
      <c r="H666" s="141">
        <v>2507400</v>
      </c>
      <c r="I666" s="141">
        <v>0</v>
      </c>
      <c r="J666" s="126"/>
      <c r="K666" s="126"/>
      <c r="L666" s="136" t="s">
        <v>2044</v>
      </c>
    </row>
    <row r="667" spans="1:12" s="22" customFormat="1" ht="26.65" customHeight="1" x14ac:dyDescent="0.25">
      <c r="A667" s="126" t="s">
        <v>2683</v>
      </c>
      <c r="B667" s="143" t="s">
        <v>2084</v>
      </c>
      <c r="C667" s="140" t="s">
        <v>996</v>
      </c>
      <c r="D667" s="137" t="s">
        <v>133</v>
      </c>
      <c r="E667" s="138">
        <v>70</v>
      </c>
      <c r="F667" s="139">
        <v>35820</v>
      </c>
      <c r="G667" s="139">
        <v>0</v>
      </c>
      <c r="H667" s="141">
        <v>2507400</v>
      </c>
      <c r="I667" s="141">
        <v>0</v>
      </c>
      <c r="J667" s="126"/>
      <c r="K667" s="126"/>
      <c r="L667" s="136" t="s">
        <v>2044</v>
      </c>
    </row>
    <row r="668" spans="1:12" s="22" customFormat="1" ht="26.65" customHeight="1" x14ac:dyDescent="0.25">
      <c r="A668" s="126" t="s">
        <v>2683</v>
      </c>
      <c r="B668" s="143" t="s">
        <v>2085</v>
      </c>
      <c r="C668" s="140" t="s">
        <v>998</v>
      </c>
      <c r="D668" s="137" t="s">
        <v>133</v>
      </c>
      <c r="E668" s="138">
        <v>70</v>
      </c>
      <c r="F668" s="139">
        <v>35820</v>
      </c>
      <c r="G668" s="139">
        <v>0</v>
      </c>
      <c r="H668" s="141">
        <v>2507400</v>
      </c>
      <c r="I668" s="141">
        <v>0</v>
      </c>
      <c r="J668" s="126"/>
      <c r="K668" s="126"/>
      <c r="L668" s="136" t="s">
        <v>2044</v>
      </c>
    </row>
    <row r="669" spans="1:12" s="22" customFormat="1" ht="26.65" customHeight="1" x14ac:dyDescent="0.25">
      <c r="A669" s="126" t="s">
        <v>2683</v>
      </c>
      <c r="B669" s="143" t="s">
        <v>2086</v>
      </c>
      <c r="C669" s="140" t="s">
        <v>1000</v>
      </c>
      <c r="D669" s="137" t="s">
        <v>133</v>
      </c>
      <c r="E669" s="138">
        <v>70</v>
      </c>
      <c r="F669" s="139">
        <v>35820</v>
      </c>
      <c r="G669" s="139">
        <v>0</v>
      </c>
      <c r="H669" s="141">
        <v>2507400</v>
      </c>
      <c r="I669" s="141">
        <v>0</v>
      </c>
      <c r="J669" s="126"/>
      <c r="K669" s="126"/>
      <c r="L669" s="136" t="s">
        <v>2044</v>
      </c>
    </row>
    <row r="670" spans="1:12" s="22" customFormat="1" ht="26.65" customHeight="1" x14ac:dyDescent="0.25">
      <c r="A670" s="126" t="s">
        <v>2683</v>
      </c>
      <c r="B670" s="143" t="s">
        <v>2087</v>
      </c>
      <c r="C670" s="140" t="s">
        <v>1002</v>
      </c>
      <c r="D670" s="137" t="s">
        <v>133</v>
      </c>
      <c r="E670" s="138">
        <v>70</v>
      </c>
      <c r="F670" s="139">
        <v>35820</v>
      </c>
      <c r="G670" s="139">
        <v>0</v>
      </c>
      <c r="H670" s="141">
        <v>2507400</v>
      </c>
      <c r="I670" s="141">
        <v>0</v>
      </c>
      <c r="J670" s="126"/>
      <c r="K670" s="126"/>
      <c r="L670" s="136" t="s">
        <v>2044</v>
      </c>
    </row>
    <row r="671" spans="1:12" s="22" customFormat="1" ht="26.65" customHeight="1" x14ac:dyDescent="0.25">
      <c r="A671" s="126" t="s">
        <v>2683</v>
      </c>
      <c r="B671" s="143" t="s">
        <v>2088</v>
      </c>
      <c r="C671" s="140" t="s">
        <v>1004</v>
      </c>
      <c r="D671" s="137" t="s">
        <v>133</v>
      </c>
      <c r="E671" s="138">
        <v>110</v>
      </c>
      <c r="F671" s="139">
        <v>35820</v>
      </c>
      <c r="G671" s="139">
        <v>0</v>
      </c>
      <c r="H671" s="141">
        <v>3940200</v>
      </c>
      <c r="I671" s="141">
        <v>0</v>
      </c>
      <c r="J671" s="126"/>
      <c r="K671" s="126"/>
      <c r="L671" s="136" t="s">
        <v>2044</v>
      </c>
    </row>
    <row r="672" spans="1:12" s="22" customFormat="1" ht="26.65" customHeight="1" x14ac:dyDescent="0.25">
      <c r="A672" s="126" t="s">
        <v>2683</v>
      </c>
      <c r="B672" s="143"/>
      <c r="C672" s="136" t="s">
        <v>1005</v>
      </c>
      <c r="D672" s="137"/>
      <c r="E672" s="138"/>
      <c r="F672" s="139"/>
      <c r="G672" s="139"/>
      <c r="H672" s="139"/>
      <c r="I672" s="139"/>
      <c r="J672" s="126"/>
      <c r="K672" s="126"/>
      <c r="L672" s="126"/>
    </row>
    <row r="673" spans="1:12" s="22" customFormat="1" ht="26.65" customHeight="1" x14ac:dyDescent="0.25">
      <c r="A673" s="126" t="s">
        <v>2683</v>
      </c>
      <c r="B673" s="143"/>
      <c r="C673" s="136" t="s">
        <v>1006</v>
      </c>
      <c r="D673" s="137"/>
      <c r="E673" s="138"/>
      <c r="F673" s="139"/>
      <c r="G673" s="139"/>
      <c r="H673" s="139"/>
      <c r="I673" s="139"/>
      <c r="J673" s="136" t="s">
        <v>1005</v>
      </c>
      <c r="K673" s="126"/>
      <c r="L673" s="136" t="s">
        <v>1006</v>
      </c>
    </row>
    <row r="674" spans="1:12" s="22" customFormat="1" ht="26.65" customHeight="1" x14ac:dyDescent="0.25">
      <c r="A674" s="126" t="s">
        <v>2683</v>
      </c>
      <c r="B674" s="143" t="s">
        <v>2089</v>
      </c>
      <c r="C674" s="140" t="s">
        <v>1008</v>
      </c>
      <c r="D674" s="137" t="s">
        <v>856</v>
      </c>
      <c r="E674" s="138">
        <v>160</v>
      </c>
      <c r="F674" s="139">
        <v>319.33</v>
      </c>
      <c r="G674" s="139">
        <v>0</v>
      </c>
      <c r="H674" s="141">
        <v>51092.799999999996</v>
      </c>
      <c r="I674" s="141">
        <v>0</v>
      </c>
      <c r="J674" s="136" t="s">
        <v>1005</v>
      </c>
      <c r="K674" s="126"/>
      <c r="L674" s="136" t="s">
        <v>1006</v>
      </c>
    </row>
    <row r="675" spans="1:12" s="22" customFormat="1" ht="26.65" customHeight="1" x14ac:dyDescent="0.25">
      <c r="A675" s="126" t="s">
        <v>2683</v>
      </c>
      <c r="B675" s="143" t="s">
        <v>2090</v>
      </c>
      <c r="C675" s="140" t="s">
        <v>1010</v>
      </c>
      <c r="D675" s="137" t="s">
        <v>856</v>
      </c>
      <c r="E675" s="138">
        <v>144</v>
      </c>
      <c r="F675" s="139">
        <v>654.98</v>
      </c>
      <c r="G675" s="139">
        <v>0</v>
      </c>
      <c r="H675" s="141">
        <v>94317.119999999995</v>
      </c>
      <c r="I675" s="141">
        <v>0</v>
      </c>
      <c r="J675" s="136" t="s">
        <v>1005</v>
      </c>
      <c r="K675" s="126"/>
      <c r="L675" s="136" t="s">
        <v>1006</v>
      </c>
    </row>
    <row r="676" spans="1:12" s="22" customFormat="1" ht="26.65" customHeight="1" x14ac:dyDescent="0.25">
      <c r="A676" s="126" t="s">
        <v>2683</v>
      </c>
      <c r="B676" s="143" t="s">
        <v>2091</v>
      </c>
      <c r="C676" s="140" t="s">
        <v>1012</v>
      </c>
      <c r="D676" s="137" t="s">
        <v>856</v>
      </c>
      <c r="E676" s="138">
        <v>136</v>
      </c>
      <c r="F676" s="139">
        <v>1247.76</v>
      </c>
      <c r="G676" s="139">
        <v>0</v>
      </c>
      <c r="H676" s="141">
        <v>169695.35999999999</v>
      </c>
      <c r="I676" s="141">
        <v>0</v>
      </c>
      <c r="J676" s="136" t="s">
        <v>1005</v>
      </c>
      <c r="K676" s="126"/>
      <c r="L676" s="136" t="s">
        <v>1006</v>
      </c>
    </row>
    <row r="677" spans="1:12" s="22" customFormat="1" ht="26.65" customHeight="1" x14ac:dyDescent="0.25">
      <c r="A677" s="126" t="s">
        <v>2683</v>
      </c>
      <c r="B677" s="143" t="s">
        <v>2092</v>
      </c>
      <c r="C677" s="140" t="s">
        <v>1014</v>
      </c>
      <c r="D677" s="137" t="s">
        <v>856</v>
      </c>
      <c r="E677" s="138">
        <v>128</v>
      </c>
      <c r="F677" s="139">
        <v>1446.55</v>
      </c>
      <c r="G677" s="139">
        <v>0</v>
      </c>
      <c r="H677" s="141">
        <v>185158.39999999999</v>
      </c>
      <c r="I677" s="141">
        <v>0</v>
      </c>
      <c r="J677" s="136" t="s">
        <v>1005</v>
      </c>
      <c r="K677" s="126"/>
      <c r="L677" s="136" t="s">
        <v>1006</v>
      </c>
    </row>
    <row r="678" spans="1:12" s="22" customFormat="1" ht="26.65" customHeight="1" x14ac:dyDescent="0.25">
      <c r="A678" s="126" t="s">
        <v>2683</v>
      </c>
      <c r="B678" s="143"/>
      <c r="C678" s="136" t="s">
        <v>1015</v>
      </c>
      <c r="D678" s="137"/>
      <c r="E678" s="138"/>
      <c r="F678" s="139"/>
      <c r="G678" s="139"/>
      <c r="H678" s="139"/>
      <c r="I678" s="139"/>
      <c r="J678" s="136" t="s">
        <v>1005</v>
      </c>
      <c r="K678" s="126"/>
      <c r="L678" s="126"/>
    </row>
    <row r="679" spans="1:12" s="22" customFormat="1" ht="26.65" customHeight="1" x14ac:dyDescent="0.25">
      <c r="A679" s="126" t="s">
        <v>2683</v>
      </c>
      <c r="B679" s="143" t="s">
        <v>2093</v>
      </c>
      <c r="C679" s="140" t="s">
        <v>930</v>
      </c>
      <c r="D679" s="137" t="s">
        <v>856</v>
      </c>
      <c r="E679" s="138">
        <v>130</v>
      </c>
      <c r="F679" s="139">
        <v>2157</v>
      </c>
      <c r="G679" s="139">
        <v>0</v>
      </c>
      <c r="H679" s="141">
        <v>280410</v>
      </c>
      <c r="I679" s="141">
        <v>0</v>
      </c>
      <c r="J679" s="136" t="s">
        <v>1005</v>
      </c>
      <c r="K679" s="126"/>
      <c r="L679" s="136" t="s">
        <v>1015</v>
      </c>
    </row>
    <row r="680" spans="1:12" s="22" customFormat="1" ht="26.65" customHeight="1" x14ac:dyDescent="0.25">
      <c r="A680" s="126" t="s">
        <v>2683</v>
      </c>
      <c r="B680" s="143" t="s">
        <v>2094</v>
      </c>
      <c r="C680" s="140" t="s">
        <v>932</v>
      </c>
      <c r="D680" s="137" t="s">
        <v>856</v>
      </c>
      <c r="E680" s="138">
        <v>130</v>
      </c>
      <c r="F680" s="139">
        <v>2991.49</v>
      </c>
      <c r="G680" s="139">
        <v>0</v>
      </c>
      <c r="H680" s="141">
        <v>388893.69999999995</v>
      </c>
      <c r="I680" s="141">
        <v>0</v>
      </c>
      <c r="J680" s="136" t="s">
        <v>1005</v>
      </c>
      <c r="K680" s="126"/>
      <c r="L680" s="136" t="s">
        <v>1015</v>
      </c>
    </row>
    <row r="681" spans="1:12" s="22" customFormat="1" ht="26.65" customHeight="1" x14ac:dyDescent="0.25">
      <c r="A681" s="126" t="s">
        <v>2683</v>
      </c>
      <c r="B681" s="143" t="s">
        <v>2095</v>
      </c>
      <c r="C681" s="140" t="s">
        <v>934</v>
      </c>
      <c r="D681" s="137" t="s">
        <v>856</v>
      </c>
      <c r="E681" s="138">
        <v>130</v>
      </c>
      <c r="F681" s="139">
        <v>3228.86</v>
      </c>
      <c r="G681" s="139">
        <v>0</v>
      </c>
      <c r="H681" s="141">
        <v>419751.8</v>
      </c>
      <c r="I681" s="141">
        <v>0</v>
      </c>
      <c r="J681" s="136" t="s">
        <v>1005</v>
      </c>
      <c r="K681" s="126"/>
      <c r="L681" s="136" t="s">
        <v>1015</v>
      </c>
    </row>
    <row r="682" spans="1:12" s="22" customFormat="1" ht="26.65" customHeight="1" x14ac:dyDescent="0.25">
      <c r="A682" s="126" t="s">
        <v>2683</v>
      </c>
      <c r="B682" s="143" t="s">
        <v>2096</v>
      </c>
      <c r="C682" s="140" t="s">
        <v>1020</v>
      </c>
      <c r="D682" s="137" t="s">
        <v>856</v>
      </c>
      <c r="E682" s="138">
        <v>130</v>
      </c>
      <c r="F682" s="139">
        <v>3045.94</v>
      </c>
      <c r="G682" s="139">
        <v>0</v>
      </c>
      <c r="H682" s="141">
        <v>395972.2</v>
      </c>
      <c r="I682" s="141">
        <v>0</v>
      </c>
      <c r="J682" s="136" t="s">
        <v>1005</v>
      </c>
      <c r="K682" s="126"/>
      <c r="L682" s="136" t="s">
        <v>1015</v>
      </c>
    </row>
    <row r="683" spans="1:12" s="22" customFormat="1" ht="26.65" customHeight="1" x14ac:dyDescent="0.25">
      <c r="A683" s="126" t="s">
        <v>2683</v>
      </c>
      <c r="B683" s="143" t="s">
        <v>2097</v>
      </c>
      <c r="C683" s="140" t="s">
        <v>1022</v>
      </c>
      <c r="D683" s="137" t="s">
        <v>856</v>
      </c>
      <c r="E683" s="138">
        <v>130</v>
      </c>
      <c r="F683" s="139">
        <v>4071.16</v>
      </c>
      <c r="G683" s="139">
        <v>0</v>
      </c>
      <c r="H683" s="141">
        <v>529250.79999999993</v>
      </c>
      <c r="I683" s="141">
        <v>0</v>
      </c>
      <c r="J683" s="136" t="s">
        <v>1005</v>
      </c>
      <c r="K683" s="126"/>
      <c r="L683" s="136" t="s">
        <v>1015</v>
      </c>
    </row>
    <row r="684" spans="1:12" s="22" customFormat="1" ht="26.65" customHeight="1" x14ac:dyDescent="0.25">
      <c r="A684" s="126" t="s">
        <v>2683</v>
      </c>
      <c r="B684" s="143" t="s">
        <v>2098</v>
      </c>
      <c r="C684" s="140" t="s">
        <v>940</v>
      </c>
      <c r="D684" s="137" t="s">
        <v>856</v>
      </c>
      <c r="E684" s="138">
        <v>130</v>
      </c>
      <c r="F684" s="139">
        <v>4140.74</v>
      </c>
      <c r="G684" s="139">
        <v>0</v>
      </c>
      <c r="H684" s="141">
        <v>538296.19999999995</v>
      </c>
      <c r="I684" s="141">
        <v>0</v>
      </c>
      <c r="J684" s="136" t="s">
        <v>1005</v>
      </c>
      <c r="K684" s="126"/>
      <c r="L684" s="136" t="s">
        <v>1015</v>
      </c>
    </row>
    <row r="685" spans="1:12" s="22" customFormat="1" ht="26.65" customHeight="1" x14ac:dyDescent="0.25">
      <c r="A685" s="126" t="s">
        <v>2683</v>
      </c>
      <c r="B685" s="143" t="s">
        <v>2099</v>
      </c>
      <c r="C685" s="140" t="s">
        <v>942</v>
      </c>
      <c r="D685" s="137" t="s">
        <v>856</v>
      </c>
      <c r="E685" s="138">
        <v>130</v>
      </c>
      <c r="F685" s="139">
        <v>1190.33</v>
      </c>
      <c r="G685" s="139">
        <v>0</v>
      </c>
      <c r="H685" s="141">
        <v>154742.9</v>
      </c>
      <c r="I685" s="141">
        <v>0</v>
      </c>
      <c r="J685" s="136" t="s">
        <v>1005</v>
      </c>
      <c r="K685" s="126"/>
      <c r="L685" s="136" t="s">
        <v>1015</v>
      </c>
    </row>
    <row r="686" spans="1:12" s="22" customFormat="1" ht="26.65" customHeight="1" x14ac:dyDescent="0.25">
      <c r="A686" s="126" t="s">
        <v>2683</v>
      </c>
      <c r="B686" s="143" t="s">
        <v>2100</v>
      </c>
      <c r="C686" s="140" t="s">
        <v>944</v>
      </c>
      <c r="D686" s="137" t="s">
        <v>856</v>
      </c>
      <c r="E686" s="138">
        <v>130</v>
      </c>
      <c r="F686" s="139">
        <v>1562.76</v>
      </c>
      <c r="G686" s="139">
        <v>0</v>
      </c>
      <c r="H686" s="141">
        <v>203158.8</v>
      </c>
      <c r="I686" s="141">
        <v>0</v>
      </c>
      <c r="J686" s="136" t="s">
        <v>1005</v>
      </c>
      <c r="K686" s="126"/>
      <c r="L686" s="136" t="s">
        <v>1015</v>
      </c>
    </row>
    <row r="687" spans="1:12" s="22" customFormat="1" ht="26.65" customHeight="1" x14ac:dyDescent="0.25">
      <c r="A687" s="126" t="s">
        <v>2683</v>
      </c>
      <c r="B687" s="143" t="s">
        <v>2101</v>
      </c>
      <c r="C687" s="140" t="s">
        <v>946</v>
      </c>
      <c r="D687" s="137" t="s">
        <v>856</v>
      </c>
      <c r="E687" s="138">
        <v>130</v>
      </c>
      <c r="F687" s="139">
        <v>6750.58</v>
      </c>
      <c r="G687" s="139">
        <v>0</v>
      </c>
      <c r="H687" s="141">
        <v>877575.4</v>
      </c>
      <c r="I687" s="141">
        <v>0</v>
      </c>
      <c r="J687" s="136" t="s">
        <v>1005</v>
      </c>
      <c r="K687" s="126"/>
      <c r="L687" s="136" t="s">
        <v>1015</v>
      </c>
    </row>
    <row r="688" spans="1:12" s="22" customFormat="1" ht="26.65" customHeight="1" x14ac:dyDescent="0.25">
      <c r="A688" s="126" t="s">
        <v>2683</v>
      </c>
      <c r="B688" s="143" t="s">
        <v>2102</v>
      </c>
      <c r="C688" s="140" t="s">
        <v>948</v>
      </c>
      <c r="D688" s="137" t="s">
        <v>856</v>
      </c>
      <c r="E688" s="138">
        <v>120</v>
      </c>
      <c r="F688" s="139">
        <v>8732.51</v>
      </c>
      <c r="G688" s="139">
        <v>0</v>
      </c>
      <c r="H688" s="141">
        <v>1047901.2000000001</v>
      </c>
      <c r="I688" s="141">
        <v>0</v>
      </c>
      <c r="J688" s="136" t="s">
        <v>1005</v>
      </c>
      <c r="K688" s="126"/>
      <c r="L688" s="136" t="s">
        <v>1015</v>
      </c>
    </row>
    <row r="689" spans="1:12" s="22" customFormat="1" ht="26.65" customHeight="1" x14ac:dyDescent="0.25">
      <c r="A689" s="126" t="s">
        <v>2683</v>
      </c>
      <c r="B689" s="143" t="s">
        <v>2103</v>
      </c>
      <c r="C689" s="140" t="s">
        <v>950</v>
      </c>
      <c r="D689" s="137" t="s">
        <v>856</v>
      </c>
      <c r="E689" s="138">
        <v>120</v>
      </c>
      <c r="F689" s="139">
        <v>9348.84</v>
      </c>
      <c r="G689" s="139">
        <v>0</v>
      </c>
      <c r="H689" s="141">
        <v>1121860.8</v>
      </c>
      <c r="I689" s="141">
        <v>0</v>
      </c>
      <c r="J689" s="136" t="s">
        <v>1005</v>
      </c>
      <c r="K689" s="126"/>
      <c r="L689" s="136" t="s">
        <v>1015</v>
      </c>
    </row>
    <row r="690" spans="1:12" s="22" customFormat="1" ht="26.65" customHeight="1" x14ac:dyDescent="0.25">
      <c r="A690" s="126" t="s">
        <v>2683</v>
      </c>
      <c r="B690" s="143" t="s">
        <v>2104</v>
      </c>
      <c r="C690" s="140" t="s">
        <v>952</v>
      </c>
      <c r="D690" s="137" t="s">
        <v>856</v>
      </c>
      <c r="E690" s="138">
        <v>120</v>
      </c>
      <c r="F690" s="139">
        <v>18279.21</v>
      </c>
      <c r="G690" s="139">
        <v>0</v>
      </c>
      <c r="H690" s="141">
        <v>2193505.1999999997</v>
      </c>
      <c r="I690" s="141">
        <v>0</v>
      </c>
      <c r="J690" s="136" t="s">
        <v>1005</v>
      </c>
      <c r="K690" s="126"/>
      <c r="L690" s="136" t="s">
        <v>1015</v>
      </c>
    </row>
    <row r="691" spans="1:12" s="22" customFormat="1" ht="26.65" customHeight="1" x14ac:dyDescent="0.25">
      <c r="A691" s="126" t="s">
        <v>2683</v>
      </c>
      <c r="B691" s="143" t="s">
        <v>2105</v>
      </c>
      <c r="C691" s="140" t="s">
        <v>954</v>
      </c>
      <c r="D691" s="137" t="s">
        <v>856</v>
      </c>
      <c r="E691" s="138">
        <v>120</v>
      </c>
      <c r="F691" s="139">
        <v>8821.48</v>
      </c>
      <c r="G691" s="139">
        <v>0</v>
      </c>
      <c r="H691" s="141">
        <v>1058577.5999999999</v>
      </c>
      <c r="I691" s="141">
        <v>0</v>
      </c>
      <c r="J691" s="136" t="s">
        <v>1005</v>
      </c>
      <c r="K691" s="126"/>
      <c r="L691" s="136" t="s">
        <v>1015</v>
      </c>
    </row>
    <row r="692" spans="1:12" s="22" customFormat="1" ht="26.65" customHeight="1" x14ac:dyDescent="0.25">
      <c r="A692" s="126" t="s">
        <v>2683</v>
      </c>
      <c r="B692" s="143" t="s">
        <v>2106</v>
      </c>
      <c r="C692" s="140" t="s">
        <v>956</v>
      </c>
      <c r="D692" s="137" t="s">
        <v>856</v>
      </c>
      <c r="E692" s="138">
        <v>110</v>
      </c>
      <c r="F692" s="139">
        <v>18119.88</v>
      </c>
      <c r="G692" s="139">
        <v>0</v>
      </c>
      <c r="H692" s="141">
        <v>1993186.8</v>
      </c>
      <c r="I692" s="141">
        <v>0</v>
      </c>
      <c r="J692" s="136" t="s">
        <v>1005</v>
      </c>
      <c r="K692" s="126"/>
      <c r="L692" s="136" t="s">
        <v>1015</v>
      </c>
    </row>
    <row r="693" spans="1:12" s="22" customFormat="1" ht="26.65" customHeight="1" x14ac:dyDescent="0.25">
      <c r="A693" s="126" t="s">
        <v>2683</v>
      </c>
      <c r="B693" s="143" t="s">
        <v>2107</v>
      </c>
      <c r="C693" s="140" t="s">
        <v>958</v>
      </c>
      <c r="D693" s="137" t="s">
        <v>856</v>
      </c>
      <c r="E693" s="138">
        <v>88</v>
      </c>
      <c r="F693" s="139">
        <v>18119.88</v>
      </c>
      <c r="G693" s="139">
        <v>0</v>
      </c>
      <c r="H693" s="141">
        <v>1594549.4400000002</v>
      </c>
      <c r="I693" s="141">
        <v>0</v>
      </c>
      <c r="J693" s="136" t="s">
        <v>1005</v>
      </c>
      <c r="K693" s="126"/>
      <c r="L693" s="136" t="s">
        <v>1015</v>
      </c>
    </row>
    <row r="694" spans="1:12" s="22" customFormat="1" ht="26.65" customHeight="1" x14ac:dyDescent="0.25">
      <c r="A694" s="126" t="s">
        <v>2683</v>
      </c>
      <c r="B694" s="143" t="s">
        <v>2108</v>
      </c>
      <c r="C694" s="140" t="s">
        <v>960</v>
      </c>
      <c r="D694" s="137" t="s">
        <v>856</v>
      </c>
      <c r="E694" s="138">
        <v>110</v>
      </c>
      <c r="F694" s="139">
        <v>21257.65</v>
      </c>
      <c r="G694" s="139">
        <v>0</v>
      </c>
      <c r="H694" s="141">
        <v>2338341.5</v>
      </c>
      <c r="I694" s="141">
        <v>0</v>
      </c>
      <c r="J694" s="136" t="s">
        <v>1005</v>
      </c>
      <c r="K694" s="126"/>
      <c r="L694" s="136" t="s">
        <v>1015</v>
      </c>
    </row>
    <row r="695" spans="1:12" s="22" customFormat="1" ht="26.65" customHeight="1" x14ac:dyDescent="0.25">
      <c r="A695" s="126" t="s">
        <v>2683</v>
      </c>
      <c r="B695" s="143" t="s">
        <v>2109</v>
      </c>
      <c r="C695" s="140" t="s">
        <v>962</v>
      </c>
      <c r="D695" s="137" t="s">
        <v>856</v>
      </c>
      <c r="E695" s="138">
        <v>110</v>
      </c>
      <c r="F695" s="139">
        <v>57220.85</v>
      </c>
      <c r="G695" s="139">
        <v>0</v>
      </c>
      <c r="H695" s="141">
        <v>6294293.5</v>
      </c>
      <c r="I695" s="141">
        <v>0</v>
      </c>
      <c r="J695" s="136" t="s">
        <v>1005</v>
      </c>
      <c r="K695" s="126"/>
      <c r="L695" s="136" t="s">
        <v>1015</v>
      </c>
    </row>
    <row r="696" spans="1:12" s="22" customFormat="1" ht="26.65" customHeight="1" x14ac:dyDescent="0.25">
      <c r="A696" s="126" t="s">
        <v>2683</v>
      </c>
      <c r="B696" s="143" t="s">
        <v>2110</v>
      </c>
      <c r="C696" s="140" t="s">
        <v>964</v>
      </c>
      <c r="D696" s="137" t="s">
        <v>856</v>
      </c>
      <c r="E696" s="138">
        <v>110</v>
      </c>
      <c r="F696" s="139">
        <v>12721.5</v>
      </c>
      <c r="G696" s="139">
        <v>0</v>
      </c>
      <c r="H696" s="141">
        <v>1399365</v>
      </c>
      <c r="I696" s="141">
        <v>0</v>
      </c>
      <c r="J696" s="136" t="s">
        <v>1005</v>
      </c>
      <c r="K696" s="126"/>
      <c r="L696" s="136" t="s">
        <v>1015</v>
      </c>
    </row>
    <row r="697" spans="1:12" s="22" customFormat="1" ht="26.65" customHeight="1" x14ac:dyDescent="0.25">
      <c r="A697" s="126" t="s">
        <v>2683</v>
      </c>
      <c r="B697" s="143" t="s">
        <v>2111</v>
      </c>
      <c r="C697" s="140" t="s">
        <v>966</v>
      </c>
      <c r="D697" s="137" t="s">
        <v>856</v>
      </c>
      <c r="E697" s="138">
        <v>110</v>
      </c>
      <c r="F697" s="139">
        <v>13093.16</v>
      </c>
      <c r="G697" s="139">
        <v>0</v>
      </c>
      <c r="H697" s="141">
        <v>1440247.6</v>
      </c>
      <c r="I697" s="141">
        <v>0</v>
      </c>
      <c r="J697" s="136" t="s">
        <v>1005</v>
      </c>
      <c r="K697" s="126"/>
      <c r="L697" s="136" t="s">
        <v>1015</v>
      </c>
    </row>
    <row r="698" spans="1:12" s="22" customFormat="1" ht="26.65" customHeight="1" x14ac:dyDescent="0.25">
      <c r="A698" s="126" t="s">
        <v>2683</v>
      </c>
      <c r="B698" s="143" t="s">
        <v>2112</v>
      </c>
      <c r="C698" s="140" t="s">
        <v>968</v>
      </c>
      <c r="D698" s="137" t="s">
        <v>856</v>
      </c>
      <c r="E698" s="138">
        <v>100</v>
      </c>
      <c r="F698" s="139">
        <v>53289.41</v>
      </c>
      <c r="G698" s="139">
        <v>0</v>
      </c>
      <c r="H698" s="141">
        <v>5328941</v>
      </c>
      <c r="I698" s="141">
        <v>0</v>
      </c>
      <c r="J698" s="136" t="s">
        <v>1005</v>
      </c>
      <c r="K698" s="126"/>
      <c r="L698" s="136" t="s">
        <v>1015</v>
      </c>
    </row>
    <row r="699" spans="1:12" s="22" customFormat="1" ht="26.65" customHeight="1" x14ac:dyDescent="0.25">
      <c r="A699" s="126" t="s">
        <v>2683</v>
      </c>
      <c r="B699" s="143" t="s">
        <v>2113</v>
      </c>
      <c r="C699" s="140" t="s">
        <v>970</v>
      </c>
      <c r="D699" s="137" t="s">
        <v>856</v>
      </c>
      <c r="E699" s="138">
        <v>100</v>
      </c>
      <c r="F699" s="139">
        <v>53038.11</v>
      </c>
      <c r="G699" s="139">
        <v>0</v>
      </c>
      <c r="H699" s="141">
        <v>5303811</v>
      </c>
      <c r="I699" s="141">
        <v>0</v>
      </c>
      <c r="J699" s="136" t="s">
        <v>1005</v>
      </c>
      <c r="K699" s="126"/>
      <c r="L699" s="136" t="s">
        <v>1015</v>
      </c>
    </row>
    <row r="700" spans="1:12" s="22" customFormat="1" ht="26.65" customHeight="1" x14ac:dyDescent="0.25">
      <c r="A700" s="126" t="s">
        <v>2683</v>
      </c>
      <c r="B700" s="143" t="s">
        <v>2114</v>
      </c>
      <c r="C700" s="140" t="s">
        <v>972</v>
      </c>
      <c r="D700" s="137" t="s">
        <v>856</v>
      </c>
      <c r="E700" s="138">
        <v>100</v>
      </c>
      <c r="F700" s="139">
        <v>16075.34</v>
      </c>
      <c r="G700" s="139">
        <v>0</v>
      </c>
      <c r="H700" s="141">
        <v>1607534</v>
      </c>
      <c r="I700" s="141">
        <v>0</v>
      </c>
      <c r="J700" s="136" t="s">
        <v>1005</v>
      </c>
      <c r="K700" s="126"/>
      <c r="L700" s="136" t="s">
        <v>1015</v>
      </c>
    </row>
    <row r="701" spans="1:12" s="22" customFormat="1" ht="26.65" customHeight="1" x14ac:dyDescent="0.25">
      <c r="A701" s="126" t="s">
        <v>2683</v>
      </c>
      <c r="B701" s="143" t="s">
        <v>2115</v>
      </c>
      <c r="C701" s="140" t="s">
        <v>974</v>
      </c>
      <c r="D701" s="137" t="s">
        <v>856</v>
      </c>
      <c r="E701" s="138">
        <v>100</v>
      </c>
      <c r="F701" s="139">
        <v>16075.34</v>
      </c>
      <c r="G701" s="139">
        <v>0</v>
      </c>
      <c r="H701" s="141">
        <v>1607534</v>
      </c>
      <c r="I701" s="141">
        <v>0</v>
      </c>
      <c r="J701" s="136" t="s">
        <v>1005</v>
      </c>
      <c r="K701" s="126"/>
      <c r="L701" s="136" t="s">
        <v>1015</v>
      </c>
    </row>
    <row r="702" spans="1:12" s="22" customFormat="1" ht="26.65" customHeight="1" x14ac:dyDescent="0.25">
      <c r="A702" s="126" t="s">
        <v>2683</v>
      </c>
      <c r="B702" s="143" t="s">
        <v>2116</v>
      </c>
      <c r="C702" s="140" t="s">
        <v>976</v>
      </c>
      <c r="D702" s="137" t="s">
        <v>856</v>
      </c>
      <c r="E702" s="138">
        <v>100</v>
      </c>
      <c r="F702" s="139">
        <v>56277</v>
      </c>
      <c r="G702" s="139">
        <v>0</v>
      </c>
      <c r="H702" s="141">
        <v>5627700</v>
      </c>
      <c r="I702" s="141">
        <v>0</v>
      </c>
      <c r="J702" s="136" t="s">
        <v>1005</v>
      </c>
      <c r="K702" s="126"/>
      <c r="L702" s="136" t="s">
        <v>1015</v>
      </c>
    </row>
    <row r="703" spans="1:12" s="22" customFormat="1" ht="26.65" customHeight="1" x14ac:dyDescent="0.25">
      <c r="A703" s="126" t="s">
        <v>2683</v>
      </c>
      <c r="B703" s="143" t="s">
        <v>2117</v>
      </c>
      <c r="C703" s="140" t="s">
        <v>978</v>
      </c>
      <c r="D703" s="137" t="s">
        <v>856</v>
      </c>
      <c r="E703" s="138">
        <v>100</v>
      </c>
      <c r="F703" s="139">
        <v>56277</v>
      </c>
      <c r="G703" s="139">
        <v>0</v>
      </c>
      <c r="H703" s="141">
        <v>5627700</v>
      </c>
      <c r="I703" s="141">
        <v>0</v>
      </c>
      <c r="J703" s="136" t="s">
        <v>1005</v>
      </c>
      <c r="K703" s="126"/>
      <c r="L703" s="136" t="s">
        <v>1015</v>
      </c>
    </row>
    <row r="704" spans="1:12" s="22" customFormat="1" ht="26.65" customHeight="1" x14ac:dyDescent="0.25">
      <c r="A704" s="126" t="s">
        <v>2683</v>
      </c>
      <c r="B704" s="143" t="s">
        <v>2118</v>
      </c>
      <c r="C704" s="140" t="s">
        <v>980</v>
      </c>
      <c r="D704" s="137" t="s">
        <v>856</v>
      </c>
      <c r="E704" s="138">
        <v>100</v>
      </c>
      <c r="F704" s="139">
        <v>19910.66</v>
      </c>
      <c r="G704" s="139">
        <v>0</v>
      </c>
      <c r="H704" s="141">
        <v>1991066</v>
      </c>
      <c r="I704" s="141">
        <v>0</v>
      </c>
      <c r="J704" s="136" t="s">
        <v>1005</v>
      </c>
      <c r="K704" s="126"/>
      <c r="L704" s="136" t="s">
        <v>1015</v>
      </c>
    </row>
    <row r="705" spans="1:12" s="22" customFormat="1" ht="26.65" customHeight="1" x14ac:dyDescent="0.25">
      <c r="A705" s="126" t="s">
        <v>2683</v>
      </c>
      <c r="B705" s="143" t="s">
        <v>2119</v>
      </c>
      <c r="C705" s="140" t="s">
        <v>1051</v>
      </c>
      <c r="D705" s="137" t="s">
        <v>856</v>
      </c>
      <c r="E705" s="138">
        <v>100</v>
      </c>
      <c r="F705" s="139">
        <v>57135.71</v>
      </c>
      <c r="G705" s="139">
        <v>0</v>
      </c>
      <c r="H705" s="141">
        <v>5713571</v>
      </c>
      <c r="I705" s="141">
        <v>0</v>
      </c>
      <c r="J705" s="136" t="s">
        <v>1005</v>
      </c>
      <c r="K705" s="126"/>
      <c r="L705" s="136" t="s">
        <v>1015</v>
      </c>
    </row>
    <row r="706" spans="1:12" s="22" customFormat="1" ht="26.65" customHeight="1" x14ac:dyDescent="0.25">
      <c r="A706" s="126" t="s">
        <v>2683</v>
      </c>
      <c r="B706" s="143" t="s">
        <v>2120</v>
      </c>
      <c r="C706" s="140" t="s">
        <v>984</v>
      </c>
      <c r="D706" s="137" t="s">
        <v>856</v>
      </c>
      <c r="E706" s="138">
        <v>100</v>
      </c>
      <c r="F706" s="139">
        <v>64395.48</v>
      </c>
      <c r="G706" s="139">
        <v>0</v>
      </c>
      <c r="H706" s="141">
        <v>6439548</v>
      </c>
      <c r="I706" s="141">
        <v>0</v>
      </c>
      <c r="J706" s="136" t="s">
        <v>1005</v>
      </c>
      <c r="K706" s="126"/>
      <c r="L706" s="136" t="s">
        <v>1015</v>
      </c>
    </row>
    <row r="707" spans="1:12" s="22" customFormat="1" ht="26.65" customHeight="1" x14ac:dyDescent="0.25">
      <c r="A707" s="126" t="s">
        <v>2683</v>
      </c>
      <c r="B707" s="143" t="s">
        <v>2121</v>
      </c>
      <c r="C707" s="140" t="s">
        <v>986</v>
      </c>
      <c r="D707" s="137" t="s">
        <v>856</v>
      </c>
      <c r="E707" s="138">
        <v>80</v>
      </c>
      <c r="F707" s="139">
        <v>110811.86</v>
      </c>
      <c r="G707" s="139">
        <v>0</v>
      </c>
      <c r="H707" s="141">
        <v>8864948.8000000007</v>
      </c>
      <c r="I707" s="141">
        <v>0</v>
      </c>
      <c r="J707" s="136" t="s">
        <v>1005</v>
      </c>
      <c r="K707" s="126"/>
      <c r="L707" s="136" t="s">
        <v>1015</v>
      </c>
    </row>
    <row r="708" spans="1:12" s="22" customFormat="1" ht="26.65" customHeight="1" x14ac:dyDescent="0.25">
      <c r="A708" s="126" t="s">
        <v>2683</v>
      </c>
      <c r="B708" s="143" t="s">
        <v>2122</v>
      </c>
      <c r="C708" s="140" t="s">
        <v>988</v>
      </c>
      <c r="D708" s="137" t="s">
        <v>856</v>
      </c>
      <c r="E708" s="138">
        <v>80</v>
      </c>
      <c r="F708" s="139">
        <v>139166.29999999999</v>
      </c>
      <c r="G708" s="139">
        <v>0</v>
      </c>
      <c r="H708" s="141">
        <v>11133304</v>
      </c>
      <c r="I708" s="141">
        <v>0</v>
      </c>
      <c r="J708" s="136" t="s">
        <v>1005</v>
      </c>
      <c r="K708" s="126"/>
      <c r="L708" s="136" t="s">
        <v>1015</v>
      </c>
    </row>
    <row r="709" spans="1:12" s="22" customFormat="1" ht="26.65" customHeight="1" x14ac:dyDescent="0.25">
      <c r="A709" s="126" t="s">
        <v>2683</v>
      </c>
      <c r="B709" s="143" t="s">
        <v>2123</v>
      </c>
      <c r="C709" s="140" t="s">
        <v>990</v>
      </c>
      <c r="D709" s="137" t="s">
        <v>856</v>
      </c>
      <c r="E709" s="138">
        <v>80</v>
      </c>
      <c r="F709" s="139">
        <v>139166.29999999999</v>
      </c>
      <c r="G709" s="139">
        <v>0</v>
      </c>
      <c r="H709" s="141">
        <v>11133304</v>
      </c>
      <c r="I709" s="141">
        <v>0</v>
      </c>
      <c r="J709" s="136" t="s">
        <v>1005</v>
      </c>
      <c r="K709" s="126"/>
      <c r="L709" s="136" t="s">
        <v>1015</v>
      </c>
    </row>
    <row r="710" spans="1:12" s="22" customFormat="1" ht="26.65" customHeight="1" x14ac:dyDescent="0.25">
      <c r="A710" s="126" t="s">
        <v>2683</v>
      </c>
      <c r="B710" s="143" t="s">
        <v>2124</v>
      </c>
      <c r="C710" s="140" t="s">
        <v>992</v>
      </c>
      <c r="D710" s="137" t="s">
        <v>856</v>
      </c>
      <c r="E710" s="138">
        <v>80</v>
      </c>
      <c r="F710" s="139">
        <v>67896.84</v>
      </c>
      <c r="G710" s="139">
        <v>0</v>
      </c>
      <c r="H710" s="141">
        <v>5431747.1999999993</v>
      </c>
      <c r="I710" s="141">
        <v>0</v>
      </c>
      <c r="J710" s="136" t="s">
        <v>1005</v>
      </c>
      <c r="K710" s="126"/>
      <c r="L710" s="136" t="s">
        <v>1015</v>
      </c>
    </row>
    <row r="711" spans="1:12" s="22" customFormat="1" ht="26.65" customHeight="1" x14ac:dyDescent="0.25">
      <c r="A711" s="126" t="s">
        <v>2683</v>
      </c>
      <c r="B711" s="143" t="s">
        <v>2125</v>
      </c>
      <c r="C711" s="140" t="s">
        <v>994</v>
      </c>
      <c r="D711" s="137" t="s">
        <v>856</v>
      </c>
      <c r="E711" s="138">
        <v>80</v>
      </c>
      <c r="F711" s="139">
        <v>67896.84</v>
      </c>
      <c r="G711" s="139">
        <v>0</v>
      </c>
      <c r="H711" s="141">
        <v>5431747.1999999993</v>
      </c>
      <c r="I711" s="141">
        <v>0</v>
      </c>
      <c r="J711" s="136" t="s">
        <v>1005</v>
      </c>
      <c r="K711" s="126"/>
      <c r="L711" s="136" t="s">
        <v>1015</v>
      </c>
    </row>
    <row r="712" spans="1:12" s="22" customFormat="1" ht="26.65" customHeight="1" x14ac:dyDescent="0.25">
      <c r="A712" s="126" t="s">
        <v>2683</v>
      </c>
      <c r="B712" s="143" t="s">
        <v>2126</v>
      </c>
      <c r="C712" s="140" t="s">
        <v>996</v>
      </c>
      <c r="D712" s="137" t="s">
        <v>856</v>
      </c>
      <c r="E712" s="138">
        <v>80</v>
      </c>
      <c r="F712" s="139">
        <v>78592.490000000005</v>
      </c>
      <c r="G712" s="139">
        <v>0</v>
      </c>
      <c r="H712" s="141">
        <v>6287399.2000000002</v>
      </c>
      <c r="I712" s="141">
        <v>0</v>
      </c>
      <c r="J712" s="136" t="s">
        <v>1005</v>
      </c>
      <c r="K712" s="126"/>
      <c r="L712" s="136" t="s">
        <v>1015</v>
      </c>
    </row>
    <row r="713" spans="1:12" s="22" customFormat="1" ht="26.65" customHeight="1" x14ac:dyDescent="0.25">
      <c r="A713" s="126" t="s">
        <v>2683</v>
      </c>
      <c r="B713" s="143" t="s">
        <v>2127</v>
      </c>
      <c r="C713" s="140" t="s">
        <v>998</v>
      </c>
      <c r="D713" s="137" t="s">
        <v>856</v>
      </c>
      <c r="E713" s="138">
        <v>80</v>
      </c>
      <c r="F713" s="139">
        <v>104830.99</v>
      </c>
      <c r="G713" s="139">
        <v>0</v>
      </c>
      <c r="H713" s="141">
        <v>8386479.2000000002</v>
      </c>
      <c r="I713" s="141">
        <v>0</v>
      </c>
      <c r="J713" s="136" t="s">
        <v>1005</v>
      </c>
      <c r="K713" s="126"/>
      <c r="L713" s="136" t="s">
        <v>1015</v>
      </c>
    </row>
    <row r="714" spans="1:12" s="22" customFormat="1" ht="26.65" customHeight="1" x14ac:dyDescent="0.25">
      <c r="A714" s="126" t="s">
        <v>2683</v>
      </c>
      <c r="B714" s="143" t="s">
        <v>2128</v>
      </c>
      <c r="C714" s="140" t="s">
        <v>1000</v>
      </c>
      <c r="D714" s="137" t="s">
        <v>856</v>
      </c>
      <c r="E714" s="138">
        <v>80</v>
      </c>
      <c r="F714" s="139">
        <v>106598.35</v>
      </c>
      <c r="G714" s="139">
        <v>0</v>
      </c>
      <c r="H714" s="141">
        <v>8527868</v>
      </c>
      <c r="I714" s="141">
        <v>0</v>
      </c>
      <c r="J714" s="136" t="s">
        <v>1005</v>
      </c>
      <c r="K714" s="126"/>
      <c r="L714" s="136" t="s">
        <v>1015</v>
      </c>
    </row>
    <row r="715" spans="1:12" s="22" customFormat="1" ht="26.65" customHeight="1" x14ac:dyDescent="0.25">
      <c r="A715" s="126" t="s">
        <v>2683</v>
      </c>
      <c r="B715" s="143" t="s">
        <v>2129</v>
      </c>
      <c r="C715" s="140" t="s">
        <v>1002</v>
      </c>
      <c r="D715" s="137" t="s">
        <v>856</v>
      </c>
      <c r="E715" s="138">
        <v>80</v>
      </c>
      <c r="F715" s="139">
        <v>175687.37</v>
      </c>
      <c r="G715" s="139">
        <v>0</v>
      </c>
      <c r="H715" s="141">
        <v>14054989.6</v>
      </c>
      <c r="I715" s="141">
        <v>0</v>
      </c>
      <c r="J715" s="136" t="s">
        <v>1005</v>
      </c>
      <c r="K715" s="126"/>
      <c r="L715" s="136" t="s">
        <v>1015</v>
      </c>
    </row>
    <row r="716" spans="1:12" s="22" customFormat="1" ht="26.65" customHeight="1" x14ac:dyDescent="0.25">
      <c r="A716" s="126" t="s">
        <v>2683</v>
      </c>
      <c r="B716" s="143" t="s">
        <v>2130</v>
      </c>
      <c r="C716" s="140" t="s">
        <v>1004</v>
      </c>
      <c r="D716" s="137" t="s">
        <v>856</v>
      </c>
      <c r="E716" s="138">
        <v>80</v>
      </c>
      <c r="F716" s="139">
        <v>175687.37</v>
      </c>
      <c r="G716" s="139">
        <v>0</v>
      </c>
      <c r="H716" s="141">
        <v>14054989.6</v>
      </c>
      <c r="I716" s="141">
        <v>0</v>
      </c>
      <c r="J716" s="136" t="s">
        <v>1005</v>
      </c>
      <c r="K716" s="126"/>
      <c r="L716" s="136" t="s">
        <v>1015</v>
      </c>
    </row>
    <row r="717" spans="1:12" s="22" customFormat="1" ht="26.65" customHeight="1" x14ac:dyDescent="0.25">
      <c r="A717" s="126" t="s">
        <v>2683</v>
      </c>
      <c r="B717" s="143"/>
      <c r="C717" s="136" t="s">
        <v>2131</v>
      </c>
      <c r="D717" s="137"/>
      <c r="E717" s="138"/>
      <c r="F717" s="139"/>
      <c r="G717" s="139"/>
      <c r="H717" s="139"/>
      <c r="I717" s="139"/>
      <c r="J717" s="126"/>
      <c r="K717" s="126"/>
      <c r="L717" s="126"/>
    </row>
    <row r="718" spans="1:12" s="22" customFormat="1" ht="26.65" customHeight="1" x14ac:dyDescent="0.25">
      <c r="A718" s="126" t="s">
        <v>2683</v>
      </c>
      <c r="B718" s="143"/>
      <c r="C718" s="136" t="s">
        <v>2132</v>
      </c>
      <c r="D718" s="137"/>
      <c r="E718" s="138"/>
      <c r="F718" s="139"/>
      <c r="G718" s="139"/>
      <c r="H718" s="139"/>
      <c r="I718" s="139"/>
      <c r="J718" s="126"/>
      <c r="K718" s="126"/>
      <c r="L718" s="126"/>
    </row>
    <row r="719" spans="1:12" s="22" customFormat="1" ht="26.65" customHeight="1" x14ac:dyDescent="0.25">
      <c r="A719" s="126" t="s">
        <v>2683</v>
      </c>
      <c r="B719" s="143" t="s">
        <v>2133</v>
      </c>
      <c r="C719" s="140" t="s">
        <v>2134</v>
      </c>
      <c r="D719" s="137" t="s">
        <v>856</v>
      </c>
      <c r="E719" s="138">
        <v>600</v>
      </c>
      <c r="F719" s="139">
        <v>11193.75</v>
      </c>
      <c r="G719" s="139">
        <v>0</v>
      </c>
      <c r="H719" s="141">
        <v>6716250</v>
      </c>
      <c r="I719" s="141">
        <v>0</v>
      </c>
      <c r="J719" s="136" t="s">
        <v>2131</v>
      </c>
      <c r="K719" s="126"/>
      <c r="L719" s="136" t="s">
        <v>2132</v>
      </c>
    </row>
    <row r="720" spans="1:12" s="22" customFormat="1" ht="26.65" customHeight="1" x14ac:dyDescent="0.25">
      <c r="A720" s="126" t="s">
        <v>2683</v>
      </c>
      <c r="B720" s="143" t="s">
        <v>2135</v>
      </c>
      <c r="C720" s="140" t="s">
        <v>871</v>
      </c>
      <c r="D720" s="137" t="s">
        <v>856</v>
      </c>
      <c r="E720" s="138">
        <v>40</v>
      </c>
      <c r="F720" s="139">
        <v>310.94</v>
      </c>
      <c r="G720" s="139">
        <v>0</v>
      </c>
      <c r="H720" s="141">
        <v>12437.6</v>
      </c>
      <c r="I720" s="141">
        <v>0</v>
      </c>
      <c r="J720" s="136" t="s">
        <v>2131</v>
      </c>
      <c r="K720" s="126"/>
      <c r="L720" s="136" t="s">
        <v>2132</v>
      </c>
    </row>
    <row r="721" spans="1:12" s="22" customFormat="1" ht="26.65" customHeight="1" x14ac:dyDescent="0.25">
      <c r="A721" s="126" t="s">
        <v>2683</v>
      </c>
      <c r="B721" s="143" t="s">
        <v>2136</v>
      </c>
      <c r="C721" s="140" t="s">
        <v>873</v>
      </c>
      <c r="D721" s="137" t="s">
        <v>856</v>
      </c>
      <c r="E721" s="138">
        <v>42</v>
      </c>
      <c r="F721" s="139">
        <v>310.94</v>
      </c>
      <c r="G721" s="139">
        <v>0</v>
      </c>
      <c r="H721" s="141">
        <v>13059.48</v>
      </c>
      <c r="I721" s="141">
        <v>0</v>
      </c>
      <c r="J721" s="136" t="s">
        <v>2131</v>
      </c>
      <c r="K721" s="126"/>
      <c r="L721" s="136" t="s">
        <v>2132</v>
      </c>
    </row>
    <row r="722" spans="1:12" s="22" customFormat="1" ht="26.65" customHeight="1" x14ac:dyDescent="0.25">
      <c r="A722" s="126" t="s">
        <v>2683</v>
      </c>
      <c r="B722" s="143" t="s">
        <v>2137</v>
      </c>
      <c r="C722" s="140" t="s">
        <v>875</v>
      </c>
      <c r="D722" s="137" t="s">
        <v>856</v>
      </c>
      <c r="E722" s="138">
        <v>24</v>
      </c>
      <c r="F722" s="139">
        <v>373.13</v>
      </c>
      <c r="G722" s="139">
        <v>0</v>
      </c>
      <c r="H722" s="141">
        <v>8955.119999999999</v>
      </c>
      <c r="I722" s="141">
        <v>0</v>
      </c>
      <c r="J722" s="136" t="s">
        <v>2131</v>
      </c>
      <c r="K722" s="126"/>
      <c r="L722" s="136" t="s">
        <v>2132</v>
      </c>
    </row>
    <row r="723" spans="1:12" s="22" customFormat="1" ht="26.65" customHeight="1" x14ac:dyDescent="0.25">
      <c r="A723" s="126" t="s">
        <v>2683</v>
      </c>
      <c r="B723" s="143" t="s">
        <v>2138</v>
      </c>
      <c r="C723" s="140" t="s">
        <v>877</v>
      </c>
      <c r="D723" s="137" t="s">
        <v>856</v>
      </c>
      <c r="E723" s="138">
        <v>30</v>
      </c>
      <c r="F723" s="139">
        <v>684.06</v>
      </c>
      <c r="G723" s="139">
        <v>0</v>
      </c>
      <c r="H723" s="141">
        <v>20521.8</v>
      </c>
      <c r="I723" s="141">
        <v>0</v>
      </c>
      <c r="J723" s="136" t="s">
        <v>2131</v>
      </c>
      <c r="K723" s="126"/>
      <c r="L723" s="136" t="s">
        <v>2132</v>
      </c>
    </row>
    <row r="724" spans="1:12" s="22" customFormat="1" ht="26.65" customHeight="1" x14ac:dyDescent="0.25">
      <c r="A724" s="126" t="s">
        <v>2683</v>
      </c>
      <c r="B724" s="143" t="s">
        <v>2139</v>
      </c>
      <c r="C724" s="140" t="s">
        <v>879</v>
      </c>
      <c r="D724" s="137" t="s">
        <v>856</v>
      </c>
      <c r="E724" s="138">
        <v>30</v>
      </c>
      <c r="F724" s="139">
        <v>1181.56</v>
      </c>
      <c r="G724" s="139">
        <v>0</v>
      </c>
      <c r="H724" s="141">
        <v>35446.799999999996</v>
      </c>
      <c r="I724" s="141">
        <v>0</v>
      </c>
      <c r="J724" s="136" t="s">
        <v>2131</v>
      </c>
      <c r="K724" s="126"/>
      <c r="L724" s="136" t="s">
        <v>2132</v>
      </c>
    </row>
    <row r="725" spans="1:12" s="22" customFormat="1" ht="26.65" customHeight="1" x14ac:dyDescent="0.25">
      <c r="A725" s="126" t="s">
        <v>2683</v>
      </c>
      <c r="B725" s="143"/>
      <c r="C725" s="136" t="s">
        <v>2140</v>
      </c>
      <c r="D725" s="137"/>
      <c r="E725" s="138"/>
      <c r="F725" s="139"/>
      <c r="G725" s="139"/>
      <c r="H725" s="139"/>
      <c r="I725" s="139"/>
      <c r="J725" s="126"/>
      <c r="K725" s="126"/>
      <c r="L725" s="126"/>
    </row>
    <row r="726" spans="1:12" s="22" customFormat="1" ht="26.65" customHeight="1" x14ac:dyDescent="0.25">
      <c r="A726" s="126" t="s">
        <v>2683</v>
      </c>
      <c r="B726" s="143"/>
      <c r="C726" s="136" t="s">
        <v>2141</v>
      </c>
      <c r="D726" s="137"/>
      <c r="E726" s="138"/>
      <c r="F726" s="139"/>
      <c r="G726" s="139"/>
      <c r="H726" s="139"/>
      <c r="I726" s="139"/>
      <c r="J726" s="126"/>
      <c r="K726" s="126"/>
      <c r="L726" s="126"/>
    </row>
    <row r="727" spans="1:12" s="22" customFormat="1" ht="26.65" customHeight="1" x14ac:dyDescent="0.25">
      <c r="A727" s="126" t="s">
        <v>2683</v>
      </c>
      <c r="B727" s="143" t="s">
        <v>2142</v>
      </c>
      <c r="C727" s="140" t="s">
        <v>2143</v>
      </c>
      <c r="D727" s="137" t="s">
        <v>856</v>
      </c>
      <c r="E727" s="138">
        <v>200</v>
      </c>
      <c r="F727" s="139">
        <v>223.88</v>
      </c>
      <c r="G727" s="139">
        <v>0</v>
      </c>
      <c r="H727" s="141">
        <v>44776</v>
      </c>
      <c r="I727" s="141">
        <v>0</v>
      </c>
      <c r="J727" s="136" t="s">
        <v>2140</v>
      </c>
      <c r="K727" s="126"/>
      <c r="L727" s="136" t="s">
        <v>2141</v>
      </c>
    </row>
    <row r="728" spans="1:12" s="22" customFormat="1" ht="26.65" customHeight="1" x14ac:dyDescent="0.25">
      <c r="A728" s="126" t="s">
        <v>2683</v>
      </c>
      <c r="B728" s="143" t="s">
        <v>2144</v>
      </c>
      <c r="C728" s="140" t="s">
        <v>858</v>
      </c>
      <c r="D728" s="137" t="s">
        <v>856</v>
      </c>
      <c r="E728" s="138">
        <v>34</v>
      </c>
      <c r="F728" s="139">
        <v>310.94</v>
      </c>
      <c r="G728" s="139">
        <v>0</v>
      </c>
      <c r="H728" s="141">
        <v>10571.96</v>
      </c>
      <c r="I728" s="141">
        <v>0</v>
      </c>
      <c r="J728" s="136" t="s">
        <v>2140</v>
      </c>
      <c r="K728" s="126"/>
      <c r="L728" s="136" t="s">
        <v>2141</v>
      </c>
    </row>
    <row r="729" spans="1:12" s="22" customFormat="1" ht="26.65" customHeight="1" x14ac:dyDescent="0.25">
      <c r="A729" s="126" t="s">
        <v>2683</v>
      </c>
      <c r="B729" s="143" t="s">
        <v>2145</v>
      </c>
      <c r="C729" s="140" t="s">
        <v>860</v>
      </c>
      <c r="D729" s="137" t="s">
        <v>856</v>
      </c>
      <c r="E729" s="138">
        <v>40</v>
      </c>
      <c r="F729" s="139">
        <v>373.13</v>
      </c>
      <c r="G729" s="139">
        <v>0</v>
      </c>
      <c r="H729" s="141">
        <v>14925.2</v>
      </c>
      <c r="I729" s="141">
        <v>0</v>
      </c>
      <c r="J729" s="136" t="s">
        <v>2140</v>
      </c>
      <c r="K729" s="126"/>
      <c r="L729" s="136" t="s">
        <v>2141</v>
      </c>
    </row>
    <row r="730" spans="1:12" s="22" customFormat="1" ht="26.65" customHeight="1" x14ac:dyDescent="0.25">
      <c r="A730" s="126" t="s">
        <v>2683</v>
      </c>
      <c r="B730" s="143" t="s">
        <v>2146</v>
      </c>
      <c r="C730" s="140" t="s">
        <v>891</v>
      </c>
      <c r="D730" s="137" t="s">
        <v>856</v>
      </c>
      <c r="E730" s="138">
        <v>62</v>
      </c>
      <c r="F730" s="139">
        <v>684.06</v>
      </c>
      <c r="G730" s="139">
        <v>0</v>
      </c>
      <c r="H730" s="141">
        <v>42411.719999999994</v>
      </c>
      <c r="I730" s="141">
        <v>0</v>
      </c>
      <c r="J730" s="136" t="s">
        <v>2140</v>
      </c>
      <c r="K730" s="126"/>
      <c r="L730" s="136" t="s">
        <v>2141</v>
      </c>
    </row>
    <row r="731" spans="1:12" s="22" customFormat="1" ht="26.65" customHeight="1" x14ac:dyDescent="0.25">
      <c r="A731" s="126" t="s">
        <v>2683</v>
      </c>
      <c r="B731" s="143" t="s">
        <v>2147</v>
      </c>
      <c r="C731" s="140" t="s">
        <v>864</v>
      </c>
      <c r="D731" s="137" t="s">
        <v>856</v>
      </c>
      <c r="E731" s="138">
        <v>40</v>
      </c>
      <c r="F731" s="139">
        <v>1181.56</v>
      </c>
      <c r="G731" s="139">
        <v>0</v>
      </c>
      <c r="H731" s="141">
        <v>47262.399999999994</v>
      </c>
      <c r="I731" s="141">
        <v>0</v>
      </c>
      <c r="J731" s="136" t="s">
        <v>2140</v>
      </c>
      <c r="K731" s="126"/>
      <c r="L731" s="136" t="s">
        <v>2141</v>
      </c>
    </row>
    <row r="732" spans="1:12" s="22" customFormat="1" ht="26.65" customHeight="1" x14ac:dyDescent="0.25">
      <c r="A732" s="126" t="s">
        <v>2683</v>
      </c>
      <c r="B732" s="143" t="s">
        <v>2148</v>
      </c>
      <c r="C732" s="140" t="s">
        <v>855</v>
      </c>
      <c r="D732" s="137" t="s">
        <v>856</v>
      </c>
      <c r="E732" s="138">
        <v>180</v>
      </c>
      <c r="F732" s="139">
        <v>746.25</v>
      </c>
      <c r="G732" s="139">
        <v>0</v>
      </c>
      <c r="H732" s="141">
        <v>134325</v>
      </c>
      <c r="I732" s="141">
        <v>0</v>
      </c>
      <c r="J732" s="136" t="s">
        <v>2140</v>
      </c>
      <c r="K732" s="126"/>
      <c r="L732" s="136" t="s">
        <v>2141</v>
      </c>
    </row>
    <row r="733" spans="1:12" s="22" customFormat="1" ht="26.65" customHeight="1" x14ac:dyDescent="0.25">
      <c r="A733" s="126" t="s">
        <v>2683</v>
      </c>
      <c r="B733" s="143" t="s">
        <v>2149</v>
      </c>
      <c r="C733" s="140" t="s">
        <v>858</v>
      </c>
      <c r="D733" s="137" t="s">
        <v>856</v>
      </c>
      <c r="E733" s="138">
        <v>96</v>
      </c>
      <c r="F733" s="139">
        <v>746.25</v>
      </c>
      <c r="G733" s="139">
        <v>0</v>
      </c>
      <c r="H733" s="141">
        <v>71640</v>
      </c>
      <c r="I733" s="141">
        <v>0</v>
      </c>
      <c r="J733" s="136" t="s">
        <v>2140</v>
      </c>
      <c r="K733" s="126"/>
      <c r="L733" s="136" t="s">
        <v>2141</v>
      </c>
    </row>
    <row r="734" spans="1:12" s="22" customFormat="1" ht="26.65" customHeight="1" x14ac:dyDescent="0.25">
      <c r="A734" s="126" t="s">
        <v>2683</v>
      </c>
      <c r="B734" s="143" t="s">
        <v>2150</v>
      </c>
      <c r="C734" s="140" t="s">
        <v>860</v>
      </c>
      <c r="D734" s="137" t="s">
        <v>856</v>
      </c>
      <c r="E734" s="138">
        <v>188</v>
      </c>
      <c r="F734" s="139">
        <v>746.25</v>
      </c>
      <c r="G734" s="139">
        <v>0</v>
      </c>
      <c r="H734" s="141">
        <v>140295</v>
      </c>
      <c r="I734" s="141">
        <v>0</v>
      </c>
      <c r="J734" s="136" t="s">
        <v>2140</v>
      </c>
      <c r="K734" s="126"/>
      <c r="L734" s="136" t="s">
        <v>2141</v>
      </c>
    </row>
    <row r="735" spans="1:12" s="22" customFormat="1" ht="26.65" customHeight="1" x14ac:dyDescent="0.25">
      <c r="A735" s="126" t="s">
        <v>2683</v>
      </c>
      <c r="B735" s="143" t="s">
        <v>2151</v>
      </c>
      <c r="C735" s="140" t="s">
        <v>891</v>
      </c>
      <c r="D735" s="137" t="s">
        <v>856</v>
      </c>
      <c r="E735" s="138">
        <v>56</v>
      </c>
      <c r="F735" s="139">
        <v>746.25</v>
      </c>
      <c r="G735" s="139">
        <v>0</v>
      </c>
      <c r="H735" s="141">
        <v>41790</v>
      </c>
      <c r="I735" s="141">
        <v>0</v>
      </c>
      <c r="J735" s="136" t="s">
        <v>2140</v>
      </c>
      <c r="K735" s="126"/>
      <c r="L735" s="136" t="s">
        <v>2141</v>
      </c>
    </row>
    <row r="736" spans="1:12" s="22" customFormat="1" ht="26.65" customHeight="1" x14ac:dyDescent="0.25">
      <c r="A736" s="126" t="s">
        <v>2683</v>
      </c>
      <c r="B736" s="143" t="s">
        <v>2152</v>
      </c>
      <c r="C736" s="140" t="s">
        <v>864</v>
      </c>
      <c r="D736" s="137" t="s">
        <v>856</v>
      </c>
      <c r="E736" s="138">
        <v>150</v>
      </c>
      <c r="F736" s="139">
        <v>746.25</v>
      </c>
      <c r="G736" s="139">
        <v>0</v>
      </c>
      <c r="H736" s="141">
        <v>111937.5</v>
      </c>
      <c r="I736" s="141">
        <v>0</v>
      </c>
      <c r="J736" s="136" t="s">
        <v>2140</v>
      </c>
      <c r="K736" s="126"/>
      <c r="L736" s="136" t="s">
        <v>2141</v>
      </c>
    </row>
    <row r="737" spans="1:12" s="22" customFormat="1" ht="26.65" customHeight="1" x14ac:dyDescent="0.25">
      <c r="A737" s="126" t="s">
        <v>2683</v>
      </c>
      <c r="B737" s="143" t="s">
        <v>2153</v>
      </c>
      <c r="C737" s="140" t="s">
        <v>2154</v>
      </c>
      <c r="D737" s="137" t="s">
        <v>856</v>
      </c>
      <c r="E737" s="138">
        <v>40</v>
      </c>
      <c r="F737" s="139">
        <v>746.25</v>
      </c>
      <c r="G737" s="139">
        <v>0</v>
      </c>
      <c r="H737" s="141">
        <v>29850</v>
      </c>
      <c r="I737" s="141">
        <v>0</v>
      </c>
      <c r="J737" s="136" t="s">
        <v>2140</v>
      </c>
      <c r="K737" s="126"/>
      <c r="L737" s="136" t="s">
        <v>2141</v>
      </c>
    </row>
    <row r="738" spans="1:12" s="22" customFormat="1" ht="26.65" customHeight="1" x14ac:dyDescent="0.25">
      <c r="A738" s="126" t="s">
        <v>2683</v>
      </c>
      <c r="B738" s="143" t="s">
        <v>2155</v>
      </c>
      <c r="C738" s="140" t="s">
        <v>2156</v>
      </c>
      <c r="D738" s="137" t="s">
        <v>40</v>
      </c>
      <c r="E738" s="138">
        <v>500</v>
      </c>
      <c r="F738" s="139">
        <v>746.25</v>
      </c>
      <c r="G738" s="139">
        <v>0</v>
      </c>
      <c r="H738" s="141">
        <v>373125</v>
      </c>
      <c r="I738" s="141">
        <v>0</v>
      </c>
      <c r="J738" s="136" t="s">
        <v>2140</v>
      </c>
      <c r="K738" s="126"/>
      <c r="L738" s="136" t="s">
        <v>2141</v>
      </c>
    </row>
    <row r="739" spans="1:12" s="22" customFormat="1" ht="26.65" customHeight="1" x14ac:dyDescent="0.25">
      <c r="A739" s="126" t="s">
        <v>2683</v>
      </c>
      <c r="B739" s="143" t="s">
        <v>2157</v>
      </c>
      <c r="C739" s="140" t="s">
        <v>2158</v>
      </c>
      <c r="D739" s="137" t="s">
        <v>1993</v>
      </c>
      <c r="E739" s="138">
        <v>300</v>
      </c>
      <c r="F739" s="139">
        <v>9328.1299999999992</v>
      </c>
      <c r="G739" s="139">
        <v>0</v>
      </c>
      <c r="H739" s="141">
        <v>2798438.9999999995</v>
      </c>
      <c r="I739" s="141">
        <v>0</v>
      </c>
      <c r="J739" s="136" t="s">
        <v>2140</v>
      </c>
      <c r="K739" s="126"/>
      <c r="L739" s="136" t="s">
        <v>2141</v>
      </c>
    </row>
    <row r="740" spans="1:12" s="22" customFormat="1" ht="26.65" customHeight="1" x14ac:dyDescent="0.25">
      <c r="A740" s="126" t="s">
        <v>2683</v>
      </c>
      <c r="B740" s="143" t="s">
        <v>2159</v>
      </c>
      <c r="C740" s="140" t="s">
        <v>2160</v>
      </c>
      <c r="D740" s="137" t="s">
        <v>851</v>
      </c>
      <c r="E740" s="138">
        <v>600</v>
      </c>
      <c r="F740" s="139">
        <v>248.75</v>
      </c>
      <c r="G740" s="139">
        <v>0</v>
      </c>
      <c r="H740" s="141">
        <v>149250</v>
      </c>
      <c r="I740" s="141">
        <v>0</v>
      </c>
      <c r="J740" s="136" t="s">
        <v>2140</v>
      </c>
      <c r="K740" s="126"/>
      <c r="L740" s="136" t="s">
        <v>2141</v>
      </c>
    </row>
    <row r="741" spans="1:12" s="22" customFormat="1" ht="26.65" customHeight="1" x14ac:dyDescent="0.25">
      <c r="A741" s="126" t="s">
        <v>2683</v>
      </c>
      <c r="B741" s="143" t="s">
        <v>2161</v>
      </c>
      <c r="C741" s="140" t="s">
        <v>2162</v>
      </c>
      <c r="D741" s="137" t="s">
        <v>856</v>
      </c>
      <c r="E741" s="138">
        <v>92</v>
      </c>
      <c r="F741" s="139">
        <v>6218.75</v>
      </c>
      <c r="G741" s="139">
        <v>0</v>
      </c>
      <c r="H741" s="141">
        <v>572125</v>
      </c>
      <c r="I741" s="141">
        <v>0</v>
      </c>
      <c r="J741" s="136" t="s">
        <v>2140</v>
      </c>
      <c r="K741" s="126"/>
      <c r="L741" s="136" t="s">
        <v>2141</v>
      </c>
    </row>
    <row r="742" spans="1:12" s="22" customFormat="1" ht="26.65" customHeight="1" x14ac:dyDescent="0.25">
      <c r="A742" s="126" t="s">
        <v>2683</v>
      </c>
      <c r="B742" s="143" t="s">
        <v>2163</v>
      </c>
      <c r="C742" s="140" t="s">
        <v>2164</v>
      </c>
      <c r="D742" s="137" t="s">
        <v>856</v>
      </c>
      <c r="E742" s="138">
        <v>200</v>
      </c>
      <c r="F742" s="139">
        <v>6218.75</v>
      </c>
      <c r="G742" s="139">
        <v>0</v>
      </c>
      <c r="H742" s="141">
        <v>1243750</v>
      </c>
      <c r="I742" s="141">
        <v>0</v>
      </c>
      <c r="J742" s="136" t="s">
        <v>2140</v>
      </c>
      <c r="K742" s="126"/>
      <c r="L742" s="136" t="s">
        <v>2141</v>
      </c>
    </row>
    <row r="743" spans="1:12" s="22" customFormat="1" ht="26.65" customHeight="1" x14ac:dyDescent="0.25">
      <c r="A743" s="126" t="s">
        <v>2683</v>
      </c>
      <c r="B743" s="143"/>
      <c r="C743" s="136" t="s">
        <v>2165</v>
      </c>
      <c r="D743" s="137"/>
      <c r="E743" s="138"/>
      <c r="F743" s="139"/>
      <c r="G743" s="139"/>
      <c r="H743" s="139"/>
      <c r="I743" s="139"/>
      <c r="J743" s="126"/>
      <c r="K743" s="126"/>
      <c r="L743" s="126"/>
    </row>
    <row r="744" spans="1:12" s="22" customFormat="1" ht="26.65" customHeight="1" x14ac:dyDescent="0.25">
      <c r="A744" s="126" t="s">
        <v>2683</v>
      </c>
      <c r="B744" s="143" t="s">
        <v>2166</v>
      </c>
      <c r="C744" s="140" t="s">
        <v>2167</v>
      </c>
      <c r="D744" s="137" t="s">
        <v>133</v>
      </c>
      <c r="E744" s="138">
        <v>40</v>
      </c>
      <c r="F744" s="139">
        <v>92454.14</v>
      </c>
      <c r="G744" s="139">
        <v>0</v>
      </c>
      <c r="H744" s="141">
        <v>3698165.6</v>
      </c>
      <c r="I744" s="141">
        <v>0</v>
      </c>
      <c r="J744" s="126"/>
      <c r="K744" s="126"/>
      <c r="L744" s="136" t="s">
        <v>2165</v>
      </c>
    </row>
    <row r="745" spans="1:12" s="22" customFormat="1" ht="26.65" customHeight="1" x14ac:dyDescent="0.25">
      <c r="A745" s="126" t="s">
        <v>2683</v>
      </c>
      <c r="B745" s="143"/>
      <c r="C745" s="136" t="s">
        <v>2168</v>
      </c>
      <c r="D745" s="137"/>
      <c r="E745" s="138"/>
      <c r="F745" s="139"/>
      <c r="G745" s="139"/>
      <c r="H745" s="139"/>
      <c r="I745" s="139"/>
      <c r="J745" s="126"/>
      <c r="K745" s="126"/>
      <c r="L745" s="126"/>
    </row>
    <row r="746" spans="1:12" s="22" customFormat="1" ht="26.65" customHeight="1" x14ac:dyDescent="0.25">
      <c r="A746" s="126" t="s">
        <v>2683</v>
      </c>
      <c r="B746" s="143" t="s">
        <v>2169</v>
      </c>
      <c r="C746" s="140" t="s">
        <v>2170</v>
      </c>
      <c r="D746" s="137" t="s">
        <v>133</v>
      </c>
      <c r="E746" s="138">
        <v>40</v>
      </c>
      <c r="F746" s="139">
        <v>24997.31</v>
      </c>
      <c r="G746" s="139">
        <v>0</v>
      </c>
      <c r="H746" s="141">
        <v>999892.4</v>
      </c>
      <c r="I746" s="141">
        <v>0</v>
      </c>
      <c r="J746" s="126"/>
      <c r="K746" s="126"/>
      <c r="L746" s="136" t="s">
        <v>2168</v>
      </c>
    </row>
    <row r="747" spans="1:12" s="22" customFormat="1" ht="26.65" customHeight="1" x14ac:dyDescent="0.25">
      <c r="A747" s="126" t="s">
        <v>2683</v>
      </c>
      <c r="B747" s="143" t="s">
        <v>2171</v>
      </c>
      <c r="C747" s="140" t="s">
        <v>2172</v>
      </c>
      <c r="D747" s="137" t="s">
        <v>133</v>
      </c>
      <c r="E747" s="138">
        <v>52</v>
      </c>
      <c r="F747" s="139">
        <v>31216.06</v>
      </c>
      <c r="G747" s="139">
        <v>0</v>
      </c>
      <c r="H747" s="141">
        <v>1623235.12</v>
      </c>
      <c r="I747" s="141">
        <v>0</v>
      </c>
      <c r="J747" s="126"/>
      <c r="K747" s="126"/>
      <c r="L747" s="136" t="s">
        <v>2168</v>
      </c>
    </row>
    <row r="748" spans="1:12" s="22" customFormat="1" ht="26.65" customHeight="1" x14ac:dyDescent="0.25">
      <c r="A748" s="126" t="s">
        <v>2683</v>
      </c>
      <c r="B748" s="143"/>
      <c r="C748" s="136" t="s">
        <v>2173</v>
      </c>
      <c r="D748" s="137"/>
      <c r="E748" s="138"/>
      <c r="F748" s="139"/>
      <c r="G748" s="139"/>
      <c r="H748" s="139"/>
      <c r="I748" s="139"/>
      <c r="J748" s="126"/>
      <c r="K748" s="126"/>
      <c r="L748" s="126"/>
    </row>
    <row r="749" spans="1:12" s="22" customFormat="1" ht="26.65" customHeight="1" x14ac:dyDescent="0.25">
      <c r="A749" s="126" t="s">
        <v>2683</v>
      </c>
      <c r="B749" s="143" t="s">
        <v>2174</v>
      </c>
      <c r="C749" s="140" t="s">
        <v>2175</v>
      </c>
      <c r="D749" s="137" t="s">
        <v>133</v>
      </c>
      <c r="E749" s="138">
        <v>20</v>
      </c>
      <c r="F749" s="139">
        <v>7460.44</v>
      </c>
      <c r="G749" s="139">
        <v>0</v>
      </c>
      <c r="H749" s="141">
        <v>149208.79999999999</v>
      </c>
      <c r="I749" s="141">
        <v>0</v>
      </c>
      <c r="J749" s="126"/>
      <c r="K749" s="126"/>
      <c r="L749" s="136" t="s">
        <v>2173</v>
      </c>
    </row>
    <row r="750" spans="1:12" s="22" customFormat="1" ht="26.65" customHeight="1" x14ac:dyDescent="0.25">
      <c r="A750" s="126" t="s">
        <v>2683</v>
      </c>
      <c r="B750" s="143" t="s">
        <v>2176</v>
      </c>
      <c r="C750" s="140" t="s">
        <v>2177</v>
      </c>
      <c r="D750" s="137" t="s">
        <v>133</v>
      </c>
      <c r="E750" s="138">
        <v>20</v>
      </c>
      <c r="F750" s="139">
        <v>7902.84</v>
      </c>
      <c r="G750" s="139">
        <v>0</v>
      </c>
      <c r="H750" s="141">
        <v>158056.79999999999</v>
      </c>
      <c r="I750" s="141">
        <v>0</v>
      </c>
      <c r="J750" s="126"/>
      <c r="K750" s="126"/>
      <c r="L750" s="136" t="s">
        <v>2173</v>
      </c>
    </row>
    <row r="751" spans="1:12" s="22" customFormat="1" ht="26.65" customHeight="1" x14ac:dyDescent="0.25">
      <c r="A751" s="126" t="s">
        <v>2683</v>
      </c>
      <c r="B751" s="143"/>
      <c r="C751" s="136" t="s">
        <v>2178</v>
      </c>
      <c r="D751" s="137"/>
      <c r="E751" s="138"/>
      <c r="F751" s="139"/>
      <c r="G751" s="139"/>
      <c r="H751" s="139"/>
      <c r="I751" s="139"/>
      <c r="J751" s="126"/>
      <c r="K751" s="126"/>
      <c r="L751" s="126"/>
    </row>
    <row r="752" spans="1:12" s="22" customFormat="1" ht="26.65" customHeight="1" x14ac:dyDescent="0.25">
      <c r="A752" s="126" t="s">
        <v>2683</v>
      </c>
      <c r="B752" s="143" t="s">
        <v>2179</v>
      </c>
      <c r="C752" s="140" t="s">
        <v>2180</v>
      </c>
      <c r="D752" s="137" t="s">
        <v>133</v>
      </c>
      <c r="E752" s="138">
        <v>30</v>
      </c>
      <c r="F752" s="139">
        <v>69.489999999999995</v>
      </c>
      <c r="G752" s="139">
        <v>3274.18</v>
      </c>
      <c r="H752" s="141">
        <v>2084.6999999999998</v>
      </c>
      <c r="I752" s="141">
        <v>98225.4</v>
      </c>
      <c r="J752" s="126"/>
      <c r="K752" s="126"/>
      <c r="L752" s="136" t="s">
        <v>2178</v>
      </c>
    </row>
    <row r="753" spans="1:12" s="22" customFormat="1" ht="26.65" customHeight="1" x14ac:dyDescent="0.25">
      <c r="A753" s="126" t="s">
        <v>2683</v>
      </c>
      <c r="B753" s="143"/>
      <c r="C753" s="136" t="s">
        <v>2181</v>
      </c>
      <c r="D753" s="137"/>
      <c r="E753" s="138"/>
      <c r="F753" s="139"/>
      <c r="G753" s="139"/>
      <c r="H753" s="139"/>
      <c r="I753" s="139"/>
      <c r="J753" s="126"/>
      <c r="K753" s="126"/>
      <c r="L753" s="126"/>
    </row>
    <row r="754" spans="1:12" s="22" customFormat="1" ht="26.65" customHeight="1" x14ac:dyDescent="0.25">
      <c r="A754" s="126" t="s">
        <v>2683</v>
      </c>
      <c r="B754" s="143" t="s">
        <v>2182</v>
      </c>
      <c r="C754" s="140" t="s">
        <v>2183</v>
      </c>
      <c r="D754" s="137" t="s">
        <v>133</v>
      </c>
      <c r="E754" s="138">
        <v>58</v>
      </c>
      <c r="F754" s="139">
        <v>2300.54</v>
      </c>
      <c r="G754" s="139">
        <v>0</v>
      </c>
      <c r="H754" s="141">
        <v>133431.32</v>
      </c>
      <c r="I754" s="141">
        <v>0</v>
      </c>
      <c r="J754" s="126"/>
      <c r="K754" s="126"/>
      <c r="L754" s="136" t="s">
        <v>2181</v>
      </c>
    </row>
    <row r="755" spans="1:12" s="22" customFormat="1" ht="26.65" customHeight="1" x14ac:dyDescent="0.25">
      <c r="A755" s="126" t="s">
        <v>2683</v>
      </c>
      <c r="B755" s="143" t="s">
        <v>2184</v>
      </c>
      <c r="C755" s="140" t="s">
        <v>2185</v>
      </c>
      <c r="D755" s="137" t="s">
        <v>133</v>
      </c>
      <c r="E755" s="138">
        <v>44</v>
      </c>
      <c r="F755" s="139">
        <v>2300.54</v>
      </c>
      <c r="G755" s="139">
        <v>0</v>
      </c>
      <c r="H755" s="141">
        <v>101223.76</v>
      </c>
      <c r="I755" s="141">
        <v>0</v>
      </c>
      <c r="J755" s="126"/>
      <c r="K755" s="126"/>
      <c r="L755" s="136" t="s">
        <v>2181</v>
      </c>
    </row>
    <row r="756" spans="1:12" s="22" customFormat="1" ht="26.65" customHeight="1" x14ac:dyDescent="0.25">
      <c r="A756" s="126" t="s">
        <v>2683</v>
      </c>
      <c r="B756" s="143" t="s">
        <v>2186</v>
      </c>
      <c r="C756" s="140" t="s">
        <v>2187</v>
      </c>
      <c r="D756" s="137" t="s">
        <v>133</v>
      </c>
      <c r="E756" s="138">
        <v>62</v>
      </c>
      <c r="F756" s="139">
        <v>2300.54</v>
      </c>
      <c r="G756" s="139">
        <v>0</v>
      </c>
      <c r="H756" s="141">
        <v>142633.48000000001</v>
      </c>
      <c r="I756" s="141">
        <v>0</v>
      </c>
      <c r="J756" s="126"/>
      <c r="K756" s="126"/>
      <c r="L756" s="136" t="s">
        <v>2181</v>
      </c>
    </row>
    <row r="757" spans="1:12" s="22" customFormat="1" ht="26.65" customHeight="1" x14ac:dyDescent="0.25">
      <c r="A757" s="126" t="s">
        <v>2683</v>
      </c>
      <c r="B757" s="143" t="s">
        <v>2188</v>
      </c>
      <c r="C757" s="140" t="s">
        <v>2189</v>
      </c>
      <c r="D757" s="137" t="s">
        <v>133</v>
      </c>
      <c r="E757" s="138">
        <v>48</v>
      </c>
      <c r="F757" s="139">
        <v>2300.54</v>
      </c>
      <c r="G757" s="139">
        <v>0</v>
      </c>
      <c r="H757" s="141">
        <v>110425.92</v>
      </c>
      <c r="I757" s="141">
        <v>0</v>
      </c>
      <c r="J757" s="126"/>
      <c r="K757" s="126"/>
      <c r="L757" s="136" t="s">
        <v>2181</v>
      </c>
    </row>
    <row r="758" spans="1:12" s="22" customFormat="1" ht="26.65" customHeight="1" x14ac:dyDescent="0.25">
      <c r="A758" s="126" t="s">
        <v>2683</v>
      </c>
      <c r="B758" s="143" t="s">
        <v>2190</v>
      </c>
      <c r="C758" s="140" t="s">
        <v>2191</v>
      </c>
      <c r="D758" s="137" t="s">
        <v>133</v>
      </c>
      <c r="E758" s="138">
        <v>74</v>
      </c>
      <c r="F758" s="139">
        <v>2300.54</v>
      </c>
      <c r="G758" s="139">
        <v>0</v>
      </c>
      <c r="H758" s="141">
        <v>170239.96</v>
      </c>
      <c r="I758" s="141">
        <v>0</v>
      </c>
      <c r="J758" s="126"/>
      <c r="K758" s="126"/>
      <c r="L758" s="136" t="s">
        <v>2181</v>
      </c>
    </row>
    <row r="759" spans="1:12" s="22" customFormat="1" ht="26.65" customHeight="1" x14ac:dyDescent="0.25">
      <c r="A759" s="126" t="s">
        <v>2683</v>
      </c>
      <c r="B759" s="143" t="s">
        <v>2192</v>
      </c>
      <c r="C759" s="140" t="s">
        <v>2193</v>
      </c>
      <c r="D759" s="137" t="s">
        <v>133</v>
      </c>
      <c r="E759" s="138">
        <v>80</v>
      </c>
      <c r="F759" s="139">
        <v>2300.54</v>
      </c>
      <c r="G759" s="139">
        <v>0</v>
      </c>
      <c r="H759" s="141">
        <v>184043.2</v>
      </c>
      <c r="I759" s="141">
        <v>0</v>
      </c>
      <c r="J759" s="126"/>
      <c r="K759" s="126"/>
      <c r="L759" s="136" t="s">
        <v>2181</v>
      </c>
    </row>
    <row r="760" spans="1:12" s="22" customFormat="1" ht="26.65" customHeight="1" x14ac:dyDescent="0.25">
      <c r="A760" s="126" t="s">
        <v>2683</v>
      </c>
      <c r="B760" s="143" t="s">
        <v>2194</v>
      </c>
      <c r="C760" s="140" t="s">
        <v>2195</v>
      </c>
      <c r="D760" s="137" t="s">
        <v>133</v>
      </c>
      <c r="E760" s="138">
        <v>58</v>
      </c>
      <c r="F760" s="139">
        <v>2300.54</v>
      </c>
      <c r="G760" s="139">
        <v>0</v>
      </c>
      <c r="H760" s="141">
        <v>133431.32</v>
      </c>
      <c r="I760" s="141">
        <v>0</v>
      </c>
      <c r="J760" s="126"/>
      <c r="K760" s="126"/>
      <c r="L760" s="136" t="s">
        <v>2181</v>
      </c>
    </row>
    <row r="761" spans="1:12" s="22" customFormat="1" ht="26.65" customHeight="1" x14ac:dyDescent="0.25">
      <c r="A761" s="126" t="s">
        <v>2683</v>
      </c>
      <c r="B761" s="143" t="s">
        <v>2196</v>
      </c>
      <c r="C761" s="140" t="s">
        <v>2197</v>
      </c>
      <c r="D761" s="137" t="s">
        <v>133</v>
      </c>
      <c r="E761" s="138">
        <v>20</v>
      </c>
      <c r="F761" s="139">
        <v>174734.07999999999</v>
      </c>
      <c r="G761" s="139">
        <v>0</v>
      </c>
      <c r="H761" s="141">
        <v>3494681.5999999996</v>
      </c>
      <c r="I761" s="141">
        <v>0</v>
      </c>
      <c r="J761" s="126"/>
      <c r="K761" s="126"/>
      <c r="L761" s="136" t="s">
        <v>2181</v>
      </c>
    </row>
    <row r="762" spans="1:12" s="22" customFormat="1" ht="26.65" customHeight="1" x14ac:dyDescent="0.25">
      <c r="A762" s="126" t="s">
        <v>2683</v>
      </c>
      <c r="B762" s="143" t="s">
        <v>2198</v>
      </c>
      <c r="C762" s="140" t="s">
        <v>2199</v>
      </c>
      <c r="D762" s="137" t="s">
        <v>133</v>
      </c>
      <c r="E762" s="138">
        <v>20</v>
      </c>
      <c r="F762" s="139">
        <v>8778.6</v>
      </c>
      <c r="G762" s="139">
        <v>40176.86</v>
      </c>
      <c r="H762" s="141">
        <v>175572</v>
      </c>
      <c r="I762" s="141">
        <v>803537.2</v>
      </c>
      <c r="J762" s="126"/>
      <c r="K762" s="126"/>
      <c r="L762" s="136" t="s">
        <v>2181</v>
      </c>
    </row>
    <row r="763" spans="1:12" s="22" customFormat="1" ht="26.65" customHeight="1" x14ac:dyDescent="0.25">
      <c r="A763" s="126" t="s">
        <v>2683</v>
      </c>
      <c r="B763" s="143" t="s">
        <v>2200</v>
      </c>
      <c r="C763" s="140" t="s">
        <v>2201</v>
      </c>
      <c r="D763" s="137" t="s">
        <v>133</v>
      </c>
      <c r="E763" s="138">
        <v>20</v>
      </c>
      <c r="F763" s="139">
        <v>8778.6</v>
      </c>
      <c r="G763" s="139">
        <v>40177.68</v>
      </c>
      <c r="H763" s="141">
        <v>175572</v>
      </c>
      <c r="I763" s="141">
        <v>803553.6</v>
      </c>
      <c r="J763" s="126"/>
      <c r="K763" s="126"/>
      <c r="L763" s="136" t="s">
        <v>2181</v>
      </c>
    </row>
    <row r="764" spans="1:12" s="22" customFormat="1" ht="26.65" customHeight="1" x14ac:dyDescent="0.25">
      <c r="A764" s="126" t="s">
        <v>2683</v>
      </c>
      <c r="B764" s="143" t="s">
        <v>2202</v>
      </c>
      <c r="C764" s="140" t="s">
        <v>2203</v>
      </c>
      <c r="D764" s="137" t="s">
        <v>133</v>
      </c>
      <c r="E764" s="138">
        <v>20</v>
      </c>
      <c r="F764" s="139">
        <v>8778.6</v>
      </c>
      <c r="G764" s="139">
        <v>21037.53</v>
      </c>
      <c r="H764" s="141">
        <v>175572</v>
      </c>
      <c r="I764" s="141">
        <v>420750.6</v>
      </c>
      <c r="J764" s="126"/>
      <c r="K764" s="126"/>
      <c r="L764" s="136" t="s">
        <v>2181</v>
      </c>
    </row>
    <row r="765" spans="1:12" s="22" customFormat="1" ht="26.65" customHeight="1" x14ac:dyDescent="0.25">
      <c r="A765" s="126" t="s">
        <v>2683</v>
      </c>
      <c r="B765" s="143" t="s">
        <v>2204</v>
      </c>
      <c r="C765" s="140" t="s">
        <v>2205</v>
      </c>
      <c r="D765" s="137" t="s">
        <v>133</v>
      </c>
      <c r="E765" s="138">
        <v>20</v>
      </c>
      <c r="F765" s="139">
        <v>8778.6</v>
      </c>
      <c r="G765" s="139">
        <v>21036.79</v>
      </c>
      <c r="H765" s="141">
        <v>175572</v>
      </c>
      <c r="I765" s="141">
        <v>420735.80000000005</v>
      </c>
      <c r="J765" s="126"/>
      <c r="K765" s="126"/>
      <c r="L765" s="136" t="s">
        <v>2181</v>
      </c>
    </row>
    <row r="766" spans="1:12" s="22" customFormat="1" ht="26.65" customHeight="1" x14ac:dyDescent="0.25">
      <c r="A766" s="126" t="s">
        <v>2683</v>
      </c>
      <c r="B766" s="143"/>
      <c r="C766" s="136" t="s">
        <v>2206</v>
      </c>
      <c r="D766" s="137"/>
      <c r="E766" s="138"/>
      <c r="F766" s="139"/>
      <c r="G766" s="139"/>
      <c r="H766" s="139"/>
      <c r="I766" s="139"/>
      <c r="J766" s="126"/>
      <c r="K766" s="126"/>
      <c r="L766" s="126"/>
    </row>
    <row r="767" spans="1:12" s="22" customFormat="1" ht="26.65" customHeight="1" x14ac:dyDescent="0.25">
      <c r="A767" s="126" t="s">
        <v>2683</v>
      </c>
      <c r="B767" s="143" t="s">
        <v>2207</v>
      </c>
      <c r="C767" s="140" t="s">
        <v>2208</v>
      </c>
      <c r="D767" s="137" t="s">
        <v>851</v>
      </c>
      <c r="E767" s="138">
        <v>60</v>
      </c>
      <c r="F767" s="139">
        <v>20318</v>
      </c>
      <c r="G767" s="139">
        <v>7454.79</v>
      </c>
      <c r="H767" s="141">
        <v>1219080</v>
      </c>
      <c r="I767" s="141">
        <v>447287.4</v>
      </c>
      <c r="J767" s="126"/>
      <c r="K767" s="126"/>
      <c r="L767" s="136" t="s">
        <v>2206</v>
      </c>
    </row>
    <row r="768" spans="1:12" s="22" customFormat="1" ht="26.65" customHeight="1" x14ac:dyDescent="0.25">
      <c r="A768" s="126" t="s">
        <v>2683</v>
      </c>
      <c r="B768" s="143" t="s">
        <v>2209</v>
      </c>
      <c r="C768" s="140" t="s">
        <v>2210</v>
      </c>
      <c r="D768" s="137" t="s">
        <v>851</v>
      </c>
      <c r="E768" s="138">
        <v>58</v>
      </c>
      <c r="F768" s="139">
        <v>15069.39</v>
      </c>
      <c r="G768" s="139">
        <v>6331.19</v>
      </c>
      <c r="H768" s="141">
        <v>874024.62</v>
      </c>
      <c r="I768" s="141">
        <v>367209.01999999996</v>
      </c>
      <c r="J768" s="126"/>
      <c r="K768" s="126"/>
      <c r="L768" s="136" t="s">
        <v>2206</v>
      </c>
    </row>
    <row r="769" spans="1:12" s="22" customFormat="1" ht="26.65" customHeight="1" x14ac:dyDescent="0.25">
      <c r="A769" s="126" t="s">
        <v>2683</v>
      </c>
      <c r="B769" s="143" t="s">
        <v>2211</v>
      </c>
      <c r="C769" s="140" t="s">
        <v>2212</v>
      </c>
      <c r="D769" s="137" t="s">
        <v>40</v>
      </c>
      <c r="E769" s="138">
        <v>50</v>
      </c>
      <c r="F769" s="139">
        <v>0</v>
      </c>
      <c r="G769" s="139">
        <v>1492.5</v>
      </c>
      <c r="H769" s="141">
        <v>0</v>
      </c>
      <c r="I769" s="141">
        <v>74625</v>
      </c>
      <c r="J769" s="126"/>
      <c r="K769" s="126"/>
      <c r="L769" s="136" t="s">
        <v>2206</v>
      </c>
    </row>
    <row r="770" spans="1:12" s="22" customFormat="1" ht="26.65" customHeight="1" x14ac:dyDescent="0.25">
      <c r="A770" s="126" t="s">
        <v>2683</v>
      </c>
      <c r="B770" s="143" t="s">
        <v>2213</v>
      </c>
      <c r="C770" s="140" t="s">
        <v>2214</v>
      </c>
      <c r="D770" s="137" t="s">
        <v>133</v>
      </c>
      <c r="E770" s="138">
        <v>20</v>
      </c>
      <c r="F770" s="139">
        <v>0</v>
      </c>
      <c r="G770" s="139">
        <v>1343.25</v>
      </c>
      <c r="H770" s="141">
        <v>0</v>
      </c>
      <c r="I770" s="141">
        <v>26865</v>
      </c>
      <c r="J770" s="126"/>
      <c r="K770" s="126"/>
      <c r="L770" s="136" t="s">
        <v>2206</v>
      </c>
    </row>
    <row r="771" spans="1:12" s="22" customFormat="1" ht="26.65" customHeight="1" x14ac:dyDescent="0.25">
      <c r="A771" s="126" t="s">
        <v>2683</v>
      </c>
      <c r="B771" s="143" t="s">
        <v>2215</v>
      </c>
      <c r="C771" s="140" t="s">
        <v>2216</v>
      </c>
      <c r="D771" s="137" t="s">
        <v>133</v>
      </c>
      <c r="E771" s="138">
        <v>20</v>
      </c>
      <c r="F771" s="139">
        <v>0</v>
      </c>
      <c r="G771" s="139">
        <v>423036.69</v>
      </c>
      <c r="H771" s="141">
        <v>0</v>
      </c>
      <c r="I771" s="141">
        <v>8460733.8000000007</v>
      </c>
      <c r="J771" s="126"/>
      <c r="K771" s="126"/>
      <c r="L771" s="136" t="s">
        <v>2206</v>
      </c>
    </row>
    <row r="772" spans="1:12" s="22" customFormat="1" ht="26.65" customHeight="1" x14ac:dyDescent="0.25">
      <c r="A772" s="126" t="s">
        <v>2683</v>
      </c>
      <c r="B772" s="143" t="s">
        <v>2217</v>
      </c>
      <c r="C772" s="140" t="s">
        <v>2218</v>
      </c>
      <c r="D772" s="137" t="s">
        <v>2219</v>
      </c>
      <c r="E772" s="138">
        <v>20</v>
      </c>
      <c r="F772" s="139">
        <v>0</v>
      </c>
      <c r="G772" s="139">
        <v>111937.5</v>
      </c>
      <c r="H772" s="141">
        <v>0</v>
      </c>
      <c r="I772" s="141">
        <v>2238750</v>
      </c>
      <c r="J772" s="126"/>
      <c r="K772" s="126"/>
      <c r="L772" s="136" t="s">
        <v>2206</v>
      </c>
    </row>
    <row r="773" spans="1:12" s="22" customFormat="1" ht="26.65" customHeight="1" x14ac:dyDescent="0.25">
      <c r="A773" s="126" t="s">
        <v>2683</v>
      </c>
      <c r="B773" s="143"/>
      <c r="C773" s="136" t="s">
        <v>2220</v>
      </c>
      <c r="D773" s="137"/>
      <c r="E773" s="138"/>
      <c r="F773" s="139"/>
      <c r="G773" s="139"/>
      <c r="H773" s="139"/>
      <c r="I773" s="139"/>
      <c r="J773" s="126"/>
      <c r="K773" s="126"/>
      <c r="L773" s="126"/>
    </row>
    <row r="774" spans="1:12" s="22" customFormat="1" ht="26.65" customHeight="1" x14ac:dyDescent="0.25">
      <c r="A774" s="126" t="s">
        <v>2683</v>
      </c>
      <c r="B774" s="143" t="s">
        <v>2221</v>
      </c>
      <c r="C774" s="140" t="s">
        <v>2222</v>
      </c>
      <c r="D774" s="137" t="s">
        <v>2223</v>
      </c>
      <c r="E774" s="138">
        <v>160</v>
      </c>
      <c r="F774" s="139">
        <v>0</v>
      </c>
      <c r="G774" s="139">
        <v>3358.13</v>
      </c>
      <c r="H774" s="141">
        <v>0</v>
      </c>
      <c r="I774" s="141">
        <v>537300.80000000005</v>
      </c>
      <c r="J774" s="126"/>
      <c r="K774" s="126"/>
      <c r="L774" s="136" t="s">
        <v>2220</v>
      </c>
    </row>
    <row r="775" spans="1:12" s="22" customFormat="1" ht="26.65" customHeight="1" x14ac:dyDescent="0.25">
      <c r="A775" s="126" t="s">
        <v>2683</v>
      </c>
      <c r="B775" s="143" t="s">
        <v>2224</v>
      </c>
      <c r="C775" s="140" t="s">
        <v>2225</v>
      </c>
      <c r="D775" s="137" t="s">
        <v>2223</v>
      </c>
      <c r="E775" s="138">
        <v>200</v>
      </c>
      <c r="F775" s="139">
        <v>0</v>
      </c>
      <c r="G775" s="139">
        <v>4641.68</v>
      </c>
      <c r="H775" s="141">
        <v>0</v>
      </c>
      <c r="I775" s="141">
        <v>928336</v>
      </c>
      <c r="J775" s="126"/>
      <c r="K775" s="126"/>
      <c r="L775" s="136" t="s">
        <v>2220</v>
      </c>
    </row>
    <row r="776" spans="1:12" s="22" customFormat="1" ht="26.65" customHeight="1" x14ac:dyDescent="0.25">
      <c r="A776" s="126" t="s">
        <v>2683</v>
      </c>
      <c r="B776" s="143" t="s">
        <v>2226</v>
      </c>
      <c r="C776" s="140" t="s">
        <v>2227</v>
      </c>
      <c r="D776" s="137" t="s">
        <v>2223</v>
      </c>
      <c r="E776" s="138">
        <v>240</v>
      </c>
      <c r="F776" s="139">
        <v>0</v>
      </c>
      <c r="G776" s="139">
        <v>4023.53</v>
      </c>
      <c r="H776" s="141">
        <v>0</v>
      </c>
      <c r="I776" s="141">
        <v>965647.20000000007</v>
      </c>
      <c r="J776" s="126"/>
      <c r="K776" s="126"/>
      <c r="L776" s="136" t="s">
        <v>2220</v>
      </c>
    </row>
    <row r="777" spans="1:12" s="22" customFormat="1" ht="26.65" customHeight="1" x14ac:dyDescent="0.25">
      <c r="A777" s="126" t="s">
        <v>2683</v>
      </c>
      <c r="B777" s="144"/>
      <c r="C777" s="136" t="s">
        <v>2228</v>
      </c>
      <c r="D777" s="137"/>
      <c r="E777" s="138"/>
      <c r="F777" s="139"/>
      <c r="G777" s="139"/>
      <c r="H777" s="139"/>
      <c r="I777" s="139"/>
      <c r="J777" s="126"/>
      <c r="K777" s="126"/>
      <c r="L777" s="126"/>
    </row>
    <row r="778" spans="1:12" s="22" customFormat="1" ht="23.25" customHeight="1" x14ac:dyDescent="0.25">
      <c r="A778" s="126" t="s">
        <v>2683</v>
      </c>
      <c r="B778" s="144" t="s">
        <v>2229</v>
      </c>
      <c r="C778" s="140" t="s">
        <v>2230</v>
      </c>
      <c r="D778" s="137" t="s">
        <v>43</v>
      </c>
      <c r="E778" s="138">
        <v>110</v>
      </c>
      <c r="F778" s="139">
        <v>6645.79</v>
      </c>
      <c r="G778" s="139">
        <v>0</v>
      </c>
      <c r="H778" s="141">
        <v>731036.9</v>
      </c>
      <c r="I778" s="141">
        <v>0</v>
      </c>
      <c r="J778" s="126"/>
      <c r="K778" s="126"/>
      <c r="L778" s="136" t="s">
        <v>2228</v>
      </c>
    </row>
    <row r="779" spans="1:12" ht="18" customHeight="1" x14ac:dyDescent="0.2">
      <c r="A779" s="73"/>
      <c r="E779" s="85"/>
      <c r="F779" s="86"/>
      <c r="G779" s="125" t="s">
        <v>26</v>
      </c>
      <c r="H779" s="125">
        <v>982510062.17999995</v>
      </c>
      <c r="I779" s="125">
        <v>39256263.899999999</v>
      </c>
    </row>
    <row r="780" spans="1:12" ht="18" customHeight="1" x14ac:dyDescent="0.2">
      <c r="E780" s="85"/>
      <c r="F780" s="86"/>
      <c r="G780" s="86"/>
      <c r="H780" s="86"/>
      <c r="I780" s="86"/>
    </row>
    <row r="781" spans="1:12" ht="18" customHeight="1" x14ac:dyDescent="0.2">
      <c r="B781" s="1" t="s">
        <v>28</v>
      </c>
      <c r="E781" s="86"/>
      <c r="F781" s="86"/>
      <c r="G781" s="86"/>
      <c r="H781" s="86"/>
      <c r="I781" s="86"/>
    </row>
    <row r="782" spans="1:12" ht="18" customHeight="1" x14ac:dyDescent="0.2">
      <c r="E782" s="85"/>
      <c r="F782" s="86"/>
      <c r="G782" s="86"/>
      <c r="H782" s="86"/>
      <c r="I782" s="86"/>
    </row>
    <row r="783" spans="1:12" ht="18" customHeight="1" x14ac:dyDescent="0.2">
      <c r="E783" s="85"/>
      <c r="F783" s="86"/>
      <c r="G783" s="86"/>
      <c r="H783" s="86"/>
      <c r="I783" s="86"/>
    </row>
    <row r="784" spans="1:12" ht="18" customHeight="1" x14ac:dyDescent="0.2">
      <c r="E784" s="85"/>
      <c r="F784" s="86"/>
      <c r="G784" s="86"/>
      <c r="H784" s="86"/>
      <c r="I784" s="86"/>
    </row>
    <row r="785" spans="5:9" ht="18" customHeight="1" x14ac:dyDescent="0.2">
      <c r="E785" s="85"/>
      <c r="F785" s="86"/>
      <c r="G785" s="38"/>
      <c r="H785" s="37" t="s">
        <v>29</v>
      </c>
      <c r="I785" s="36"/>
    </row>
    <row r="786" spans="5:9" ht="18" customHeight="1" x14ac:dyDescent="0.2">
      <c r="E786" s="85"/>
      <c r="F786" s="86"/>
      <c r="G786" s="69" t="s">
        <v>30</v>
      </c>
      <c r="H786" s="87"/>
      <c r="I786" s="87"/>
    </row>
    <row r="787" spans="5:9" ht="18" customHeight="1" x14ac:dyDescent="0.2">
      <c r="E787" s="85"/>
      <c r="F787" s="86"/>
      <c r="G787" s="1"/>
      <c r="H787" s="26" t="s">
        <v>31</v>
      </c>
      <c r="I787" s="25"/>
    </row>
    <row r="788" spans="5:9" ht="18" customHeight="1" x14ac:dyDescent="0.2">
      <c r="E788" s="85"/>
      <c r="F788" s="86"/>
      <c r="G788" s="86"/>
      <c r="H788" s="86"/>
      <c r="I788" s="86"/>
    </row>
    <row r="789" spans="5:9" ht="18" customHeight="1" x14ac:dyDescent="0.2">
      <c r="E789" s="85"/>
      <c r="F789" s="86"/>
      <c r="G789" s="86"/>
      <c r="H789" s="86"/>
      <c r="I789" s="86"/>
    </row>
    <row r="790" spans="5:9" ht="18" customHeight="1" x14ac:dyDescent="0.2">
      <c r="E790" s="85"/>
      <c r="F790" s="86"/>
      <c r="G790" s="86"/>
      <c r="H790" s="86"/>
      <c r="I790" s="86"/>
    </row>
    <row r="791" spans="5:9" ht="18" customHeight="1" x14ac:dyDescent="0.2">
      <c r="E791" s="85"/>
      <c r="F791" s="86"/>
      <c r="G791" s="86"/>
      <c r="H791" s="86"/>
      <c r="I791" s="86"/>
    </row>
    <row r="792" spans="5:9" ht="18" customHeight="1" x14ac:dyDescent="0.2">
      <c r="E792" s="85"/>
      <c r="F792" s="86"/>
      <c r="G792" s="86"/>
      <c r="H792" s="86"/>
      <c r="I792" s="86"/>
    </row>
    <row r="793" spans="5:9" ht="18" customHeight="1" x14ac:dyDescent="0.2">
      <c r="E793" s="85"/>
      <c r="F793" s="86"/>
      <c r="G793" s="86"/>
      <c r="H793" s="86"/>
      <c r="I793" s="86"/>
    </row>
    <row r="794" spans="5:9" ht="18" customHeight="1" x14ac:dyDescent="0.2">
      <c r="E794" s="85"/>
      <c r="F794" s="86"/>
      <c r="G794" s="86"/>
      <c r="H794" s="86"/>
      <c r="I794" s="86"/>
    </row>
    <row r="795" spans="5:9" ht="18" customHeight="1" x14ac:dyDescent="0.2">
      <c r="E795" s="85"/>
      <c r="F795" s="86"/>
      <c r="G795" s="86"/>
      <c r="H795" s="86"/>
      <c r="I795" s="86"/>
    </row>
    <row r="796" spans="5:9" ht="18" customHeight="1" x14ac:dyDescent="0.2">
      <c r="E796" s="85"/>
      <c r="F796" s="86"/>
      <c r="G796" s="86"/>
      <c r="H796" s="86"/>
      <c r="I796" s="86"/>
    </row>
    <row r="797" spans="5:9" ht="18" customHeight="1" x14ac:dyDescent="0.2">
      <c r="E797" s="85"/>
      <c r="F797" s="86"/>
      <c r="G797" s="86"/>
      <c r="H797" s="86"/>
      <c r="I797" s="86"/>
    </row>
    <row r="798" spans="5:9" ht="18" customHeight="1" x14ac:dyDescent="0.2">
      <c r="E798" s="85"/>
      <c r="F798" s="86"/>
      <c r="G798" s="86"/>
      <c r="H798" s="86"/>
      <c r="I798" s="86"/>
    </row>
    <row r="799" spans="5:9" ht="18" customHeight="1" x14ac:dyDescent="0.2">
      <c r="E799" s="85"/>
      <c r="F799" s="86"/>
      <c r="G799" s="86"/>
      <c r="H799" s="86"/>
      <c r="I799" s="86"/>
    </row>
  </sheetData>
  <printOptions horizontalCentered="1"/>
  <pageMargins left="0.23622047244094491" right="0.23622047244094491" top="0.55118110236220474" bottom="0.55118110236220474" header="0.31496062992125984" footer="0.31496062992125984"/>
  <pageSetup paperSize="123" scale="75" orientation="landscape" r:id="rId1"/>
  <headerFooter>
    <oddFooter>&amp;C&amp;9&amp;P  de  &amp;N</oddFooter>
  </headerFooter>
  <rowBreaks count="1" manualBreakCount="1">
    <brk id="770" min="1" max="9" man="1"/>
  </rowBreaks>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5B9A9-678F-4F0F-B7F3-384A4A475DC7}">
  <sheetPr>
    <tabColor theme="8" tint="-0.499984740745262"/>
  </sheetPr>
  <dimension ref="A1:S60"/>
  <sheetViews>
    <sheetView zoomScale="70" zoomScaleNormal="70" workbookViewId="0">
      <selection activeCell="E52" sqref="E52"/>
    </sheetView>
  </sheetViews>
  <sheetFormatPr baseColWidth="10" defaultColWidth="11.42578125" defaultRowHeight="20.100000000000001" customHeight="1" x14ac:dyDescent="0.2"/>
  <cols>
    <col min="1" max="1" width="7.7109375" style="2" customWidth="1"/>
    <col min="2" max="2" width="10.7109375" style="2" customWidth="1"/>
    <col min="3" max="3" width="70.7109375" style="2" customWidth="1"/>
    <col min="4" max="4" width="11.7109375" style="2" customWidth="1"/>
    <col min="5" max="5" width="24.140625" style="17" customWidth="1"/>
    <col min="6" max="7" width="12.7109375" style="2" customWidth="1"/>
    <col min="8" max="8" width="35.5703125" style="2" bestFit="1" customWidth="1"/>
    <col min="9" max="9" width="15.7109375" style="2" customWidth="1"/>
    <col min="10" max="10" width="14.85546875" style="2" customWidth="1"/>
    <col min="11" max="11" width="13" style="2" customWidth="1"/>
    <col min="12" max="12" width="13.7109375" style="2" customWidth="1"/>
    <col min="13" max="13" width="7.5703125" style="2" bestFit="1" customWidth="1"/>
    <col min="14" max="14" width="7.28515625" style="2" bestFit="1" customWidth="1"/>
    <col min="15" max="16384" width="11.42578125" style="2"/>
  </cols>
  <sheetData>
    <row r="1" spans="1:12" s="1" customFormat="1" ht="21.75" customHeight="1" x14ac:dyDescent="0.2">
      <c r="B1" s="16" t="s">
        <v>0</v>
      </c>
      <c r="C1" s="12"/>
      <c r="D1" s="16"/>
      <c r="E1" s="16"/>
      <c r="F1" s="16"/>
      <c r="G1" s="16"/>
      <c r="H1" s="16"/>
      <c r="I1" s="16"/>
    </row>
    <row r="2" spans="1:12" s="1" customFormat="1" ht="20.100000000000001" customHeight="1" x14ac:dyDescent="0.2">
      <c r="B2" s="12" t="s">
        <v>1</v>
      </c>
      <c r="C2" s="12"/>
      <c r="D2" s="12"/>
      <c r="E2" s="12"/>
      <c r="F2" s="12"/>
      <c r="G2" s="12"/>
      <c r="H2" s="12"/>
      <c r="I2" s="12"/>
    </row>
    <row r="3" spans="1:12" s="1" customFormat="1" ht="27" x14ac:dyDescent="0.2">
      <c r="B3" s="16" t="s">
        <v>2</v>
      </c>
      <c r="C3" s="12"/>
      <c r="D3" s="12"/>
      <c r="E3" s="12"/>
      <c r="F3" s="12"/>
      <c r="G3" s="12"/>
      <c r="H3" s="12"/>
      <c r="I3" s="12"/>
    </row>
    <row r="4" spans="1:12" s="15" customFormat="1" ht="10.15" customHeight="1" x14ac:dyDescent="0.2">
      <c r="E4" s="14"/>
    </row>
    <row r="5" spans="1:12" s="22" customFormat="1" ht="20.100000000000001" customHeight="1" thickBot="1" x14ac:dyDescent="0.3">
      <c r="B5" s="13" t="s">
        <v>2231</v>
      </c>
      <c r="C5" s="12"/>
      <c r="D5" s="12"/>
      <c r="E5" s="12"/>
      <c r="F5" s="12"/>
      <c r="G5" s="12"/>
      <c r="H5" s="12"/>
      <c r="I5" s="12"/>
    </row>
    <row r="6" spans="1:12" s="15" customFormat="1" ht="15" customHeight="1" x14ac:dyDescent="0.2">
      <c r="A6" s="120" t="s">
        <v>2677</v>
      </c>
      <c r="B6" s="114" t="s">
        <v>2673</v>
      </c>
      <c r="C6" s="115" t="s">
        <v>2674</v>
      </c>
      <c r="D6" s="115" t="s">
        <v>33</v>
      </c>
      <c r="E6" s="116" t="s">
        <v>34</v>
      </c>
      <c r="F6" s="123" t="s">
        <v>2675</v>
      </c>
      <c r="G6" s="123" t="s">
        <v>2676</v>
      </c>
      <c r="H6" s="123" t="s">
        <v>10</v>
      </c>
      <c r="I6" s="124" t="s">
        <v>11</v>
      </c>
      <c r="J6" s="121" t="s">
        <v>2679</v>
      </c>
      <c r="K6" s="121" t="s">
        <v>2680</v>
      </c>
      <c r="L6" s="122" t="s">
        <v>2681</v>
      </c>
    </row>
    <row r="7" spans="1:12" s="15" customFormat="1" ht="27" hidden="1" customHeight="1" x14ac:dyDescent="0.2">
      <c r="A7" s="15" t="s">
        <v>2684</v>
      </c>
      <c r="B7" s="148">
        <v>4</v>
      </c>
      <c r="C7" s="149" t="s">
        <v>2232</v>
      </c>
      <c r="D7" s="150"/>
      <c r="E7" s="151"/>
      <c r="F7" s="152"/>
      <c r="G7" s="152"/>
      <c r="H7" s="152"/>
      <c r="I7" s="152"/>
    </row>
    <row r="8" spans="1:12" s="15" customFormat="1" ht="27" hidden="1" customHeight="1" x14ac:dyDescent="0.2">
      <c r="A8" s="15" t="s">
        <v>2684</v>
      </c>
      <c r="B8" s="61"/>
      <c r="C8" s="149" t="s">
        <v>2233</v>
      </c>
      <c r="D8" s="61"/>
      <c r="E8" s="151"/>
      <c r="F8" s="153"/>
      <c r="G8" s="153"/>
      <c r="H8" s="129"/>
      <c r="I8" s="129"/>
      <c r="K8" s="149"/>
    </row>
    <row r="9" spans="1:12" s="15" customFormat="1" ht="27" hidden="1" customHeight="1" x14ac:dyDescent="0.2">
      <c r="A9" s="15" t="s">
        <v>2684</v>
      </c>
      <c r="B9" s="61" t="s">
        <v>2234</v>
      </c>
      <c r="C9" s="15" t="s">
        <v>2235</v>
      </c>
      <c r="D9" s="61" t="s">
        <v>1993</v>
      </c>
      <c r="E9" s="151">
        <v>8800</v>
      </c>
      <c r="F9" s="153">
        <v>625</v>
      </c>
      <c r="G9" s="153">
        <v>0</v>
      </c>
      <c r="H9" s="153">
        <v>5500000</v>
      </c>
      <c r="I9" s="153">
        <v>0</v>
      </c>
      <c r="J9" s="149" t="s">
        <v>2692</v>
      </c>
      <c r="K9" s="149" t="s">
        <v>2233</v>
      </c>
      <c r="L9" s="149" t="s">
        <v>2233</v>
      </c>
    </row>
    <row r="10" spans="1:12" s="15" customFormat="1" ht="27" hidden="1" customHeight="1" x14ac:dyDescent="0.2">
      <c r="A10" s="15" t="s">
        <v>2684</v>
      </c>
      <c r="B10" s="61" t="s">
        <v>2236</v>
      </c>
      <c r="C10" s="15" t="s">
        <v>2237</v>
      </c>
      <c r="D10" s="61" t="s">
        <v>1993</v>
      </c>
      <c r="E10" s="151">
        <v>300000</v>
      </c>
      <c r="F10" s="153">
        <v>625</v>
      </c>
      <c r="G10" s="153">
        <v>0</v>
      </c>
      <c r="H10" s="153">
        <v>187500000</v>
      </c>
      <c r="I10" s="153">
        <v>0</v>
      </c>
      <c r="J10" s="149" t="s">
        <v>2692</v>
      </c>
      <c r="K10" s="149" t="s">
        <v>2233</v>
      </c>
      <c r="L10" s="149" t="s">
        <v>2233</v>
      </c>
    </row>
    <row r="11" spans="1:12" s="15" customFormat="1" ht="27" hidden="1" customHeight="1" x14ac:dyDescent="0.2">
      <c r="A11" s="15" t="s">
        <v>2684</v>
      </c>
      <c r="B11" s="61"/>
      <c r="C11" s="149" t="s">
        <v>2238</v>
      </c>
      <c r="D11" s="61"/>
      <c r="E11" s="151"/>
      <c r="F11" s="153"/>
      <c r="G11" s="153"/>
      <c r="H11" s="153"/>
      <c r="I11" s="153"/>
      <c r="J11" s="149" t="s">
        <v>2692</v>
      </c>
      <c r="K11" s="153"/>
    </row>
    <row r="12" spans="1:12" s="15" customFormat="1" ht="27" hidden="1" customHeight="1" x14ac:dyDescent="0.2">
      <c r="A12" s="15" t="s">
        <v>2684</v>
      </c>
      <c r="B12" s="61" t="s">
        <v>2239</v>
      </c>
      <c r="C12" s="15" t="s">
        <v>2240</v>
      </c>
      <c r="D12" s="61" t="s">
        <v>2241</v>
      </c>
      <c r="E12" s="151">
        <v>100</v>
      </c>
      <c r="F12" s="153">
        <v>1164.3399999999999</v>
      </c>
      <c r="G12" s="153">
        <v>0</v>
      </c>
      <c r="H12" s="153">
        <v>116433.99999999999</v>
      </c>
      <c r="I12" s="153">
        <v>0</v>
      </c>
      <c r="J12" s="149" t="s">
        <v>2692</v>
      </c>
      <c r="K12" s="153" t="s">
        <v>2688</v>
      </c>
      <c r="L12" s="149" t="s">
        <v>2238</v>
      </c>
    </row>
    <row r="13" spans="1:12" s="15" customFormat="1" ht="27" hidden="1" customHeight="1" x14ac:dyDescent="0.2">
      <c r="A13" s="15" t="s">
        <v>2684</v>
      </c>
      <c r="B13" s="61" t="s">
        <v>2242</v>
      </c>
      <c r="C13" s="15" t="s">
        <v>2243</v>
      </c>
      <c r="D13" s="61" t="s">
        <v>2241</v>
      </c>
      <c r="E13" s="151">
        <v>14648</v>
      </c>
      <c r="F13" s="153">
        <v>1463.99</v>
      </c>
      <c r="G13" s="153">
        <v>0</v>
      </c>
      <c r="H13" s="153">
        <v>21444525.52</v>
      </c>
      <c r="I13" s="153">
        <v>0</v>
      </c>
      <c r="J13" s="149" t="s">
        <v>2692</v>
      </c>
      <c r="K13" s="153" t="s">
        <v>2688</v>
      </c>
      <c r="L13" s="149" t="s">
        <v>2238</v>
      </c>
    </row>
    <row r="14" spans="1:12" s="15" customFormat="1" ht="27" hidden="1" customHeight="1" x14ac:dyDescent="0.2">
      <c r="A14" s="15" t="s">
        <v>2684</v>
      </c>
      <c r="B14" s="61" t="s">
        <v>2244</v>
      </c>
      <c r="C14" s="15" t="s">
        <v>2245</v>
      </c>
      <c r="D14" s="61" t="s">
        <v>2241</v>
      </c>
      <c r="E14" s="151">
        <v>156176</v>
      </c>
      <c r="F14" s="153">
        <v>2369.0100000000002</v>
      </c>
      <c r="G14" s="153">
        <v>0</v>
      </c>
      <c r="H14" s="153">
        <v>369982505.76000005</v>
      </c>
      <c r="I14" s="153">
        <v>0</v>
      </c>
      <c r="J14" s="149" t="s">
        <v>2692</v>
      </c>
      <c r="K14" s="153" t="s">
        <v>2688</v>
      </c>
      <c r="L14" s="149" t="s">
        <v>2238</v>
      </c>
    </row>
    <row r="15" spans="1:12" s="15" customFormat="1" ht="27" hidden="1" customHeight="1" x14ac:dyDescent="0.2">
      <c r="A15" s="15" t="s">
        <v>2684</v>
      </c>
      <c r="B15" s="61" t="s">
        <v>2246</v>
      </c>
      <c r="C15" s="15" t="s">
        <v>2247</v>
      </c>
      <c r="D15" s="61" t="s">
        <v>2241</v>
      </c>
      <c r="E15" s="151">
        <v>14892</v>
      </c>
      <c r="F15" s="153">
        <v>2861.56</v>
      </c>
      <c r="G15" s="153">
        <v>0</v>
      </c>
      <c r="H15" s="153">
        <v>42614351.519999996</v>
      </c>
      <c r="I15" s="153">
        <v>0</v>
      </c>
      <c r="J15" s="149" t="s">
        <v>2692</v>
      </c>
      <c r="K15" s="153" t="s">
        <v>2688</v>
      </c>
      <c r="L15" s="149" t="s">
        <v>2238</v>
      </c>
    </row>
    <row r="16" spans="1:12" s="15" customFormat="1" ht="27" hidden="1" customHeight="1" x14ac:dyDescent="0.2">
      <c r="A16" s="15" t="s">
        <v>2684</v>
      </c>
      <c r="B16" s="61" t="s">
        <v>2248</v>
      </c>
      <c r="C16" s="15" t="s">
        <v>2249</v>
      </c>
      <c r="D16" s="61" t="s">
        <v>2241</v>
      </c>
      <c r="E16" s="151">
        <v>230784</v>
      </c>
      <c r="F16" s="153">
        <v>3660.18</v>
      </c>
      <c r="G16" s="153">
        <v>0</v>
      </c>
      <c r="H16" s="153">
        <v>844710981.12</v>
      </c>
      <c r="I16" s="153">
        <v>0</v>
      </c>
      <c r="J16" s="149" t="s">
        <v>2692</v>
      </c>
      <c r="K16" s="153" t="s">
        <v>2688</v>
      </c>
      <c r="L16" s="149" t="s">
        <v>2238</v>
      </c>
    </row>
    <row r="17" spans="1:12" s="15" customFormat="1" ht="27" hidden="1" customHeight="1" x14ac:dyDescent="0.2">
      <c r="A17" s="15" t="s">
        <v>2684</v>
      </c>
      <c r="B17" s="61" t="s">
        <v>2250</v>
      </c>
      <c r="C17" s="15" t="s">
        <v>2251</v>
      </c>
      <c r="D17" s="61" t="s">
        <v>2241</v>
      </c>
      <c r="E17" s="151">
        <v>100</v>
      </c>
      <c r="F17" s="153">
        <v>5733.53</v>
      </c>
      <c r="G17" s="153">
        <v>0</v>
      </c>
      <c r="H17" s="153">
        <v>573353</v>
      </c>
      <c r="I17" s="153">
        <v>0</v>
      </c>
      <c r="J17" s="149" t="s">
        <v>2692</v>
      </c>
      <c r="K17" s="153" t="s">
        <v>2688</v>
      </c>
      <c r="L17" s="149" t="s">
        <v>2238</v>
      </c>
    </row>
    <row r="18" spans="1:12" s="15" customFormat="1" ht="27" hidden="1" customHeight="1" x14ac:dyDescent="0.2">
      <c r="A18" s="15" t="s">
        <v>2684</v>
      </c>
      <c r="B18" s="61" t="s">
        <v>2252</v>
      </c>
      <c r="C18" s="15" t="s">
        <v>2253</v>
      </c>
      <c r="D18" s="61" t="s">
        <v>2241</v>
      </c>
      <c r="E18" s="151">
        <v>21930</v>
      </c>
      <c r="F18" s="153">
        <v>3947.93</v>
      </c>
      <c r="G18" s="153">
        <v>0</v>
      </c>
      <c r="H18" s="153">
        <v>86578104.899999991</v>
      </c>
      <c r="I18" s="153">
        <v>0</v>
      </c>
      <c r="J18" s="149" t="s">
        <v>2692</v>
      </c>
      <c r="K18" s="153" t="s">
        <v>2688</v>
      </c>
      <c r="L18" s="149" t="s">
        <v>2238</v>
      </c>
    </row>
    <row r="19" spans="1:12" s="15" customFormat="1" ht="27" hidden="1" customHeight="1" x14ac:dyDescent="0.2">
      <c r="A19" s="15" t="s">
        <v>2684</v>
      </c>
      <c r="B19" s="61" t="s">
        <v>2254</v>
      </c>
      <c r="C19" s="15" t="s">
        <v>2255</v>
      </c>
      <c r="D19" s="61" t="s">
        <v>2241</v>
      </c>
      <c r="E19" s="151">
        <v>14382</v>
      </c>
      <c r="F19" s="153">
        <v>3013.83</v>
      </c>
      <c r="G19" s="153">
        <v>0</v>
      </c>
      <c r="H19" s="153">
        <v>43344903.060000002</v>
      </c>
      <c r="I19" s="153">
        <v>0</v>
      </c>
      <c r="J19" s="149" t="s">
        <v>2692</v>
      </c>
      <c r="K19" s="153" t="s">
        <v>2688</v>
      </c>
      <c r="L19" s="149" t="s">
        <v>2238</v>
      </c>
    </row>
    <row r="20" spans="1:12" s="15" customFormat="1" ht="27" hidden="1" customHeight="1" x14ac:dyDescent="0.2">
      <c r="A20" s="15" t="s">
        <v>2684</v>
      </c>
      <c r="B20" s="61" t="s">
        <v>2256</v>
      </c>
      <c r="C20" s="15" t="s">
        <v>2257</v>
      </c>
      <c r="D20" s="61" t="s">
        <v>2241</v>
      </c>
      <c r="E20" s="151">
        <v>7528</v>
      </c>
      <c r="F20" s="153">
        <v>4962.2299999999996</v>
      </c>
      <c r="G20" s="153">
        <v>0</v>
      </c>
      <c r="H20" s="153">
        <v>37355667.439999998</v>
      </c>
      <c r="I20" s="153">
        <v>0</v>
      </c>
      <c r="J20" s="149" t="s">
        <v>2692</v>
      </c>
      <c r="K20" s="153" t="s">
        <v>2688</v>
      </c>
      <c r="L20" s="149" t="s">
        <v>2238</v>
      </c>
    </row>
    <row r="21" spans="1:12" s="15" customFormat="1" ht="27" hidden="1" customHeight="1" x14ac:dyDescent="0.2">
      <c r="A21" s="15" t="s">
        <v>2684</v>
      </c>
      <c r="B21" s="61" t="s">
        <v>2258</v>
      </c>
      <c r="C21" s="15" t="s">
        <v>2259</v>
      </c>
      <c r="D21" s="61" t="s">
        <v>2241</v>
      </c>
      <c r="E21" s="151">
        <v>22112</v>
      </c>
      <c r="F21" s="153">
        <v>2553.58</v>
      </c>
      <c r="G21" s="153">
        <v>0</v>
      </c>
      <c r="H21" s="153">
        <v>56464760.960000001</v>
      </c>
      <c r="I21" s="153">
        <v>0</v>
      </c>
      <c r="J21" s="149" t="s">
        <v>2692</v>
      </c>
      <c r="K21" s="153" t="s">
        <v>2688</v>
      </c>
      <c r="L21" s="149" t="s">
        <v>2238</v>
      </c>
    </row>
    <row r="22" spans="1:12" s="15" customFormat="1" ht="27" hidden="1" customHeight="1" x14ac:dyDescent="0.2">
      <c r="A22" s="15" t="s">
        <v>2684</v>
      </c>
      <c r="B22" s="61" t="s">
        <v>2260</v>
      </c>
      <c r="C22" s="15" t="s">
        <v>2261</v>
      </c>
      <c r="D22" s="61" t="s">
        <v>2241</v>
      </c>
      <c r="E22" s="151">
        <v>22662</v>
      </c>
      <c r="F22" s="153">
        <v>5397.2</v>
      </c>
      <c r="G22" s="153">
        <v>0</v>
      </c>
      <c r="H22" s="153">
        <v>122311346.39999999</v>
      </c>
      <c r="I22" s="153">
        <v>0</v>
      </c>
      <c r="J22" s="149" t="s">
        <v>2692</v>
      </c>
      <c r="K22" s="153" t="s">
        <v>2688</v>
      </c>
      <c r="L22" s="149" t="s">
        <v>2238</v>
      </c>
    </row>
    <row r="23" spans="1:12" s="15" customFormat="1" ht="27" hidden="1" customHeight="1" x14ac:dyDescent="0.2">
      <c r="A23" s="15" t="s">
        <v>2684</v>
      </c>
      <c r="B23" s="61" t="s">
        <v>2262</v>
      </c>
      <c r="C23" s="15" t="s">
        <v>2263</v>
      </c>
      <c r="D23" s="61" t="s">
        <v>2241</v>
      </c>
      <c r="E23" s="151">
        <v>17762</v>
      </c>
      <c r="F23" s="153">
        <v>5397.2</v>
      </c>
      <c r="G23" s="153">
        <v>0</v>
      </c>
      <c r="H23" s="153">
        <v>95865066.399999991</v>
      </c>
      <c r="I23" s="153">
        <v>0</v>
      </c>
      <c r="J23" s="149" t="s">
        <v>2692</v>
      </c>
      <c r="K23" s="153" t="s">
        <v>2688</v>
      </c>
      <c r="L23" s="149" t="s">
        <v>2238</v>
      </c>
    </row>
    <row r="24" spans="1:12" s="15" customFormat="1" ht="27" hidden="1" customHeight="1" x14ac:dyDescent="0.2">
      <c r="A24" s="15" t="s">
        <v>2684</v>
      </c>
      <c r="B24" s="61" t="s">
        <v>2264</v>
      </c>
      <c r="C24" s="15" t="s">
        <v>2265</v>
      </c>
      <c r="D24" s="61" t="s">
        <v>2241</v>
      </c>
      <c r="E24" s="151">
        <v>1390</v>
      </c>
      <c r="F24" s="153">
        <v>5397.2</v>
      </c>
      <c r="G24" s="153">
        <v>0</v>
      </c>
      <c r="H24" s="153">
        <v>7502108</v>
      </c>
      <c r="I24" s="153">
        <v>0</v>
      </c>
      <c r="J24" s="149" t="s">
        <v>2692</v>
      </c>
      <c r="K24" s="153" t="s">
        <v>2688</v>
      </c>
      <c r="L24" s="149" t="s">
        <v>2238</v>
      </c>
    </row>
    <row r="25" spans="1:12" s="15" customFormat="1" ht="27" hidden="1" customHeight="1" x14ac:dyDescent="0.2">
      <c r="A25" s="15" t="s">
        <v>2684</v>
      </c>
      <c r="B25" s="154"/>
      <c r="C25" s="149" t="s">
        <v>2266</v>
      </c>
      <c r="D25" s="61"/>
      <c r="E25" s="151"/>
      <c r="F25" s="153"/>
      <c r="G25" s="153"/>
      <c r="H25" s="153"/>
      <c r="I25" s="153"/>
      <c r="J25" s="149" t="s">
        <v>2692</v>
      </c>
      <c r="K25" s="153" t="s">
        <v>2688</v>
      </c>
    </row>
    <row r="26" spans="1:12" s="15" customFormat="1" ht="27" hidden="1" customHeight="1" x14ac:dyDescent="0.2">
      <c r="A26" s="15" t="s">
        <v>2684</v>
      </c>
      <c r="B26" s="61" t="s">
        <v>2267</v>
      </c>
      <c r="C26" s="15" t="s">
        <v>2268</v>
      </c>
      <c r="D26" s="61" t="s">
        <v>2241</v>
      </c>
      <c r="E26" s="151">
        <v>16696</v>
      </c>
      <c r="F26" s="153">
        <v>4283.63</v>
      </c>
      <c r="G26" s="153">
        <v>0</v>
      </c>
      <c r="H26" s="153">
        <v>71519486.480000004</v>
      </c>
      <c r="I26" s="153">
        <v>0</v>
      </c>
      <c r="J26" s="149" t="s">
        <v>2692</v>
      </c>
      <c r="K26" s="153" t="s">
        <v>2688</v>
      </c>
      <c r="L26" s="149" t="s">
        <v>2266</v>
      </c>
    </row>
    <row r="27" spans="1:12" s="15" customFormat="1" ht="27" hidden="1" customHeight="1" x14ac:dyDescent="0.2">
      <c r="A27" s="15" t="s">
        <v>2684</v>
      </c>
      <c r="B27" s="61" t="s">
        <v>2269</v>
      </c>
      <c r="C27" s="15" t="s">
        <v>2270</v>
      </c>
      <c r="D27" s="61" t="s">
        <v>2241</v>
      </c>
      <c r="E27" s="151">
        <v>100</v>
      </c>
      <c r="F27" s="153">
        <v>2570.1799999999998</v>
      </c>
      <c r="G27" s="153">
        <v>0</v>
      </c>
      <c r="H27" s="153">
        <v>257017.99999999997</v>
      </c>
      <c r="I27" s="153">
        <v>0</v>
      </c>
      <c r="J27" s="149" t="s">
        <v>2692</v>
      </c>
      <c r="K27" s="153" t="s">
        <v>2688</v>
      </c>
      <c r="L27" s="149" t="s">
        <v>2266</v>
      </c>
    </row>
    <row r="28" spans="1:12" s="15" customFormat="1" ht="27" hidden="1" customHeight="1" x14ac:dyDescent="0.2">
      <c r="A28" s="15" t="s">
        <v>2684</v>
      </c>
      <c r="B28" s="61"/>
      <c r="C28" s="149" t="s">
        <v>2271</v>
      </c>
      <c r="D28" s="61"/>
      <c r="E28" s="151"/>
      <c r="F28" s="153"/>
      <c r="G28" s="153"/>
      <c r="H28" s="153"/>
      <c r="I28" s="153"/>
      <c r="J28" s="149" t="s">
        <v>2692</v>
      </c>
      <c r="K28" s="153"/>
    </row>
    <row r="29" spans="1:12" s="15" customFormat="1" ht="27" customHeight="1" x14ac:dyDescent="0.2">
      <c r="A29" s="15" t="s">
        <v>2684</v>
      </c>
      <c r="B29" s="61" t="s">
        <v>2272</v>
      </c>
      <c r="C29" s="15" t="s">
        <v>2273</v>
      </c>
      <c r="D29" s="61" t="s">
        <v>2241</v>
      </c>
      <c r="E29" s="151">
        <v>9552</v>
      </c>
      <c r="F29" s="153">
        <v>2135.1</v>
      </c>
      <c r="G29" s="153">
        <v>0</v>
      </c>
      <c r="H29" s="153">
        <v>20394475.199999999</v>
      </c>
      <c r="I29" s="153">
        <v>0</v>
      </c>
      <c r="J29" s="149" t="s">
        <v>2692</v>
      </c>
      <c r="K29" s="153" t="s">
        <v>2689</v>
      </c>
      <c r="L29" s="149" t="s">
        <v>2271</v>
      </c>
    </row>
    <row r="30" spans="1:12" s="15" customFormat="1" ht="27" customHeight="1" x14ac:dyDescent="0.2">
      <c r="A30" s="15" t="s">
        <v>2684</v>
      </c>
      <c r="B30" s="61" t="s">
        <v>2274</v>
      </c>
      <c r="C30" s="15" t="s">
        <v>2275</v>
      </c>
      <c r="D30" s="61" t="s">
        <v>2276</v>
      </c>
      <c r="E30" s="151">
        <v>16632</v>
      </c>
      <c r="F30" s="153">
        <v>533.78</v>
      </c>
      <c r="G30" s="153">
        <v>0</v>
      </c>
      <c r="H30" s="153">
        <v>8877828.959999999</v>
      </c>
      <c r="I30" s="153">
        <v>0</v>
      </c>
      <c r="J30" s="149" t="s">
        <v>2692</v>
      </c>
      <c r="K30" s="153" t="s">
        <v>2689</v>
      </c>
      <c r="L30" s="149" t="s">
        <v>2271</v>
      </c>
    </row>
    <row r="31" spans="1:12" s="15" customFormat="1" ht="27" customHeight="1" x14ac:dyDescent="0.2">
      <c r="A31" s="15" t="s">
        <v>2684</v>
      </c>
      <c r="B31" s="61" t="s">
        <v>2277</v>
      </c>
      <c r="C31" s="15" t="s">
        <v>2278</v>
      </c>
      <c r="D31" s="61" t="s">
        <v>2241</v>
      </c>
      <c r="E31" s="151">
        <v>59200</v>
      </c>
      <c r="F31" s="153">
        <v>3162.35</v>
      </c>
      <c r="G31" s="153">
        <v>0</v>
      </c>
      <c r="H31" s="153">
        <v>187211120</v>
      </c>
      <c r="I31" s="153">
        <v>0</v>
      </c>
      <c r="J31" s="149" t="s">
        <v>2692</v>
      </c>
      <c r="K31" s="153" t="s">
        <v>2689</v>
      </c>
      <c r="L31" s="149" t="s">
        <v>2271</v>
      </c>
    </row>
    <row r="32" spans="1:12" s="15" customFormat="1" ht="27" customHeight="1" x14ac:dyDescent="0.2">
      <c r="A32" s="15" t="s">
        <v>2684</v>
      </c>
      <c r="B32" s="61" t="s">
        <v>2279</v>
      </c>
      <c r="C32" s="15" t="s">
        <v>2275</v>
      </c>
      <c r="D32" s="61" t="s">
        <v>2276</v>
      </c>
      <c r="E32" s="151">
        <v>177600</v>
      </c>
      <c r="F32" s="153">
        <v>790.58</v>
      </c>
      <c r="G32" s="153">
        <v>0</v>
      </c>
      <c r="H32" s="153">
        <v>140407008</v>
      </c>
      <c r="I32" s="153">
        <v>0</v>
      </c>
      <c r="J32" s="149" t="s">
        <v>2692</v>
      </c>
      <c r="K32" s="153" t="s">
        <v>2689</v>
      </c>
      <c r="L32" s="149" t="s">
        <v>2271</v>
      </c>
    </row>
    <row r="33" spans="1:19" s="15" customFormat="1" ht="27" customHeight="1" x14ac:dyDescent="0.2">
      <c r="A33" s="15" t="s">
        <v>2684</v>
      </c>
      <c r="B33" s="61" t="s">
        <v>2280</v>
      </c>
      <c r="C33" s="15" t="s">
        <v>2281</v>
      </c>
      <c r="D33" s="61" t="s">
        <v>2241</v>
      </c>
      <c r="E33" s="151">
        <v>12990</v>
      </c>
      <c r="F33" s="153">
        <v>908.45</v>
      </c>
      <c r="G33" s="153">
        <v>0</v>
      </c>
      <c r="H33" s="153">
        <v>11800765.5</v>
      </c>
      <c r="I33" s="153">
        <v>0</v>
      </c>
      <c r="J33" s="149" t="s">
        <v>2692</v>
      </c>
      <c r="K33" s="153" t="s">
        <v>2689</v>
      </c>
      <c r="L33" s="149" t="s">
        <v>2271</v>
      </c>
    </row>
    <row r="34" spans="1:19" s="15" customFormat="1" ht="27" customHeight="1" x14ac:dyDescent="0.2">
      <c r="A34" s="15" t="s">
        <v>2684</v>
      </c>
      <c r="B34" s="61" t="s">
        <v>2282</v>
      </c>
      <c r="C34" s="15" t="s">
        <v>2275</v>
      </c>
      <c r="D34" s="61" t="s">
        <v>2276</v>
      </c>
      <c r="E34" s="151">
        <v>24000</v>
      </c>
      <c r="F34" s="153">
        <v>227.11</v>
      </c>
      <c r="G34" s="153">
        <v>0</v>
      </c>
      <c r="H34" s="153">
        <v>5450640</v>
      </c>
      <c r="I34" s="153">
        <v>0</v>
      </c>
      <c r="J34" s="149" t="s">
        <v>2692</v>
      </c>
      <c r="K34" s="153" t="s">
        <v>2689</v>
      </c>
      <c r="L34" s="149" t="s">
        <v>2271</v>
      </c>
    </row>
    <row r="35" spans="1:19" s="15" customFormat="1" ht="27" customHeight="1" x14ac:dyDescent="0.2">
      <c r="A35" s="15" t="s">
        <v>2684</v>
      </c>
      <c r="B35" s="154" t="s">
        <v>2283</v>
      </c>
      <c r="C35" s="15" t="s">
        <v>2284</v>
      </c>
      <c r="D35" s="61" t="s">
        <v>2241</v>
      </c>
      <c r="E35" s="151">
        <v>3722</v>
      </c>
      <c r="F35" s="153">
        <v>2856.73</v>
      </c>
      <c r="G35" s="153">
        <v>0</v>
      </c>
      <c r="H35" s="153">
        <v>10632749.060000001</v>
      </c>
      <c r="I35" s="153">
        <v>0</v>
      </c>
      <c r="J35" s="149" t="s">
        <v>2692</v>
      </c>
      <c r="K35" s="153" t="s">
        <v>2689</v>
      </c>
      <c r="L35" s="149" t="s">
        <v>2271</v>
      </c>
    </row>
    <row r="36" spans="1:19" s="15" customFormat="1" ht="27" customHeight="1" x14ac:dyDescent="0.2">
      <c r="A36" s="15" t="s">
        <v>2684</v>
      </c>
      <c r="B36" s="61" t="s">
        <v>2285</v>
      </c>
      <c r="C36" s="15" t="s">
        <v>2275</v>
      </c>
      <c r="D36" s="61" t="s">
        <v>2276</v>
      </c>
      <c r="E36" s="151">
        <v>5000</v>
      </c>
      <c r="F36" s="153">
        <v>714.19</v>
      </c>
      <c r="G36" s="153">
        <v>0</v>
      </c>
      <c r="H36" s="153">
        <v>3570950.0000000005</v>
      </c>
      <c r="I36" s="153">
        <v>0</v>
      </c>
      <c r="J36" s="149" t="s">
        <v>2692</v>
      </c>
      <c r="K36" s="153" t="s">
        <v>2689</v>
      </c>
      <c r="L36" s="149" t="s">
        <v>2271</v>
      </c>
    </row>
    <row r="37" spans="1:19" s="15" customFormat="1" ht="27" customHeight="1" x14ac:dyDescent="0.2">
      <c r="A37" s="15" t="s">
        <v>2684</v>
      </c>
      <c r="B37" s="61" t="s">
        <v>2286</v>
      </c>
      <c r="C37" s="15" t="s">
        <v>2287</v>
      </c>
      <c r="D37" s="61" t="s">
        <v>2241</v>
      </c>
      <c r="E37" s="151">
        <v>30000</v>
      </c>
      <c r="F37" s="153">
        <v>3812.78</v>
      </c>
      <c r="G37" s="153">
        <v>0</v>
      </c>
      <c r="H37" s="153">
        <v>114383400</v>
      </c>
      <c r="I37" s="153">
        <v>0</v>
      </c>
      <c r="J37" s="149" t="s">
        <v>2692</v>
      </c>
      <c r="K37" s="153" t="s">
        <v>2689</v>
      </c>
      <c r="L37" s="149" t="s">
        <v>2271</v>
      </c>
    </row>
    <row r="38" spans="1:19" s="15" customFormat="1" ht="27" customHeight="1" x14ac:dyDescent="0.2">
      <c r="A38" s="15" t="s">
        <v>2684</v>
      </c>
      <c r="B38" s="61" t="s">
        <v>2288</v>
      </c>
      <c r="C38" s="15" t="s">
        <v>2275</v>
      </c>
      <c r="D38" s="61" t="s">
        <v>2276</v>
      </c>
      <c r="E38" s="151">
        <v>36000</v>
      </c>
      <c r="F38" s="153">
        <v>953.19</v>
      </c>
      <c r="G38" s="153">
        <v>0</v>
      </c>
      <c r="H38" s="153">
        <v>34314840</v>
      </c>
      <c r="I38" s="153">
        <v>0</v>
      </c>
      <c r="J38" s="149" t="s">
        <v>2692</v>
      </c>
      <c r="K38" s="153" t="s">
        <v>2689</v>
      </c>
      <c r="L38" s="149" t="s">
        <v>2271</v>
      </c>
    </row>
    <row r="39" spans="1:19" s="15" customFormat="1" ht="27" customHeight="1" x14ac:dyDescent="0.2">
      <c r="A39" s="15" t="s">
        <v>2684</v>
      </c>
      <c r="B39" s="61" t="s">
        <v>2289</v>
      </c>
      <c r="C39" s="15" t="s">
        <v>2255</v>
      </c>
      <c r="D39" s="61" t="s">
        <v>2241</v>
      </c>
      <c r="E39" s="151">
        <v>3430</v>
      </c>
      <c r="F39" s="153">
        <v>2856.73</v>
      </c>
      <c r="G39" s="153">
        <v>0</v>
      </c>
      <c r="H39" s="153">
        <v>9798583.9000000004</v>
      </c>
      <c r="I39" s="153">
        <v>0</v>
      </c>
      <c r="J39" s="149" t="s">
        <v>2692</v>
      </c>
      <c r="K39" s="153" t="s">
        <v>2689</v>
      </c>
      <c r="L39" s="149" t="s">
        <v>2271</v>
      </c>
    </row>
    <row r="40" spans="1:19" s="15" customFormat="1" ht="27" customHeight="1" x14ac:dyDescent="0.2">
      <c r="A40" s="15" t="s">
        <v>2684</v>
      </c>
      <c r="B40" s="61" t="s">
        <v>2290</v>
      </c>
      <c r="C40" s="15" t="s">
        <v>2275</v>
      </c>
      <c r="D40" s="61" t="s">
        <v>2276</v>
      </c>
      <c r="E40" s="151">
        <v>13260</v>
      </c>
      <c r="F40" s="153">
        <v>714.19</v>
      </c>
      <c r="G40" s="153">
        <v>0</v>
      </c>
      <c r="H40" s="153">
        <v>9470159.4000000004</v>
      </c>
      <c r="I40" s="153">
        <v>0</v>
      </c>
      <c r="J40" s="149" t="s">
        <v>2692</v>
      </c>
      <c r="K40" s="153" t="s">
        <v>2689</v>
      </c>
      <c r="L40" s="149" t="s">
        <v>2271</v>
      </c>
    </row>
    <row r="41" spans="1:19" s="15" customFormat="1" ht="27" customHeight="1" x14ac:dyDescent="0.2">
      <c r="A41" s="15" t="s">
        <v>2684</v>
      </c>
      <c r="B41" s="61" t="s">
        <v>2291</v>
      </c>
      <c r="C41" s="15" t="s">
        <v>2245</v>
      </c>
      <c r="D41" s="61" t="s">
        <v>2241</v>
      </c>
      <c r="E41" s="151">
        <v>36000</v>
      </c>
      <c r="F41" s="153">
        <v>1791.26</v>
      </c>
      <c r="G41" s="153">
        <v>0</v>
      </c>
      <c r="H41" s="153">
        <v>64485360</v>
      </c>
      <c r="I41" s="153">
        <v>0</v>
      </c>
      <c r="J41" s="149" t="s">
        <v>2692</v>
      </c>
      <c r="K41" s="153" t="s">
        <v>2689</v>
      </c>
      <c r="L41" s="149" t="s">
        <v>2271</v>
      </c>
    </row>
    <row r="42" spans="1:19" s="15" customFormat="1" ht="27" customHeight="1" x14ac:dyDescent="0.2">
      <c r="A42" s="15" t="s">
        <v>2684</v>
      </c>
      <c r="B42" s="61" t="s">
        <v>2292</v>
      </c>
      <c r="C42" s="15" t="s">
        <v>2275</v>
      </c>
      <c r="D42" s="61" t="s">
        <v>2276</v>
      </c>
      <c r="E42" s="151">
        <v>108000</v>
      </c>
      <c r="F42" s="153">
        <v>447.83</v>
      </c>
      <c r="G42" s="153">
        <v>0</v>
      </c>
      <c r="H42" s="153">
        <v>48365640</v>
      </c>
      <c r="I42" s="153">
        <v>0</v>
      </c>
      <c r="J42" s="149" t="s">
        <v>2692</v>
      </c>
      <c r="K42" s="153" t="s">
        <v>2689</v>
      </c>
      <c r="L42" s="149" t="s">
        <v>2271</v>
      </c>
    </row>
    <row r="43" spans="1:19" s="15" customFormat="1" ht="27" customHeight="1" x14ac:dyDescent="0.2">
      <c r="A43" s="15" t="s">
        <v>2684</v>
      </c>
      <c r="B43" s="61" t="s">
        <v>2293</v>
      </c>
      <c r="C43" s="15" t="s">
        <v>2294</v>
      </c>
      <c r="D43" s="61" t="s">
        <v>2241</v>
      </c>
      <c r="E43" s="151">
        <v>4982</v>
      </c>
      <c r="F43" s="153">
        <v>2466.63</v>
      </c>
      <c r="G43" s="153">
        <v>0</v>
      </c>
      <c r="H43" s="153">
        <v>12288750.66</v>
      </c>
      <c r="I43" s="153">
        <v>0</v>
      </c>
      <c r="J43" s="149" t="s">
        <v>2692</v>
      </c>
      <c r="K43" s="153" t="s">
        <v>2689</v>
      </c>
      <c r="L43" s="149" t="s">
        <v>2271</v>
      </c>
    </row>
    <row r="44" spans="1:19" s="15" customFormat="1" ht="27" customHeight="1" x14ac:dyDescent="0.2">
      <c r="A44" s="15" t="s">
        <v>2684</v>
      </c>
      <c r="B44" s="61" t="s">
        <v>2295</v>
      </c>
      <c r="C44" s="15" t="s">
        <v>2275</v>
      </c>
      <c r="D44" s="61" t="s">
        <v>2276</v>
      </c>
      <c r="E44" s="151">
        <v>14946</v>
      </c>
      <c r="F44" s="153">
        <v>616.65</v>
      </c>
      <c r="G44" s="153">
        <v>0</v>
      </c>
      <c r="H44" s="153">
        <v>9216450.9000000004</v>
      </c>
      <c r="I44" s="153">
        <v>0</v>
      </c>
      <c r="J44" s="149" t="s">
        <v>2692</v>
      </c>
      <c r="K44" s="153" t="s">
        <v>2689</v>
      </c>
      <c r="L44" s="149" t="s">
        <v>2271</v>
      </c>
    </row>
    <row r="45" spans="1:19" s="15" customFormat="1" ht="27" customHeight="1" x14ac:dyDescent="0.2">
      <c r="A45" s="15" t="s">
        <v>2684</v>
      </c>
      <c r="B45" s="61" t="s">
        <v>2296</v>
      </c>
      <c r="C45" s="15" t="s">
        <v>2297</v>
      </c>
      <c r="D45" s="61" t="s">
        <v>2241</v>
      </c>
      <c r="E45" s="151">
        <v>2400</v>
      </c>
      <c r="F45" s="153">
        <v>3812.78</v>
      </c>
      <c r="G45" s="153">
        <v>0</v>
      </c>
      <c r="H45" s="153">
        <v>9150672</v>
      </c>
      <c r="I45" s="153">
        <v>0</v>
      </c>
      <c r="J45" s="149" t="s">
        <v>2692</v>
      </c>
      <c r="K45" s="153" t="s">
        <v>2689</v>
      </c>
      <c r="L45" s="149" t="s">
        <v>2271</v>
      </c>
      <c r="P45" s="84"/>
      <c r="Q45" s="84"/>
      <c r="R45" s="84"/>
    </row>
    <row r="46" spans="1:19" s="15" customFormat="1" ht="27" customHeight="1" x14ac:dyDescent="0.2">
      <c r="A46" s="15" t="s">
        <v>2684</v>
      </c>
      <c r="B46" s="61" t="s">
        <v>2298</v>
      </c>
      <c r="C46" s="15" t="s">
        <v>2275</v>
      </c>
      <c r="D46" s="61" t="s">
        <v>2276</v>
      </c>
      <c r="E46" s="151">
        <v>7200</v>
      </c>
      <c r="F46" s="153">
        <v>953.19</v>
      </c>
      <c r="G46" s="153">
        <v>0</v>
      </c>
      <c r="H46" s="153">
        <v>6862968</v>
      </c>
      <c r="I46" s="153">
        <v>0</v>
      </c>
      <c r="J46" s="149" t="s">
        <v>2692</v>
      </c>
      <c r="K46" s="153" t="s">
        <v>2689</v>
      </c>
      <c r="L46" s="149" t="s">
        <v>2271</v>
      </c>
      <c r="P46" s="84"/>
      <c r="Q46" s="84"/>
      <c r="R46" s="84"/>
    </row>
    <row r="47" spans="1:19" s="15" customFormat="1" ht="27" customHeight="1" x14ac:dyDescent="0.2">
      <c r="A47" s="15" t="s">
        <v>2684</v>
      </c>
      <c r="B47" s="154" t="s">
        <v>2299</v>
      </c>
      <c r="C47" s="15" t="s">
        <v>2300</v>
      </c>
      <c r="D47" s="61" t="s">
        <v>2241</v>
      </c>
      <c r="E47" s="151">
        <v>6400</v>
      </c>
      <c r="F47" s="153">
        <v>4209.8100000000004</v>
      </c>
      <c r="G47" s="153">
        <v>0</v>
      </c>
      <c r="H47" s="153">
        <v>26942784.000000004</v>
      </c>
      <c r="I47" s="153">
        <v>0</v>
      </c>
      <c r="J47" s="149" t="s">
        <v>2692</v>
      </c>
      <c r="K47" s="153" t="s">
        <v>2689</v>
      </c>
      <c r="L47" s="149" t="s">
        <v>2271</v>
      </c>
      <c r="P47" s="84"/>
      <c r="Q47" s="84"/>
      <c r="R47" s="84"/>
      <c r="S47" s="84">
        <f>+R45*0.85</f>
        <v>0</v>
      </c>
    </row>
    <row r="48" spans="1:19" s="15" customFormat="1" ht="27" customHeight="1" x14ac:dyDescent="0.2">
      <c r="A48" s="15" t="s">
        <v>2684</v>
      </c>
      <c r="B48" s="61" t="s">
        <v>2301</v>
      </c>
      <c r="C48" s="15" t="s">
        <v>2275</v>
      </c>
      <c r="D48" s="61" t="s">
        <v>2276</v>
      </c>
      <c r="E48" s="151">
        <v>19200</v>
      </c>
      <c r="F48" s="153">
        <v>1052.45</v>
      </c>
      <c r="G48" s="153">
        <v>0</v>
      </c>
      <c r="H48" s="153">
        <v>20207040</v>
      </c>
      <c r="I48" s="153">
        <v>0</v>
      </c>
      <c r="J48" s="149" t="s">
        <v>2692</v>
      </c>
      <c r="K48" s="153" t="s">
        <v>2689</v>
      </c>
      <c r="L48" s="149" t="s">
        <v>2271</v>
      </c>
      <c r="P48" s="84"/>
      <c r="Q48" s="84"/>
      <c r="R48" s="84"/>
      <c r="S48" s="84"/>
    </row>
    <row r="49" spans="1:19" s="15" customFormat="1" ht="27" customHeight="1" x14ac:dyDescent="0.2">
      <c r="A49" s="15" t="s">
        <v>2684</v>
      </c>
      <c r="B49" s="61" t="s">
        <v>2302</v>
      </c>
      <c r="C49" s="15" t="s">
        <v>2303</v>
      </c>
      <c r="D49" s="61" t="s">
        <v>2241</v>
      </c>
      <c r="E49" s="151">
        <v>6400</v>
      </c>
      <c r="F49" s="153">
        <v>4695.55</v>
      </c>
      <c r="G49" s="153">
        <v>0</v>
      </c>
      <c r="H49" s="153">
        <v>30051520</v>
      </c>
      <c r="I49" s="153">
        <v>0</v>
      </c>
      <c r="J49" s="149" t="s">
        <v>2692</v>
      </c>
      <c r="K49" s="153" t="s">
        <v>2689</v>
      </c>
      <c r="L49" s="149" t="s">
        <v>2271</v>
      </c>
      <c r="P49" s="84"/>
      <c r="Q49" s="84"/>
      <c r="R49" s="84"/>
      <c r="S49" s="84">
        <f>+S47*0.9</f>
        <v>0</v>
      </c>
    </row>
    <row r="50" spans="1:19" s="15" customFormat="1" ht="27" customHeight="1" x14ac:dyDescent="0.2">
      <c r="A50" s="15" t="s">
        <v>2684</v>
      </c>
      <c r="B50" s="61" t="s">
        <v>2304</v>
      </c>
      <c r="C50" s="15" t="s">
        <v>2275</v>
      </c>
      <c r="D50" s="61" t="s">
        <v>2276</v>
      </c>
      <c r="E50" s="151">
        <v>19200</v>
      </c>
      <c r="F50" s="153">
        <v>1173.8900000000001</v>
      </c>
      <c r="G50" s="153">
        <v>0</v>
      </c>
      <c r="H50" s="153">
        <v>22538688.000000004</v>
      </c>
      <c r="I50" s="153">
        <v>0</v>
      </c>
      <c r="J50" s="149" t="s">
        <v>2692</v>
      </c>
      <c r="K50" s="153" t="s">
        <v>2689</v>
      </c>
      <c r="L50" s="149" t="s">
        <v>2271</v>
      </c>
    </row>
    <row r="51" spans="1:19" s="15" customFormat="1" ht="20.100000000000001" customHeight="1" x14ac:dyDescent="0.2">
      <c r="B51" s="145"/>
      <c r="C51" s="145"/>
      <c r="D51" s="145"/>
      <c r="E51" s="146"/>
      <c r="F51" s="145"/>
      <c r="G51" s="62" t="s">
        <v>26</v>
      </c>
      <c r="H51" s="147">
        <v>2800063006.1399999</v>
      </c>
      <c r="I51" s="147">
        <v>0</v>
      </c>
    </row>
    <row r="52" spans="1:19" ht="18" customHeight="1" x14ac:dyDescent="0.2">
      <c r="F52" s="17"/>
      <c r="G52" s="17"/>
      <c r="H52" s="49"/>
      <c r="I52" s="48"/>
    </row>
    <row r="53" spans="1:19" ht="18" hidden="1" customHeight="1" x14ac:dyDescent="0.2">
      <c r="B53" s="1" t="s">
        <v>28</v>
      </c>
    </row>
    <row r="54" spans="1:19" ht="18" hidden="1" customHeight="1" x14ac:dyDescent="0.2">
      <c r="B54" s="20"/>
      <c r="C54" s="19"/>
    </row>
    <row r="55" spans="1:19" ht="18" hidden="1" customHeight="1" x14ac:dyDescent="0.2">
      <c r="B55" s="3"/>
    </row>
    <row r="56" spans="1:19" ht="18" hidden="1" customHeight="1" x14ac:dyDescent="0.2">
      <c r="B56" s="1"/>
    </row>
    <row r="57" spans="1:19" ht="20.100000000000001" hidden="1" customHeight="1" x14ac:dyDescent="0.2">
      <c r="G57" s="38"/>
      <c r="H57" s="37" t="s">
        <v>29</v>
      </c>
      <c r="I57" s="36"/>
    </row>
    <row r="58" spans="1:19" ht="20.100000000000001" hidden="1" customHeight="1" x14ac:dyDescent="0.2">
      <c r="G58" s="69" t="s">
        <v>30</v>
      </c>
      <c r="H58" s="70"/>
      <c r="I58" s="70"/>
    </row>
    <row r="59" spans="1:19" ht="20.100000000000001" hidden="1" customHeight="1" x14ac:dyDescent="0.2">
      <c r="G59" s="1"/>
      <c r="H59" s="26" t="s">
        <v>31</v>
      </c>
      <c r="I59" s="25"/>
    </row>
    <row r="60" spans="1:19" ht="20.100000000000001" hidden="1" customHeight="1" x14ac:dyDescent="0.2"/>
  </sheetData>
  <printOptions horizontalCentered="1"/>
  <pageMargins left="0.23622047244094491" right="0.23622047244094491" top="0.55118110236220474" bottom="0.55118110236220474" header="0.31496062992125984" footer="0.31496062992125984"/>
  <pageSetup scale="75" orientation="landscape" r:id="rId1"/>
  <headerFooter>
    <oddFooter>&amp;C&amp;9&amp;P  de  &amp;N</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5C43F-5810-405B-B248-CB85E555FBB1}">
  <sheetPr>
    <tabColor theme="8" tint="-0.499984740745262"/>
  </sheetPr>
  <dimension ref="A1:L25"/>
  <sheetViews>
    <sheetView zoomScale="85" zoomScaleNormal="85" workbookViewId="0">
      <selection activeCell="D12" sqref="D12"/>
    </sheetView>
  </sheetViews>
  <sheetFormatPr baseColWidth="10" defaultColWidth="11.42578125" defaultRowHeight="18" customHeight="1" x14ac:dyDescent="0.2"/>
  <cols>
    <col min="1" max="1" width="10.7109375" style="2" bestFit="1" customWidth="1"/>
    <col min="2" max="2" width="9.42578125" style="2" customWidth="1"/>
    <col min="3" max="3" width="50.7109375" style="2" customWidth="1"/>
    <col min="4" max="4" width="14.7109375" style="2" customWidth="1"/>
    <col min="5" max="5" width="23.42578125" style="2" customWidth="1"/>
    <col min="6" max="9" width="14.7109375" style="2" customWidth="1"/>
    <col min="10" max="10" width="12.28515625" style="2" bestFit="1" customWidth="1"/>
    <col min="11" max="11" width="13.28515625" style="2" bestFit="1" customWidth="1"/>
    <col min="12" max="16384" width="11.42578125" style="2"/>
  </cols>
  <sheetData>
    <row r="1" spans="1:12" s="1" customFormat="1" ht="21.75" customHeight="1" x14ac:dyDescent="0.2">
      <c r="B1" s="16" t="s">
        <v>0</v>
      </c>
      <c r="C1" s="12"/>
      <c r="D1" s="16"/>
      <c r="E1" s="16"/>
      <c r="F1" s="16"/>
      <c r="G1" s="16"/>
      <c r="H1" s="16"/>
      <c r="I1" s="16"/>
    </row>
    <row r="2" spans="1:12" s="1" customFormat="1" ht="20.100000000000001" customHeight="1" x14ac:dyDescent="0.2">
      <c r="B2" s="12" t="s">
        <v>1</v>
      </c>
      <c r="C2" s="12"/>
      <c r="D2" s="12"/>
      <c r="E2" s="12"/>
      <c r="F2" s="12"/>
      <c r="G2" s="12"/>
      <c r="H2" s="12"/>
      <c r="I2" s="12"/>
    </row>
    <row r="3" spans="1:12" s="1" customFormat="1" ht="27" x14ac:dyDescent="0.2">
      <c r="B3" s="16" t="s">
        <v>2</v>
      </c>
      <c r="C3" s="12"/>
      <c r="D3" s="12"/>
      <c r="E3" s="12"/>
      <c r="F3" s="12"/>
      <c r="G3" s="12"/>
      <c r="H3" s="12"/>
      <c r="I3" s="12"/>
    </row>
    <row r="4" spans="1:12" s="1" customFormat="1" ht="18" customHeight="1" x14ac:dyDescent="0.2">
      <c r="B4" s="23"/>
      <c r="C4" s="12"/>
      <c r="D4" s="12"/>
      <c r="E4" s="12"/>
      <c r="F4" s="12"/>
      <c r="G4" s="12"/>
      <c r="H4" s="12"/>
      <c r="I4" s="12"/>
    </row>
    <row r="5" spans="1:12" ht="18" customHeight="1" x14ac:dyDescent="0.2">
      <c r="B5" s="13" t="s">
        <v>2305</v>
      </c>
      <c r="C5" s="12"/>
      <c r="D5" s="12"/>
      <c r="E5" s="12"/>
      <c r="F5" s="12"/>
      <c r="G5" s="12"/>
      <c r="H5" s="12"/>
      <c r="I5" s="12"/>
    </row>
    <row r="6" spans="1:12" ht="22.5" customHeight="1" x14ac:dyDescent="0.2">
      <c r="A6" s="155" t="s">
        <v>2677</v>
      </c>
      <c r="B6" s="156" t="s">
        <v>2673</v>
      </c>
      <c r="C6" s="156" t="s">
        <v>2674</v>
      </c>
      <c r="D6" s="156" t="s">
        <v>33</v>
      </c>
      <c r="E6" s="157" t="s">
        <v>34</v>
      </c>
      <c r="F6" s="155" t="s">
        <v>2675</v>
      </c>
      <c r="G6" s="155" t="s">
        <v>2676</v>
      </c>
      <c r="H6" s="155" t="s">
        <v>10</v>
      </c>
      <c r="I6" s="155" t="s">
        <v>11</v>
      </c>
      <c r="J6" s="155" t="s">
        <v>2679</v>
      </c>
      <c r="K6" s="155" t="s">
        <v>2680</v>
      </c>
      <c r="L6" s="155" t="s">
        <v>2681</v>
      </c>
    </row>
    <row r="7" spans="1:12" ht="25.15" customHeight="1" x14ac:dyDescent="0.2">
      <c r="A7" s="2" t="s">
        <v>2306</v>
      </c>
      <c r="B7" s="158" t="s">
        <v>2306</v>
      </c>
      <c r="C7" s="159" t="s">
        <v>2307</v>
      </c>
      <c r="D7" s="160"/>
      <c r="E7" s="151"/>
      <c r="F7" s="153"/>
      <c r="G7" s="153"/>
      <c r="H7" s="153"/>
      <c r="I7" s="153"/>
      <c r="J7" s="162" t="s">
        <v>2691</v>
      </c>
    </row>
    <row r="8" spans="1:12" ht="25.15" customHeight="1" x14ac:dyDescent="0.2">
      <c r="A8" s="2" t="s">
        <v>2306</v>
      </c>
      <c r="B8" s="158"/>
      <c r="C8" s="159" t="s">
        <v>2308</v>
      </c>
      <c r="D8" s="160"/>
      <c r="E8" s="151"/>
      <c r="F8" s="153"/>
      <c r="G8" s="153"/>
      <c r="H8" s="153"/>
      <c r="I8" s="153"/>
      <c r="J8" s="162" t="s">
        <v>2691</v>
      </c>
    </row>
    <row r="9" spans="1:12" ht="25.15" customHeight="1" x14ac:dyDescent="0.2">
      <c r="A9" s="2" t="s">
        <v>2306</v>
      </c>
      <c r="B9" s="158">
        <v>4.4000000000000004</v>
      </c>
      <c r="C9" s="158" t="s">
        <v>2243</v>
      </c>
      <c r="D9" s="61" t="s">
        <v>2241</v>
      </c>
      <c r="E9" s="151">
        <v>4</v>
      </c>
      <c r="F9" s="153">
        <v>1463.99</v>
      </c>
      <c r="G9" s="153">
        <v>0</v>
      </c>
      <c r="H9" s="153">
        <v>5855.96</v>
      </c>
      <c r="I9" s="153">
        <v>0</v>
      </c>
      <c r="J9" s="162" t="s">
        <v>2691</v>
      </c>
      <c r="K9" s="2" t="s">
        <v>2688</v>
      </c>
      <c r="L9" s="159" t="s">
        <v>2308</v>
      </c>
    </row>
    <row r="10" spans="1:12" ht="25.15" customHeight="1" x14ac:dyDescent="0.2">
      <c r="A10" s="2" t="s">
        <v>2306</v>
      </c>
      <c r="B10" s="158">
        <v>4.5</v>
      </c>
      <c r="C10" s="158" t="s">
        <v>2245</v>
      </c>
      <c r="D10" s="61" t="s">
        <v>2241</v>
      </c>
      <c r="E10" s="151">
        <v>12</v>
      </c>
      <c r="F10" s="153">
        <v>2369.0100000000002</v>
      </c>
      <c r="G10" s="153">
        <v>0</v>
      </c>
      <c r="H10" s="153">
        <v>28428.120000000003</v>
      </c>
      <c r="I10" s="153">
        <v>0</v>
      </c>
      <c r="J10" s="162" t="s">
        <v>2691</v>
      </c>
      <c r="K10" s="2" t="s">
        <v>2688</v>
      </c>
      <c r="L10" s="159" t="s">
        <v>2308</v>
      </c>
    </row>
    <row r="11" spans="1:12" ht="25.15" customHeight="1" x14ac:dyDescent="0.2">
      <c r="A11" s="2" t="s">
        <v>2306</v>
      </c>
      <c r="B11" s="161">
        <v>4.7</v>
      </c>
      <c r="C11" s="158" t="s">
        <v>2249</v>
      </c>
      <c r="D11" s="61" t="s">
        <v>2241</v>
      </c>
      <c r="E11" s="151">
        <v>8</v>
      </c>
      <c r="F11" s="153">
        <v>3660.18</v>
      </c>
      <c r="G11" s="153">
        <v>0</v>
      </c>
      <c r="H11" s="153">
        <v>29281.439999999999</v>
      </c>
      <c r="I11" s="153">
        <v>0</v>
      </c>
      <c r="J11" s="162" t="s">
        <v>2691</v>
      </c>
      <c r="K11" s="2" t="s">
        <v>2688</v>
      </c>
      <c r="L11" s="159" t="s">
        <v>2308</v>
      </c>
    </row>
    <row r="12" spans="1:12" ht="25.15" customHeight="1" x14ac:dyDescent="0.2">
      <c r="A12" s="2" t="s">
        <v>2306</v>
      </c>
      <c r="B12" s="158">
        <v>4.9000000000000004</v>
      </c>
      <c r="C12" s="158" t="s">
        <v>2253</v>
      </c>
      <c r="D12" s="61" t="s">
        <v>2241</v>
      </c>
      <c r="E12" s="151">
        <v>4</v>
      </c>
      <c r="F12" s="153">
        <v>3947.93</v>
      </c>
      <c r="G12" s="153">
        <v>0</v>
      </c>
      <c r="H12" s="153">
        <v>15791.72</v>
      </c>
      <c r="I12" s="153">
        <v>0</v>
      </c>
      <c r="J12" s="162" t="s">
        <v>2691</v>
      </c>
      <c r="K12" s="2" t="s">
        <v>2688</v>
      </c>
      <c r="L12" s="159" t="s">
        <v>2308</v>
      </c>
    </row>
    <row r="13" spans="1:12" ht="25.15" customHeight="1" x14ac:dyDescent="0.2">
      <c r="A13" s="2" t="s">
        <v>2306</v>
      </c>
      <c r="B13" s="158">
        <v>4.1100000000000003</v>
      </c>
      <c r="C13" s="158" t="s">
        <v>2257</v>
      </c>
      <c r="D13" s="61" t="s">
        <v>2241</v>
      </c>
      <c r="E13" s="151">
        <v>2</v>
      </c>
      <c r="F13" s="153">
        <v>4962.2299999999996</v>
      </c>
      <c r="G13" s="153">
        <v>0</v>
      </c>
      <c r="H13" s="153">
        <v>9924.4599999999991</v>
      </c>
      <c r="I13" s="153">
        <v>0</v>
      </c>
      <c r="J13" s="162" t="s">
        <v>2691</v>
      </c>
      <c r="K13" s="2" t="s">
        <v>2688</v>
      </c>
      <c r="L13" s="159" t="s">
        <v>2308</v>
      </c>
    </row>
    <row r="14" spans="1:12" ht="25.15" customHeight="1" x14ac:dyDescent="0.2">
      <c r="A14" s="2" t="s">
        <v>2306</v>
      </c>
      <c r="B14" s="158">
        <v>4.13</v>
      </c>
      <c r="C14" s="158" t="s">
        <v>2309</v>
      </c>
      <c r="D14" s="61" t="s">
        <v>2241</v>
      </c>
      <c r="E14" s="151">
        <v>1</v>
      </c>
      <c r="F14" s="153">
        <v>5397.2</v>
      </c>
      <c r="G14" s="153">
        <v>0</v>
      </c>
      <c r="H14" s="153">
        <v>5397.2</v>
      </c>
      <c r="I14" s="153">
        <v>0</v>
      </c>
      <c r="J14" s="162" t="s">
        <v>2691</v>
      </c>
      <c r="K14" s="2" t="s">
        <v>2688</v>
      </c>
      <c r="L14" s="159" t="s">
        <v>2308</v>
      </c>
    </row>
    <row r="15" spans="1:12" ht="25.15" customHeight="1" x14ac:dyDescent="0.2">
      <c r="A15" s="2" t="s">
        <v>2306</v>
      </c>
      <c r="B15" s="158"/>
      <c r="C15" s="159" t="s">
        <v>2310</v>
      </c>
      <c r="D15" s="160"/>
      <c r="E15" s="151"/>
      <c r="F15" s="153"/>
      <c r="G15" s="153"/>
      <c r="H15" s="153"/>
      <c r="I15" s="153"/>
      <c r="J15" s="162" t="s">
        <v>2691</v>
      </c>
      <c r="K15" s="2" t="s">
        <v>2688</v>
      </c>
    </row>
    <row r="16" spans="1:12" ht="25.15" customHeight="1" x14ac:dyDescent="0.2">
      <c r="A16" s="2" t="s">
        <v>2306</v>
      </c>
      <c r="B16" s="158">
        <v>4.16</v>
      </c>
      <c r="C16" s="158" t="s">
        <v>2268</v>
      </c>
      <c r="D16" s="61" t="s">
        <v>2241</v>
      </c>
      <c r="E16" s="151">
        <v>2</v>
      </c>
      <c r="F16" s="153">
        <v>4283.63</v>
      </c>
      <c r="G16" s="153">
        <v>0</v>
      </c>
      <c r="H16" s="153">
        <v>8567.26</v>
      </c>
      <c r="I16" s="153">
        <v>0</v>
      </c>
      <c r="J16" s="162" t="s">
        <v>2691</v>
      </c>
      <c r="K16" s="2" t="s">
        <v>2688</v>
      </c>
      <c r="L16" s="159" t="s">
        <v>2310</v>
      </c>
    </row>
    <row r="17" spans="2:9" ht="18" customHeight="1" x14ac:dyDescent="0.2">
      <c r="G17" s="62" t="s">
        <v>26</v>
      </c>
      <c r="H17" s="147">
        <v>103246.16</v>
      </c>
      <c r="I17" s="147">
        <v>0</v>
      </c>
    </row>
    <row r="19" spans="2:9" ht="18" customHeight="1" x14ac:dyDescent="0.2">
      <c r="B19" s="1" t="s">
        <v>28</v>
      </c>
    </row>
    <row r="20" spans="2:9" ht="18" customHeight="1" x14ac:dyDescent="0.2">
      <c r="B20" s="20"/>
      <c r="C20" s="19"/>
    </row>
    <row r="22" spans="2:9" ht="18" customHeight="1" x14ac:dyDescent="0.2">
      <c r="E22"/>
      <c r="F22"/>
    </row>
    <row r="23" spans="2:9" ht="18" customHeight="1" x14ac:dyDescent="0.2">
      <c r="E23"/>
      <c r="F23"/>
      <c r="G23" s="38"/>
      <c r="H23" s="37" t="s">
        <v>29</v>
      </c>
      <c r="I23" s="36"/>
    </row>
    <row r="24" spans="2:9" ht="18" customHeight="1" x14ac:dyDescent="0.2">
      <c r="E24"/>
      <c r="F24"/>
      <c r="G24" s="69" t="s">
        <v>30</v>
      </c>
      <c r="H24" s="70"/>
      <c r="I24" s="70"/>
    </row>
    <row r="25" spans="2:9" ht="18" customHeight="1" x14ac:dyDescent="0.2">
      <c r="E25"/>
      <c r="F25"/>
      <c r="G25" s="1"/>
      <c r="H25" s="26" t="s">
        <v>31</v>
      </c>
      <c r="I25" s="25"/>
    </row>
  </sheetData>
  <printOptions horizontalCentered="1"/>
  <pageMargins left="0.23622047244094491" right="0.23622047244094491" top="0.55118110236220474" bottom="0.55118110236220474" header="0.31496062992125984" footer="0.31496062992125984"/>
  <pageSetup scale="80" orientation="landscape" r:id="rId1"/>
  <headerFooter>
    <oddFooter>&amp;C&amp;9&amp;P  de  &amp;N</oddFoot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B365A-5C8F-40F1-9BAC-6F852D711107}">
  <sheetPr>
    <tabColor theme="8" tint="-0.499984740745262"/>
  </sheetPr>
  <dimension ref="A1:L225"/>
  <sheetViews>
    <sheetView topLeftCell="A14" zoomScaleNormal="100" workbookViewId="0">
      <selection activeCell="D14" sqref="D14"/>
    </sheetView>
  </sheetViews>
  <sheetFormatPr baseColWidth="10" defaultColWidth="11.42578125" defaultRowHeight="18" customHeight="1" x14ac:dyDescent="0.2"/>
  <cols>
    <col min="1" max="1" width="9.85546875" style="1" customWidth="1"/>
    <col min="2" max="2" width="10.7109375" style="1" customWidth="1"/>
    <col min="3" max="3" width="70.7109375" style="2" customWidth="1"/>
    <col min="4" max="4" width="11.7109375" style="1" customWidth="1"/>
    <col min="5" max="5" width="24.140625" style="24" customWidth="1"/>
    <col min="6" max="7" width="12.7109375" style="1" customWidth="1"/>
    <col min="8" max="9" width="15.7109375" style="1" customWidth="1"/>
    <col min="10" max="10" width="19.42578125" style="1" bestFit="1" customWidth="1"/>
    <col min="11" max="11" width="18.28515625" style="1" bestFit="1" customWidth="1"/>
    <col min="12" max="16384" width="11.42578125" style="1"/>
  </cols>
  <sheetData>
    <row r="1" spans="1:12" ht="21.75" customHeight="1" x14ac:dyDescent="0.2">
      <c r="B1" s="16" t="s">
        <v>0</v>
      </c>
      <c r="C1" s="12"/>
      <c r="D1" s="16"/>
      <c r="E1" s="16"/>
      <c r="F1" s="16"/>
      <c r="G1" s="16"/>
      <c r="H1" s="16"/>
      <c r="I1" s="16"/>
    </row>
    <row r="2" spans="1:12" ht="20.100000000000001" customHeight="1" x14ac:dyDescent="0.2">
      <c r="B2" s="12" t="s">
        <v>1</v>
      </c>
      <c r="C2" s="12"/>
      <c r="D2" s="12"/>
      <c r="E2" s="12"/>
      <c r="F2" s="12"/>
      <c r="G2" s="12"/>
      <c r="H2" s="12"/>
      <c r="I2" s="12"/>
    </row>
    <row r="3" spans="1:12" ht="27" x14ac:dyDescent="0.2">
      <c r="B3" s="16" t="s">
        <v>2</v>
      </c>
      <c r="C3" s="12"/>
      <c r="D3" s="12"/>
      <c r="E3" s="12"/>
      <c r="F3" s="12"/>
      <c r="G3" s="12"/>
      <c r="H3" s="12"/>
      <c r="I3" s="12"/>
    </row>
    <row r="4" spans="1:12" s="22" customFormat="1" ht="10.15" customHeight="1" x14ac:dyDescent="0.25">
      <c r="A4" s="1"/>
      <c r="B4" s="1"/>
      <c r="C4" s="23"/>
      <c r="D4" s="12"/>
      <c r="E4" s="12"/>
      <c r="F4" s="12"/>
      <c r="G4" s="12"/>
      <c r="H4" s="12"/>
    </row>
    <row r="5" spans="1:12" s="22" customFormat="1" ht="20.100000000000001" customHeight="1" x14ac:dyDescent="0.25">
      <c r="A5" s="29"/>
      <c r="B5" s="29" t="s">
        <v>2311</v>
      </c>
      <c r="C5" s="18"/>
      <c r="D5" s="18"/>
      <c r="E5" s="28"/>
      <c r="F5" s="18"/>
      <c r="G5" s="18"/>
      <c r="H5" s="18"/>
      <c r="I5" s="18"/>
    </row>
    <row r="6" spans="1:12" s="22" customFormat="1" ht="15" customHeight="1" x14ac:dyDescent="0.25">
      <c r="A6" s="155" t="s">
        <v>2677</v>
      </c>
      <c r="B6" s="156" t="s">
        <v>2673</v>
      </c>
      <c r="C6" s="156" t="s">
        <v>2674</v>
      </c>
      <c r="D6" s="156" t="s">
        <v>33</v>
      </c>
      <c r="E6" s="157" t="s">
        <v>34</v>
      </c>
      <c r="F6" s="155" t="s">
        <v>2675</v>
      </c>
      <c r="G6" s="155" t="s">
        <v>2676</v>
      </c>
      <c r="H6" s="155" t="s">
        <v>10</v>
      </c>
      <c r="I6" s="155" t="s">
        <v>11</v>
      </c>
      <c r="J6" s="155" t="s">
        <v>2679</v>
      </c>
      <c r="K6" s="155" t="s">
        <v>2680</v>
      </c>
      <c r="L6" s="155" t="s">
        <v>2681</v>
      </c>
    </row>
    <row r="7" spans="1:12" s="22" customFormat="1" ht="25.5" customHeight="1" x14ac:dyDescent="0.25">
      <c r="A7" s="148" t="s">
        <v>2685</v>
      </c>
      <c r="B7" s="168">
        <v>5</v>
      </c>
      <c r="C7" s="169" t="s">
        <v>2312</v>
      </c>
      <c r="D7" s="169"/>
      <c r="E7" s="169"/>
      <c r="F7" s="169"/>
      <c r="G7" s="169"/>
      <c r="H7" s="169"/>
      <c r="I7" s="169"/>
      <c r="J7" s="169"/>
    </row>
    <row r="8" spans="1:12" s="22" customFormat="1" ht="25.5" customHeight="1" x14ac:dyDescent="0.25">
      <c r="A8" s="148" t="s">
        <v>2685</v>
      </c>
      <c r="B8" s="25"/>
      <c r="C8" s="170" t="s">
        <v>2313</v>
      </c>
      <c r="D8" s="25"/>
      <c r="E8" s="171"/>
      <c r="F8" s="166"/>
      <c r="G8" s="166"/>
      <c r="H8" s="166"/>
      <c r="I8" s="166"/>
    </row>
    <row r="9" spans="1:12" s="22" customFormat="1" ht="25.5" customHeight="1" x14ac:dyDescent="0.25">
      <c r="A9" s="148" t="s">
        <v>2685</v>
      </c>
      <c r="B9" s="25" t="s">
        <v>2314</v>
      </c>
      <c r="C9" s="150" t="s">
        <v>2315</v>
      </c>
      <c r="D9" s="25" t="s">
        <v>2241</v>
      </c>
      <c r="E9" s="171">
        <v>96348</v>
      </c>
      <c r="F9" s="166">
        <v>1125</v>
      </c>
      <c r="G9" s="166">
        <v>0</v>
      </c>
      <c r="H9" s="153">
        <v>108391500</v>
      </c>
      <c r="I9" s="153">
        <v>0</v>
      </c>
      <c r="J9" s="175" t="s">
        <v>2690</v>
      </c>
      <c r="K9" s="1" t="s">
        <v>2688</v>
      </c>
      <c r="L9" s="175" t="s">
        <v>2566</v>
      </c>
    </row>
    <row r="10" spans="1:12" s="22" customFormat="1" ht="25.5" customHeight="1" x14ac:dyDescent="0.25">
      <c r="A10" s="148" t="s">
        <v>2685</v>
      </c>
      <c r="B10" s="25" t="s">
        <v>2316</v>
      </c>
      <c r="C10" s="150" t="s">
        <v>2317</v>
      </c>
      <c r="D10" s="25" t="s">
        <v>2241</v>
      </c>
      <c r="E10" s="171">
        <v>130</v>
      </c>
      <c r="F10" s="166">
        <v>687.45</v>
      </c>
      <c r="G10" s="166">
        <v>0</v>
      </c>
      <c r="H10" s="153">
        <v>89368.5</v>
      </c>
      <c r="I10" s="153">
        <v>0</v>
      </c>
      <c r="J10" s="175" t="s">
        <v>2690</v>
      </c>
      <c r="K10" s="1" t="s">
        <v>2688</v>
      </c>
      <c r="L10" s="175" t="s">
        <v>2313</v>
      </c>
    </row>
    <row r="11" spans="1:12" s="22" customFormat="1" ht="25.5" customHeight="1" x14ac:dyDescent="0.25">
      <c r="A11" s="148" t="s">
        <v>2685</v>
      </c>
      <c r="B11" s="25" t="s">
        <v>2318</v>
      </c>
      <c r="C11" s="150" t="s">
        <v>2319</v>
      </c>
      <c r="D11" s="25" t="s">
        <v>2241</v>
      </c>
      <c r="E11" s="171">
        <v>296</v>
      </c>
      <c r="F11" s="166">
        <v>124.95</v>
      </c>
      <c r="G11" s="166">
        <v>0</v>
      </c>
      <c r="H11" s="153">
        <v>36985.200000000004</v>
      </c>
      <c r="I11" s="153">
        <v>0</v>
      </c>
      <c r="J11" s="175" t="s">
        <v>2690</v>
      </c>
      <c r="K11" s="1" t="s">
        <v>2688</v>
      </c>
      <c r="L11" s="175" t="s">
        <v>2313</v>
      </c>
    </row>
    <row r="12" spans="1:12" s="22" customFormat="1" ht="25.5" customHeight="1" x14ac:dyDescent="0.25">
      <c r="A12" s="148" t="s">
        <v>2685</v>
      </c>
      <c r="B12" s="25" t="s">
        <v>2320</v>
      </c>
      <c r="C12" s="150" t="s">
        <v>2321</v>
      </c>
      <c r="D12" s="25" t="s">
        <v>2241</v>
      </c>
      <c r="E12" s="171">
        <v>66348</v>
      </c>
      <c r="F12" s="166">
        <v>84.9</v>
      </c>
      <c r="G12" s="166">
        <v>0</v>
      </c>
      <c r="H12" s="153">
        <v>5632945.2000000002</v>
      </c>
      <c r="I12" s="153">
        <v>0</v>
      </c>
      <c r="J12" s="175" t="s">
        <v>2690</v>
      </c>
      <c r="K12" s="1" t="s">
        <v>2688</v>
      </c>
      <c r="L12" s="175" t="s">
        <v>2313</v>
      </c>
    </row>
    <row r="13" spans="1:12" s="22" customFormat="1" ht="25.5" customHeight="1" x14ac:dyDescent="0.25">
      <c r="A13" s="148" t="s">
        <v>2685</v>
      </c>
      <c r="B13" s="25" t="s">
        <v>2322</v>
      </c>
      <c r="C13" s="150" t="s">
        <v>2323</v>
      </c>
      <c r="D13" s="25" t="s">
        <v>2241</v>
      </c>
      <c r="E13" s="171">
        <v>100</v>
      </c>
      <c r="F13" s="166">
        <v>375</v>
      </c>
      <c r="G13" s="166">
        <v>0</v>
      </c>
      <c r="H13" s="153">
        <v>37500</v>
      </c>
      <c r="I13" s="153">
        <v>0</v>
      </c>
      <c r="J13" s="175" t="s">
        <v>2690</v>
      </c>
      <c r="K13" s="1" t="s">
        <v>2688</v>
      </c>
      <c r="L13" s="175" t="s">
        <v>2313</v>
      </c>
    </row>
    <row r="14" spans="1:12" s="22" customFormat="1" ht="25.5" customHeight="1" x14ac:dyDescent="0.25">
      <c r="A14" s="148" t="s">
        <v>2685</v>
      </c>
      <c r="B14" s="25" t="s">
        <v>2324</v>
      </c>
      <c r="C14" s="150" t="s">
        <v>2325</v>
      </c>
      <c r="D14" s="25" t="s">
        <v>2241</v>
      </c>
      <c r="E14" s="171">
        <v>128</v>
      </c>
      <c r="F14" s="166">
        <v>23250</v>
      </c>
      <c r="G14" s="166">
        <v>0</v>
      </c>
      <c r="H14" s="153">
        <v>2976000</v>
      </c>
      <c r="I14" s="153">
        <v>0</v>
      </c>
      <c r="J14" s="175" t="s">
        <v>2690</v>
      </c>
      <c r="K14" s="1" t="s">
        <v>2688</v>
      </c>
      <c r="L14" s="175" t="s">
        <v>2313</v>
      </c>
    </row>
    <row r="15" spans="1:12" s="22" customFormat="1" ht="25.5" customHeight="1" x14ac:dyDescent="0.25">
      <c r="A15" s="148" t="s">
        <v>2685</v>
      </c>
      <c r="B15" s="25" t="s">
        <v>2326</v>
      </c>
      <c r="C15" s="150" t="s">
        <v>2327</v>
      </c>
      <c r="D15" s="25" t="s">
        <v>2241</v>
      </c>
      <c r="E15" s="171">
        <v>2696</v>
      </c>
      <c r="F15" s="166">
        <v>685.05</v>
      </c>
      <c r="G15" s="166">
        <v>0</v>
      </c>
      <c r="H15" s="153">
        <v>1846894.7999999998</v>
      </c>
      <c r="I15" s="153">
        <v>0</v>
      </c>
      <c r="J15" s="175" t="s">
        <v>2690</v>
      </c>
      <c r="K15" s="1" t="s">
        <v>2688</v>
      </c>
      <c r="L15" s="175" t="s">
        <v>2313</v>
      </c>
    </row>
    <row r="16" spans="1:12" s="22" customFormat="1" ht="25.5" customHeight="1" x14ac:dyDescent="0.25">
      <c r="A16" s="148" t="s">
        <v>2685</v>
      </c>
      <c r="B16" s="25" t="s">
        <v>2328</v>
      </c>
      <c r="C16" s="150" t="s">
        <v>2329</v>
      </c>
      <c r="D16" s="25" t="s">
        <v>2241</v>
      </c>
      <c r="E16" s="171">
        <v>84</v>
      </c>
      <c r="F16" s="166">
        <v>16838.7</v>
      </c>
      <c r="G16" s="166">
        <v>0</v>
      </c>
      <c r="H16" s="153">
        <v>1414450.8</v>
      </c>
      <c r="I16" s="153">
        <v>0</v>
      </c>
      <c r="J16" s="175" t="s">
        <v>2690</v>
      </c>
      <c r="K16" s="1" t="s">
        <v>2688</v>
      </c>
      <c r="L16" s="175" t="s">
        <v>2313</v>
      </c>
    </row>
    <row r="17" spans="1:12" s="22" customFormat="1" ht="25.5" customHeight="1" x14ac:dyDescent="0.25">
      <c r="A17" s="148" t="s">
        <v>2685</v>
      </c>
      <c r="B17" s="172" t="s">
        <v>2330</v>
      </c>
      <c r="C17" s="150" t="s">
        <v>2331</v>
      </c>
      <c r="D17" s="25" t="s">
        <v>2241</v>
      </c>
      <c r="E17" s="171">
        <v>200</v>
      </c>
      <c r="F17" s="166">
        <v>437.4</v>
      </c>
      <c r="G17" s="166">
        <v>0</v>
      </c>
      <c r="H17" s="153">
        <v>87480</v>
      </c>
      <c r="I17" s="153">
        <v>0</v>
      </c>
      <c r="J17" s="175" t="s">
        <v>2690</v>
      </c>
      <c r="K17" s="1" t="s">
        <v>2688</v>
      </c>
      <c r="L17" s="175" t="s">
        <v>2313</v>
      </c>
    </row>
    <row r="18" spans="1:12" s="22" customFormat="1" ht="25.5" customHeight="1" x14ac:dyDescent="0.25">
      <c r="A18" s="148" t="s">
        <v>2685</v>
      </c>
      <c r="B18" s="25" t="s">
        <v>2332</v>
      </c>
      <c r="C18" s="150" t="s">
        <v>2333</v>
      </c>
      <c r="D18" s="25" t="s">
        <v>2241</v>
      </c>
      <c r="E18" s="171">
        <v>200</v>
      </c>
      <c r="F18" s="166">
        <v>583.20000000000005</v>
      </c>
      <c r="G18" s="166">
        <v>0</v>
      </c>
      <c r="H18" s="153">
        <v>116640.00000000001</v>
      </c>
      <c r="I18" s="153">
        <v>0</v>
      </c>
      <c r="J18" s="175" t="s">
        <v>2690</v>
      </c>
      <c r="K18" s="1" t="s">
        <v>2688</v>
      </c>
      <c r="L18" s="175" t="s">
        <v>2313</v>
      </c>
    </row>
    <row r="19" spans="1:12" s="22" customFormat="1" ht="25.5" customHeight="1" x14ac:dyDescent="0.25">
      <c r="A19" s="148" t="s">
        <v>2685</v>
      </c>
      <c r="B19" s="25" t="s">
        <v>2334</v>
      </c>
      <c r="C19" s="150" t="s">
        <v>2335</v>
      </c>
      <c r="D19" s="25" t="s">
        <v>2241</v>
      </c>
      <c r="E19" s="171">
        <v>200</v>
      </c>
      <c r="F19" s="166">
        <v>1629.9</v>
      </c>
      <c r="G19" s="166">
        <v>0</v>
      </c>
      <c r="H19" s="153">
        <v>325980</v>
      </c>
      <c r="I19" s="153">
        <v>0</v>
      </c>
      <c r="J19" s="175" t="s">
        <v>2690</v>
      </c>
      <c r="K19" s="1" t="s">
        <v>2688</v>
      </c>
      <c r="L19" s="175" t="s">
        <v>2313</v>
      </c>
    </row>
    <row r="20" spans="1:12" s="22" customFormat="1" ht="25.5" customHeight="1" x14ac:dyDescent="0.25">
      <c r="A20" s="148" t="s">
        <v>2685</v>
      </c>
      <c r="B20" s="25" t="s">
        <v>2336</v>
      </c>
      <c r="C20" s="150" t="s">
        <v>2337</v>
      </c>
      <c r="D20" s="25" t="s">
        <v>2241</v>
      </c>
      <c r="E20" s="171">
        <v>200</v>
      </c>
      <c r="F20" s="166">
        <v>2418.15</v>
      </c>
      <c r="G20" s="166">
        <v>0</v>
      </c>
      <c r="H20" s="153">
        <v>483630</v>
      </c>
      <c r="I20" s="153">
        <v>0</v>
      </c>
      <c r="J20" s="175" t="s">
        <v>2690</v>
      </c>
      <c r="K20" s="1" t="s">
        <v>2688</v>
      </c>
      <c r="L20" s="175" t="s">
        <v>2313</v>
      </c>
    </row>
    <row r="21" spans="1:12" s="22" customFormat="1" ht="25.5" customHeight="1" x14ac:dyDescent="0.25">
      <c r="A21" s="148" t="s">
        <v>2685</v>
      </c>
      <c r="B21" s="25"/>
      <c r="C21" s="145" t="s">
        <v>2338</v>
      </c>
      <c r="D21" s="25"/>
      <c r="E21" s="171"/>
      <c r="F21" s="166"/>
      <c r="G21" s="166"/>
      <c r="H21" s="166"/>
      <c r="I21" s="166"/>
      <c r="J21" s="175" t="s">
        <v>2690</v>
      </c>
      <c r="K21" s="1" t="s">
        <v>2688</v>
      </c>
    </row>
    <row r="22" spans="1:12" s="22" customFormat="1" ht="25.5" customHeight="1" x14ac:dyDescent="0.25">
      <c r="A22" s="148" t="s">
        <v>2685</v>
      </c>
      <c r="B22" s="25" t="s">
        <v>2339</v>
      </c>
      <c r="C22" s="150" t="s">
        <v>2340</v>
      </c>
      <c r="D22" s="25" t="s">
        <v>2241</v>
      </c>
      <c r="E22" s="171">
        <v>28696</v>
      </c>
      <c r="F22" s="166">
        <v>34.950000000000003</v>
      </c>
      <c r="G22" s="166">
        <v>0</v>
      </c>
      <c r="H22" s="153">
        <v>1002925.2000000001</v>
      </c>
      <c r="I22" s="153">
        <v>0</v>
      </c>
      <c r="J22" s="175" t="s">
        <v>2690</v>
      </c>
      <c r="K22" s="1" t="s">
        <v>2688</v>
      </c>
      <c r="L22" s="145" t="s">
        <v>2338</v>
      </c>
    </row>
    <row r="23" spans="1:12" s="22" customFormat="1" ht="25.5" customHeight="1" x14ac:dyDescent="0.25">
      <c r="A23" s="148" t="s">
        <v>2685</v>
      </c>
      <c r="B23" s="25" t="s">
        <v>2341</v>
      </c>
      <c r="C23" s="150" t="s">
        <v>2342</v>
      </c>
      <c r="D23" s="25" t="s">
        <v>2241</v>
      </c>
      <c r="E23" s="171">
        <v>32696</v>
      </c>
      <c r="F23" s="166">
        <v>54.9</v>
      </c>
      <c r="G23" s="166">
        <v>0</v>
      </c>
      <c r="H23" s="153">
        <v>1795010.4</v>
      </c>
      <c r="I23" s="153">
        <v>0</v>
      </c>
      <c r="J23" s="175" t="s">
        <v>2690</v>
      </c>
      <c r="K23" s="1" t="s">
        <v>2688</v>
      </c>
      <c r="L23" s="145" t="s">
        <v>2338</v>
      </c>
    </row>
    <row r="24" spans="1:12" s="22" customFormat="1" ht="25.5" customHeight="1" x14ac:dyDescent="0.25">
      <c r="A24" s="148" t="s">
        <v>2685</v>
      </c>
      <c r="B24" s="25" t="s">
        <v>2343</v>
      </c>
      <c r="C24" s="150" t="s">
        <v>2344</v>
      </c>
      <c r="D24" s="25" t="s">
        <v>2241</v>
      </c>
      <c r="E24" s="171">
        <v>30110</v>
      </c>
      <c r="F24" s="166">
        <v>162.9</v>
      </c>
      <c r="G24" s="166">
        <v>0</v>
      </c>
      <c r="H24" s="153">
        <v>4904919</v>
      </c>
      <c r="I24" s="153">
        <v>0</v>
      </c>
      <c r="J24" s="175" t="s">
        <v>2690</v>
      </c>
      <c r="K24" s="1" t="s">
        <v>2688</v>
      </c>
      <c r="L24" s="145" t="s">
        <v>2338</v>
      </c>
    </row>
    <row r="25" spans="1:12" s="22" customFormat="1" ht="25.5" customHeight="1" x14ac:dyDescent="0.25">
      <c r="A25" s="148" t="s">
        <v>2685</v>
      </c>
      <c r="B25" s="25"/>
      <c r="C25" s="145" t="s">
        <v>2345</v>
      </c>
      <c r="D25" s="25"/>
      <c r="E25" s="171"/>
      <c r="F25" s="166"/>
      <c r="G25" s="166"/>
      <c r="H25" s="166"/>
      <c r="I25" s="166"/>
      <c r="J25" s="175" t="s">
        <v>2690</v>
      </c>
      <c r="K25" s="1" t="s">
        <v>2688</v>
      </c>
    </row>
    <row r="26" spans="1:12" s="22" customFormat="1" ht="25.5" customHeight="1" x14ac:dyDescent="0.25">
      <c r="A26" s="148" t="s">
        <v>2685</v>
      </c>
      <c r="B26" s="25" t="s">
        <v>2346</v>
      </c>
      <c r="C26" s="150" t="s">
        <v>2347</v>
      </c>
      <c r="D26" s="25" t="s">
        <v>2241</v>
      </c>
      <c r="E26" s="171">
        <v>28696</v>
      </c>
      <c r="F26" s="166">
        <v>175.35</v>
      </c>
      <c r="G26" s="166">
        <v>0</v>
      </c>
      <c r="H26" s="153">
        <v>5031843.5999999996</v>
      </c>
      <c r="I26" s="153">
        <v>0</v>
      </c>
      <c r="J26" s="175" t="s">
        <v>2690</v>
      </c>
      <c r="K26" s="1" t="s">
        <v>2688</v>
      </c>
      <c r="L26" s="145" t="s">
        <v>2345</v>
      </c>
    </row>
    <row r="27" spans="1:12" s="22" customFormat="1" ht="25.5" customHeight="1" x14ac:dyDescent="0.25">
      <c r="A27" s="148" t="s">
        <v>2685</v>
      </c>
      <c r="B27" s="172" t="s">
        <v>2348</v>
      </c>
      <c r="C27" s="150" t="s">
        <v>2349</v>
      </c>
      <c r="D27" s="25" t="s">
        <v>2241</v>
      </c>
      <c r="E27" s="171">
        <v>36696</v>
      </c>
      <c r="F27" s="166">
        <v>205.5</v>
      </c>
      <c r="G27" s="166">
        <v>0</v>
      </c>
      <c r="H27" s="153">
        <v>7541028</v>
      </c>
      <c r="I27" s="153">
        <v>0</v>
      </c>
      <c r="J27" s="175" t="s">
        <v>2690</v>
      </c>
      <c r="K27" s="1" t="s">
        <v>2688</v>
      </c>
      <c r="L27" s="145" t="s">
        <v>2345</v>
      </c>
    </row>
    <row r="28" spans="1:12" s="22" customFormat="1" ht="25.5" customHeight="1" x14ac:dyDescent="0.25">
      <c r="A28" s="148" t="s">
        <v>2685</v>
      </c>
      <c r="B28" s="25" t="s">
        <v>2350</v>
      </c>
      <c r="C28" s="150" t="s">
        <v>2351</v>
      </c>
      <c r="D28" s="25" t="s">
        <v>2241</v>
      </c>
      <c r="E28" s="171">
        <v>30000</v>
      </c>
      <c r="F28" s="166">
        <v>349.95</v>
      </c>
      <c r="G28" s="166">
        <v>0</v>
      </c>
      <c r="H28" s="153">
        <v>10498500</v>
      </c>
      <c r="I28" s="153">
        <v>0</v>
      </c>
      <c r="J28" s="175" t="s">
        <v>2690</v>
      </c>
      <c r="K28" s="1" t="s">
        <v>2688</v>
      </c>
      <c r="L28" s="145" t="s">
        <v>2345</v>
      </c>
    </row>
    <row r="29" spans="1:12" s="22" customFormat="1" ht="25.5" customHeight="1" x14ac:dyDescent="0.25">
      <c r="A29" s="148" t="s">
        <v>2685</v>
      </c>
      <c r="B29" s="25" t="s">
        <v>2352</v>
      </c>
      <c r="C29" s="150" t="s">
        <v>2353</v>
      </c>
      <c r="D29" s="25" t="s">
        <v>2241</v>
      </c>
      <c r="E29" s="171">
        <v>30000</v>
      </c>
      <c r="F29" s="166">
        <v>506.25</v>
      </c>
      <c r="G29" s="166">
        <v>0</v>
      </c>
      <c r="H29" s="153">
        <v>15187500</v>
      </c>
      <c r="I29" s="153">
        <v>0</v>
      </c>
      <c r="J29" s="175" t="s">
        <v>2690</v>
      </c>
      <c r="K29" s="1" t="s">
        <v>2688</v>
      </c>
      <c r="L29" s="145" t="s">
        <v>2345</v>
      </c>
    </row>
    <row r="30" spans="1:12" s="22" customFormat="1" ht="25.5" customHeight="1" x14ac:dyDescent="0.25">
      <c r="A30" s="148" t="s">
        <v>2685</v>
      </c>
      <c r="B30" s="172"/>
      <c r="C30" s="145" t="s">
        <v>2354</v>
      </c>
      <c r="D30" s="25"/>
      <c r="E30" s="171"/>
      <c r="F30" s="166"/>
      <c r="G30" s="166"/>
      <c r="H30" s="166"/>
      <c r="I30" s="166"/>
      <c r="J30" s="175" t="s">
        <v>2690</v>
      </c>
      <c r="K30" s="1" t="s">
        <v>2688</v>
      </c>
    </row>
    <row r="31" spans="1:12" s="22" customFormat="1" ht="25.5" customHeight="1" x14ac:dyDescent="0.25">
      <c r="A31" s="148" t="s">
        <v>2685</v>
      </c>
      <c r="B31" s="25" t="s">
        <v>2355</v>
      </c>
      <c r="C31" s="150" t="s">
        <v>2356</v>
      </c>
      <c r="D31" s="25" t="s">
        <v>2241</v>
      </c>
      <c r="E31" s="171">
        <v>200</v>
      </c>
      <c r="F31" s="166">
        <v>187.5</v>
      </c>
      <c r="G31" s="166">
        <v>0</v>
      </c>
      <c r="H31" s="153">
        <v>37500</v>
      </c>
      <c r="I31" s="153">
        <v>0</v>
      </c>
      <c r="J31" s="175" t="s">
        <v>2690</v>
      </c>
      <c r="K31" s="1" t="s">
        <v>2688</v>
      </c>
      <c r="L31" s="145" t="s">
        <v>2354</v>
      </c>
    </row>
    <row r="32" spans="1:12" s="22" customFormat="1" ht="25.5" customHeight="1" x14ac:dyDescent="0.25">
      <c r="A32" s="148" t="s">
        <v>2685</v>
      </c>
      <c r="B32" s="25" t="s">
        <v>2357</v>
      </c>
      <c r="C32" s="150" t="s">
        <v>2358</v>
      </c>
      <c r="D32" s="25" t="s">
        <v>2241</v>
      </c>
      <c r="E32" s="171">
        <v>200</v>
      </c>
      <c r="F32" s="166">
        <v>225</v>
      </c>
      <c r="G32" s="166">
        <v>0</v>
      </c>
      <c r="H32" s="153">
        <v>45000</v>
      </c>
      <c r="I32" s="153">
        <v>0</v>
      </c>
      <c r="J32" s="175" t="s">
        <v>2690</v>
      </c>
      <c r="K32" s="1" t="s">
        <v>2688</v>
      </c>
      <c r="L32" s="145" t="s">
        <v>2354</v>
      </c>
    </row>
    <row r="33" spans="1:12" s="22" customFormat="1" ht="25.5" customHeight="1" x14ac:dyDescent="0.25">
      <c r="A33" s="148" t="s">
        <v>2685</v>
      </c>
      <c r="B33" s="25"/>
      <c r="C33" s="145" t="s">
        <v>2359</v>
      </c>
      <c r="D33" s="25"/>
      <c r="E33" s="171"/>
      <c r="F33" s="166"/>
      <c r="G33" s="166"/>
      <c r="H33" s="166"/>
      <c r="I33" s="166"/>
      <c r="J33" s="175" t="s">
        <v>2690</v>
      </c>
      <c r="K33" s="1" t="s">
        <v>2688</v>
      </c>
    </row>
    <row r="34" spans="1:12" s="22" customFormat="1" ht="25.5" customHeight="1" x14ac:dyDescent="0.25">
      <c r="A34" s="148" t="s">
        <v>2685</v>
      </c>
      <c r="B34" s="25" t="s">
        <v>2360</v>
      </c>
      <c r="C34" s="150" t="s">
        <v>2361</v>
      </c>
      <c r="D34" s="25" t="s">
        <v>2241</v>
      </c>
      <c r="E34" s="171">
        <v>42696</v>
      </c>
      <c r="F34" s="166">
        <v>31.65</v>
      </c>
      <c r="G34" s="166">
        <v>0</v>
      </c>
      <c r="H34" s="153">
        <v>1351328.4</v>
      </c>
      <c r="I34" s="153">
        <v>0</v>
      </c>
      <c r="J34" s="175" t="s">
        <v>2690</v>
      </c>
      <c r="K34" s="1" t="s">
        <v>2688</v>
      </c>
      <c r="L34" s="145" t="s">
        <v>2359</v>
      </c>
    </row>
    <row r="35" spans="1:12" s="22" customFormat="1" ht="25.5" customHeight="1" x14ac:dyDescent="0.25">
      <c r="A35" s="148" t="s">
        <v>2685</v>
      </c>
      <c r="B35" s="25" t="s">
        <v>2362</v>
      </c>
      <c r="C35" s="150" t="s">
        <v>2363</v>
      </c>
      <c r="D35" s="25" t="s">
        <v>2241</v>
      </c>
      <c r="E35" s="171">
        <v>35044</v>
      </c>
      <c r="F35" s="166">
        <v>49.05</v>
      </c>
      <c r="G35" s="166">
        <v>0</v>
      </c>
      <c r="H35" s="153">
        <v>1718908.2</v>
      </c>
      <c r="I35" s="153">
        <v>0</v>
      </c>
      <c r="J35" s="175" t="s">
        <v>2690</v>
      </c>
      <c r="K35" s="1" t="s">
        <v>2688</v>
      </c>
      <c r="L35" s="145" t="s">
        <v>2359</v>
      </c>
    </row>
    <row r="36" spans="1:12" s="22" customFormat="1" ht="25.5" customHeight="1" x14ac:dyDescent="0.25">
      <c r="A36" s="148" t="s">
        <v>2685</v>
      </c>
      <c r="B36" s="25" t="s">
        <v>2364</v>
      </c>
      <c r="C36" s="150" t="s">
        <v>2365</v>
      </c>
      <c r="D36" s="25" t="s">
        <v>2241</v>
      </c>
      <c r="E36" s="171">
        <v>24000</v>
      </c>
      <c r="F36" s="166">
        <v>85.35</v>
      </c>
      <c r="G36" s="166">
        <v>0</v>
      </c>
      <c r="H36" s="153">
        <v>2048399.9999999998</v>
      </c>
      <c r="I36" s="153">
        <v>0</v>
      </c>
      <c r="J36" s="175" t="s">
        <v>2690</v>
      </c>
      <c r="K36" s="1" t="s">
        <v>2688</v>
      </c>
      <c r="L36" s="145" t="s">
        <v>2359</v>
      </c>
    </row>
    <row r="37" spans="1:12" s="22" customFormat="1" ht="25.5" customHeight="1" x14ac:dyDescent="0.25">
      <c r="A37" s="148" t="s">
        <v>2685</v>
      </c>
      <c r="B37" s="172"/>
      <c r="C37" s="145" t="s">
        <v>2366</v>
      </c>
      <c r="D37" s="25"/>
      <c r="E37" s="171"/>
      <c r="F37" s="166"/>
      <c r="G37" s="166"/>
      <c r="H37" s="166"/>
      <c r="I37" s="166"/>
      <c r="J37" s="175" t="s">
        <v>2690</v>
      </c>
      <c r="K37" s="1" t="s">
        <v>2688</v>
      </c>
    </row>
    <row r="38" spans="1:12" s="22" customFormat="1" ht="25.5" customHeight="1" x14ac:dyDescent="0.25">
      <c r="A38" s="148" t="s">
        <v>2685</v>
      </c>
      <c r="B38" s="172" t="s">
        <v>2367</v>
      </c>
      <c r="C38" s="150" t="s">
        <v>2368</v>
      </c>
      <c r="D38" s="25" t="s">
        <v>2241</v>
      </c>
      <c r="E38" s="171">
        <v>6000</v>
      </c>
      <c r="F38" s="166">
        <v>1127.4000000000001</v>
      </c>
      <c r="G38" s="166">
        <v>0</v>
      </c>
      <c r="H38" s="153">
        <v>6764400.0000000009</v>
      </c>
      <c r="I38" s="153">
        <v>0</v>
      </c>
      <c r="J38" s="175" t="s">
        <v>2690</v>
      </c>
      <c r="K38" s="1" t="s">
        <v>2688</v>
      </c>
      <c r="L38" s="145" t="s">
        <v>2366</v>
      </c>
    </row>
    <row r="39" spans="1:12" s="22" customFormat="1" ht="25.5" customHeight="1" x14ac:dyDescent="0.25">
      <c r="A39" s="148" t="s">
        <v>2685</v>
      </c>
      <c r="B39" s="25" t="s">
        <v>2369</v>
      </c>
      <c r="C39" s="150" t="s">
        <v>2370</v>
      </c>
      <c r="D39" s="25" t="s">
        <v>2241</v>
      </c>
      <c r="E39" s="171">
        <v>194</v>
      </c>
      <c r="F39" s="166">
        <v>1958.7</v>
      </c>
      <c r="G39" s="166">
        <v>0</v>
      </c>
      <c r="H39" s="153">
        <v>379987.8</v>
      </c>
      <c r="I39" s="153">
        <v>0</v>
      </c>
      <c r="J39" s="175" t="s">
        <v>2690</v>
      </c>
      <c r="K39" s="1" t="s">
        <v>2688</v>
      </c>
      <c r="L39" s="145" t="s">
        <v>2366</v>
      </c>
    </row>
    <row r="40" spans="1:12" s="22" customFormat="1" ht="25.5" customHeight="1" x14ac:dyDescent="0.25">
      <c r="A40" s="148" t="s">
        <v>2685</v>
      </c>
      <c r="B40" s="25" t="s">
        <v>2371</v>
      </c>
      <c r="C40" s="150" t="s">
        <v>2372</v>
      </c>
      <c r="D40" s="25" t="s">
        <v>2241</v>
      </c>
      <c r="E40" s="171">
        <v>4000</v>
      </c>
      <c r="F40" s="166">
        <v>2850</v>
      </c>
      <c r="G40" s="166">
        <v>0</v>
      </c>
      <c r="H40" s="153">
        <v>11400000</v>
      </c>
      <c r="I40" s="153">
        <v>0</v>
      </c>
      <c r="J40" s="175" t="s">
        <v>2690</v>
      </c>
      <c r="K40" s="1" t="s">
        <v>2688</v>
      </c>
      <c r="L40" s="145" t="s">
        <v>2366</v>
      </c>
    </row>
    <row r="41" spans="1:12" s="22" customFormat="1" ht="25.5" customHeight="1" x14ac:dyDescent="0.25">
      <c r="A41" s="148" t="s">
        <v>2685</v>
      </c>
      <c r="B41" s="25" t="s">
        <v>2373</v>
      </c>
      <c r="C41" s="150" t="s">
        <v>2374</v>
      </c>
      <c r="D41" s="25" t="s">
        <v>2241</v>
      </c>
      <c r="E41" s="171">
        <v>8000</v>
      </c>
      <c r="F41" s="166">
        <v>124.95</v>
      </c>
      <c r="G41" s="166">
        <v>0</v>
      </c>
      <c r="H41" s="153">
        <v>999600</v>
      </c>
      <c r="I41" s="153">
        <v>0</v>
      </c>
      <c r="J41" s="175" t="s">
        <v>2690</v>
      </c>
      <c r="K41" s="1" t="s">
        <v>2688</v>
      </c>
      <c r="L41" s="145" t="s">
        <v>2366</v>
      </c>
    </row>
    <row r="42" spans="1:12" s="22" customFormat="1" ht="25.5" customHeight="1" x14ac:dyDescent="0.25">
      <c r="A42" s="148" t="s">
        <v>2685</v>
      </c>
      <c r="B42" s="25" t="s">
        <v>2375</v>
      </c>
      <c r="C42" s="150" t="s">
        <v>2376</v>
      </c>
      <c r="D42" s="25" t="s">
        <v>2241</v>
      </c>
      <c r="E42" s="171">
        <v>200</v>
      </c>
      <c r="F42" s="166">
        <v>13125</v>
      </c>
      <c r="G42" s="166">
        <v>0</v>
      </c>
      <c r="H42" s="153">
        <v>2625000</v>
      </c>
      <c r="I42" s="153">
        <v>0</v>
      </c>
      <c r="J42" s="175" t="s">
        <v>2690</v>
      </c>
      <c r="K42" s="1" t="s">
        <v>2688</v>
      </c>
      <c r="L42" s="145" t="s">
        <v>2366</v>
      </c>
    </row>
    <row r="43" spans="1:12" s="22" customFormat="1" ht="25.5" customHeight="1" x14ac:dyDescent="0.25">
      <c r="A43" s="148" t="s">
        <v>2685</v>
      </c>
      <c r="B43" s="25" t="s">
        <v>2377</v>
      </c>
      <c r="C43" s="150" t="s">
        <v>2378</v>
      </c>
      <c r="D43" s="25" t="s">
        <v>2241</v>
      </c>
      <c r="E43" s="171">
        <v>200</v>
      </c>
      <c r="F43" s="166">
        <v>0</v>
      </c>
      <c r="G43" s="166">
        <v>156.15</v>
      </c>
      <c r="H43" s="153">
        <v>0</v>
      </c>
      <c r="I43" s="153">
        <v>31230</v>
      </c>
      <c r="J43" s="175" t="s">
        <v>2690</v>
      </c>
      <c r="K43" s="1" t="s">
        <v>2688</v>
      </c>
      <c r="L43" s="145" t="s">
        <v>2366</v>
      </c>
    </row>
    <row r="44" spans="1:12" s="22" customFormat="1" ht="25.5" customHeight="1" x14ac:dyDescent="0.25">
      <c r="A44" s="148" t="s">
        <v>2685</v>
      </c>
      <c r="B44" s="25" t="s">
        <v>2379</v>
      </c>
      <c r="C44" s="150" t="s">
        <v>2380</v>
      </c>
      <c r="D44" s="25" t="s">
        <v>2241</v>
      </c>
      <c r="E44" s="171">
        <v>124</v>
      </c>
      <c r="F44" s="166">
        <v>13399.95</v>
      </c>
      <c r="G44" s="166">
        <v>0</v>
      </c>
      <c r="H44" s="153">
        <v>1661593.8</v>
      </c>
      <c r="I44" s="153">
        <v>0</v>
      </c>
      <c r="J44" s="175" t="s">
        <v>2690</v>
      </c>
      <c r="K44" s="1" t="s">
        <v>2688</v>
      </c>
      <c r="L44" s="145" t="s">
        <v>2366</v>
      </c>
    </row>
    <row r="45" spans="1:12" s="22" customFormat="1" ht="25.5" customHeight="1" x14ac:dyDescent="0.25">
      <c r="A45" s="148" t="s">
        <v>2685</v>
      </c>
      <c r="B45" s="25" t="s">
        <v>2381</v>
      </c>
      <c r="C45" s="150" t="s">
        <v>2382</v>
      </c>
      <c r="D45" s="25" t="s">
        <v>2241</v>
      </c>
      <c r="E45" s="171">
        <v>7000</v>
      </c>
      <c r="F45" s="166">
        <v>2687.4</v>
      </c>
      <c r="G45" s="166">
        <v>0</v>
      </c>
      <c r="H45" s="153">
        <v>18811800</v>
      </c>
      <c r="I45" s="153">
        <v>0</v>
      </c>
      <c r="J45" s="175" t="s">
        <v>2690</v>
      </c>
      <c r="K45" s="1" t="s">
        <v>2688</v>
      </c>
      <c r="L45" s="145" t="s">
        <v>2366</v>
      </c>
    </row>
    <row r="46" spans="1:12" s="22" customFormat="1" ht="25.5" customHeight="1" x14ac:dyDescent="0.25">
      <c r="A46" s="148" t="s">
        <v>2685</v>
      </c>
      <c r="B46" s="25" t="s">
        <v>2383</v>
      </c>
      <c r="C46" s="150" t="s">
        <v>2384</v>
      </c>
      <c r="D46" s="25" t="s">
        <v>2241</v>
      </c>
      <c r="E46" s="171">
        <v>200</v>
      </c>
      <c r="F46" s="166">
        <v>1500</v>
      </c>
      <c r="G46" s="166">
        <v>0</v>
      </c>
      <c r="H46" s="153">
        <v>300000</v>
      </c>
      <c r="I46" s="153">
        <v>0</v>
      </c>
      <c r="J46" s="175" t="s">
        <v>2690</v>
      </c>
      <c r="K46" s="1" t="s">
        <v>2688</v>
      </c>
      <c r="L46" s="145" t="s">
        <v>2366</v>
      </c>
    </row>
    <row r="47" spans="1:12" s="22" customFormat="1" ht="25.5" customHeight="1" x14ac:dyDescent="0.25">
      <c r="A47" s="148" t="s">
        <v>2685</v>
      </c>
      <c r="B47" s="172" t="s">
        <v>2385</v>
      </c>
      <c r="C47" s="150" t="s">
        <v>2386</v>
      </c>
      <c r="D47" s="25" t="s">
        <v>2241</v>
      </c>
      <c r="E47" s="171">
        <v>200</v>
      </c>
      <c r="F47" s="166">
        <v>499.95</v>
      </c>
      <c r="G47" s="166">
        <v>0</v>
      </c>
      <c r="H47" s="153">
        <v>99990</v>
      </c>
      <c r="I47" s="153">
        <v>0</v>
      </c>
      <c r="J47" s="175" t="s">
        <v>2690</v>
      </c>
      <c r="K47" s="1" t="s">
        <v>2688</v>
      </c>
      <c r="L47" s="145" t="s">
        <v>2366</v>
      </c>
    </row>
    <row r="48" spans="1:12" s="22" customFormat="1" ht="25.5" customHeight="1" x14ac:dyDescent="0.25">
      <c r="A48" s="148" t="s">
        <v>2685</v>
      </c>
      <c r="B48" s="25" t="s">
        <v>2387</v>
      </c>
      <c r="C48" s="150" t="s">
        <v>2388</v>
      </c>
      <c r="D48" s="25" t="s">
        <v>2241</v>
      </c>
      <c r="E48" s="171">
        <v>200</v>
      </c>
      <c r="F48" s="166">
        <v>3124.95</v>
      </c>
      <c r="G48" s="166">
        <v>0</v>
      </c>
      <c r="H48" s="153">
        <v>624990</v>
      </c>
      <c r="I48" s="153">
        <v>0</v>
      </c>
      <c r="J48" s="175" t="s">
        <v>2690</v>
      </c>
      <c r="K48" s="1" t="s">
        <v>2688</v>
      </c>
      <c r="L48" s="145" t="s">
        <v>2366</v>
      </c>
    </row>
    <row r="49" spans="1:12" s="22" customFormat="1" ht="25.5" customHeight="1" x14ac:dyDescent="0.25">
      <c r="A49" s="148" t="s">
        <v>2685</v>
      </c>
      <c r="B49" s="25" t="s">
        <v>2389</v>
      </c>
      <c r="C49" s="150" t="s">
        <v>2390</v>
      </c>
      <c r="D49" s="25" t="s">
        <v>2241</v>
      </c>
      <c r="E49" s="171">
        <v>10000</v>
      </c>
      <c r="F49" s="166">
        <v>249.9</v>
      </c>
      <c r="G49" s="166">
        <v>0</v>
      </c>
      <c r="H49" s="153">
        <v>2499000</v>
      </c>
      <c r="I49" s="153">
        <v>0</v>
      </c>
      <c r="J49" s="175" t="s">
        <v>2690</v>
      </c>
      <c r="K49" s="1" t="s">
        <v>2688</v>
      </c>
      <c r="L49" s="145" t="s">
        <v>2366</v>
      </c>
    </row>
    <row r="50" spans="1:12" s="22" customFormat="1" ht="25.5" customHeight="1" x14ac:dyDescent="0.25">
      <c r="A50" s="148" t="s">
        <v>2685</v>
      </c>
      <c r="B50" s="25" t="s">
        <v>2391</v>
      </c>
      <c r="C50" s="150" t="s">
        <v>2392</v>
      </c>
      <c r="D50" s="25" t="s">
        <v>2241</v>
      </c>
      <c r="E50" s="171">
        <v>80</v>
      </c>
      <c r="F50" s="166">
        <v>249.9</v>
      </c>
      <c r="G50" s="166">
        <v>0</v>
      </c>
      <c r="H50" s="153">
        <v>19992</v>
      </c>
      <c r="I50" s="153">
        <v>0</v>
      </c>
      <c r="J50" s="175" t="s">
        <v>2690</v>
      </c>
      <c r="K50" s="1" t="s">
        <v>2688</v>
      </c>
      <c r="L50" s="145" t="s">
        <v>2366</v>
      </c>
    </row>
    <row r="51" spans="1:12" s="22" customFormat="1" ht="25.5" customHeight="1" x14ac:dyDescent="0.25">
      <c r="A51" s="148" t="s">
        <v>2685</v>
      </c>
      <c r="B51" s="25" t="s">
        <v>2393</v>
      </c>
      <c r="C51" s="150" t="s">
        <v>2394</v>
      </c>
      <c r="D51" s="25" t="s">
        <v>2241</v>
      </c>
      <c r="E51" s="171">
        <v>86</v>
      </c>
      <c r="F51" s="166">
        <v>499.95</v>
      </c>
      <c r="G51" s="166">
        <v>0</v>
      </c>
      <c r="H51" s="153">
        <v>42995.7</v>
      </c>
      <c r="I51" s="153">
        <v>0</v>
      </c>
      <c r="J51" s="175" t="s">
        <v>2690</v>
      </c>
      <c r="K51" s="1" t="s">
        <v>2688</v>
      </c>
      <c r="L51" s="145" t="s">
        <v>2366</v>
      </c>
    </row>
    <row r="52" spans="1:12" s="22" customFormat="1" ht="25.5" customHeight="1" x14ac:dyDescent="0.25">
      <c r="A52" s="148" t="s">
        <v>2685</v>
      </c>
      <c r="B52" s="25" t="s">
        <v>2395</v>
      </c>
      <c r="C52" s="150" t="s">
        <v>2396</v>
      </c>
      <c r="D52" s="25" t="s">
        <v>2241</v>
      </c>
      <c r="E52" s="171">
        <v>424</v>
      </c>
      <c r="F52" s="166">
        <v>87.45</v>
      </c>
      <c r="G52" s="166">
        <v>0</v>
      </c>
      <c r="H52" s="153">
        <v>37078.800000000003</v>
      </c>
      <c r="I52" s="153">
        <v>0</v>
      </c>
      <c r="J52" s="175" t="s">
        <v>2690</v>
      </c>
      <c r="K52" s="1" t="s">
        <v>2688</v>
      </c>
      <c r="L52" s="145" t="s">
        <v>2366</v>
      </c>
    </row>
    <row r="53" spans="1:12" s="22" customFormat="1" ht="25.5" customHeight="1" x14ac:dyDescent="0.25">
      <c r="A53" s="148" t="s">
        <v>2685</v>
      </c>
      <c r="B53" s="25" t="s">
        <v>2397</v>
      </c>
      <c r="C53" s="150" t="s">
        <v>2398</v>
      </c>
      <c r="D53" s="25" t="s">
        <v>2241</v>
      </c>
      <c r="E53" s="171">
        <v>200</v>
      </c>
      <c r="F53" s="166">
        <v>499.95</v>
      </c>
      <c r="G53" s="166">
        <v>0</v>
      </c>
      <c r="H53" s="153">
        <v>99990</v>
      </c>
      <c r="I53" s="153">
        <v>0</v>
      </c>
      <c r="J53" s="175" t="s">
        <v>2690</v>
      </c>
      <c r="K53" s="1" t="s">
        <v>2688</v>
      </c>
      <c r="L53" s="145" t="s">
        <v>2366</v>
      </c>
    </row>
    <row r="54" spans="1:12" s="22" customFormat="1" ht="25.5" customHeight="1" x14ac:dyDescent="0.25">
      <c r="A54" s="148" t="s">
        <v>2685</v>
      </c>
      <c r="B54" s="25" t="s">
        <v>2399</v>
      </c>
      <c r="C54" s="150" t="s">
        <v>2400</v>
      </c>
      <c r="D54" s="25" t="s">
        <v>2241</v>
      </c>
      <c r="E54" s="171">
        <v>64</v>
      </c>
      <c r="F54" s="166">
        <v>218.7</v>
      </c>
      <c r="G54" s="166">
        <v>0</v>
      </c>
      <c r="H54" s="153">
        <v>13996.8</v>
      </c>
      <c r="I54" s="153">
        <v>0</v>
      </c>
      <c r="J54" s="175" t="s">
        <v>2690</v>
      </c>
      <c r="K54" s="1" t="s">
        <v>2688</v>
      </c>
      <c r="L54" s="145" t="s">
        <v>2366</v>
      </c>
    </row>
    <row r="55" spans="1:12" s="22" customFormat="1" ht="25.5" customHeight="1" x14ac:dyDescent="0.25">
      <c r="A55" s="148" t="s">
        <v>2685</v>
      </c>
      <c r="B55" s="25" t="s">
        <v>2401</v>
      </c>
      <c r="C55" s="150" t="s">
        <v>2402</v>
      </c>
      <c r="D55" s="25" t="s">
        <v>2241</v>
      </c>
      <c r="E55" s="171">
        <v>80</v>
      </c>
      <c r="F55" s="166">
        <v>218.7</v>
      </c>
      <c r="G55" s="166">
        <v>0</v>
      </c>
      <c r="H55" s="153">
        <v>17496</v>
      </c>
      <c r="I55" s="153">
        <v>0</v>
      </c>
      <c r="J55" s="175" t="s">
        <v>2690</v>
      </c>
      <c r="K55" s="1" t="s">
        <v>2688</v>
      </c>
      <c r="L55" s="145" t="s">
        <v>2366</v>
      </c>
    </row>
    <row r="56" spans="1:12" s="22" customFormat="1" ht="25.5" customHeight="1" x14ac:dyDescent="0.25">
      <c r="A56" s="148" t="s">
        <v>2685</v>
      </c>
      <c r="B56" s="25" t="s">
        <v>2403</v>
      </c>
      <c r="C56" s="150" t="s">
        <v>2404</v>
      </c>
      <c r="D56" s="25" t="s">
        <v>2241</v>
      </c>
      <c r="E56" s="171">
        <v>62</v>
      </c>
      <c r="F56" s="166">
        <v>174.9</v>
      </c>
      <c r="G56" s="166">
        <v>0</v>
      </c>
      <c r="H56" s="153">
        <v>10843.800000000001</v>
      </c>
      <c r="I56" s="153">
        <v>0</v>
      </c>
      <c r="J56" s="175" t="s">
        <v>2690</v>
      </c>
      <c r="K56" s="1" t="s">
        <v>2688</v>
      </c>
      <c r="L56" s="145" t="s">
        <v>2366</v>
      </c>
    </row>
    <row r="57" spans="1:12" s="22" customFormat="1" ht="25.5" customHeight="1" x14ac:dyDescent="0.25">
      <c r="A57" s="148" t="s">
        <v>2685</v>
      </c>
      <c r="B57" s="172" t="s">
        <v>2405</v>
      </c>
      <c r="C57" s="150" t="s">
        <v>2406</v>
      </c>
      <c r="D57" s="25" t="s">
        <v>2241</v>
      </c>
      <c r="E57" s="171">
        <v>80</v>
      </c>
      <c r="F57" s="166">
        <v>312.45</v>
      </c>
      <c r="G57" s="166">
        <v>0</v>
      </c>
      <c r="H57" s="153">
        <v>24996</v>
      </c>
      <c r="I57" s="153">
        <v>0</v>
      </c>
      <c r="J57" s="175" t="s">
        <v>2690</v>
      </c>
      <c r="K57" s="1" t="s">
        <v>2688</v>
      </c>
      <c r="L57" s="145" t="s">
        <v>2366</v>
      </c>
    </row>
    <row r="58" spans="1:12" s="22" customFormat="1" ht="25.5" customHeight="1" x14ac:dyDescent="0.25">
      <c r="A58" s="148" t="s">
        <v>2685</v>
      </c>
      <c r="B58" s="25" t="s">
        <v>2407</v>
      </c>
      <c r="C58" s="150" t="s">
        <v>2408</v>
      </c>
      <c r="D58" s="25" t="s">
        <v>2241</v>
      </c>
      <c r="E58" s="171">
        <v>76</v>
      </c>
      <c r="F58" s="166">
        <v>624.9</v>
      </c>
      <c r="G58" s="166">
        <v>0</v>
      </c>
      <c r="H58" s="153">
        <v>47492.4</v>
      </c>
      <c r="I58" s="153">
        <v>0</v>
      </c>
      <c r="J58" s="175" t="s">
        <v>2690</v>
      </c>
      <c r="K58" s="1" t="s">
        <v>2688</v>
      </c>
      <c r="L58" s="145" t="s">
        <v>2366</v>
      </c>
    </row>
    <row r="59" spans="1:12" s="22" customFormat="1" ht="25.5" customHeight="1" x14ac:dyDescent="0.25">
      <c r="A59" s="148" t="s">
        <v>2685</v>
      </c>
      <c r="B59" s="25" t="s">
        <v>2409</v>
      </c>
      <c r="C59" s="150" t="s">
        <v>2410</v>
      </c>
      <c r="D59" s="25" t="s">
        <v>2241</v>
      </c>
      <c r="E59" s="171">
        <v>76</v>
      </c>
      <c r="F59" s="166">
        <v>62.4</v>
      </c>
      <c r="G59" s="166">
        <v>0</v>
      </c>
      <c r="H59" s="153">
        <v>4742.3999999999996</v>
      </c>
      <c r="I59" s="153">
        <v>0</v>
      </c>
      <c r="J59" s="175" t="s">
        <v>2690</v>
      </c>
      <c r="K59" s="1" t="s">
        <v>2688</v>
      </c>
      <c r="L59" s="145" t="s">
        <v>2366</v>
      </c>
    </row>
    <row r="60" spans="1:12" s="22" customFormat="1" ht="25.5" customHeight="1" x14ac:dyDescent="0.25">
      <c r="A60" s="148" t="s">
        <v>2685</v>
      </c>
      <c r="B60" s="25" t="s">
        <v>2411</v>
      </c>
      <c r="C60" s="150" t="s">
        <v>2412</v>
      </c>
      <c r="D60" s="25" t="s">
        <v>2241</v>
      </c>
      <c r="E60" s="171">
        <v>96</v>
      </c>
      <c r="F60" s="166">
        <v>499.95</v>
      </c>
      <c r="G60" s="166">
        <v>0</v>
      </c>
      <c r="H60" s="153">
        <v>47995.199999999997</v>
      </c>
      <c r="I60" s="153">
        <v>0</v>
      </c>
      <c r="J60" s="175" t="s">
        <v>2690</v>
      </c>
      <c r="K60" s="1" t="s">
        <v>2688</v>
      </c>
      <c r="L60" s="145" t="s">
        <v>2366</v>
      </c>
    </row>
    <row r="61" spans="1:12" s="22" customFormat="1" ht="25.5" customHeight="1" x14ac:dyDescent="0.25">
      <c r="A61" s="148" t="s">
        <v>2685</v>
      </c>
      <c r="B61" s="25" t="s">
        <v>2413</v>
      </c>
      <c r="C61" s="150" t="s">
        <v>2414</v>
      </c>
      <c r="D61" s="25" t="s">
        <v>2241</v>
      </c>
      <c r="E61" s="171">
        <v>76</v>
      </c>
      <c r="F61" s="166">
        <v>23749.95</v>
      </c>
      <c r="G61" s="166">
        <v>0</v>
      </c>
      <c r="H61" s="153">
        <v>1804996.2</v>
      </c>
      <c r="I61" s="153">
        <v>0</v>
      </c>
      <c r="J61" s="175" t="s">
        <v>2690</v>
      </c>
      <c r="K61" s="1" t="s">
        <v>2688</v>
      </c>
      <c r="L61" s="145" t="s">
        <v>2366</v>
      </c>
    </row>
    <row r="62" spans="1:12" s="22" customFormat="1" ht="25.5" customHeight="1" x14ac:dyDescent="0.25">
      <c r="A62" s="148" t="s">
        <v>2685</v>
      </c>
      <c r="B62" s="25" t="s">
        <v>2415</v>
      </c>
      <c r="C62" s="150" t="s">
        <v>2416</v>
      </c>
      <c r="D62" s="25" t="s">
        <v>2241</v>
      </c>
      <c r="E62" s="171">
        <v>66</v>
      </c>
      <c r="F62" s="166">
        <v>4374.8999999999996</v>
      </c>
      <c r="G62" s="166">
        <v>0</v>
      </c>
      <c r="H62" s="153">
        <v>288743.39999999997</v>
      </c>
      <c r="I62" s="153">
        <v>0</v>
      </c>
      <c r="J62" s="175" t="s">
        <v>2690</v>
      </c>
      <c r="K62" s="1" t="s">
        <v>2688</v>
      </c>
      <c r="L62" s="145" t="s">
        <v>2366</v>
      </c>
    </row>
    <row r="63" spans="1:12" s="22" customFormat="1" ht="25.5" customHeight="1" x14ac:dyDescent="0.25">
      <c r="A63" s="148" t="s">
        <v>2685</v>
      </c>
      <c r="B63" s="25" t="s">
        <v>2417</v>
      </c>
      <c r="C63" s="150" t="s">
        <v>2418</v>
      </c>
      <c r="D63" s="25" t="s">
        <v>2241</v>
      </c>
      <c r="E63" s="171">
        <v>80</v>
      </c>
      <c r="F63" s="166">
        <v>124.95</v>
      </c>
      <c r="G63" s="166">
        <v>0</v>
      </c>
      <c r="H63" s="153">
        <v>9996</v>
      </c>
      <c r="I63" s="153">
        <v>0</v>
      </c>
      <c r="J63" s="175" t="s">
        <v>2690</v>
      </c>
      <c r="K63" s="1" t="s">
        <v>2688</v>
      </c>
      <c r="L63" s="145" t="s">
        <v>2366</v>
      </c>
    </row>
    <row r="64" spans="1:12" s="22" customFormat="1" ht="25.5" customHeight="1" x14ac:dyDescent="0.25">
      <c r="A64" s="148" t="s">
        <v>2685</v>
      </c>
      <c r="B64" s="25" t="s">
        <v>2419</v>
      </c>
      <c r="C64" s="150" t="s">
        <v>2420</v>
      </c>
      <c r="D64" s="25" t="s">
        <v>2241</v>
      </c>
      <c r="E64" s="171">
        <v>92</v>
      </c>
      <c r="F64" s="166">
        <v>437.4</v>
      </c>
      <c r="G64" s="166">
        <v>0</v>
      </c>
      <c r="H64" s="153">
        <v>40240.799999999996</v>
      </c>
      <c r="I64" s="153">
        <v>0</v>
      </c>
      <c r="J64" s="175" t="s">
        <v>2690</v>
      </c>
      <c r="K64" s="1" t="s">
        <v>2688</v>
      </c>
      <c r="L64" s="145" t="s">
        <v>2366</v>
      </c>
    </row>
    <row r="65" spans="1:12" s="22" customFormat="1" ht="25.5" customHeight="1" x14ac:dyDescent="0.25">
      <c r="A65" s="148" t="s">
        <v>2685</v>
      </c>
      <c r="B65" s="25" t="s">
        <v>2421</v>
      </c>
      <c r="C65" s="150" t="s">
        <v>2422</v>
      </c>
      <c r="D65" s="25" t="s">
        <v>2241</v>
      </c>
      <c r="E65" s="171">
        <v>96</v>
      </c>
      <c r="F65" s="166">
        <v>0</v>
      </c>
      <c r="G65" s="166">
        <v>3624.9</v>
      </c>
      <c r="H65" s="153">
        <v>0</v>
      </c>
      <c r="I65" s="153">
        <v>347990.4</v>
      </c>
      <c r="J65" s="175" t="s">
        <v>2690</v>
      </c>
      <c r="K65" s="1" t="s">
        <v>2688</v>
      </c>
      <c r="L65" s="145" t="s">
        <v>2366</v>
      </c>
    </row>
    <row r="66" spans="1:12" s="22" customFormat="1" ht="25.5" customHeight="1" x14ac:dyDescent="0.25">
      <c r="A66" s="148" t="s">
        <v>2685</v>
      </c>
      <c r="B66" s="25" t="s">
        <v>2423</v>
      </c>
      <c r="C66" s="150" t="s">
        <v>2424</v>
      </c>
      <c r="D66" s="25" t="s">
        <v>2241</v>
      </c>
      <c r="E66" s="171">
        <v>96</v>
      </c>
      <c r="F66" s="166">
        <v>937.5</v>
      </c>
      <c r="G66" s="166">
        <v>0</v>
      </c>
      <c r="H66" s="153">
        <v>90000</v>
      </c>
      <c r="I66" s="153">
        <v>0</v>
      </c>
      <c r="J66" s="175" t="s">
        <v>2690</v>
      </c>
      <c r="K66" s="1" t="s">
        <v>2688</v>
      </c>
      <c r="L66" s="145" t="s">
        <v>2366</v>
      </c>
    </row>
    <row r="67" spans="1:12" s="22" customFormat="1" ht="25.5" customHeight="1" x14ac:dyDescent="0.25">
      <c r="A67" s="148" t="s">
        <v>2685</v>
      </c>
      <c r="B67" s="25" t="s">
        <v>2425</v>
      </c>
      <c r="C67" s="150" t="s">
        <v>2426</v>
      </c>
      <c r="D67" s="25" t="s">
        <v>2241</v>
      </c>
      <c r="E67" s="171">
        <v>86</v>
      </c>
      <c r="F67" s="166">
        <v>1875</v>
      </c>
      <c r="G67" s="166">
        <v>0</v>
      </c>
      <c r="H67" s="153">
        <v>161250</v>
      </c>
      <c r="I67" s="153">
        <v>0</v>
      </c>
      <c r="J67" s="175" t="s">
        <v>2690</v>
      </c>
      <c r="K67" s="1" t="s">
        <v>2688</v>
      </c>
      <c r="L67" s="145" t="s">
        <v>2366</v>
      </c>
    </row>
    <row r="68" spans="1:12" s="22" customFormat="1" ht="25.5" customHeight="1" x14ac:dyDescent="0.25">
      <c r="A68" s="148" t="s">
        <v>2685</v>
      </c>
      <c r="B68" s="25" t="s">
        <v>2427</v>
      </c>
      <c r="C68" s="150" t="s">
        <v>2428</v>
      </c>
      <c r="D68" s="25" t="s">
        <v>2241</v>
      </c>
      <c r="E68" s="171">
        <v>86</v>
      </c>
      <c r="F68" s="166">
        <v>1437.45</v>
      </c>
      <c r="G68" s="166">
        <v>118.65</v>
      </c>
      <c r="H68" s="153">
        <v>123620.7</v>
      </c>
      <c r="I68" s="153">
        <v>10203.9</v>
      </c>
      <c r="J68" s="175" t="s">
        <v>2690</v>
      </c>
      <c r="K68" s="1" t="s">
        <v>2688</v>
      </c>
      <c r="L68" s="145" t="s">
        <v>2366</v>
      </c>
    </row>
    <row r="69" spans="1:12" s="22" customFormat="1" ht="25.5" customHeight="1" x14ac:dyDescent="0.25">
      <c r="A69" s="148" t="s">
        <v>2685</v>
      </c>
      <c r="B69" s="25" t="s">
        <v>2429</v>
      </c>
      <c r="C69" s="150" t="s">
        <v>2430</v>
      </c>
      <c r="D69" s="25" t="s">
        <v>2241</v>
      </c>
      <c r="E69" s="171">
        <v>86</v>
      </c>
      <c r="F69" s="166">
        <v>10500</v>
      </c>
      <c r="G69" s="166">
        <v>118.65</v>
      </c>
      <c r="H69" s="153">
        <v>903000</v>
      </c>
      <c r="I69" s="153">
        <v>10203.9</v>
      </c>
      <c r="J69" s="175" t="s">
        <v>2690</v>
      </c>
      <c r="K69" s="1" t="s">
        <v>2688</v>
      </c>
      <c r="L69" s="145" t="s">
        <v>2366</v>
      </c>
    </row>
    <row r="70" spans="1:12" s="22" customFormat="1" ht="25.5" customHeight="1" x14ac:dyDescent="0.25">
      <c r="A70" s="148" t="s">
        <v>2685</v>
      </c>
      <c r="B70" s="25"/>
      <c r="C70" s="145" t="s">
        <v>2431</v>
      </c>
      <c r="D70" s="25"/>
      <c r="E70" s="171"/>
      <c r="F70" s="166"/>
      <c r="G70" s="166"/>
      <c r="H70" s="166"/>
      <c r="I70" s="166"/>
      <c r="J70" s="175" t="s">
        <v>2690</v>
      </c>
      <c r="K70" s="1" t="s">
        <v>2688</v>
      </c>
    </row>
    <row r="71" spans="1:12" s="22" customFormat="1" ht="25.5" customHeight="1" x14ac:dyDescent="0.25">
      <c r="A71" s="148" t="s">
        <v>2685</v>
      </c>
      <c r="B71" s="25" t="s">
        <v>2432</v>
      </c>
      <c r="C71" s="150" t="s">
        <v>2433</v>
      </c>
      <c r="D71" s="25" t="s">
        <v>2241</v>
      </c>
      <c r="E71" s="171">
        <v>1208</v>
      </c>
      <c r="F71" s="166">
        <v>17437.5</v>
      </c>
      <c r="G71" s="166">
        <v>0</v>
      </c>
      <c r="H71" s="153">
        <v>21064500</v>
      </c>
      <c r="I71" s="153">
        <v>0</v>
      </c>
      <c r="J71" s="175" t="s">
        <v>2690</v>
      </c>
      <c r="K71" s="1" t="s">
        <v>2688</v>
      </c>
      <c r="L71" s="145" t="s">
        <v>2431</v>
      </c>
    </row>
    <row r="72" spans="1:12" s="22" customFormat="1" ht="25.5" customHeight="1" x14ac:dyDescent="0.25">
      <c r="A72" s="148" t="s">
        <v>2685</v>
      </c>
      <c r="B72" s="25" t="s">
        <v>2434</v>
      </c>
      <c r="C72" s="150" t="s">
        <v>2435</v>
      </c>
      <c r="D72" s="25" t="s">
        <v>2241</v>
      </c>
      <c r="E72" s="171">
        <v>90</v>
      </c>
      <c r="F72" s="166">
        <v>17437.5</v>
      </c>
      <c r="G72" s="166">
        <v>0</v>
      </c>
      <c r="H72" s="153">
        <v>1569375</v>
      </c>
      <c r="I72" s="153">
        <v>0</v>
      </c>
      <c r="J72" s="175" t="s">
        <v>2690</v>
      </c>
      <c r="K72" s="1" t="s">
        <v>2688</v>
      </c>
      <c r="L72" s="145" t="s">
        <v>2431</v>
      </c>
    </row>
    <row r="73" spans="1:12" s="22" customFormat="1" ht="25.5" customHeight="1" x14ac:dyDescent="0.25">
      <c r="A73" s="148" t="s">
        <v>2685</v>
      </c>
      <c r="B73" s="25" t="s">
        <v>2436</v>
      </c>
      <c r="C73" s="150" t="s">
        <v>2437</v>
      </c>
      <c r="D73" s="25" t="s">
        <v>2241</v>
      </c>
      <c r="E73" s="171">
        <v>100</v>
      </c>
      <c r="F73" s="166">
        <v>2152.1999999999998</v>
      </c>
      <c r="G73" s="166">
        <v>0</v>
      </c>
      <c r="H73" s="153">
        <v>215219.99999999997</v>
      </c>
      <c r="I73" s="153">
        <v>0</v>
      </c>
      <c r="J73" s="175" t="s">
        <v>2690</v>
      </c>
      <c r="K73" s="1" t="s">
        <v>2688</v>
      </c>
      <c r="L73" s="145" t="s">
        <v>2431</v>
      </c>
    </row>
    <row r="74" spans="1:12" s="22" customFormat="1" ht="25.5" customHeight="1" x14ac:dyDescent="0.25">
      <c r="A74" s="148" t="s">
        <v>2685</v>
      </c>
      <c r="B74" s="25" t="s">
        <v>2438</v>
      </c>
      <c r="C74" s="150" t="s">
        <v>2439</v>
      </c>
      <c r="D74" s="25" t="s">
        <v>2241</v>
      </c>
      <c r="E74" s="171">
        <v>100</v>
      </c>
      <c r="F74" s="166">
        <v>2152.1999999999998</v>
      </c>
      <c r="G74" s="166">
        <v>0</v>
      </c>
      <c r="H74" s="153">
        <v>215219.99999999997</v>
      </c>
      <c r="I74" s="153">
        <v>0</v>
      </c>
      <c r="J74" s="175" t="s">
        <v>2690</v>
      </c>
      <c r="K74" s="1" t="s">
        <v>2688</v>
      </c>
      <c r="L74" s="145" t="s">
        <v>2431</v>
      </c>
    </row>
    <row r="75" spans="1:12" s="22" customFormat="1" ht="25.5" customHeight="1" x14ac:dyDescent="0.25">
      <c r="A75" s="148" t="s">
        <v>2685</v>
      </c>
      <c r="B75" s="25" t="s">
        <v>2440</v>
      </c>
      <c r="C75" s="150" t="s">
        <v>2441</v>
      </c>
      <c r="D75" s="25" t="s">
        <v>2241</v>
      </c>
      <c r="E75" s="171">
        <v>200</v>
      </c>
      <c r="F75" s="166">
        <v>1713.45</v>
      </c>
      <c r="G75" s="166">
        <v>0</v>
      </c>
      <c r="H75" s="153">
        <v>342690</v>
      </c>
      <c r="I75" s="153">
        <v>0</v>
      </c>
      <c r="J75" s="175" t="s">
        <v>2690</v>
      </c>
      <c r="K75" s="1" t="s">
        <v>2688</v>
      </c>
      <c r="L75" s="145" t="s">
        <v>2431</v>
      </c>
    </row>
    <row r="76" spans="1:12" s="22" customFormat="1" ht="25.5" customHeight="1" x14ac:dyDescent="0.25">
      <c r="A76" s="148" t="s">
        <v>2685</v>
      </c>
      <c r="B76" s="172" t="s">
        <v>2442</v>
      </c>
      <c r="C76" s="150" t="s">
        <v>2443</v>
      </c>
      <c r="D76" s="25" t="s">
        <v>2241</v>
      </c>
      <c r="E76" s="171">
        <v>354</v>
      </c>
      <c r="F76" s="166">
        <v>375</v>
      </c>
      <c r="G76" s="166">
        <v>0</v>
      </c>
      <c r="H76" s="153">
        <v>132750</v>
      </c>
      <c r="I76" s="153">
        <v>0</v>
      </c>
      <c r="J76" s="175" t="s">
        <v>2690</v>
      </c>
      <c r="K76" s="1" t="s">
        <v>2688</v>
      </c>
      <c r="L76" s="145" t="s">
        <v>2431</v>
      </c>
    </row>
    <row r="77" spans="1:12" s="22" customFormat="1" ht="25.5" customHeight="1" x14ac:dyDescent="0.25">
      <c r="A77" s="148" t="s">
        <v>2685</v>
      </c>
      <c r="B77" s="25" t="s">
        <v>2444</v>
      </c>
      <c r="C77" s="150" t="s">
        <v>2445</v>
      </c>
      <c r="D77" s="25" t="s">
        <v>2241</v>
      </c>
      <c r="E77" s="171">
        <v>80</v>
      </c>
      <c r="F77" s="166">
        <v>2152.1999999999998</v>
      </c>
      <c r="G77" s="166">
        <v>0</v>
      </c>
      <c r="H77" s="153">
        <v>172176</v>
      </c>
      <c r="I77" s="153">
        <v>0</v>
      </c>
      <c r="J77" s="175" t="s">
        <v>2690</v>
      </c>
      <c r="K77" s="1" t="s">
        <v>2688</v>
      </c>
      <c r="L77" s="145" t="s">
        <v>2431</v>
      </c>
    </row>
    <row r="78" spans="1:12" s="22" customFormat="1" ht="25.5" customHeight="1" x14ac:dyDescent="0.25">
      <c r="A78" s="148" t="s">
        <v>2685</v>
      </c>
      <c r="B78" s="25" t="s">
        <v>2446</v>
      </c>
      <c r="C78" s="150" t="s">
        <v>2447</v>
      </c>
      <c r="D78" s="25" t="s">
        <v>2241</v>
      </c>
      <c r="E78" s="171">
        <v>80</v>
      </c>
      <c r="F78" s="166">
        <v>1713.45</v>
      </c>
      <c r="G78" s="166">
        <v>0</v>
      </c>
      <c r="H78" s="153">
        <v>137076</v>
      </c>
      <c r="I78" s="153">
        <v>0</v>
      </c>
      <c r="J78" s="175" t="s">
        <v>2690</v>
      </c>
      <c r="K78" s="1" t="s">
        <v>2688</v>
      </c>
      <c r="L78" s="145" t="s">
        <v>2431</v>
      </c>
    </row>
    <row r="79" spans="1:12" s="22" customFormat="1" ht="25.5" customHeight="1" x14ac:dyDescent="0.25">
      <c r="A79" s="148" t="s">
        <v>2685</v>
      </c>
      <c r="B79" s="25" t="s">
        <v>2448</v>
      </c>
      <c r="C79" s="150" t="s">
        <v>2449</v>
      </c>
      <c r="D79" s="25" t="s">
        <v>2241</v>
      </c>
      <c r="E79" s="171">
        <v>110</v>
      </c>
      <c r="F79" s="166">
        <v>1627.65</v>
      </c>
      <c r="G79" s="166">
        <v>0</v>
      </c>
      <c r="H79" s="153">
        <v>179041.5</v>
      </c>
      <c r="I79" s="153">
        <v>0</v>
      </c>
      <c r="J79" s="175" t="s">
        <v>2690</v>
      </c>
      <c r="K79" s="1" t="s">
        <v>2688</v>
      </c>
      <c r="L79" s="145" t="s">
        <v>2431</v>
      </c>
    </row>
    <row r="80" spans="1:12" s="22" customFormat="1" ht="25.5" customHeight="1" x14ac:dyDescent="0.25">
      <c r="A80" s="148" t="s">
        <v>2685</v>
      </c>
      <c r="B80" s="25" t="s">
        <v>2450</v>
      </c>
      <c r="C80" s="150" t="s">
        <v>2451</v>
      </c>
      <c r="D80" s="25" t="s">
        <v>2241</v>
      </c>
      <c r="E80" s="171">
        <v>200</v>
      </c>
      <c r="F80" s="166">
        <v>3249.9</v>
      </c>
      <c r="G80" s="166">
        <v>0</v>
      </c>
      <c r="H80" s="153">
        <v>649980</v>
      </c>
      <c r="I80" s="153">
        <v>0</v>
      </c>
      <c r="J80" s="175" t="s">
        <v>2690</v>
      </c>
      <c r="K80" s="1" t="s">
        <v>2688</v>
      </c>
      <c r="L80" s="145" t="s">
        <v>2431</v>
      </c>
    </row>
    <row r="81" spans="1:12" s="22" customFormat="1" ht="25.5" customHeight="1" x14ac:dyDescent="0.25">
      <c r="A81" s="148" t="s">
        <v>2685</v>
      </c>
      <c r="B81" s="25" t="s">
        <v>2452</v>
      </c>
      <c r="C81" s="150" t="s">
        <v>2453</v>
      </c>
      <c r="D81" s="25" t="s">
        <v>2241</v>
      </c>
      <c r="E81" s="171">
        <v>200</v>
      </c>
      <c r="F81" s="166">
        <v>4249.95</v>
      </c>
      <c r="G81" s="166">
        <v>0</v>
      </c>
      <c r="H81" s="153">
        <v>849990</v>
      </c>
      <c r="I81" s="153">
        <v>0</v>
      </c>
      <c r="J81" s="175" t="s">
        <v>2690</v>
      </c>
      <c r="K81" s="1" t="s">
        <v>2688</v>
      </c>
      <c r="L81" s="145" t="s">
        <v>2431</v>
      </c>
    </row>
    <row r="82" spans="1:12" s="22" customFormat="1" ht="25.5" customHeight="1" x14ac:dyDescent="0.25">
      <c r="A82" s="148" t="s">
        <v>2685</v>
      </c>
      <c r="B82" s="25" t="s">
        <v>2454</v>
      </c>
      <c r="C82" s="150" t="s">
        <v>2455</v>
      </c>
      <c r="D82" s="25" t="s">
        <v>2241</v>
      </c>
      <c r="E82" s="171">
        <v>160</v>
      </c>
      <c r="F82" s="166">
        <v>6000</v>
      </c>
      <c r="G82" s="166">
        <v>0</v>
      </c>
      <c r="H82" s="153">
        <v>960000</v>
      </c>
      <c r="I82" s="153">
        <v>0</v>
      </c>
      <c r="J82" s="175" t="s">
        <v>2690</v>
      </c>
      <c r="K82" s="1" t="s">
        <v>2688</v>
      </c>
      <c r="L82" s="145" t="s">
        <v>2431</v>
      </c>
    </row>
    <row r="83" spans="1:12" s="22" customFormat="1" ht="25.5" customHeight="1" x14ac:dyDescent="0.25">
      <c r="A83" s="148" t="s">
        <v>2685</v>
      </c>
      <c r="B83" s="25" t="s">
        <v>2456</v>
      </c>
      <c r="C83" s="150" t="s">
        <v>2457</v>
      </c>
      <c r="D83" s="25" t="s">
        <v>2276</v>
      </c>
      <c r="E83" s="171">
        <v>11638</v>
      </c>
      <c r="F83" s="166">
        <v>195</v>
      </c>
      <c r="G83" s="166">
        <v>0</v>
      </c>
      <c r="H83" s="153">
        <v>2269410</v>
      </c>
      <c r="I83" s="153">
        <v>0</v>
      </c>
      <c r="J83" s="175" t="s">
        <v>2690</v>
      </c>
      <c r="K83" s="1" t="s">
        <v>2688</v>
      </c>
      <c r="L83" s="145" t="s">
        <v>2431</v>
      </c>
    </row>
    <row r="84" spans="1:12" s="22" customFormat="1" ht="25.5" customHeight="1" x14ac:dyDescent="0.25">
      <c r="A84" s="148" t="s">
        <v>2685</v>
      </c>
      <c r="B84" s="25"/>
      <c r="C84" s="145" t="s">
        <v>2458</v>
      </c>
      <c r="D84" s="25"/>
      <c r="E84" s="171"/>
      <c r="F84" s="166"/>
      <c r="G84" s="166"/>
      <c r="H84" s="166"/>
      <c r="I84" s="166"/>
      <c r="J84" s="175" t="s">
        <v>2690</v>
      </c>
      <c r="K84" s="1" t="s">
        <v>2688</v>
      </c>
    </row>
    <row r="85" spans="1:12" s="22" customFormat="1" ht="25.5" customHeight="1" x14ac:dyDescent="0.25">
      <c r="A85" s="148" t="s">
        <v>2685</v>
      </c>
      <c r="B85" s="25" t="s">
        <v>2459</v>
      </c>
      <c r="C85" s="150" t="s">
        <v>2460</v>
      </c>
      <c r="D85" s="25" t="s">
        <v>2241</v>
      </c>
      <c r="E85" s="171">
        <v>80</v>
      </c>
      <c r="F85" s="166">
        <v>64.95</v>
      </c>
      <c r="G85" s="166">
        <v>0</v>
      </c>
      <c r="H85" s="153">
        <v>5196</v>
      </c>
      <c r="I85" s="153">
        <v>0</v>
      </c>
      <c r="J85" s="175" t="s">
        <v>2690</v>
      </c>
      <c r="K85" s="1" t="s">
        <v>2688</v>
      </c>
      <c r="L85" s="145" t="s">
        <v>2458</v>
      </c>
    </row>
    <row r="86" spans="1:12" s="22" customFormat="1" ht="25.5" customHeight="1" x14ac:dyDescent="0.25">
      <c r="A86" s="148" t="s">
        <v>2685</v>
      </c>
      <c r="B86" s="172" t="s">
        <v>2461</v>
      </c>
      <c r="C86" s="150" t="s">
        <v>2462</v>
      </c>
      <c r="D86" s="25" t="s">
        <v>2241</v>
      </c>
      <c r="E86" s="171">
        <v>90</v>
      </c>
      <c r="F86" s="166">
        <v>124.95</v>
      </c>
      <c r="G86" s="166">
        <v>0</v>
      </c>
      <c r="H86" s="153">
        <v>11245.5</v>
      </c>
      <c r="I86" s="153">
        <v>0</v>
      </c>
      <c r="J86" s="175" t="s">
        <v>2690</v>
      </c>
      <c r="K86" s="1" t="s">
        <v>2688</v>
      </c>
      <c r="L86" s="145" t="s">
        <v>2458</v>
      </c>
    </row>
    <row r="87" spans="1:12" s="22" customFormat="1" ht="25.5" customHeight="1" x14ac:dyDescent="0.25">
      <c r="A87" s="148" t="s">
        <v>2685</v>
      </c>
      <c r="B87" s="25" t="s">
        <v>2463</v>
      </c>
      <c r="C87" s="150" t="s">
        <v>2464</v>
      </c>
      <c r="D87" s="25" t="s">
        <v>2241</v>
      </c>
      <c r="E87" s="171">
        <v>90</v>
      </c>
      <c r="F87" s="166">
        <v>234.9</v>
      </c>
      <c r="G87" s="166">
        <v>0</v>
      </c>
      <c r="H87" s="153">
        <v>21141</v>
      </c>
      <c r="I87" s="153">
        <v>0</v>
      </c>
      <c r="J87" s="175" t="s">
        <v>2690</v>
      </c>
      <c r="K87" s="1" t="s">
        <v>2688</v>
      </c>
      <c r="L87" s="145" t="s">
        <v>2458</v>
      </c>
    </row>
    <row r="88" spans="1:12" s="22" customFormat="1" ht="25.5" customHeight="1" x14ac:dyDescent="0.25">
      <c r="A88" s="148" t="s">
        <v>2685</v>
      </c>
      <c r="B88" s="25" t="s">
        <v>2465</v>
      </c>
      <c r="C88" s="150" t="s">
        <v>2466</v>
      </c>
      <c r="D88" s="25" t="s">
        <v>2241</v>
      </c>
      <c r="E88" s="171">
        <v>90</v>
      </c>
      <c r="F88" s="166">
        <v>287.39999999999998</v>
      </c>
      <c r="G88" s="166">
        <v>0</v>
      </c>
      <c r="H88" s="153">
        <v>25865.999999999996</v>
      </c>
      <c r="I88" s="153">
        <v>0</v>
      </c>
      <c r="J88" s="175" t="s">
        <v>2690</v>
      </c>
      <c r="K88" s="1" t="s">
        <v>2688</v>
      </c>
      <c r="L88" s="145" t="s">
        <v>2458</v>
      </c>
    </row>
    <row r="89" spans="1:12" s="22" customFormat="1" ht="25.5" customHeight="1" x14ac:dyDescent="0.25">
      <c r="A89" s="148" t="s">
        <v>2685</v>
      </c>
      <c r="B89" s="25" t="s">
        <v>2467</v>
      </c>
      <c r="C89" s="150" t="s">
        <v>2468</v>
      </c>
      <c r="D89" s="25" t="s">
        <v>2241</v>
      </c>
      <c r="E89" s="171">
        <v>110</v>
      </c>
      <c r="F89" s="166">
        <v>287.39999999999998</v>
      </c>
      <c r="G89" s="166">
        <v>0</v>
      </c>
      <c r="H89" s="153">
        <v>31613.999999999996</v>
      </c>
      <c r="I89" s="153">
        <v>0</v>
      </c>
      <c r="J89" s="175" t="s">
        <v>2690</v>
      </c>
      <c r="K89" s="1" t="s">
        <v>2688</v>
      </c>
      <c r="L89" s="145" t="s">
        <v>2458</v>
      </c>
    </row>
    <row r="90" spans="1:12" s="22" customFormat="1" ht="25.5" customHeight="1" x14ac:dyDescent="0.25">
      <c r="A90" s="148" t="s">
        <v>2685</v>
      </c>
      <c r="B90" s="25" t="s">
        <v>2469</v>
      </c>
      <c r="C90" s="150" t="s">
        <v>2470</v>
      </c>
      <c r="D90" s="25" t="s">
        <v>2241</v>
      </c>
      <c r="E90" s="171">
        <v>76</v>
      </c>
      <c r="F90" s="166">
        <v>287.39999999999998</v>
      </c>
      <c r="G90" s="166">
        <v>0</v>
      </c>
      <c r="H90" s="153">
        <v>21842.399999999998</v>
      </c>
      <c r="I90" s="153">
        <v>0</v>
      </c>
      <c r="J90" s="175" t="s">
        <v>2690</v>
      </c>
      <c r="K90" s="1" t="s">
        <v>2688</v>
      </c>
      <c r="L90" s="145" t="s">
        <v>2458</v>
      </c>
    </row>
    <row r="91" spans="1:12" s="22" customFormat="1" ht="25.5" customHeight="1" x14ac:dyDescent="0.25">
      <c r="A91" s="148" t="s">
        <v>2685</v>
      </c>
      <c r="B91" s="25" t="s">
        <v>2471</v>
      </c>
      <c r="C91" s="150" t="s">
        <v>2472</v>
      </c>
      <c r="D91" s="25" t="s">
        <v>2241</v>
      </c>
      <c r="E91" s="171">
        <v>100</v>
      </c>
      <c r="F91" s="166">
        <v>287.39999999999998</v>
      </c>
      <c r="G91" s="166">
        <v>0</v>
      </c>
      <c r="H91" s="153">
        <v>28739.999999999996</v>
      </c>
      <c r="I91" s="153">
        <v>0</v>
      </c>
      <c r="J91" s="175" t="s">
        <v>2690</v>
      </c>
      <c r="K91" s="1" t="s">
        <v>2688</v>
      </c>
      <c r="L91" s="145" t="s">
        <v>2458</v>
      </c>
    </row>
    <row r="92" spans="1:12" s="22" customFormat="1" ht="25.5" customHeight="1" x14ac:dyDescent="0.25">
      <c r="A92" s="148" t="s">
        <v>2685</v>
      </c>
      <c r="B92" s="25" t="s">
        <v>2473</v>
      </c>
      <c r="C92" s="150" t="s">
        <v>2474</v>
      </c>
      <c r="D92" s="25" t="s">
        <v>2241</v>
      </c>
      <c r="E92" s="171">
        <v>100</v>
      </c>
      <c r="F92" s="166">
        <v>287.39999999999998</v>
      </c>
      <c r="G92" s="166">
        <v>0</v>
      </c>
      <c r="H92" s="153">
        <v>28739.999999999996</v>
      </c>
      <c r="I92" s="153">
        <v>0</v>
      </c>
      <c r="J92" s="175" t="s">
        <v>2690</v>
      </c>
      <c r="K92" s="1" t="s">
        <v>2688</v>
      </c>
      <c r="L92" s="145" t="s">
        <v>2458</v>
      </c>
    </row>
    <row r="93" spans="1:12" s="22" customFormat="1" ht="25.5" customHeight="1" x14ac:dyDescent="0.25">
      <c r="A93" s="148" t="s">
        <v>2685</v>
      </c>
      <c r="B93" s="25" t="s">
        <v>2475</v>
      </c>
      <c r="C93" s="150" t="s">
        <v>2476</v>
      </c>
      <c r="D93" s="25" t="s">
        <v>2241</v>
      </c>
      <c r="E93" s="171">
        <v>76</v>
      </c>
      <c r="F93" s="166">
        <v>287.39999999999998</v>
      </c>
      <c r="G93" s="166">
        <v>0</v>
      </c>
      <c r="H93" s="153">
        <v>21842.399999999998</v>
      </c>
      <c r="I93" s="153">
        <v>0</v>
      </c>
      <c r="J93" s="175" t="s">
        <v>2690</v>
      </c>
      <c r="K93" s="1" t="s">
        <v>2688</v>
      </c>
      <c r="L93" s="145" t="s">
        <v>2458</v>
      </c>
    </row>
    <row r="94" spans="1:12" s="22" customFormat="1" ht="25.5" customHeight="1" x14ac:dyDescent="0.25">
      <c r="A94" s="148" t="s">
        <v>2685</v>
      </c>
      <c r="B94" s="25" t="s">
        <v>2477</v>
      </c>
      <c r="C94" s="150" t="s">
        <v>2478</v>
      </c>
      <c r="D94" s="25" t="s">
        <v>2241</v>
      </c>
      <c r="E94" s="171">
        <v>32696</v>
      </c>
      <c r="F94" s="166">
        <v>388.5</v>
      </c>
      <c r="G94" s="166">
        <v>0</v>
      </c>
      <c r="H94" s="153">
        <v>12702396</v>
      </c>
      <c r="I94" s="153">
        <v>0</v>
      </c>
      <c r="J94" s="175" t="s">
        <v>2690</v>
      </c>
      <c r="K94" s="1" t="s">
        <v>2688</v>
      </c>
    </row>
    <row r="95" spans="1:12" s="22" customFormat="1" ht="25.5" customHeight="1" x14ac:dyDescent="0.25">
      <c r="A95" s="148" t="s">
        <v>2685</v>
      </c>
      <c r="B95" s="25"/>
      <c r="C95" s="145" t="s">
        <v>2479</v>
      </c>
      <c r="D95" s="25"/>
      <c r="E95" s="171"/>
      <c r="F95" s="166"/>
      <c r="G95" s="166"/>
      <c r="H95" s="166"/>
      <c r="I95" s="166"/>
      <c r="J95" s="175" t="s">
        <v>2690</v>
      </c>
      <c r="K95" s="1" t="s">
        <v>2688</v>
      </c>
      <c r="L95" s="145" t="s">
        <v>2479</v>
      </c>
    </row>
    <row r="96" spans="1:12" s="22" customFormat="1" ht="25.5" customHeight="1" x14ac:dyDescent="0.25">
      <c r="A96" s="148" t="s">
        <v>2685</v>
      </c>
      <c r="B96" s="25" t="s">
        <v>2480</v>
      </c>
      <c r="C96" s="150" t="s">
        <v>2481</v>
      </c>
      <c r="D96" s="25" t="s">
        <v>2241</v>
      </c>
      <c r="E96" s="171">
        <v>70</v>
      </c>
      <c r="F96" s="166">
        <v>1736.1</v>
      </c>
      <c r="G96" s="166">
        <v>0</v>
      </c>
      <c r="H96" s="153">
        <v>121527</v>
      </c>
      <c r="I96" s="153">
        <v>0</v>
      </c>
      <c r="J96" s="175" t="s">
        <v>2690</v>
      </c>
      <c r="K96" s="1" t="s">
        <v>2688</v>
      </c>
      <c r="L96" s="145" t="s">
        <v>2479</v>
      </c>
    </row>
    <row r="97" spans="1:12" s="22" customFormat="1" ht="25.5" customHeight="1" x14ac:dyDescent="0.25">
      <c r="A97" s="148" t="s">
        <v>2685</v>
      </c>
      <c r="B97" s="25" t="s">
        <v>2482</v>
      </c>
      <c r="C97" s="150" t="s">
        <v>2483</v>
      </c>
      <c r="D97" s="25" t="s">
        <v>2241</v>
      </c>
      <c r="E97" s="171">
        <v>70</v>
      </c>
      <c r="F97" s="166">
        <v>3055.5</v>
      </c>
      <c r="G97" s="166">
        <v>0</v>
      </c>
      <c r="H97" s="153">
        <v>213885</v>
      </c>
      <c r="I97" s="153">
        <v>0</v>
      </c>
      <c r="J97" s="175" t="s">
        <v>2690</v>
      </c>
      <c r="K97" s="1" t="s">
        <v>2688</v>
      </c>
      <c r="L97" s="145" t="s">
        <v>2479</v>
      </c>
    </row>
    <row r="98" spans="1:12" s="22" customFormat="1" ht="25.5" customHeight="1" x14ac:dyDescent="0.25">
      <c r="A98" s="148" t="s">
        <v>2685</v>
      </c>
      <c r="B98" s="25" t="s">
        <v>2484</v>
      </c>
      <c r="C98" s="150" t="s">
        <v>2485</v>
      </c>
      <c r="D98" s="25" t="s">
        <v>2241</v>
      </c>
      <c r="E98" s="171">
        <v>120</v>
      </c>
      <c r="F98" s="166">
        <v>0</v>
      </c>
      <c r="G98" s="166">
        <v>684.9</v>
      </c>
      <c r="H98" s="153">
        <v>0</v>
      </c>
      <c r="I98" s="153">
        <v>82188</v>
      </c>
      <c r="J98" s="175" t="s">
        <v>2690</v>
      </c>
      <c r="K98" s="1" t="s">
        <v>2688</v>
      </c>
      <c r="L98" s="145" t="s">
        <v>2479</v>
      </c>
    </row>
    <row r="99" spans="1:12" s="22" customFormat="1" ht="25.5" customHeight="1" x14ac:dyDescent="0.25">
      <c r="A99" s="148" t="s">
        <v>2685</v>
      </c>
      <c r="B99" s="25" t="s">
        <v>2486</v>
      </c>
      <c r="C99" s="150" t="s">
        <v>2487</v>
      </c>
      <c r="D99" s="25" t="s">
        <v>2241</v>
      </c>
      <c r="E99" s="171">
        <v>120</v>
      </c>
      <c r="F99" s="166">
        <v>3124.95</v>
      </c>
      <c r="G99" s="166">
        <v>0</v>
      </c>
      <c r="H99" s="153">
        <v>374994</v>
      </c>
      <c r="I99" s="153">
        <v>0</v>
      </c>
      <c r="J99" s="175" t="s">
        <v>2690</v>
      </c>
      <c r="K99" s="1" t="s">
        <v>2688</v>
      </c>
      <c r="L99" s="145" t="s">
        <v>2479</v>
      </c>
    </row>
    <row r="100" spans="1:12" s="22" customFormat="1" ht="25.5" customHeight="1" x14ac:dyDescent="0.25">
      <c r="A100" s="148" t="s">
        <v>2685</v>
      </c>
      <c r="B100" s="172" t="s">
        <v>2488</v>
      </c>
      <c r="C100" s="150" t="s">
        <v>2489</v>
      </c>
      <c r="D100" s="25" t="s">
        <v>2241</v>
      </c>
      <c r="E100" s="171">
        <v>120</v>
      </c>
      <c r="F100" s="166">
        <v>3750</v>
      </c>
      <c r="G100" s="166">
        <v>0</v>
      </c>
      <c r="H100" s="153">
        <v>450000</v>
      </c>
      <c r="I100" s="153">
        <v>0</v>
      </c>
      <c r="J100" s="175" t="s">
        <v>2690</v>
      </c>
      <c r="K100" s="1" t="s">
        <v>2688</v>
      </c>
      <c r="L100" s="145" t="s">
        <v>2479</v>
      </c>
    </row>
    <row r="101" spans="1:12" s="22" customFormat="1" ht="25.5" customHeight="1" x14ac:dyDescent="0.25">
      <c r="A101" s="148" t="s">
        <v>2685</v>
      </c>
      <c r="B101" s="173" t="s">
        <v>2490</v>
      </c>
      <c r="C101" s="150" t="s">
        <v>2491</v>
      </c>
      <c r="D101" s="25" t="s">
        <v>2241</v>
      </c>
      <c r="E101" s="171">
        <v>100</v>
      </c>
      <c r="F101" s="166">
        <v>624.9</v>
      </c>
      <c r="G101" s="166">
        <v>0</v>
      </c>
      <c r="H101" s="153">
        <v>62490</v>
      </c>
      <c r="I101" s="153">
        <v>0</v>
      </c>
      <c r="J101" s="175" t="s">
        <v>2690</v>
      </c>
      <c r="K101" s="1" t="s">
        <v>2688</v>
      </c>
      <c r="L101" s="145" t="s">
        <v>2479</v>
      </c>
    </row>
    <row r="102" spans="1:12" s="22" customFormat="1" ht="25.5" customHeight="1" x14ac:dyDescent="0.25">
      <c r="A102" s="148" t="s">
        <v>2685</v>
      </c>
      <c r="B102" s="25" t="s">
        <v>2492</v>
      </c>
      <c r="C102" s="150" t="s">
        <v>2493</v>
      </c>
      <c r="D102" s="25" t="s">
        <v>2241</v>
      </c>
      <c r="E102" s="171">
        <v>100</v>
      </c>
      <c r="F102" s="166">
        <v>6249.9</v>
      </c>
      <c r="G102" s="166">
        <v>0</v>
      </c>
      <c r="H102" s="153">
        <v>624990</v>
      </c>
      <c r="I102" s="153">
        <v>0</v>
      </c>
      <c r="J102" s="175" t="s">
        <v>2690</v>
      </c>
      <c r="K102" s="1" t="s">
        <v>2688</v>
      </c>
      <c r="L102" s="145" t="s">
        <v>2479</v>
      </c>
    </row>
    <row r="103" spans="1:12" s="22" customFormat="1" ht="25.5" customHeight="1" x14ac:dyDescent="0.25">
      <c r="A103" s="148" t="s">
        <v>2685</v>
      </c>
      <c r="B103" s="173" t="s">
        <v>2494</v>
      </c>
      <c r="C103" s="150" t="s">
        <v>2495</v>
      </c>
      <c r="D103" s="25" t="s">
        <v>2241</v>
      </c>
      <c r="E103" s="171">
        <v>100</v>
      </c>
      <c r="F103" s="166">
        <v>312.45</v>
      </c>
      <c r="G103" s="166">
        <v>0</v>
      </c>
      <c r="H103" s="153">
        <v>31245</v>
      </c>
      <c r="I103" s="153">
        <v>0</v>
      </c>
      <c r="J103" s="175" t="s">
        <v>2690</v>
      </c>
      <c r="K103" s="1" t="s">
        <v>2688</v>
      </c>
      <c r="L103" s="145" t="s">
        <v>2479</v>
      </c>
    </row>
    <row r="104" spans="1:12" s="22" customFormat="1" ht="25.5" customHeight="1" x14ac:dyDescent="0.25">
      <c r="A104" s="148" t="s">
        <v>2685</v>
      </c>
      <c r="B104" s="173"/>
      <c r="C104" s="145" t="s">
        <v>2496</v>
      </c>
      <c r="D104" s="25"/>
      <c r="E104" s="171"/>
      <c r="F104" s="166"/>
      <c r="G104" s="166"/>
      <c r="H104" s="166"/>
      <c r="I104" s="166"/>
      <c r="J104" s="175" t="s">
        <v>2690</v>
      </c>
      <c r="K104" s="1" t="s">
        <v>2688</v>
      </c>
    </row>
    <row r="105" spans="1:12" s="22" customFormat="1" ht="25.5" customHeight="1" x14ac:dyDescent="0.25">
      <c r="A105" s="148" t="s">
        <v>2685</v>
      </c>
      <c r="B105" s="173" t="s">
        <v>2497</v>
      </c>
      <c r="C105" s="152" t="s">
        <v>2498</v>
      </c>
      <c r="D105" s="174" t="s">
        <v>2241</v>
      </c>
      <c r="E105" s="127">
        <v>2598</v>
      </c>
      <c r="F105" s="128">
        <v>15702.45</v>
      </c>
      <c r="G105" s="128">
        <v>0</v>
      </c>
      <c r="H105" s="153">
        <v>40794965.100000001</v>
      </c>
      <c r="I105" s="153">
        <v>0</v>
      </c>
      <c r="J105" s="175" t="s">
        <v>2690</v>
      </c>
      <c r="K105" s="1" t="s">
        <v>2688</v>
      </c>
      <c r="L105" s="145" t="s">
        <v>2496</v>
      </c>
    </row>
    <row r="106" spans="1:12" ht="25.5" customHeight="1" x14ac:dyDescent="0.2">
      <c r="A106" s="148" t="s">
        <v>2685</v>
      </c>
      <c r="B106" s="173" t="s">
        <v>2499</v>
      </c>
      <c r="C106" s="152" t="s">
        <v>2500</v>
      </c>
      <c r="D106" s="25" t="s">
        <v>2241</v>
      </c>
      <c r="E106" s="127">
        <v>80</v>
      </c>
      <c r="F106" s="166">
        <v>23749.95</v>
      </c>
      <c r="G106" s="166">
        <v>0</v>
      </c>
      <c r="H106" s="153">
        <v>1899996</v>
      </c>
      <c r="I106" s="153">
        <v>0</v>
      </c>
      <c r="J106" s="175" t="s">
        <v>2690</v>
      </c>
      <c r="K106" s="1" t="s">
        <v>2688</v>
      </c>
      <c r="L106" s="145" t="s">
        <v>2496</v>
      </c>
    </row>
    <row r="107" spans="1:12" ht="25.5" customHeight="1" x14ac:dyDescent="0.2">
      <c r="A107" s="148" t="s">
        <v>2685</v>
      </c>
      <c r="B107" s="173"/>
      <c r="C107" s="167" t="s">
        <v>2501</v>
      </c>
      <c r="D107" s="25"/>
      <c r="E107" s="127"/>
      <c r="F107" s="166"/>
      <c r="G107" s="166"/>
      <c r="H107" s="128"/>
      <c r="I107" s="128"/>
      <c r="J107" s="175" t="s">
        <v>2690</v>
      </c>
      <c r="K107" s="1" t="s">
        <v>2688</v>
      </c>
    </row>
    <row r="108" spans="1:12" ht="25.5" customHeight="1" x14ac:dyDescent="0.2">
      <c r="A108" s="148" t="s">
        <v>2685</v>
      </c>
      <c r="B108" s="173" t="s">
        <v>2502</v>
      </c>
      <c r="C108" s="152" t="s">
        <v>2503</v>
      </c>
      <c r="D108" s="25" t="s">
        <v>2241</v>
      </c>
      <c r="E108" s="127">
        <v>200</v>
      </c>
      <c r="F108" s="166">
        <v>1062.45</v>
      </c>
      <c r="G108" s="166">
        <v>0</v>
      </c>
      <c r="H108" s="153">
        <v>212490</v>
      </c>
      <c r="I108" s="153">
        <v>0</v>
      </c>
      <c r="J108" s="175" t="s">
        <v>2690</v>
      </c>
      <c r="K108" s="1" t="s">
        <v>2688</v>
      </c>
      <c r="L108" s="167" t="s">
        <v>2501</v>
      </c>
    </row>
    <row r="109" spans="1:12" ht="25.5" customHeight="1" x14ac:dyDescent="0.2">
      <c r="A109" s="148" t="s">
        <v>2685</v>
      </c>
      <c r="B109" s="173" t="s">
        <v>2504</v>
      </c>
      <c r="C109" s="152" t="s">
        <v>2505</v>
      </c>
      <c r="D109" s="25" t="s">
        <v>2241</v>
      </c>
      <c r="E109" s="127">
        <v>22000</v>
      </c>
      <c r="F109" s="166">
        <v>143.69999999999999</v>
      </c>
      <c r="G109" s="166">
        <v>0</v>
      </c>
      <c r="H109" s="153">
        <v>3161399.9999999995</v>
      </c>
      <c r="I109" s="153">
        <v>0</v>
      </c>
      <c r="J109" s="175" t="s">
        <v>2690</v>
      </c>
      <c r="K109" s="1" t="s">
        <v>2688</v>
      </c>
      <c r="L109" s="167" t="s">
        <v>2501</v>
      </c>
    </row>
    <row r="110" spans="1:12" ht="25.5" customHeight="1" x14ac:dyDescent="0.2">
      <c r="A110" s="148" t="s">
        <v>2685</v>
      </c>
      <c r="B110" s="173" t="s">
        <v>2506</v>
      </c>
      <c r="C110" s="152" t="s">
        <v>2507</v>
      </c>
      <c r="D110" s="25" t="s">
        <v>2241</v>
      </c>
      <c r="E110" s="127">
        <v>200</v>
      </c>
      <c r="F110" s="166">
        <v>375</v>
      </c>
      <c r="G110" s="166">
        <v>0</v>
      </c>
      <c r="H110" s="153">
        <v>75000</v>
      </c>
      <c r="I110" s="153">
        <v>0</v>
      </c>
      <c r="J110" s="175" t="s">
        <v>2690</v>
      </c>
      <c r="K110" s="1" t="s">
        <v>2688</v>
      </c>
      <c r="L110" s="167" t="s">
        <v>2501</v>
      </c>
    </row>
    <row r="111" spans="1:12" ht="25.5" customHeight="1" x14ac:dyDescent="0.2">
      <c r="A111" s="148" t="s">
        <v>2685</v>
      </c>
      <c r="B111" s="173" t="s">
        <v>2508</v>
      </c>
      <c r="C111" s="152" t="s">
        <v>2509</v>
      </c>
      <c r="D111" s="25" t="s">
        <v>2241</v>
      </c>
      <c r="E111" s="127">
        <v>1140</v>
      </c>
      <c r="F111" s="166">
        <v>15702.3</v>
      </c>
      <c r="G111" s="166">
        <v>0</v>
      </c>
      <c r="H111" s="153">
        <v>17900622</v>
      </c>
      <c r="I111" s="153">
        <v>0</v>
      </c>
      <c r="J111" s="175" t="s">
        <v>2690</v>
      </c>
      <c r="K111" s="1" t="s">
        <v>2688</v>
      </c>
      <c r="L111" s="167" t="s">
        <v>2501</v>
      </c>
    </row>
    <row r="112" spans="1:12" ht="25.5" customHeight="1" x14ac:dyDescent="0.2">
      <c r="A112" s="148" t="s">
        <v>2685</v>
      </c>
      <c r="B112" s="173" t="s">
        <v>2510</v>
      </c>
      <c r="C112" s="152" t="s">
        <v>2511</v>
      </c>
      <c r="D112" s="25" t="s">
        <v>2241</v>
      </c>
      <c r="E112" s="127">
        <v>354</v>
      </c>
      <c r="F112" s="166">
        <v>1500</v>
      </c>
      <c r="G112" s="166">
        <v>0</v>
      </c>
      <c r="H112" s="153">
        <v>531000</v>
      </c>
      <c r="I112" s="153">
        <v>0</v>
      </c>
      <c r="J112" s="175" t="s">
        <v>2690</v>
      </c>
      <c r="K112" s="1" t="s">
        <v>2688</v>
      </c>
      <c r="L112" s="167" t="s">
        <v>2501</v>
      </c>
    </row>
    <row r="113" spans="1:12" ht="25.5" customHeight="1" x14ac:dyDescent="0.2">
      <c r="A113" s="148" t="s">
        <v>2685</v>
      </c>
      <c r="B113" s="173"/>
      <c r="C113" s="167" t="s">
        <v>2512</v>
      </c>
      <c r="D113" s="25"/>
      <c r="E113" s="127"/>
      <c r="F113" s="166"/>
      <c r="G113" s="166"/>
      <c r="H113" s="128"/>
      <c r="I113" s="128"/>
      <c r="J113" s="175" t="s">
        <v>2690</v>
      </c>
      <c r="K113" s="1" t="s">
        <v>2688</v>
      </c>
    </row>
    <row r="114" spans="1:12" ht="25.5" customHeight="1" x14ac:dyDescent="0.2">
      <c r="A114" s="148" t="s">
        <v>2685</v>
      </c>
      <c r="B114" s="173" t="s">
        <v>2513</v>
      </c>
      <c r="C114" s="152" t="s">
        <v>2514</v>
      </c>
      <c r="D114" s="25" t="s">
        <v>2241</v>
      </c>
      <c r="E114" s="127">
        <v>76</v>
      </c>
      <c r="F114" s="166">
        <v>33000</v>
      </c>
      <c r="G114" s="166">
        <v>0</v>
      </c>
      <c r="H114" s="153">
        <v>2508000</v>
      </c>
      <c r="I114" s="153">
        <v>0</v>
      </c>
      <c r="J114" s="175" t="s">
        <v>2690</v>
      </c>
      <c r="K114" s="1" t="s">
        <v>2688</v>
      </c>
      <c r="L114" s="167" t="s">
        <v>2512</v>
      </c>
    </row>
    <row r="115" spans="1:12" ht="25.5" customHeight="1" x14ac:dyDescent="0.2">
      <c r="A115" s="148" t="s">
        <v>2685</v>
      </c>
      <c r="B115" s="173" t="s">
        <v>2515</v>
      </c>
      <c r="C115" s="152" t="s">
        <v>2516</v>
      </c>
      <c r="D115" s="25" t="s">
        <v>2241</v>
      </c>
      <c r="E115" s="127">
        <v>76</v>
      </c>
      <c r="F115" s="166">
        <v>3666.6</v>
      </c>
      <c r="G115" s="166">
        <v>0</v>
      </c>
      <c r="H115" s="153">
        <v>278661.59999999998</v>
      </c>
      <c r="I115" s="153">
        <v>0</v>
      </c>
      <c r="J115" s="175" t="s">
        <v>2690</v>
      </c>
      <c r="K115" s="1" t="s">
        <v>2688</v>
      </c>
      <c r="L115" s="167" t="s">
        <v>2512</v>
      </c>
    </row>
    <row r="116" spans="1:12" ht="25.5" customHeight="1" x14ac:dyDescent="0.2">
      <c r="A116" s="148" t="s">
        <v>2685</v>
      </c>
      <c r="B116" s="173" t="s">
        <v>2517</v>
      </c>
      <c r="C116" s="152" t="s">
        <v>2518</v>
      </c>
      <c r="D116" s="25" t="s">
        <v>2241</v>
      </c>
      <c r="E116" s="127">
        <v>76</v>
      </c>
      <c r="F116" s="166">
        <v>4125</v>
      </c>
      <c r="G116" s="166">
        <v>0</v>
      </c>
      <c r="H116" s="153">
        <v>313500</v>
      </c>
      <c r="I116" s="153">
        <v>0</v>
      </c>
      <c r="J116" s="175" t="s">
        <v>2690</v>
      </c>
      <c r="K116" s="1" t="s">
        <v>2688</v>
      </c>
      <c r="L116" s="167" t="s">
        <v>2512</v>
      </c>
    </row>
    <row r="117" spans="1:12" ht="25.5" customHeight="1" x14ac:dyDescent="0.2">
      <c r="A117" s="148" t="s">
        <v>2685</v>
      </c>
      <c r="B117" s="173"/>
      <c r="C117" s="167" t="s">
        <v>2519</v>
      </c>
      <c r="D117" s="25"/>
      <c r="E117" s="127"/>
      <c r="F117" s="166"/>
      <c r="G117" s="166"/>
      <c r="H117" s="128"/>
      <c r="I117" s="128"/>
      <c r="J117" s="175" t="s">
        <v>2690</v>
      </c>
      <c r="K117" s="1" t="s">
        <v>2688</v>
      </c>
    </row>
    <row r="118" spans="1:12" ht="25.5" customHeight="1" x14ac:dyDescent="0.2">
      <c r="A118" s="148" t="s">
        <v>2685</v>
      </c>
      <c r="B118" s="173" t="s">
        <v>2520</v>
      </c>
      <c r="C118" s="152" t="s">
        <v>2521</v>
      </c>
      <c r="D118" s="25" t="s">
        <v>2223</v>
      </c>
      <c r="E118" s="127">
        <v>78</v>
      </c>
      <c r="F118" s="166">
        <v>66750</v>
      </c>
      <c r="G118" s="166">
        <v>0</v>
      </c>
      <c r="H118" s="153">
        <v>5206500</v>
      </c>
      <c r="I118" s="153">
        <v>0</v>
      </c>
      <c r="J118" s="175" t="s">
        <v>2690</v>
      </c>
      <c r="K118" s="1" t="s">
        <v>2688</v>
      </c>
      <c r="L118" s="167" t="s">
        <v>2519</v>
      </c>
    </row>
    <row r="119" spans="1:12" ht="25.5" customHeight="1" x14ac:dyDescent="0.2">
      <c r="A119" s="148" t="s">
        <v>2685</v>
      </c>
      <c r="B119" s="173" t="s">
        <v>2522</v>
      </c>
      <c r="C119" s="152" t="s">
        <v>2523</v>
      </c>
      <c r="D119" s="25" t="s">
        <v>2223</v>
      </c>
      <c r="E119" s="127">
        <v>100</v>
      </c>
      <c r="F119" s="166">
        <v>129500</v>
      </c>
      <c r="G119" s="166">
        <v>0</v>
      </c>
      <c r="H119" s="153">
        <v>12950000</v>
      </c>
      <c r="I119" s="153">
        <v>0</v>
      </c>
      <c r="J119" s="175" t="s">
        <v>2690</v>
      </c>
      <c r="K119" s="1" t="s">
        <v>2688</v>
      </c>
      <c r="L119" s="167" t="s">
        <v>2519</v>
      </c>
    </row>
    <row r="120" spans="1:12" ht="25.5" customHeight="1" x14ac:dyDescent="0.2">
      <c r="A120" s="148" t="s">
        <v>2685</v>
      </c>
      <c r="B120" s="173" t="s">
        <v>2524</v>
      </c>
      <c r="C120" s="152" t="s">
        <v>2525</v>
      </c>
      <c r="D120" s="25" t="s">
        <v>2223</v>
      </c>
      <c r="E120" s="127">
        <v>78</v>
      </c>
      <c r="F120" s="166">
        <v>291375</v>
      </c>
      <c r="G120" s="166">
        <v>0</v>
      </c>
      <c r="H120" s="153">
        <v>22727250</v>
      </c>
      <c r="I120" s="153">
        <v>0</v>
      </c>
      <c r="J120" s="175" t="s">
        <v>2690</v>
      </c>
      <c r="K120" s="1" t="s">
        <v>2688</v>
      </c>
      <c r="L120" s="167" t="s">
        <v>2519</v>
      </c>
    </row>
    <row r="121" spans="1:12" ht="25.5" customHeight="1" x14ac:dyDescent="0.2">
      <c r="A121" s="148" t="s">
        <v>2685</v>
      </c>
      <c r="B121" s="173" t="s">
        <v>2526</v>
      </c>
      <c r="C121" s="152" t="s">
        <v>2527</v>
      </c>
      <c r="D121" s="25" t="s">
        <v>2223</v>
      </c>
      <c r="E121" s="127">
        <v>80</v>
      </c>
      <c r="F121" s="166">
        <v>0</v>
      </c>
      <c r="G121" s="166">
        <v>18285</v>
      </c>
      <c r="H121" s="153">
        <v>0</v>
      </c>
      <c r="I121" s="153">
        <v>1462800</v>
      </c>
      <c r="J121" s="175" t="s">
        <v>2690</v>
      </c>
      <c r="K121" s="1" t="s">
        <v>2688</v>
      </c>
      <c r="L121" s="167" t="s">
        <v>2519</v>
      </c>
    </row>
    <row r="122" spans="1:12" ht="25.5" customHeight="1" x14ac:dyDescent="0.2">
      <c r="A122" s="148" t="s">
        <v>2685</v>
      </c>
      <c r="B122" s="173" t="s">
        <v>2528</v>
      </c>
      <c r="C122" s="152" t="s">
        <v>2529</v>
      </c>
      <c r="D122" s="25" t="s">
        <v>2223</v>
      </c>
      <c r="E122" s="127">
        <v>80</v>
      </c>
      <c r="F122" s="166">
        <v>0</v>
      </c>
      <c r="G122" s="166">
        <v>22600</v>
      </c>
      <c r="H122" s="153">
        <v>0</v>
      </c>
      <c r="I122" s="153">
        <v>1808000</v>
      </c>
      <c r="J122" s="175" t="s">
        <v>2690</v>
      </c>
      <c r="K122" s="1" t="s">
        <v>2688</v>
      </c>
      <c r="L122" s="167" t="s">
        <v>2519</v>
      </c>
    </row>
    <row r="123" spans="1:12" ht="25.5" customHeight="1" x14ac:dyDescent="0.2">
      <c r="A123" s="148" t="s">
        <v>2685</v>
      </c>
      <c r="B123" s="173" t="s">
        <v>2530</v>
      </c>
      <c r="C123" s="152" t="s">
        <v>2531</v>
      </c>
      <c r="D123" s="25" t="s">
        <v>2223</v>
      </c>
      <c r="E123" s="127">
        <v>120</v>
      </c>
      <c r="F123" s="166">
        <v>0</v>
      </c>
      <c r="G123" s="166">
        <v>27905</v>
      </c>
      <c r="H123" s="153">
        <v>0</v>
      </c>
      <c r="I123" s="153">
        <v>3348600</v>
      </c>
      <c r="J123" s="175" t="s">
        <v>2690</v>
      </c>
      <c r="K123" s="1" t="s">
        <v>2688</v>
      </c>
      <c r="L123" s="167" t="s">
        <v>2519</v>
      </c>
    </row>
    <row r="124" spans="1:12" ht="25.5" customHeight="1" x14ac:dyDescent="0.2">
      <c r="A124" s="148" t="s">
        <v>2685</v>
      </c>
      <c r="B124" s="173" t="s">
        <v>2532</v>
      </c>
      <c r="C124" s="152" t="s">
        <v>2533</v>
      </c>
      <c r="D124" s="25" t="s">
        <v>2223</v>
      </c>
      <c r="E124" s="127">
        <v>100</v>
      </c>
      <c r="F124" s="166">
        <v>0</v>
      </c>
      <c r="G124" s="166">
        <v>43750</v>
      </c>
      <c r="H124" s="153">
        <v>0</v>
      </c>
      <c r="I124" s="153">
        <v>4375000</v>
      </c>
      <c r="J124" s="175" t="s">
        <v>2690</v>
      </c>
      <c r="K124" s="1" t="s">
        <v>2688</v>
      </c>
      <c r="L124" s="167" t="s">
        <v>2519</v>
      </c>
    </row>
    <row r="125" spans="1:12" ht="25.5" customHeight="1" x14ac:dyDescent="0.2">
      <c r="A125" s="148" t="s">
        <v>2685</v>
      </c>
      <c r="B125" s="173"/>
      <c r="C125" s="167" t="s">
        <v>2534</v>
      </c>
      <c r="D125" s="25"/>
      <c r="E125" s="127"/>
      <c r="F125" s="166"/>
      <c r="G125" s="166"/>
      <c r="H125" s="128"/>
      <c r="I125" s="128"/>
      <c r="J125" s="175" t="s">
        <v>2690</v>
      </c>
      <c r="K125" s="1" t="s">
        <v>2688</v>
      </c>
    </row>
    <row r="126" spans="1:12" ht="25.5" customHeight="1" x14ac:dyDescent="0.2">
      <c r="A126" s="148" t="s">
        <v>2685</v>
      </c>
      <c r="B126" s="173" t="s">
        <v>2535</v>
      </c>
      <c r="C126" s="152" t="s">
        <v>2536</v>
      </c>
      <c r="D126" s="25" t="s">
        <v>2223</v>
      </c>
      <c r="E126" s="127">
        <v>600</v>
      </c>
      <c r="F126" s="166">
        <v>0</v>
      </c>
      <c r="G126" s="166">
        <v>5187.5</v>
      </c>
      <c r="H126" s="153">
        <v>0</v>
      </c>
      <c r="I126" s="153">
        <v>3112500</v>
      </c>
      <c r="J126" s="175" t="s">
        <v>2690</v>
      </c>
      <c r="K126" s="1" t="s">
        <v>2688</v>
      </c>
      <c r="L126" s="167" t="s">
        <v>2534</v>
      </c>
    </row>
    <row r="127" spans="1:12" ht="25.5" customHeight="1" x14ac:dyDescent="0.2">
      <c r="A127" s="148" t="s">
        <v>2685</v>
      </c>
      <c r="B127" s="173" t="s">
        <v>2537</v>
      </c>
      <c r="C127" s="152" t="s">
        <v>2538</v>
      </c>
      <c r="D127" s="25" t="s">
        <v>2223</v>
      </c>
      <c r="E127" s="127">
        <v>600</v>
      </c>
      <c r="F127" s="166">
        <v>0</v>
      </c>
      <c r="G127" s="166">
        <v>11718.75</v>
      </c>
      <c r="H127" s="153">
        <v>0</v>
      </c>
      <c r="I127" s="153">
        <v>7031250</v>
      </c>
      <c r="J127" s="175" t="s">
        <v>2690</v>
      </c>
      <c r="K127" s="1" t="s">
        <v>2688</v>
      </c>
      <c r="L127" s="167" t="s">
        <v>2534</v>
      </c>
    </row>
    <row r="128" spans="1:12" ht="25.5" customHeight="1" x14ac:dyDescent="0.2">
      <c r="A128" s="148" t="s">
        <v>2685</v>
      </c>
      <c r="B128" s="173" t="s">
        <v>2539</v>
      </c>
      <c r="C128" s="152" t="s">
        <v>2540</v>
      </c>
      <c r="D128" s="25" t="s">
        <v>2223</v>
      </c>
      <c r="E128" s="127">
        <v>98</v>
      </c>
      <c r="F128" s="166">
        <v>0</v>
      </c>
      <c r="G128" s="166">
        <v>28125</v>
      </c>
      <c r="H128" s="153">
        <v>0</v>
      </c>
      <c r="I128" s="153">
        <v>2756250</v>
      </c>
      <c r="J128" s="175" t="s">
        <v>2690</v>
      </c>
      <c r="K128" s="1" t="s">
        <v>2688</v>
      </c>
      <c r="L128" s="167" t="s">
        <v>2534</v>
      </c>
    </row>
    <row r="129" spans="1:12" ht="25.5" customHeight="1" x14ac:dyDescent="0.2">
      <c r="A129" s="148" t="s">
        <v>2685</v>
      </c>
      <c r="B129" s="173" t="s">
        <v>2541</v>
      </c>
      <c r="C129" s="152" t="s">
        <v>2542</v>
      </c>
      <c r="D129" s="25" t="s">
        <v>2223</v>
      </c>
      <c r="E129" s="127">
        <v>180</v>
      </c>
      <c r="F129" s="166">
        <v>0</v>
      </c>
      <c r="G129" s="166">
        <v>34500</v>
      </c>
      <c r="H129" s="153">
        <v>0</v>
      </c>
      <c r="I129" s="153">
        <v>6210000</v>
      </c>
      <c r="J129" s="175" t="s">
        <v>2690</v>
      </c>
      <c r="K129" s="1" t="s">
        <v>2688</v>
      </c>
      <c r="L129" s="167" t="s">
        <v>2534</v>
      </c>
    </row>
    <row r="130" spans="1:12" ht="25.5" customHeight="1" x14ac:dyDescent="0.2">
      <c r="A130" s="148" t="s">
        <v>2685</v>
      </c>
      <c r="B130" s="173" t="s">
        <v>2543</v>
      </c>
      <c r="C130" s="152" t="s">
        <v>2544</v>
      </c>
      <c r="D130" s="25" t="s">
        <v>2223</v>
      </c>
      <c r="E130" s="127">
        <v>220</v>
      </c>
      <c r="F130" s="166">
        <v>0</v>
      </c>
      <c r="G130" s="166">
        <v>35625</v>
      </c>
      <c r="H130" s="153">
        <v>0</v>
      </c>
      <c r="I130" s="153">
        <v>7837500</v>
      </c>
      <c r="J130" s="175" t="s">
        <v>2690</v>
      </c>
      <c r="K130" s="1" t="s">
        <v>2688</v>
      </c>
      <c r="L130" s="167" t="s">
        <v>2534</v>
      </c>
    </row>
    <row r="131" spans="1:12" ht="25.5" customHeight="1" x14ac:dyDescent="0.2">
      <c r="A131" s="148" t="s">
        <v>2685</v>
      </c>
      <c r="B131" s="173"/>
      <c r="C131" s="167" t="s">
        <v>2545</v>
      </c>
      <c r="D131" s="25"/>
      <c r="E131" s="127"/>
      <c r="F131" s="166"/>
      <c r="G131" s="166"/>
      <c r="H131" s="128"/>
      <c r="I131" s="128"/>
      <c r="J131" s="175" t="s">
        <v>2690</v>
      </c>
    </row>
    <row r="132" spans="1:12" ht="25.5" customHeight="1" x14ac:dyDescent="0.2">
      <c r="A132" s="148" t="s">
        <v>2685</v>
      </c>
      <c r="B132" s="173"/>
      <c r="C132" s="167" t="s">
        <v>2546</v>
      </c>
      <c r="D132" s="25"/>
      <c r="E132" s="127"/>
      <c r="F132" s="166"/>
      <c r="G132" s="166"/>
      <c r="H132" s="128"/>
      <c r="I132" s="128"/>
      <c r="J132" s="175" t="s">
        <v>2690</v>
      </c>
    </row>
    <row r="133" spans="1:12" ht="25.5" customHeight="1" x14ac:dyDescent="0.2">
      <c r="A133" s="148" t="s">
        <v>2685</v>
      </c>
      <c r="B133" s="173" t="s">
        <v>2547</v>
      </c>
      <c r="C133" s="152" t="s">
        <v>2548</v>
      </c>
      <c r="D133" s="25" t="s">
        <v>2276</v>
      </c>
      <c r="E133" s="127">
        <v>130</v>
      </c>
      <c r="F133" s="166">
        <v>2500</v>
      </c>
      <c r="G133" s="166">
        <v>0</v>
      </c>
      <c r="H133" s="153">
        <v>325000</v>
      </c>
      <c r="I133" s="153">
        <v>0</v>
      </c>
      <c r="J133" s="175" t="s">
        <v>2690</v>
      </c>
      <c r="K133" s="167" t="s">
        <v>2689</v>
      </c>
      <c r="L133" s="167" t="s">
        <v>2546</v>
      </c>
    </row>
    <row r="134" spans="1:12" ht="25.5" customHeight="1" x14ac:dyDescent="0.2">
      <c r="A134" s="148" t="s">
        <v>2685</v>
      </c>
      <c r="B134" s="173" t="s">
        <v>2549</v>
      </c>
      <c r="C134" s="152" t="s">
        <v>2550</v>
      </c>
      <c r="D134" s="25" t="s">
        <v>2276</v>
      </c>
      <c r="E134" s="127">
        <v>30000</v>
      </c>
      <c r="F134" s="166">
        <v>3125</v>
      </c>
      <c r="G134" s="166">
        <v>0</v>
      </c>
      <c r="H134" s="153">
        <v>93750000</v>
      </c>
      <c r="I134" s="153">
        <v>0</v>
      </c>
      <c r="J134" s="175" t="s">
        <v>2690</v>
      </c>
      <c r="K134" s="167" t="s">
        <v>2689</v>
      </c>
      <c r="L134" s="167" t="s">
        <v>2546</v>
      </c>
    </row>
    <row r="135" spans="1:12" ht="25.5" customHeight="1" x14ac:dyDescent="0.2">
      <c r="A135" s="148" t="s">
        <v>2685</v>
      </c>
      <c r="B135" s="173" t="s">
        <v>2551</v>
      </c>
      <c r="C135" s="152" t="s">
        <v>2552</v>
      </c>
      <c r="D135" s="25" t="s">
        <v>2276</v>
      </c>
      <c r="E135" s="127">
        <v>576</v>
      </c>
      <c r="F135" s="166">
        <v>4687.5</v>
      </c>
      <c r="G135" s="166">
        <v>0</v>
      </c>
      <c r="H135" s="153">
        <v>2700000</v>
      </c>
      <c r="I135" s="153">
        <v>0</v>
      </c>
      <c r="J135" s="175" t="s">
        <v>2690</v>
      </c>
      <c r="K135" s="167" t="s">
        <v>2689</v>
      </c>
      <c r="L135" s="167" t="s">
        <v>2546</v>
      </c>
    </row>
    <row r="136" spans="1:12" s="22" customFormat="1" ht="25.5" customHeight="1" x14ac:dyDescent="0.25">
      <c r="A136" s="148" t="s">
        <v>2685</v>
      </c>
      <c r="B136" s="25" t="s">
        <v>2553</v>
      </c>
      <c r="C136" s="150" t="s">
        <v>2554</v>
      </c>
      <c r="D136" s="25" t="s">
        <v>2276</v>
      </c>
      <c r="E136" s="171">
        <v>130</v>
      </c>
      <c r="F136" s="166">
        <v>646.88</v>
      </c>
      <c r="G136" s="166">
        <v>0</v>
      </c>
      <c r="H136" s="153">
        <v>84094.399999999994</v>
      </c>
      <c r="I136" s="153">
        <v>0</v>
      </c>
      <c r="J136" s="175" t="s">
        <v>2690</v>
      </c>
      <c r="K136" s="167" t="s">
        <v>2689</v>
      </c>
      <c r="L136" s="167" t="s">
        <v>2546</v>
      </c>
    </row>
    <row r="137" spans="1:12" s="22" customFormat="1" ht="25.5" customHeight="1" x14ac:dyDescent="0.25">
      <c r="A137" s="148" t="s">
        <v>2685</v>
      </c>
      <c r="B137" s="25" t="s">
        <v>2555</v>
      </c>
      <c r="C137" s="150" t="s">
        <v>2556</v>
      </c>
      <c r="D137" s="25" t="s">
        <v>2276</v>
      </c>
      <c r="E137" s="171">
        <v>2000</v>
      </c>
      <c r="F137" s="166">
        <v>3437.5</v>
      </c>
      <c r="G137" s="166">
        <v>0</v>
      </c>
      <c r="H137" s="153">
        <v>6875000</v>
      </c>
      <c r="I137" s="153">
        <v>0</v>
      </c>
      <c r="J137" s="175" t="s">
        <v>2690</v>
      </c>
      <c r="K137" s="167" t="s">
        <v>2689</v>
      </c>
      <c r="L137" s="167" t="s">
        <v>2546</v>
      </c>
    </row>
    <row r="138" spans="1:12" s="22" customFormat="1" ht="25.5" customHeight="1" x14ac:dyDescent="0.25">
      <c r="A138" s="148" t="s">
        <v>2685</v>
      </c>
      <c r="B138" s="25"/>
      <c r="C138" s="145" t="s">
        <v>2557</v>
      </c>
      <c r="D138" s="25"/>
      <c r="E138" s="171"/>
      <c r="F138" s="166"/>
      <c r="G138" s="166"/>
      <c r="H138" s="166"/>
      <c r="I138" s="166"/>
      <c r="J138" s="175" t="s">
        <v>2690</v>
      </c>
      <c r="K138" s="167" t="s">
        <v>2689</v>
      </c>
    </row>
    <row r="139" spans="1:12" s="22" customFormat="1" ht="25.5" customHeight="1" x14ac:dyDescent="0.25">
      <c r="A139" s="148" t="s">
        <v>2685</v>
      </c>
      <c r="B139" s="25" t="s">
        <v>2558</v>
      </c>
      <c r="C139" s="150" t="s">
        <v>2559</v>
      </c>
      <c r="D139" s="25" t="s">
        <v>2241</v>
      </c>
      <c r="E139" s="171">
        <v>36000</v>
      </c>
      <c r="F139" s="166">
        <v>25000</v>
      </c>
      <c r="G139" s="166">
        <v>0</v>
      </c>
      <c r="H139" s="153">
        <v>900000000</v>
      </c>
      <c r="I139" s="153">
        <v>0</v>
      </c>
      <c r="J139" s="175" t="s">
        <v>2690</v>
      </c>
      <c r="K139" s="167" t="s">
        <v>2689</v>
      </c>
      <c r="L139" s="145" t="s">
        <v>2557</v>
      </c>
    </row>
    <row r="140" spans="1:12" s="22" customFormat="1" ht="25.5" customHeight="1" x14ac:dyDescent="0.25">
      <c r="A140" s="148" t="s">
        <v>2685</v>
      </c>
      <c r="B140" s="25" t="s">
        <v>2560</v>
      </c>
      <c r="C140" s="150" t="s">
        <v>2561</v>
      </c>
      <c r="D140" s="25" t="s">
        <v>2241</v>
      </c>
      <c r="E140" s="171">
        <v>60</v>
      </c>
      <c r="F140" s="166">
        <v>68750</v>
      </c>
      <c r="G140" s="166">
        <v>0</v>
      </c>
      <c r="H140" s="153">
        <v>4125000</v>
      </c>
      <c r="I140" s="153">
        <v>0</v>
      </c>
      <c r="J140" s="175" t="s">
        <v>2690</v>
      </c>
      <c r="K140" s="167" t="s">
        <v>2689</v>
      </c>
      <c r="L140" s="145" t="s">
        <v>2557</v>
      </c>
    </row>
    <row r="141" spans="1:12" s="22" customFormat="1" ht="25.5" customHeight="1" x14ac:dyDescent="0.25">
      <c r="A141" s="148" t="s">
        <v>2685</v>
      </c>
      <c r="B141" s="25" t="s">
        <v>2562</v>
      </c>
      <c r="C141" s="150" t="s">
        <v>2563</v>
      </c>
      <c r="D141" s="25" t="s">
        <v>2241</v>
      </c>
      <c r="E141" s="171">
        <v>32</v>
      </c>
      <c r="F141" s="166">
        <v>81250</v>
      </c>
      <c r="G141" s="166">
        <v>0</v>
      </c>
      <c r="H141" s="153">
        <v>2600000</v>
      </c>
      <c r="I141" s="153">
        <v>0</v>
      </c>
      <c r="J141" s="175" t="s">
        <v>2690</v>
      </c>
      <c r="K141" s="167" t="s">
        <v>2689</v>
      </c>
      <c r="L141" s="145" t="s">
        <v>2557</v>
      </c>
    </row>
    <row r="142" spans="1:12" s="22" customFormat="1" ht="25.5" customHeight="1" x14ac:dyDescent="0.25">
      <c r="A142" s="148" t="s">
        <v>2685</v>
      </c>
      <c r="B142" s="25" t="s">
        <v>2564</v>
      </c>
      <c r="C142" s="150" t="s">
        <v>2565</v>
      </c>
      <c r="D142" s="25" t="s">
        <v>2241</v>
      </c>
      <c r="E142" s="171">
        <v>32</v>
      </c>
      <c r="F142" s="166">
        <v>91250</v>
      </c>
      <c r="G142" s="166">
        <v>0</v>
      </c>
      <c r="H142" s="153">
        <v>2920000</v>
      </c>
      <c r="I142" s="153">
        <v>0</v>
      </c>
      <c r="J142" s="175" t="s">
        <v>2690</v>
      </c>
      <c r="K142" s="167" t="s">
        <v>2689</v>
      </c>
      <c r="L142" s="145" t="s">
        <v>2557</v>
      </c>
    </row>
    <row r="143" spans="1:12" s="22" customFormat="1" ht="25.5" customHeight="1" x14ac:dyDescent="0.25">
      <c r="A143" s="148" t="s">
        <v>2685</v>
      </c>
      <c r="B143" s="25"/>
      <c r="C143" s="145" t="s">
        <v>2566</v>
      </c>
      <c r="D143" s="25"/>
      <c r="E143" s="171"/>
      <c r="F143" s="166"/>
      <c r="G143" s="166"/>
      <c r="H143" s="166"/>
      <c r="I143" s="166"/>
      <c r="J143" s="175" t="s">
        <v>2690</v>
      </c>
      <c r="K143" s="167" t="s">
        <v>2689</v>
      </c>
    </row>
    <row r="144" spans="1:12" s="22" customFormat="1" ht="25.5" customHeight="1" x14ac:dyDescent="0.25">
      <c r="A144" s="148" t="s">
        <v>2685</v>
      </c>
      <c r="B144" s="25" t="s">
        <v>2567</v>
      </c>
      <c r="C144" s="150" t="s">
        <v>2568</v>
      </c>
      <c r="D144" s="25" t="s">
        <v>2241</v>
      </c>
      <c r="E144" s="171">
        <v>1562</v>
      </c>
      <c r="F144" s="166">
        <v>312.5</v>
      </c>
      <c r="G144" s="166">
        <v>0</v>
      </c>
      <c r="H144" s="153">
        <v>488125</v>
      </c>
      <c r="I144" s="153">
        <v>0</v>
      </c>
      <c r="J144" s="175" t="s">
        <v>2690</v>
      </c>
      <c r="K144" s="167" t="s">
        <v>2689</v>
      </c>
      <c r="L144" s="145" t="s">
        <v>2566</v>
      </c>
    </row>
    <row r="145" spans="1:12" s="22" customFormat="1" ht="25.5" customHeight="1" x14ac:dyDescent="0.25">
      <c r="A145" s="148" t="s">
        <v>2685</v>
      </c>
      <c r="B145" s="25" t="s">
        <v>2569</v>
      </c>
      <c r="C145" s="150" t="s">
        <v>2315</v>
      </c>
      <c r="D145" s="25" t="s">
        <v>2241</v>
      </c>
      <c r="E145" s="171">
        <v>24000</v>
      </c>
      <c r="F145" s="166">
        <v>750</v>
      </c>
      <c r="G145" s="166">
        <v>0</v>
      </c>
      <c r="H145" s="153">
        <v>18000000</v>
      </c>
      <c r="I145" s="153">
        <v>0</v>
      </c>
      <c r="J145" s="175" t="s">
        <v>2690</v>
      </c>
      <c r="K145" s="167" t="s">
        <v>2689</v>
      </c>
      <c r="L145" s="145" t="s">
        <v>2566</v>
      </c>
    </row>
    <row r="146" spans="1:12" s="22" customFormat="1" ht="25.5" customHeight="1" x14ac:dyDescent="0.25">
      <c r="A146" s="148" t="s">
        <v>2685</v>
      </c>
      <c r="B146" s="25" t="s">
        <v>2570</v>
      </c>
      <c r="C146" s="150" t="s">
        <v>2317</v>
      </c>
      <c r="D146" s="25" t="s">
        <v>2241</v>
      </c>
      <c r="E146" s="171">
        <v>842</v>
      </c>
      <c r="F146" s="166">
        <v>687.5</v>
      </c>
      <c r="G146" s="166">
        <v>0</v>
      </c>
      <c r="H146" s="153">
        <v>578875</v>
      </c>
      <c r="I146" s="153">
        <v>0</v>
      </c>
      <c r="J146" s="175" t="s">
        <v>2690</v>
      </c>
      <c r="K146" s="167" t="s">
        <v>2689</v>
      </c>
      <c r="L146" s="145" t="s">
        <v>2566</v>
      </c>
    </row>
    <row r="147" spans="1:12" s="22" customFormat="1" ht="25.5" customHeight="1" x14ac:dyDescent="0.25">
      <c r="A147" s="148" t="s">
        <v>2685</v>
      </c>
      <c r="B147" s="25" t="s">
        <v>2571</v>
      </c>
      <c r="C147" s="150" t="s">
        <v>2321</v>
      </c>
      <c r="D147" s="25" t="s">
        <v>2241</v>
      </c>
      <c r="E147" s="171">
        <v>30000</v>
      </c>
      <c r="F147" s="166">
        <v>56.6</v>
      </c>
      <c r="G147" s="166">
        <v>0</v>
      </c>
      <c r="H147" s="153">
        <v>1698000</v>
      </c>
      <c r="I147" s="153">
        <v>0</v>
      </c>
      <c r="J147" s="175" t="s">
        <v>2690</v>
      </c>
      <c r="K147" s="167" t="s">
        <v>2689</v>
      </c>
      <c r="L147" s="145" t="s">
        <v>2566</v>
      </c>
    </row>
    <row r="148" spans="1:12" s="22" customFormat="1" ht="25.5" customHeight="1" x14ac:dyDescent="0.25">
      <c r="A148" s="148" t="s">
        <v>2685</v>
      </c>
      <c r="B148" s="25"/>
      <c r="C148" s="145" t="s">
        <v>2572</v>
      </c>
      <c r="D148" s="25"/>
      <c r="E148" s="171"/>
      <c r="F148" s="166"/>
      <c r="G148" s="166"/>
      <c r="H148" s="166"/>
      <c r="I148" s="166"/>
      <c r="J148" s="175" t="s">
        <v>2690</v>
      </c>
      <c r="K148" s="167" t="s">
        <v>2689</v>
      </c>
    </row>
    <row r="149" spans="1:12" s="22" customFormat="1" ht="25.5" customHeight="1" x14ac:dyDescent="0.25">
      <c r="A149" s="148" t="s">
        <v>2685</v>
      </c>
      <c r="B149" s="25" t="s">
        <v>2573</v>
      </c>
      <c r="C149" s="150" t="s">
        <v>2340</v>
      </c>
      <c r="D149" s="25" t="s">
        <v>2241</v>
      </c>
      <c r="E149" s="171">
        <v>1452</v>
      </c>
      <c r="F149" s="166">
        <v>23.3</v>
      </c>
      <c r="G149" s="166">
        <v>0</v>
      </c>
      <c r="H149" s="153">
        <v>33831.599999999999</v>
      </c>
      <c r="I149" s="153">
        <v>0</v>
      </c>
      <c r="J149" s="175" t="s">
        <v>2690</v>
      </c>
      <c r="K149" s="167" t="s">
        <v>2689</v>
      </c>
      <c r="L149" s="145" t="s">
        <v>2572</v>
      </c>
    </row>
    <row r="150" spans="1:12" s="22" customFormat="1" ht="25.5" customHeight="1" x14ac:dyDescent="0.25">
      <c r="A150" s="148" t="s">
        <v>2685</v>
      </c>
      <c r="B150" s="25" t="s">
        <v>2574</v>
      </c>
      <c r="C150" s="150" t="s">
        <v>2342</v>
      </c>
      <c r="D150" s="25" t="s">
        <v>2241</v>
      </c>
      <c r="E150" s="171">
        <v>1872</v>
      </c>
      <c r="F150" s="166">
        <v>36.6</v>
      </c>
      <c r="G150" s="166">
        <v>0</v>
      </c>
      <c r="H150" s="153">
        <v>68515.199999999997</v>
      </c>
      <c r="I150" s="153">
        <v>0</v>
      </c>
      <c r="J150" s="175" t="s">
        <v>2690</v>
      </c>
      <c r="K150" s="167" t="s">
        <v>2689</v>
      </c>
      <c r="L150" s="145" t="s">
        <v>2572</v>
      </c>
    </row>
    <row r="151" spans="1:12" s="22" customFormat="1" ht="25.5" customHeight="1" x14ac:dyDescent="0.25">
      <c r="A151" s="148" t="s">
        <v>2685</v>
      </c>
      <c r="B151" s="172" t="s">
        <v>2575</v>
      </c>
      <c r="C151" s="150" t="s">
        <v>2344</v>
      </c>
      <c r="D151" s="25" t="s">
        <v>2241</v>
      </c>
      <c r="E151" s="171">
        <v>634</v>
      </c>
      <c r="F151" s="166">
        <v>108.6</v>
      </c>
      <c r="G151" s="166">
        <v>0</v>
      </c>
      <c r="H151" s="153">
        <v>68852.399999999994</v>
      </c>
      <c r="I151" s="153">
        <v>0</v>
      </c>
      <c r="J151" s="175" t="s">
        <v>2690</v>
      </c>
      <c r="K151" s="167" t="s">
        <v>2689</v>
      </c>
      <c r="L151" s="145" t="s">
        <v>2572</v>
      </c>
    </row>
    <row r="152" spans="1:12" s="22" customFormat="1" ht="25.5" customHeight="1" x14ac:dyDescent="0.25">
      <c r="A152" s="148" t="s">
        <v>2685</v>
      </c>
      <c r="B152" s="25"/>
      <c r="C152" s="145" t="s">
        <v>2576</v>
      </c>
      <c r="D152" s="25"/>
      <c r="E152" s="171"/>
      <c r="F152" s="166"/>
      <c r="G152" s="166"/>
      <c r="H152" s="166"/>
      <c r="I152" s="166"/>
      <c r="J152" s="175" t="s">
        <v>2690</v>
      </c>
      <c r="K152" s="167" t="s">
        <v>2689</v>
      </c>
    </row>
    <row r="153" spans="1:12" s="22" customFormat="1" ht="25.5" customHeight="1" x14ac:dyDescent="0.25">
      <c r="A153" s="148" t="s">
        <v>2685</v>
      </c>
      <c r="B153" s="25" t="s">
        <v>2577</v>
      </c>
      <c r="C153" s="150" t="s">
        <v>2347</v>
      </c>
      <c r="D153" s="25" t="s">
        <v>2241</v>
      </c>
      <c r="E153" s="171">
        <v>752</v>
      </c>
      <c r="F153" s="166">
        <v>116.9</v>
      </c>
      <c r="G153" s="166">
        <v>0</v>
      </c>
      <c r="H153" s="153">
        <v>87908.800000000003</v>
      </c>
      <c r="I153" s="153">
        <v>0</v>
      </c>
      <c r="J153" s="175" t="s">
        <v>2690</v>
      </c>
      <c r="K153" s="167" t="s">
        <v>2689</v>
      </c>
      <c r="L153" s="145" t="s">
        <v>2576</v>
      </c>
    </row>
    <row r="154" spans="1:12" s="22" customFormat="1" ht="25.5" customHeight="1" x14ac:dyDescent="0.25">
      <c r="A154" s="148" t="s">
        <v>2685</v>
      </c>
      <c r="B154" s="25" t="s">
        <v>2578</v>
      </c>
      <c r="C154" s="150" t="s">
        <v>2349</v>
      </c>
      <c r="D154" s="25" t="s">
        <v>2241</v>
      </c>
      <c r="E154" s="171">
        <v>12908</v>
      </c>
      <c r="F154" s="166">
        <v>137</v>
      </c>
      <c r="G154" s="166">
        <v>0</v>
      </c>
      <c r="H154" s="153">
        <v>1768396</v>
      </c>
      <c r="I154" s="153">
        <v>0</v>
      </c>
      <c r="J154" s="175" t="s">
        <v>2690</v>
      </c>
      <c r="K154" s="167" t="s">
        <v>2689</v>
      </c>
      <c r="L154" s="145" t="s">
        <v>2576</v>
      </c>
    </row>
    <row r="155" spans="1:12" s="22" customFormat="1" ht="25.5" customHeight="1" x14ac:dyDescent="0.25">
      <c r="A155" s="148" t="s">
        <v>2685</v>
      </c>
      <c r="B155" s="25" t="s">
        <v>2579</v>
      </c>
      <c r="C155" s="150" t="s">
        <v>2351</v>
      </c>
      <c r="D155" s="25" t="s">
        <v>2241</v>
      </c>
      <c r="E155" s="171">
        <v>7114</v>
      </c>
      <c r="F155" s="166">
        <v>350</v>
      </c>
      <c r="G155" s="166">
        <v>0</v>
      </c>
      <c r="H155" s="153">
        <v>2489900</v>
      </c>
      <c r="I155" s="153">
        <v>0</v>
      </c>
      <c r="J155" s="175" t="s">
        <v>2690</v>
      </c>
      <c r="K155" s="167" t="s">
        <v>2689</v>
      </c>
      <c r="L155" s="145" t="s">
        <v>2576</v>
      </c>
    </row>
    <row r="156" spans="1:12" s="22" customFormat="1" ht="25.5" customHeight="1" x14ac:dyDescent="0.25">
      <c r="A156" s="148" t="s">
        <v>2685</v>
      </c>
      <c r="B156" s="25" t="s">
        <v>2580</v>
      </c>
      <c r="C156" s="150" t="s">
        <v>2353</v>
      </c>
      <c r="D156" s="25" t="s">
        <v>2241</v>
      </c>
      <c r="E156" s="171">
        <v>2362</v>
      </c>
      <c r="F156" s="166">
        <v>337.5</v>
      </c>
      <c r="G156" s="166">
        <v>0</v>
      </c>
      <c r="H156" s="153">
        <v>797175</v>
      </c>
      <c r="I156" s="153">
        <v>0</v>
      </c>
      <c r="J156" s="175" t="s">
        <v>2690</v>
      </c>
      <c r="K156" s="167" t="s">
        <v>2689</v>
      </c>
      <c r="L156" s="145" t="s">
        <v>2576</v>
      </c>
    </row>
    <row r="157" spans="1:12" s="22" customFormat="1" ht="25.5" customHeight="1" x14ac:dyDescent="0.25">
      <c r="A157" s="148" t="s">
        <v>2685</v>
      </c>
      <c r="B157" s="25"/>
      <c r="C157" s="145" t="s">
        <v>2581</v>
      </c>
      <c r="D157" s="25"/>
      <c r="E157" s="171"/>
      <c r="F157" s="166"/>
      <c r="G157" s="166"/>
      <c r="H157" s="166"/>
      <c r="I157" s="166"/>
      <c r="J157" s="175" t="s">
        <v>2690</v>
      </c>
      <c r="K157" s="167" t="s">
        <v>2689</v>
      </c>
    </row>
    <row r="158" spans="1:12" s="22" customFormat="1" ht="25.5" customHeight="1" x14ac:dyDescent="0.25">
      <c r="A158" s="148" t="s">
        <v>2685</v>
      </c>
      <c r="B158" s="25" t="s">
        <v>2582</v>
      </c>
      <c r="C158" s="150" t="s">
        <v>2356</v>
      </c>
      <c r="D158" s="25" t="s">
        <v>2241</v>
      </c>
      <c r="E158" s="171">
        <v>66</v>
      </c>
      <c r="F158" s="166">
        <v>187.5</v>
      </c>
      <c r="G158" s="166">
        <v>0</v>
      </c>
      <c r="H158" s="153">
        <v>12375</v>
      </c>
      <c r="I158" s="153">
        <v>0</v>
      </c>
      <c r="J158" s="175" t="s">
        <v>2690</v>
      </c>
      <c r="K158" s="167" t="s">
        <v>2689</v>
      </c>
      <c r="L158" s="145" t="s">
        <v>2581</v>
      </c>
    </row>
    <row r="159" spans="1:12" s="22" customFormat="1" ht="25.5" customHeight="1" x14ac:dyDescent="0.25">
      <c r="A159" s="148" t="s">
        <v>2685</v>
      </c>
      <c r="B159" s="25" t="s">
        <v>2583</v>
      </c>
      <c r="C159" s="150" t="s">
        <v>2358</v>
      </c>
      <c r="D159" s="25" t="s">
        <v>2241</v>
      </c>
      <c r="E159" s="171">
        <v>76</v>
      </c>
      <c r="F159" s="166">
        <v>225</v>
      </c>
      <c r="G159" s="166">
        <v>0</v>
      </c>
      <c r="H159" s="153">
        <v>17100</v>
      </c>
      <c r="I159" s="153">
        <v>0</v>
      </c>
      <c r="J159" s="175" t="s">
        <v>2690</v>
      </c>
      <c r="K159" s="167" t="s">
        <v>2689</v>
      </c>
      <c r="L159" s="145" t="s">
        <v>2581</v>
      </c>
    </row>
    <row r="160" spans="1:12" s="22" customFormat="1" ht="25.5" customHeight="1" x14ac:dyDescent="0.25">
      <c r="A160" s="148" t="s">
        <v>2685</v>
      </c>
      <c r="B160" s="25"/>
      <c r="C160" s="145" t="s">
        <v>2359</v>
      </c>
      <c r="D160" s="25"/>
      <c r="E160" s="171"/>
      <c r="F160" s="166"/>
      <c r="G160" s="166"/>
      <c r="H160" s="166"/>
      <c r="I160" s="166"/>
      <c r="J160" s="175" t="s">
        <v>2690</v>
      </c>
      <c r="K160" s="167" t="s">
        <v>2689</v>
      </c>
    </row>
    <row r="161" spans="1:12" s="22" customFormat="1" ht="25.5" customHeight="1" x14ac:dyDescent="0.25">
      <c r="A161" s="148" t="s">
        <v>2685</v>
      </c>
      <c r="B161" s="172" t="s">
        <v>2584</v>
      </c>
      <c r="C161" s="150" t="s">
        <v>2361</v>
      </c>
      <c r="D161" s="25" t="s">
        <v>2241</v>
      </c>
      <c r="E161" s="171">
        <v>2000</v>
      </c>
      <c r="F161" s="166">
        <v>21.1</v>
      </c>
      <c r="G161" s="166">
        <v>0</v>
      </c>
      <c r="H161" s="153">
        <v>42200</v>
      </c>
      <c r="I161" s="153">
        <v>0</v>
      </c>
      <c r="J161" s="175" t="s">
        <v>2690</v>
      </c>
      <c r="K161" s="167" t="s">
        <v>2689</v>
      </c>
      <c r="L161" s="145" t="s">
        <v>2359</v>
      </c>
    </row>
    <row r="162" spans="1:12" s="22" customFormat="1" ht="25.5" customHeight="1" x14ac:dyDescent="0.25">
      <c r="A162" s="148" t="s">
        <v>2685</v>
      </c>
      <c r="B162" s="25" t="s">
        <v>2585</v>
      </c>
      <c r="C162" s="150" t="s">
        <v>2363</v>
      </c>
      <c r="D162" s="25" t="s">
        <v>2241</v>
      </c>
      <c r="E162" s="171">
        <v>7882</v>
      </c>
      <c r="F162" s="166">
        <v>137.5</v>
      </c>
      <c r="G162" s="166">
        <v>0</v>
      </c>
      <c r="H162" s="153">
        <v>1083775</v>
      </c>
      <c r="I162" s="153">
        <v>0</v>
      </c>
      <c r="J162" s="175" t="s">
        <v>2690</v>
      </c>
      <c r="K162" s="167" t="s">
        <v>2689</v>
      </c>
      <c r="L162" s="145" t="s">
        <v>2359</v>
      </c>
    </row>
    <row r="163" spans="1:12" s="22" customFormat="1" ht="25.5" customHeight="1" x14ac:dyDescent="0.25">
      <c r="A163" s="148" t="s">
        <v>2685</v>
      </c>
      <c r="B163" s="25" t="s">
        <v>2586</v>
      </c>
      <c r="C163" s="150" t="s">
        <v>2365</v>
      </c>
      <c r="D163" s="25" t="s">
        <v>2241</v>
      </c>
      <c r="E163" s="171">
        <v>1584</v>
      </c>
      <c r="F163" s="166">
        <v>56.9</v>
      </c>
      <c r="G163" s="166">
        <v>0</v>
      </c>
      <c r="H163" s="153">
        <v>90129.599999999991</v>
      </c>
      <c r="I163" s="153">
        <v>0</v>
      </c>
      <c r="J163" s="175" t="s">
        <v>2690</v>
      </c>
      <c r="K163" s="167" t="s">
        <v>2689</v>
      </c>
      <c r="L163" s="145" t="s">
        <v>2359</v>
      </c>
    </row>
    <row r="164" spans="1:12" s="22" customFormat="1" ht="25.5" customHeight="1" x14ac:dyDescent="0.25">
      <c r="A164" s="148" t="s">
        <v>2685</v>
      </c>
      <c r="B164" s="25" t="s">
        <v>2587</v>
      </c>
      <c r="C164" s="150" t="s">
        <v>2374</v>
      </c>
      <c r="D164" s="25" t="s">
        <v>2241</v>
      </c>
      <c r="E164" s="171">
        <v>5398</v>
      </c>
      <c r="F164" s="166">
        <v>83.3</v>
      </c>
      <c r="G164" s="166">
        <v>0</v>
      </c>
      <c r="H164" s="153">
        <v>449653.39999999997</v>
      </c>
      <c r="I164" s="153">
        <v>0</v>
      </c>
      <c r="J164" s="175" t="s">
        <v>2690</v>
      </c>
      <c r="K164" s="167" t="s">
        <v>2689</v>
      </c>
      <c r="L164" s="145" t="s">
        <v>2359</v>
      </c>
    </row>
    <row r="165" spans="1:12" s="22" customFormat="1" ht="25.5" customHeight="1" x14ac:dyDescent="0.25">
      <c r="A165" s="148" t="s">
        <v>2685</v>
      </c>
      <c r="B165" s="25" t="s">
        <v>2588</v>
      </c>
      <c r="C165" s="150" t="s">
        <v>2376</v>
      </c>
      <c r="D165" s="25" t="s">
        <v>2241</v>
      </c>
      <c r="E165" s="171">
        <v>88</v>
      </c>
      <c r="F165" s="166">
        <v>13125</v>
      </c>
      <c r="G165" s="166">
        <v>0</v>
      </c>
      <c r="H165" s="153">
        <v>1155000</v>
      </c>
      <c r="I165" s="153">
        <v>0</v>
      </c>
      <c r="J165" s="175" t="s">
        <v>2690</v>
      </c>
      <c r="K165" s="167" t="s">
        <v>2689</v>
      </c>
      <c r="L165" s="145" t="s">
        <v>2359</v>
      </c>
    </row>
    <row r="166" spans="1:12" s="22" customFormat="1" ht="25.5" customHeight="1" x14ac:dyDescent="0.25">
      <c r="A166" s="148" t="s">
        <v>2685</v>
      </c>
      <c r="B166" s="25" t="s">
        <v>2589</v>
      </c>
      <c r="C166" s="150" t="s">
        <v>2378</v>
      </c>
      <c r="D166" s="25" t="s">
        <v>2241</v>
      </c>
      <c r="E166" s="171">
        <v>76</v>
      </c>
      <c r="F166" s="166">
        <v>0</v>
      </c>
      <c r="G166" s="166">
        <v>156.19999999999999</v>
      </c>
      <c r="H166" s="153">
        <v>0</v>
      </c>
      <c r="I166" s="153">
        <v>11871.199999999999</v>
      </c>
      <c r="J166" s="175" t="s">
        <v>2690</v>
      </c>
      <c r="K166" s="167" t="s">
        <v>2689</v>
      </c>
      <c r="L166" s="145" t="s">
        <v>2359</v>
      </c>
    </row>
    <row r="167" spans="1:12" s="22" customFormat="1" ht="25.5" customHeight="1" x14ac:dyDescent="0.25">
      <c r="A167" s="148" t="s">
        <v>2685</v>
      </c>
      <c r="B167" s="25" t="s">
        <v>2590</v>
      </c>
      <c r="C167" s="150" t="s">
        <v>2380</v>
      </c>
      <c r="D167" s="25" t="s">
        <v>2241</v>
      </c>
      <c r="E167" s="171">
        <v>96</v>
      </c>
      <c r="F167" s="166">
        <v>8933.2999999999993</v>
      </c>
      <c r="G167" s="166">
        <v>0</v>
      </c>
      <c r="H167" s="153">
        <v>857596.79999999993</v>
      </c>
      <c r="I167" s="153">
        <v>0</v>
      </c>
      <c r="J167" s="175" t="s">
        <v>2690</v>
      </c>
      <c r="K167" s="167" t="s">
        <v>2689</v>
      </c>
      <c r="L167" s="145" t="s">
        <v>2359</v>
      </c>
    </row>
    <row r="168" spans="1:12" s="22" customFormat="1" ht="25.5" customHeight="1" x14ac:dyDescent="0.25">
      <c r="A168" s="148" t="s">
        <v>2685</v>
      </c>
      <c r="B168" s="25" t="s">
        <v>2591</v>
      </c>
      <c r="C168" s="150" t="s">
        <v>2382</v>
      </c>
      <c r="D168" s="25" t="s">
        <v>2241</v>
      </c>
      <c r="E168" s="171">
        <v>2968</v>
      </c>
      <c r="F168" s="166">
        <v>1791.6</v>
      </c>
      <c r="G168" s="166">
        <v>0</v>
      </c>
      <c r="H168" s="153">
        <v>5317468.8</v>
      </c>
      <c r="I168" s="153">
        <v>0</v>
      </c>
      <c r="J168" s="175" t="s">
        <v>2690</v>
      </c>
      <c r="K168" s="167" t="s">
        <v>2689</v>
      </c>
      <c r="L168" s="145" t="s">
        <v>2359</v>
      </c>
    </row>
    <row r="169" spans="1:12" s="22" customFormat="1" ht="25.5" customHeight="1" x14ac:dyDescent="0.25">
      <c r="A169" s="148" t="s">
        <v>2685</v>
      </c>
      <c r="B169" s="25" t="s">
        <v>2592</v>
      </c>
      <c r="C169" s="150" t="s">
        <v>2384</v>
      </c>
      <c r="D169" s="25" t="s">
        <v>2241</v>
      </c>
      <c r="E169" s="171">
        <v>90</v>
      </c>
      <c r="F169" s="166">
        <v>1000</v>
      </c>
      <c r="G169" s="166">
        <v>0</v>
      </c>
      <c r="H169" s="153">
        <v>90000</v>
      </c>
      <c r="I169" s="153">
        <v>0</v>
      </c>
      <c r="J169" s="175" t="s">
        <v>2690</v>
      </c>
      <c r="K169" s="167" t="s">
        <v>2689</v>
      </c>
      <c r="L169" s="145" t="s">
        <v>2359</v>
      </c>
    </row>
    <row r="170" spans="1:12" s="22" customFormat="1" ht="25.5" customHeight="1" x14ac:dyDescent="0.25">
      <c r="A170" s="148" t="s">
        <v>2685</v>
      </c>
      <c r="B170" s="25" t="s">
        <v>2593</v>
      </c>
      <c r="C170" s="150" t="s">
        <v>2388</v>
      </c>
      <c r="D170" s="25" t="s">
        <v>2241</v>
      </c>
      <c r="E170" s="171">
        <v>210</v>
      </c>
      <c r="F170" s="166">
        <v>2083.3000000000002</v>
      </c>
      <c r="G170" s="166">
        <v>0</v>
      </c>
      <c r="H170" s="153">
        <v>437493.00000000006</v>
      </c>
      <c r="I170" s="153">
        <v>0</v>
      </c>
      <c r="J170" s="175" t="s">
        <v>2690</v>
      </c>
      <c r="K170" s="167" t="s">
        <v>2689</v>
      </c>
      <c r="L170" s="145" t="s">
        <v>2359</v>
      </c>
    </row>
    <row r="171" spans="1:12" s="22" customFormat="1" ht="25.5" customHeight="1" x14ac:dyDescent="0.25">
      <c r="A171" s="148" t="s">
        <v>2685</v>
      </c>
      <c r="B171" s="25" t="s">
        <v>2594</v>
      </c>
      <c r="C171" s="150" t="s">
        <v>2390</v>
      </c>
      <c r="D171" s="25" t="s">
        <v>2241</v>
      </c>
      <c r="E171" s="171">
        <v>1536</v>
      </c>
      <c r="F171" s="166">
        <v>166.6</v>
      </c>
      <c r="G171" s="166">
        <v>0</v>
      </c>
      <c r="H171" s="153">
        <v>255897.59999999998</v>
      </c>
      <c r="I171" s="153">
        <v>0</v>
      </c>
      <c r="J171" s="175" t="s">
        <v>2690</v>
      </c>
      <c r="K171" s="167" t="s">
        <v>2689</v>
      </c>
      <c r="L171" s="145" t="s">
        <v>2359</v>
      </c>
    </row>
    <row r="172" spans="1:12" s="22" customFormat="1" ht="25.5" customHeight="1" x14ac:dyDescent="0.25">
      <c r="A172" s="148" t="s">
        <v>2685</v>
      </c>
      <c r="B172" s="25" t="s">
        <v>2595</v>
      </c>
      <c r="C172" s="150" t="s">
        <v>2596</v>
      </c>
      <c r="D172" s="25" t="s">
        <v>2241</v>
      </c>
      <c r="E172" s="171">
        <v>70</v>
      </c>
      <c r="F172" s="166">
        <v>16838.7</v>
      </c>
      <c r="G172" s="166">
        <v>0</v>
      </c>
      <c r="H172" s="153">
        <v>1178709</v>
      </c>
      <c r="I172" s="153">
        <v>0</v>
      </c>
      <c r="J172" s="175" t="s">
        <v>2690</v>
      </c>
      <c r="K172" s="167" t="s">
        <v>2689</v>
      </c>
      <c r="L172" s="145" t="s">
        <v>2359</v>
      </c>
    </row>
    <row r="173" spans="1:12" s="22" customFormat="1" ht="25.5" customHeight="1" x14ac:dyDescent="0.25">
      <c r="A173" s="148" t="s">
        <v>2685</v>
      </c>
      <c r="B173" s="25" t="s">
        <v>2597</v>
      </c>
      <c r="C173" s="150" t="s">
        <v>2392</v>
      </c>
      <c r="D173" s="25" t="s">
        <v>2241</v>
      </c>
      <c r="E173" s="171">
        <v>96</v>
      </c>
      <c r="F173" s="166">
        <v>250</v>
      </c>
      <c r="G173" s="166">
        <v>0</v>
      </c>
      <c r="H173" s="153">
        <v>24000</v>
      </c>
      <c r="I173" s="153">
        <v>0</v>
      </c>
      <c r="J173" s="175" t="s">
        <v>2690</v>
      </c>
      <c r="K173" s="167" t="s">
        <v>2689</v>
      </c>
      <c r="L173" s="145" t="s">
        <v>2359</v>
      </c>
    </row>
    <row r="174" spans="1:12" s="22" customFormat="1" ht="25.5" customHeight="1" x14ac:dyDescent="0.25">
      <c r="A174" s="148" t="s">
        <v>2685</v>
      </c>
      <c r="B174" s="25" t="s">
        <v>2598</v>
      </c>
      <c r="C174" s="150" t="s">
        <v>2394</v>
      </c>
      <c r="D174" s="25" t="s">
        <v>2241</v>
      </c>
      <c r="E174" s="171">
        <v>96</v>
      </c>
      <c r="F174" s="166">
        <v>500</v>
      </c>
      <c r="G174" s="166">
        <v>0</v>
      </c>
      <c r="H174" s="153">
        <v>48000</v>
      </c>
      <c r="I174" s="153">
        <v>0</v>
      </c>
      <c r="J174" s="175" t="s">
        <v>2690</v>
      </c>
      <c r="K174" s="167" t="s">
        <v>2689</v>
      </c>
      <c r="L174" s="145" t="s">
        <v>2359</v>
      </c>
    </row>
    <row r="175" spans="1:12" s="22" customFormat="1" ht="25.5" customHeight="1" x14ac:dyDescent="0.25">
      <c r="A175" s="148" t="s">
        <v>2685</v>
      </c>
      <c r="B175" s="172" t="s">
        <v>2599</v>
      </c>
      <c r="C175" s="150" t="s">
        <v>2400</v>
      </c>
      <c r="D175" s="25" t="s">
        <v>2241</v>
      </c>
      <c r="E175" s="171">
        <v>96</v>
      </c>
      <c r="F175" s="166">
        <v>625</v>
      </c>
      <c r="G175" s="166">
        <v>0</v>
      </c>
      <c r="H175" s="153">
        <v>60000</v>
      </c>
      <c r="I175" s="153">
        <v>0</v>
      </c>
      <c r="J175" s="175" t="s">
        <v>2690</v>
      </c>
      <c r="K175" s="167" t="s">
        <v>2689</v>
      </c>
      <c r="L175" s="145" t="s">
        <v>2359</v>
      </c>
    </row>
    <row r="176" spans="1:12" s="22" customFormat="1" ht="25.5" customHeight="1" x14ac:dyDescent="0.25">
      <c r="A176" s="148" t="s">
        <v>2685</v>
      </c>
      <c r="B176" s="173" t="s">
        <v>2600</v>
      </c>
      <c r="C176" s="150" t="s">
        <v>2601</v>
      </c>
      <c r="D176" s="25" t="s">
        <v>2241</v>
      </c>
      <c r="E176" s="171">
        <v>96</v>
      </c>
      <c r="F176" s="166">
        <v>145.80000000000001</v>
      </c>
      <c r="G176" s="166">
        <v>0</v>
      </c>
      <c r="H176" s="153">
        <v>13996.800000000001</v>
      </c>
      <c r="I176" s="153">
        <v>0</v>
      </c>
      <c r="J176" s="175" t="s">
        <v>2690</v>
      </c>
      <c r="K176" s="167" t="s">
        <v>2689</v>
      </c>
      <c r="L176" s="145" t="s">
        <v>2359</v>
      </c>
    </row>
    <row r="177" spans="1:12" s="22" customFormat="1" ht="25.5" customHeight="1" x14ac:dyDescent="0.25">
      <c r="A177" s="148" t="s">
        <v>2685</v>
      </c>
      <c r="B177" s="25" t="s">
        <v>2602</v>
      </c>
      <c r="C177" s="150" t="s">
        <v>2404</v>
      </c>
      <c r="D177" s="25" t="s">
        <v>2241</v>
      </c>
      <c r="E177" s="171">
        <v>100</v>
      </c>
      <c r="F177" s="166">
        <v>0</v>
      </c>
      <c r="G177" s="166">
        <v>35</v>
      </c>
      <c r="H177" s="153">
        <v>0</v>
      </c>
      <c r="I177" s="153">
        <v>3500</v>
      </c>
      <c r="J177" s="175" t="s">
        <v>2690</v>
      </c>
      <c r="K177" s="167" t="s">
        <v>2689</v>
      </c>
      <c r="L177" s="145" t="s">
        <v>2359</v>
      </c>
    </row>
    <row r="178" spans="1:12" s="22" customFormat="1" ht="25.5" customHeight="1" x14ac:dyDescent="0.25">
      <c r="A178" s="148" t="s">
        <v>2685</v>
      </c>
      <c r="B178" s="173" t="s">
        <v>2603</v>
      </c>
      <c r="C178" s="150" t="s">
        <v>2406</v>
      </c>
      <c r="D178" s="25" t="s">
        <v>2241</v>
      </c>
      <c r="E178" s="171">
        <v>96</v>
      </c>
      <c r="F178" s="166">
        <v>625</v>
      </c>
      <c r="G178" s="166">
        <v>0</v>
      </c>
      <c r="H178" s="153">
        <v>60000</v>
      </c>
      <c r="I178" s="153">
        <v>0</v>
      </c>
      <c r="J178" s="175" t="s">
        <v>2690</v>
      </c>
      <c r="K178" s="167" t="s">
        <v>2689</v>
      </c>
      <c r="L178" s="145" t="s">
        <v>2359</v>
      </c>
    </row>
    <row r="179" spans="1:12" s="22" customFormat="1" ht="25.5" customHeight="1" x14ac:dyDescent="0.25">
      <c r="A179" s="148" t="s">
        <v>2685</v>
      </c>
      <c r="B179" s="173" t="s">
        <v>2604</v>
      </c>
      <c r="C179" s="150" t="s">
        <v>2605</v>
      </c>
      <c r="D179" s="25" t="s">
        <v>2241</v>
      </c>
      <c r="E179" s="171">
        <v>110</v>
      </c>
      <c r="F179" s="166">
        <v>625</v>
      </c>
      <c r="G179" s="166">
        <v>0</v>
      </c>
      <c r="H179" s="153">
        <v>68750</v>
      </c>
      <c r="I179" s="153">
        <v>0</v>
      </c>
      <c r="J179" s="175" t="s">
        <v>2690</v>
      </c>
      <c r="K179" s="167" t="s">
        <v>2689</v>
      </c>
      <c r="L179" s="145" t="s">
        <v>2359</v>
      </c>
    </row>
    <row r="180" spans="1:12" s="22" customFormat="1" ht="25.5" customHeight="1" x14ac:dyDescent="0.25">
      <c r="A180" s="148" t="s">
        <v>2685</v>
      </c>
      <c r="B180" s="173" t="s">
        <v>2606</v>
      </c>
      <c r="C180" s="152" t="s">
        <v>2607</v>
      </c>
      <c r="D180" s="174" t="s">
        <v>2241</v>
      </c>
      <c r="E180" s="127">
        <v>110</v>
      </c>
      <c r="F180" s="128">
        <v>250</v>
      </c>
      <c r="G180" s="128">
        <v>0</v>
      </c>
      <c r="H180" s="153">
        <v>27500</v>
      </c>
      <c r="I180" s="153">
        <v>0</v>
      </c>
      <c r="J180" s="175" t="s">
        <v>2690</v>
      </c>
      <c r="K180" s="167" t="s">
        <v>2689</v>
      </c>
      <c r="L180" s="145" t="s">
        <v>2359</v>
      </c>
    </row>
    <row r="181" spans="1:12" ht="25.5" customHeight="1" x14ac:dyDescent="0.2">
      <c r="A181" s="148" t="s">
        <v>2685</v>
      </c>
      <c r="B181" s="173" t="s">
        <v>2608</v>
      </c>
      <c r="C181" s="152" t="s">
        <v>2412</v>
      </c>
      <c r="D181" s="25" t="s">
        <v>2241</v>
      </c>
      <c r="E181" s="127">
        <v>110</v>
      </c>
      <c r="F181" s="166">
        <v>333.3</v>
      </c>
      <c r="G181" s="166">
        <v>0</v>
      </c>
      <c r="H181" s="153">
        <v>36663</v>
      </c>
      <c r="I181" s="153">
        <v>0</v>
      </c>
      <c r="J181" s="175" t="s">
        <v>2690</v>
      </c>
      <c r="K181" s="167" t="s">
        <v>2689</v>
      </c>
      <c r="L181" s="145" t="s">
        <v>2359</v>
      </c>
    </row>
    <row r="182" spans="1:12" ht="25.5" customHeight="1" x14ac:dyDescent="0.2">
      <c r="A182" s="148" t="s">
        <v>2685</v>
      </c>
      <c r="B182" s="173" t="s">
        <v>2609</v>
      </c>
      <c r="C182" s="152" t="s">
        <v>2420</v>
      </c>
      <c r="D182" s="25" t="s">
        <v>2241</v>
      </c>
      <c r="E182" s="127">
        <v>110</v>
      </c>
      <c r="F182" s="166">
        <v>62.5</v>
      </c>
      <c r="G182" s="166">
        <v>0</v>
      </c>
      <c r="H182" s="153">
        <v>6875</v>
      </c>
      <c r="I182" s="153">
        <v>0</v>
      </c>
      <c r="J182" s="175" t="s">
        <v>2690</v>
      </c>
      <c r="K182" s="167" t="s">
        <v>2689</v>
      </c>
      <c r="L182" s="145" t="s">
        <v>2359</v>
      </c>
    </row>
    <row r="183" spans="1:12" ht="25.5" customHeight="1" x14ac:dyDescent="0.2">
      <c r="A183" s="148" t="s">
        <v>2685</v>
      </c>
      <c r="B183" s="173"/>
      <c r="C183" s="167" t="s">
        <v>2458</v>
      </c>
      <c r="D183" s="25"/>
      <c r="E183" s="127"/>
      <c r="F183" s="166"/>
      <c r="G183" s="166"/>
      <c r="H183" s="128"/>
      <c r="I183" s="128"/>
      <c r="J183" s="175" t="s">
        <v>2690</v>
      </c>
      <c r="K183" s="167" t="s">
        <v>2689</v>
      </c>
    </row>
    <row r="184" spans="1:12" ht="25.5" customHeight="1" x14ac:dyDescent="0.2">
      <c r="A184" s="148" t="s">
        <v>2685</v>
      </c>
      <c r="B184" s="173" t="s">
        <v>2610</v>
      </c>
      <c r="C184" s="152" t="s">
        <v>2460</v>
      </c>
      <c r="D184" s="25" t="s">
        <v>2241</v>
      </c>
      <c r="E184" s="127">
        <v>130</v>
      </c>
      <c r="F184" s="166">
        <v>855.5</v>
      </c>
      <c r="G184" s="166">
        <v>0</v>
      </c>
      <c r="H184" s="153">
        <v>111215</v>
      </c>
      <c r="I184" s="153">
        <v>0</v>
      </c>
      <c r="J184" s="175" t="s">
        <v>2690</v>
      </c>
      <c r="K184" s="167" t="s">
        <v>2689</v>
      </c>
      <c r="L184" s="167" t="s">
        <v>2458</v>
      </c>
    </row>
    <row r="185" spans="1:12" ht="25.5" customHeight="1" x14ac:dyDescent="0.2">
      <c r="A185" s="148" t="s">
        <v>2685</v>
      </c>
      <c r="B185" s="173" t="s">
        <v>2611</v>
      </c>
      <c r="C185" s="152" t="s">
        <v>2462</v>
      </c>
      <c r="D185" s="25" t="s">
        <v>2241</v>
      </c>
      <c r="E185" s="127">
        <v>176</v>
      </c>
      <c r="F185" s="166">
        <v>1776.2</v>
      </c>
      <c r="G185" s="166">
        <v>0</v>
      </c>
      <c r="H185" s="153">
        <v>312611.20000000001</v>
      </c>
      <c r="I185" s="153">
        <v>0</v>
      </c>
      <c r="J185" s="175" t="s">
        <v>2690</v>
      </c>
      <c r="K185" s="167" t="s">
        <v>2689</v>
      </c>
      <c r="L185" s="167" t="s">
        <v>2458</v>
      </c>
    </row>
    <row r="186" spans="1:12" ht="25.5" customHeight="1" x14ac:dyDescent="0.2">
      <c r="A186" s="148" t="s">
        <v>2685</v>
      </c>
      <c r="B186" s="173" t="s">
        <v>2612</v>
      </c>
      <c r="C186" s="152" t="s">
        <v>2464</v>
      </c>
      <c r="D186" s="25" t="s">
        <v>2241</v>
      </c>
      <c r="E186" s="127">
        <v>110</v>
      </c>
      <c r="F186" s="166">
        <v>3125</v>
      </c>
      <c r="G186" s="166">
        <v>0</v>
      </c>
      <c r="H186" s="153">
        <v>343750</v>
      </c>
      <c r="I186" s="153">
        <v>0</v>
      </c>
      <c r="J186" s="175" t="s">
        <v>2690</v>
      </c>
      <c r="K186" s="167" t="s">
        <v>2689</v>
      </c>
      <c r="L186" s="167" t="s">
        <v>2458</v>
      </c>
    </row>
    <row r="187" spans="1:12" ht="25.5" customHeight="1" x14ac:dyDescent="0.2">
      <c r="A187" s="148" t="s">
        <v>2685</v>
      </c>
      <c r="B187" s="173" t="s">
        <v>2613</v>
      </c>
      <c r="C187" s="152" t="s">
        <v>2466</v>
      </c>
      <c r="D187" s="25" t="s">
        <v>2241</v>
      </c>
      <c r="E187" s="127">
        <v>110</v>
      </c>
      <c r="F187" s="166">
        <v>375</v>
      </c>
      <c r="G187" s="166">
        <v>0</v>
      </c>
      <c r="H187" s="153">
        <v>41250</v>
      </c>
      <c r="I187" s="153">
        <v>0</v>
      </c>
      <c r="J187" s="175" t="s">
        <v>2690</v>
      </c>
      <c r="K187" s="167" t="s">
        <v>2689</v>
      </c>
      <c r="L187" s="167" t="s">
        <v>2458</v>
      </c>
    </row>
    <row r="188" spans="1:12" ht="25.5" customHeight="1" x14ac:dyDescent="0.2">
      <c r="A188" s="148" t="s">
        <v>2685</v>
      </c>
      <c r="B188" s="173" t="s">
        <v>2614</v>
      </c>
      <c r="C188" s="152" t="s">
        <v>2468</v>
      </c>
      <c r="D188" s="25" t="s">
        <v>2241</v>
      </c>
      <c r="E188" s="127">
        <v>120</v>
      </c>
      <c r="F188" s="166">
        <v>287.5</v>
      </c>
      <c r="G188" s="166">
        <v>0</v>
      </c>
      <c r="H188" s="153">
        <v>34500</v>
      </c>
      <c r="I188" s="153">
        <v>0</v>
      </c>
      <c r="J188" s="175" t="s">
        <v>2690</v>
      </c>
      <c r="K188" s="167" t="s">
        <v>2689</v>
      </c>
      <c r="L188" s="167" t="s">
        <v>2458</v>
      </c>
    </row>
    <row r="189" spans="1:12" ht="25.5" customHeight="1" x14ac:dyDescent="0.2">
      <c r="A189" s="148" t="s">
        <v>2685</v>
      </c>
      <c r="B189" s="173" t="s">
        <v>2615</v>
      </c>
      <c r="C189" s="152" t="s">
        <v>2470</v>
      </c>
      <c r="D189" s="25" t="s">
        <v>2241</v>
      </c>
      <c r="E189" s="127">
        <v>130</v>
      </c>
      <c r="F189" s="166">
        <v>191.6</v>
      </c>
      <c r="G189" s="166">
        <v>0</v>
      </c>
      <c r="H189" s="153">
        <v>24908</v>
      </c>
      <c r="I189" s="153">
        <v>0</v>
      </c>
      <c r="J189" s="175" t="s">
        <v>2690</v>
      </c>
      <c r="K189" s="167" t="s">
        <v>2689</v>
      </c>
      <c r="L189" s="167" t="s">
        <v>2458</v>
      </c>
    </row>
    <row r="190" spans="1:12" ht="25.5" customHeight="1" x14ac:dyDescent="0.2">
      <c r="A190" s="148" t="s">
        <v>2685</v>
      </c>
      <c r="B190" s="173" t="s">
        <v>2616</v>
      </c>
      <c r="C190" s="152" t="s">
        <v>2472</v>
      </c>
      <c r="D190" s="25" t="s">
        <v>2241</v>
      </c>
      <c r="E190" s="127">
        <v>120</v>
      </c>
      <c r="F190" s="166">
        <v>375</v>
      </c>
      <c r="G190" s="166">
        <v>0</v>
      </c>
      <c r="H190" s="153">
        <v>45000</v>
      </c>
      <c r="I190" s="153">
        <v>0</v>
      </c>
      <c r="J190" s="175" t="s">
        <v>2690</v>
      </c>
      <c r="K190" s="167" t="s">
        <v>2689</v>
      </c>
      <c r="L190" s="167" t="s">
        <v>2458</v>
      </c>
    </row>
    <row r="191" spans="1:12" ht="25.5" customHeight="1" x14ac:dyDescent="0.2">
      <c r="A191" s="148" t="s">
        <v>2685</v>
      </c>
      <c r="B191" s="173" t="s">
        <v>2617</v>
      </c>
      <c r="C191" s="152" t="s">
        <v>2474</v>
      </c>
      <c r="D191" s="25" t="s">
        <v>2241</v>
      </c>
      <c r="E191" s="127">
        <v>110</v>
      </c>
      <c r="F191" s="166">
        <v>287.5</v>
      </c>
      <c r="G191" s="166">
        <v>0</v>
      </c>
      <c r="H191" s="153">
        <v>31625</v>
      </c>
      <c r="I191" s="153">
        <v>0</v>
      </c>
      <c r="J191" s="175" t="s">
        <v>2690</v>
      </c>
      <c r="K191" s="167" t="s">
        <v>2689</v>
      </c>
      <c r="L191" s="167" t="s">
        <v>2458</v>
      </c>
    </row>
    <row r="192" spans="1:12" ht="25.5" customHeight="1" x14ac:dyDescent="0.2">
      <c r="A192" s="148" t="s">
        <v>2685</v>
      </c>
      <c r="B192" s="173" t="s">
        <v>2618</v>
      </c>
      <c r="C192" s="152" t="s">
        <v>2476</v>
      </c>
      <c r="D192" s="25" t="s">
        <v>2241</v>
      </c>
      <c r="E192" s="127">
        <v>110</v>
      </c>
      <c r="F192" s="166">
        <v>375</v>
      </c>
      <c r="G192" s="166">
        <v>0</v>
      </c>
      <c r="H192" s="153">
        <v>41250</v>
      </c>
      <c r="I192" s="153">
        <v>0</v>
      </c>
      <c r="J192" s="175" t="s">
        <v>2690</v>
      </c>
      <c r="K192" s="167" t="s">
        <v>2689</v>
      </c>
      <c r="L192" s="167" t="s">
        <v>2458</v>
      </c>
    </row>
    <row r="193" spans="1:12" ht="25.5" customHeight="1" x14ac:dyDescent="0.2">
      <c r="A193" s="148" t="s">
        <v>2685</v>
      </c>
      <c r="B193" s="173"/>
      <c r="C193" s="167" t="s">
        <v>2479</v>
      </c>
      <c r="D193" s="25"/>
      <c r="E193" s="127"/>
      <c r="F193" s="166"/>
      <c r="G193" s="166"/>
      <c r="H193" s="128"/>
      <c r="I193" s="128"/>
      <c r="J193" s="175" t="s">
        <v>2690</v>
      </c>
      <c r="K193" s="167" t="s">
        <v>2689</v>
      </c>
    </row>
    <row r="194" spans="1:12" ht="25.5" customHeight="1" x14ac:dyDescent="0.2">
      <c r="A194" s="148" t="s">
        <v>2685</v>
      </c>
      <c r="B194" s="173" t="s">
        <v>2619</v>
      </c>
      <c r="C194" s="152" t="s">
        <v>2481</v>
      </c>
      <c r="D194" s="25" t="s">
        <v>2241</v>
      </c>
      <c r="E194" s="127">
        <v>120</v>
      </c>
      <c r="F194" s="166">
        <v>0</v>
      </c>
      <c r="G194" s="166">
        <v>5875</v>
      </c>
      <c r="H194" s="153">
        <v>0</v>
      </c>
      <c r="I194" s="153">
        <v>705000</v>
      </c>
      <c r="J194" s="175" t="s">
        <v>2690</v>
      </c>
      <c r="K194" s="167" t="s">
        <v>2689</v>
      </c>
      <c r="L194" s="167" t="s">
        <v>2479</v>
      </c>
    </row>
    <row r="195" spans="1:12" ht="25.5" customHeight="1" x14ac:dyDescent="0.2">
      <c r="A195" s="148" t="s">
        <v>2685</v>
      </c>
      <c r="B195" s="173" t="s">
        <v>2620</v>
      </c>
      <c r="C195" s="152" t="s">
        <v>2483</v>
      </c>
      <c r="D195" s="25" t="s">
        <v>2241</v>
      </c>
      <c r="E195" s="127">
        <v>130</v>
      </c>
      <c r="F195" s="166">
        <v>0</v>
      </c>
      <c r="G195" s="166">
        <v>5650</v>
      </c>
      <c r="H195" s="153">
        <v>0</v>
      </c>
      <c r="I195" s="153">
        <v>734500</v>
      </c>
      <c r="J195" s="175" t="s">
        <v>2690</v>
      </c>
      <c r="K195" s="167" t="s">
        <v>2689</v>
      </c>
      <c r="L195" s="167" t="s">
        <v>2479</v>
      </c>
    </row>
    <row r="196" spans="1:12" ht="25.5" customHeight="1" x14ac:dyDescent="0.2">
      <c r="A196" s="148" t="s">
        <v>2685</v>
      </c>
      <c r="B196" s="173" t="s">
        <v>2621</v>
      </c>
      <c r="C196" s="152" t="s">
        <v>2396</v>
      </c>
      <c r="D196" s="25" t="s">
        <v>2241</v>
      </c>
      <c r="E196" s="127">
        <v>120</v>
      </c>
      <c r="F196" s="166">
        <v>58.3</v>
      </c>
      <c r="G196" s="166">
        <v>0</v>
      </c>
      <c r="H196" s="153">
        <v>6996</v>
      </c>
      <c r="I196" s="153">
        <v>0</v>
      </c>
      <c r="J196" s="175" t="s">
        <v>2690</v>
      </c>
      <c r="K196" s="167" t="s">
        <v>2689</v>
      </c>
      <c r="L196" s="167" t="s">
        <v>2479</v>
      </c>
    </row>
    <row r="197" spans="1:12" ht="25.5" customHeight="1" x14ac:dyDescent="0.2">
      <c r="A197" s="148" t="s">
        <v>2685</v>
      </c>
      <c r="B197" s="173" t="s">
        <v>2622</v>
      </c>
      <c r="C197" s="152" t="s">
        <v>2398</v>
      </c>
      <c r="D197" s="25" t="s">
        <v>2241</v>
      </c>
      <c r="E197" s="127">
        <v>80</v>
      </c>
      <c r="F197" s="166">
        <v>500</v>
      </c>
      <c r="G197" s="166">
        <v>0</v>
      </c>
      <c r="H197" s="153">
        <v>40000</v>
      </c>
      <c r="I197" s="153">
        <v>0</v>
      </c>
      <c r="J197" s="175" t="s">
        <v>2690</v>
      </c>
      <c r="K197" s="167" t="s">
        <v>2689</v>
      </c>
      <c r="L197" s="167" t="s">
        <v>2479</v>
      </c>
    </row>
    <row r="198" spans="1:12" ht="25.5" customHeight="1" x14ac:dyDescent="0.2">
      <c r="A198" s="148" t="s">
        <v>2685</v>
      </c>
      <c r="B198" s="173" t="s">
        <v>2623</v>
      </c>
      <c r="C198" s="152" t="s">
        <v>2491</v>
      </c>
      <c r="D198" s="25" t="s">
        <v>2241</v>
      </c>
      <c r="E198" s="127">
        <v>110</v>
      </c>
      <c r="F198" s="166">
        <v>416.6</v>
      </c>
      <c r="G198" s="166">
        <v>0</v>
      </c>
      <c r="H198" s="153">
        <v>45826</v>
      </c>
      <c r="I198" s="153">
        <v>0</v>
      </c>
      <c r="J198" s="175" t="s">
        <v>2690</v>
      </c>
      <c r="K198" s="167" t="s">
        <v>2689</v>
      </c>
      <c r="L198" s="167" t="s">
        <v>2479</v>
      </c>
    </row>
    <row r="199" spans="1:12" ht="25.5" customHeight="1" x14ac:dyDescent="0.2">
      <c r="A199" s="148" t="s">
        <v>2685</v>
      </c>
      <c r="B199" s="173" t="s">
        <v>2624</v>
      </c>
      <c r="C199" s="152" t="s">
        <v>2493</v>
      </c>
      <c r="D199" s="25" t="s">
        <v>2241</v>
      </c>
      <c r="E199" s="127">
        <v>130</v>
      </c>
      <c r="F199" s="166">
        <v>6250</v>
      </c>
      <c r="G199" s="166">
        <v>0</v>
      </c>
      <c r="H199" s="153">
        <v>812500</v>
      </c>
      <c r="I199" s="153">
        <v>0</v>
      </c>
      <c r="J199" s="175" t="s">
        <v>2690</v>
      </c>
      <c r="K199" s="167" t="s">
        <v>2689</v>
      </c>
      <c r="L199" s="167" t="s">
        <v>2479</v>
      </c>
    </row>
    <row r="200" spans="1:12" ht="25.5" customHeight="1" x14ac:dyDescent="0.2">
      <c r="A200" s="148" t="s">
        <v>2685</v>
      </c>
      <c r="B200" s="173" t="s">
        <v>2625</v>
      </c>
      <c r="C200" s="152" t="s">
        <v>2495</v>
      </c>
      <c r="D200" s="25" t="s">
        <v>2241</v>
      </c>
      <c r="E200" s="127">
        <v>120</v>
      </c>
      <c r="F200" s="166">
        <v>208.3</v>
      </c>
      <c r="G200" s="166">
        <v>0</v>
      </c>
      <c r="H200" s="153">
        <v>24996</v>
      </c>
      <c r="I200" s="153">
        <v>0</v>
      </c>
      <c r="J200" s="175" t="s">
        <v>2690</v>
      </c>
      <c r="K200" s="167" t="s">
        <v>2689</v>
      </c>
      <c r="L200" s="167" t="s">
        <v>2479</v>
      </c>
    </row>
    <row r="201" spans="1:12" ht="25.5" customHeight="1" x14ac:dyDescent="0.2">
      <c r="A201" s="148" t="s">
        <v>2685</v>
      </c>
      <c r="B201" s="173" t="s">
        <v>2626</v>
      </c>
      <c r="C201" s="152" t="s">
        <v>2627</v>
      </c>
      <c r="D201" s="25" t="s">
        <v>2241</v>
      </c>
      <c r="E201" s="127">
        <v>320</v>
      </c>
      <c r="F201" s="166">
        <v>12960</v>
      </c>
      <c r="G201" s="166">
        <v>0</v>
      </c>
      <c r="H201" s="153">
        <v>4147200</v>
      </c>
      <c r="I201" s="153">
        <v>0</v>
      </c>
      <c r="J201" s="175" t="s">
        <v>2690</v>
      </c>
      <c r="K201" s="167" t="s">
        <v>2689</v>
      </c>
      <c r="L201" s="167" t="s">
        <v>2479</v>
      </c>
    </row>
    <row r="202" spans="1:12" ht="25.5" customHeight="1" x14ac:dyDescent="0.2">
      <c r="A202" s="148" t="s">
        <v>2685</v>
      </c>
      <c r="B202" s="173" t="s">
        <v>2628</v>
      </c>
      <c r="C202" s="152" t="s">
        <v>2629</v>
      </c>
      <c r="D202" s="25" t="s">
        <v>2241</v>
      </c>
      <c r="E202" s="127">
        <v>110</v>
      </c>
      <c r="F202" s="166">
        <v>33000</v>
      </c>
      <c r="G202" s="166">
        <v>0</v>
      </c>
      <c r="H202" s="153">
        <v>3630000</v>
      </c>
      <c r="I202" s="153">
        <v>0</v>
      </c>
      <c r="J202" s="175" t="s">
        <v>2690</v>
      </c>
      <c r="K202" s="167" t="s">
        <v>2689</v>
      </c>
      <c r="L202" s="167" t="s">
        <v>2479</v>
      </c>
    </row>
    <row r="203" spans="1:12" ht="25.5" customHeight="1" x14ac:dyDescent="0.2">
      <c r="A203" s="148" t="s">
        <v>2685</v>
      </c>
      <c r="B203" s="173" t="s">
        <v>2630</v>
      </c>
      <c r="C203" s="152" t="s">
        <v>2631</v>
      </c>
      <c r="D203" s="25" t="s">
        <v>2241</v>
      </c>
      <c r="E203" s="127">
        <v>120</v>
      </c>
      <c r="F203" s="166">
        <v>3666.6</v>
      </c>
      <c r="G203" s="166">
        <v>0</v>
      </c>
      <c r="H203" s="153">
        <v>439992</v>
      </c>
      <c r="I203" s="153">
        <v>0</v>
      </c>
      <c r="J203" s="175" t="s">
        <v>2690</v>
      </c>
      <c r="K203" s="167" t="s">
        <v>2689</v>
      </c>
      <c r="L203" s="167" t="s">
        <v>2479</v>
      </c>
    </row>
    <row r="204" spans="1:12" ht="25.5" customHeight="1" x14ac:dyDescent="0.2">
      <c r="A204" s="148" t="s">
        <v>2685</v>
      </c>
      <c r="B204" s="173" t="s">
        <v>2632</v>
      </c>
      <c r="C204" s="152" t="s">
        <v>2518</v>
      </c>
      <c r="D204" s="25" t="s">
        <v>2241</v>
      </c>
      <c r="E204" s="127">
        <v>130</v>
      </c>
      <c r="F204" s="166">
        <v>4125</v>
      </c>
      <c r="G204" s="166">
        <v>0</v>
      </c>
      <c r="H204" s="153">
        <v>536250</v>
      </c>
      <c r="I204" s="153">
        <v>0</v>
      </c>
      <c r="J204" s="175" t="s">
        <v>2690</v>
      </c>
      <c r="K204" s="167" t="s">
        <v>2689</v>
      </c>
      <c r="L204" s="167" t="s">
        <v>2479</v>
      </c>
    </row>
    <row r="205" spans="1:12" ht="25.5" customHeight="1" x14ac:dyDescent="0.2">
      <c r="A205" s="148" t="s">
        <v>2685</v>
      </c>
      <c r="B205" s="173" t="s">
        <v>2633</v>
      </c>
      <c r="C205" s="152" t="s">
        <v>2634</v>
      </c>
      <c r="D205" s="25" t="s">
        <v>2241</v>
      </c>
      <c r="E205" s="127">
        <v>100</v>
      </c>
      <c r="F205" s="166">
        <v>1625</v>
      </c>
      <c r="G205" s="166">
        <v>0</v>
      </c>
      <c r="H205" s="153">
        <v>162500</v>
      </c>
      <c r="I205" s="153">
        <v>0</v>
      </c>
      <c r="J205" s="175" t="s">
        <v>2690</v>
      </c>
      <c r="K205" s="167" t="s">
        <v>2689</v>
      </c>
      <c r="L205" s="167" t="s">
        <v>2479</v>
      </c>
    </row>
    <row r="206" spans="1:12" ht="25.5" customHeight="1" x14ac:dyDescent="0.2">
      <c r="A206" s="148" t="s">
        <v>2685</v>
      </c>
      <c r="B206" s="173" t="s">
        <v>2635</v>
      </c>
      <c r="C206" s="152" t="s">
        <v>2636</v>
      </c>
      <c r="D206" s="25" t="s">
        <v>2241</v>
      </c>
      <c r="E206" s="127">
        <v>442</v>
      </c>
      <c r="F206" s="166">
        <v>2280</v>
      </c>
      <c r="G206" s="166">
        <v>0</v>
      </c>
      <c r="H206" s="153">
        <v>1007760</v>
      </c>
      <c r="I206" s="153">
        <v>0</v>
      </c>
      <c r="J206" s="175" t="s">
        <v>2690</v>
      </c>
      <c r="K206" s="167" t="s">
        <v>2689</v>
      </c>
      <c r="L206" s="167" t="s">
        <v>2479</v>
      </c>
    </row>
    <row r="207" spans="1:12" ht="25.5" customHeight="1" x14ac:dyDescent="0.2">
      <c r="A207" s="148" t="s">
        <v>2685</v>
      </c>
      <c r="B207" s="173" t="s">
        <v>2637</v>
      </c>
      <c r="C207" s="152" t="s">
        <v>2638</v>
      </c>
      <c r="D207" s="25" t="s">
        <v>2241</v>
      </c>
      <c r="E207" s="127">
        <v>394</v>
      </c>
      <c r="F207" s="166">
        <v>2775</v>
      </c>
      <c r="G207" s="166">
        <v>0</v>
      </c>
      <c r="H207" s="153">
        <v>1093350</v>
      </c>
      <c r="I207" s="153">
        <v>0</v>
      </c>
      <c r="J207" s="175" t="s">
        <v>2690</v>
      </c>
      <c r="K207" s="167" t="s">
        <v>2689</v>
      </c>
      <c r="L207" s="167" t="s">
        <v>2479</v>
      </c>
    </row>
    <row r="208" spans="1:12" ht="25.5" customHeight="1" x14ac:dyDescent="0.2">
      <c r="A208" s="148" t="s">
        <v>2685</v>
      </c>
      <c r="B208" s="173" t="s">
        <v>2639</v>
      </c>
      <c r="C208" s="152" t="s">
        <v>2640</v>
      </c>
      <c r="D208" s="25" t="s">
        <v>2241</v>
      </c>
      <c r="E208" s="127">
        <v>120</v>
      </c>
      <c r="F208" s="166">
        <v>2025</v>
      </c>
      <c r="G208" s="166">
        <v>0</v>
      </c>
      <c r="H208" s="153">
        <v>243000</v>
      </c>
      <c r="I208" s="153">
        <v>0</v>
      </c>
      <c r="J208" s="175" t="s">
        <v>2690</v>
      </c>
      <c r="K208" s="167" t="s">
        <v>2689</v>
      </c>
      <c r="L208" s="167" t="s">
        <v>2479</v>
      </c>
    </row>
    <row r="209" spans="1:12" ht="25.5" customHeight="1" x14ac:dyDescent="0.2">
      <c r="A209" s="148" t="s">
        <v>2685</v>
      </c>
      <c r="B209" s="173" t="s">
        <v>2641</v>
      </c>
      <c r="C209" s="152" t="s">
        <v>2642</v>
      </c>
      <c r="D209" s="25" t="s">
        <v>2241</v>
      </c>
      <c r="E209" s="127">
        <v>110</v>
      </c>
      <c r="F209" s="166">
        <v>375</v>
      </c>
      <c r="G209" s="166">
        <v>0</v>
      </c>
      <c r="H209" s="153">
        <v>41250</v>
      </c>
      <c r="I209" s="153">
        <v>0</v>
      </c>
      <c r="J209" s="175" t="s">
        <v>2690</v>
      </c>
      <c r="K209" s="167" t="s">
        <v>2689</v>
      </c>
      <c r="L209" s="167" t="s">
        <v>2479</v>
      </c>
    </row>
    <row r="210" spans="1:12" ht="25.5" customHeight="1" x14ac:dyDescent="0.2">
      <c r="A210" s="148" t="s">
        <v>2685</v>
      </c>
      <c r="B210" s="173" t="s">
        <v>2643</v>
      </c>
      <c r="C210" s="152" t="s">
        <v>2644</v>
      </c>
      <c r="D210" s="25" t="s">
        <v>2276</v>
      </c>
      <c r="E210" s="127">
        <v>12784</v>
      </c>
      <c r="F210" s="166">
        <v>0</v>
      </c>
      <c r="G210" s="166">
        <v>54.16</v>
      </c>
      <c r="H210" s="153">
        <v>0</v>
      </c>
      <c r="I210" s="153">
        <v>692381.44</v>
      </c>
      <c r="J210" s="175" t="s">
        <v>2690</v>
      </c>
      <c r="K210" s="167" t="s">
        <v>2689</v>
      </c>
      <c r="L210" s="167" t="s">
        <v>2479</v>
      </c>
    </row>
    <row r="211" spans="1:12" ht="25.5" customHeight="1" x14ac:dyDescent="0.2">
      <c r="A211" s="148" t="s">
        <v>2685</v>
      </c>
      <c r="B211" s="173" t="s">
        <v>2645</v>
      </c>
      <c r="C211" s="152" t="s">
        <v>2646</v>
      </c>
      <c r="D211" s="25" t="s">
        <v>2276</v>
      </c>
      <c r="E211" s="127">
        <v>1584</v>
      </c>
      <c r="F211" s="166">
        <v>1875</v>
      </c>
      <c r="G211" s="166">
        <v>0</v>
      </c>
      <c r="H211" s="153">
        <v>2970000</v>
      </c>
      <c r="I211" s="153">
        <v>0</v>
      </c>
      <c r="J211" s="175" t="s">
        <v>2690</v>
      </c>
      <c r="K211" s="167" t="s">
        <v>2689</v>
      </c>
      <c r="L211" s="167" t="s">
        <v>2479</v>
      </c>
    </row>
    <row r="212" spans="1:12" ht="25.5" customHeight="1" x14ac:dyDescent="0.2">
      <c r="A212" s="148" t="s">
        <v>2685</v>
      </c>
      <c r="B212" s="173" t="s">
        <v>2647</v>
      </c>
      <c r="C212" s="152" t="s">
        <v>2648</v>
      </c>
      <c r="D212" s="25" t="s">
        <v>2276</v>
      </c>
      <c r="E212" s="127">
        <v>600</v>
      </c>
      <c r="F212" s="166">
        <v>625</v>
      </c>
      <c r="G212" s="166">
        <v>0</v>
      </c>
      <c r="H212" s="153">
        <v>375000</v>
      </c>
      <c r="I212" s="153">
        <v>0</v>
      </c>
      <c r="J212" s="175" t="s">
        <v>2690</v>
      </c>
      <c r="K212" s="167" t="s">
        <v>2689</v>
      </c>
      <c r="L212" s="167" t="s">
        <v>2479</v>
      </c>
    </row>
    <row r="213" spans="1:12" ht="25.5" customHeight="1" x14ac:dyDescent="0.2">
      <c r="A213" s="148" t="s">
        <v>2685</v>
      </c>
      <c r="B213" s="173" t="s">
        <v>2649</v>
      </c>
      <c r="C213" s="152" t="s">
        <v>2650</v>
      </c>
      <c r="D213" s="25" t="s">
        <v>2276</v>
      </c>
      <c r="E213" s="127">
        <v>3036</v>
      </c>
      <c r="F213" s="166">
        <v>83.34</v>
      </c>
      <c r="G213" s="166">
        <v>0</v>
      </c>
      <c r="H213" s="153">
        <v>253020.24000000002</v>
      </c>
      <c r="I213" s="153">
        <v>0</v>
      </c>
      <c r="J213" s="175" t="s">
        <v>2690</v>
      </c>
      <c r="K213" s="167" t="s">
        <v>2689</v>
      </c>
      <c r="L213" s="167" t="s">
        <v>2479</v>
      </c>
    </row>
    <row r="214" spans="1:12" ht="25.5" customHeight="1" x14ac:dyDescent="0.2">
      <c r="A214" s="148" t="s">
        <v>2685</v>
      </c>
      <c r="B214" s="173" t="s">
        <v>2651</v>
      </c>
      <c r="C214" s="152" t="s">
        <v>2652</v>
      </c>
      <c r="D214" s="25" t="s">
        <v>2276</v>
      </c>
      <c r="E214" s="127">
        <v>10904</v>
      </c>
      <c r="F214" s="166">
        <v>31.25</v>
      </c>
      <c r="G214" s="166">
        <v>0</v>
      </c>
      <c r="H214" s="153">
        <v>340750</v>
      </c>
      <c r="I214" s="153">
        <v>0</v>
      </c>
      <c r="J214" s="175" t="s">
        <v>2690</v>
      </c>
      <c r="K214" s="167" t="s">
        <v>2689</v>
      </c>
      <c r="L214" s="167" t="s">
        <v>2479</v>
      </c>
    </row>
    <row r="215" spans="1:12" ht="25.5" customHeight="1" x14ac:dyDescent="0.2">
      <c r="A215" s="148" t="s">
        <v>2685</v>
      </c>
      <c r="B215" s="173" t="s">
        <v>2653</v>
      </c>
      <c r="C215" s="152" t="s">
        <v>2654</v>
      </c>
      <c r="D215" s="25" t="s">
        <v>2241</v>
      </c>
      <c r="E215" s="127">
        <v>116</v>
      </c>
      <c r="F215" s="166">
        <v>1875</v>
      </c>
      <c r="G215" s="166">
        <v>0</v>
      </c>
      <c r="H215" s="153">
        <v>217500</v>
      </c>
      <c r="I215" s="153">
        <v>0</v>
      </c>
      <c r="J215" s="175" t="s">
        <v>2690</v>
      </c>
      <c r="K215" s="167" t="s">
        <v>2689</v>
      </c>
      <c r="L215" s="167" t="s">
        <v>2479</v>
      </c>
    </row>
    <row r="216" spans="1:12" ht="25.5" customHeight="1" x14ac:dyDescent="0.2">
      <c r="A216" s="148" t="s">
        <v>2685</v>
      </c>
      <c r="B216" s="173" t="s">
        <v>2655</v>
      </c>
      <c r="C216" s="152" t="s">
        <v>2656</v>
      </c>
      <c r="D216" s="25" t="s">
        <v>2276</v>
      </c>
      <c r="E216" s="127">
        <v>5048</v>
      </c>
      <c r="F216" s="166">
        <v>62.5</v>
      </c>
      <c r="G216" s="166">
        <v>0</v>
      </c>
      <c r="H216" s="153">
        <v>315500</v>
      </c>
      <c r="I216" s="153">
        <v>0</v>
      </c>
      <c r="J216" s="175" t="s">
        <v>2690</v>
      </c>
      <c r="K216" s="167" t="s">
        <v>2689</v>
      </c>
      <c r="L216" s="167" t="s">
        <v>2479</v>
      </c>
    </row>
    <row r="217" spans="1:12" ht="18" customHeight="1" x14ac:dyDescent="0.2">
      <c r="B217" s="77"/>
      <c r="C217" s="77"/>
      <c r="D217" s="77"/>
      <c r="E217" s="77"/>
      <c r="F217" s="77"/>
      <c r="G217" s="77" t="s">
        <v>26</v>
      </c>
      <c r="H217" s="78">
        <v>1443133988.4400001</v>
      </c>
      <c r="I217" s="78">
        <v>40570968.840000004</v>
      </c>
    </row>
    <row r="218" spans="1:12" ht="18" customHeight="1" x14ac:dyDescent="0.2">
      <c r="F218" s="55"/>
      <c r="G218" s="55"/>
    </row>
    <row r="219" spans="1:12" ht="18" customHeight="1" x14ac:dyDescent="0.2">
      <c r="B219" s="1" t="s">
        <v>28</v>
      </c>
      <c r="F219" s="24"/>
      <c r="G219" s="24"/>
      <c r="H219" s="47"/>
      <c r="I219" s="47"/>
    </row>
    <row r="220" spans="1:12" ht="18" customHeight="1" x14ac:dyDescent="0.2">
      <c r="B220" s="75"/>
    </row>
    <row r="223" spans="1:12" ht="18" customHeight="1" x14ac:dyDescent="0.2">
      <c r="G223" s="38"/>
      <c r="H223" s="37" t="s">
        <v>29</v>
      </c>
      <c r="I223" s="36"/>
    </row>
    <row r="224" spans="1:12" ht="18" customHeight="1" x14ac:dyDescent="0.2">
      <c r="G224" s="69" t="s">
        <v>30</v>
      </c>
      <c r="H224" s="70"/>
      <c r="I224" s="70"/>
    </row>
    <row r="225" spans="8:9" ht="18" customHeight="1" x14ac:dyDescent="0.2">
      <c r="H225" s="26" t="s">
        <v>31</v>
      </c>
      <c r="I225" s="25"/>
    </row>
  </sheetData>
  <printOptions horizontalCentered="1"/>
  <pageMargins left="0.23622047244094491" right="0.23622047244094491" top="0.55118110236220474" bottom="0.55118110236220474" header="0.31496062992125984" footer="0.31496062992125984"/>
  <pageSetup paperSize="123" scale="75" orientation="landscape" r:id="rId1"/>
  <headerFooter>
    <oddFooter>&amp;C&amp;9&amp;P  de  &amp;N</oddFoot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DFE5B-5F9E-4AC1-892B-763E655B5152}">
  <sheetPr>
    <tabColor theme="8" tint="-0.499984740745262"/>
  </sheetPr>
  <dimension ref="A1:L24"/>
  <sheetViews>
    <sheetView zoomScaleNormal="100" workbookViewId="0">
      <selection activeCell="L5" sqref="L5"/>
    </sheetView>
  </sheetViews>
  <sheetFormatPr baseColWidth="10" defaultColWidth="11.42578125" defaultRowHeight="18" customHeight="1" x14ac:dyDescent="0.2"/>
  <cols>
    <col min="1" max="1" width="11.85546875" style="1" customWidth="1"/>
    <col min="2" max="2" width="11.42578125" style="1"/>
    <col min="3" max="3" width="50.7109375" style="2" customWidth="1"/>
    <col min="4" max="4" width="14.7109375" style="1" customWidth="1"/>
    <col min="5" max="5" width="24.140625" style="1" customWidth="1"/>
    <col min="6" max="9" width="14.7109375" style="1" customWidth="1"/>
    <col min="10" max="10" width="11.140625" style="1" customWidth="1"/>
    <col min="11" max="16384" width="11.42578125" style="1"/>
  </cols>
  <sheetData>
    <row r="1" spans="1:12" ht="21.75" customHeight="1" x14ac:dyDescent="0.2">
      <c r="B1" s="16" t="s">
        <v>0</v>
      </c>
      <c r="C1" s="12"/>
      <c r="D1" s="16"/>
      <c r="E1" s="16"/>
      <c r="F1" s="16"/>
      <c r="G1" s="16"/>
      <c r="H1" s="16"/>
      <c r="I1" s="16"/>
    </row>
    <row r="2" spans="1:12" ht="20.100000000000001" customHeight="1" x14ac:dyDescent="0.2">
      <c r="B2" s="12" t="s">
        <v>1</v>
      </c>
      <c r="C2" s="12"/>
      <c r="D2" s="12"/>
      <c r="E2" s="12"/>
      <c r="F2" s="12"/>
      <c r="G2" s="12"/>
      <c r="H2" s="12"/>
      <c r="I2" s="12"/>
    </row>
    <row r="3" spans="1:12" ht="27" x14ac:dyDescent="0.2">
      <c r="B3" s="16" t="s">
        <v>2</v>
      </c>
      <c r="C3" s="12"/>
      <c r="D3" s="12"/>
      <c r="E3" s="12"/>
      <c r="F3" s="12"/>
      <c r="G3" s="12"/>
      <c r="H3" s="12"/>
      <c r="I3" s="12"/>
    </row>
    <row r="4" spans="1:12" s="22" customFormat="1" ht="10.15" customHeight="1" x14ac:dyDescent="0.25">
      <c r="C4" s="15"/>
      <c r="J4" s="30"/>
    </row>
    <row r="5" spans="1:12" s="22" customFormat="1" ht="36" customHeight="1" x14ac:dyDescent="0.25">
      <c r="B5" s="29" t="s">
        <v>2657</v>
      </c>
      <c r="C5" s="31"/>
      <c r="D5" s="31"/>
      <c r="E5" s="31"/>
      <c r="F5" s="31"/>
      <c r="G5" s="31"/>
      <c r="H5" s="31"/>
      <c r="I5" s="31"/>
      <c r="J5" s="30"/>
    </row>
    <row r="6" spans="1:12" s="22" customFormat="1" ht="15" customHeight="1" x14ac:dyDescent="0.25">
      <c r="A6" s="155" t="s">
        <v>2677</v>
      </c>
      <c r="B6" s="156" t="s">
        <v>2673</v>
      </c>
      <c r="C6" s="156" t="s">
        <v>2674</v>
      </c>
      <c r="D6" s="156" t="s">
        <v>33</v>
      </c>
      <c r="E6" s="157" t="s">
        <v>34</v>
      </c>
      <c r="F6" s="155" t="s">
        <v>2675</v>
      </c>
      <c r="G6" s="155" t="s">
        <v>2676</v>
      </c>
      <c r="H6" s="155" t="s">
        <v>10</v>
      </c>
      <c r="I6" s="155" t="s">
        <v>11</v>
      </c>
      <c r="J6" s="155" t="s">
        <v>2679</v>
      </c>
      <c r="K6" s="155" t="s">
        <v>2680</v>
      </c>
      <c r="L6" s="155" t="s">
        <v>2681</v>
      </c>
    </row>
    <row r="7" spans="1:12" s="22" customFormat="1" ht="13.5" x14ac:dyDescent="0.25">
      <c r="A7" s="22" t="s">
        <v>2658</v>
      </c>
      <c r="B7" s="155" t="s">
        <v>2658</v>
      </c>
      <c r="C7" s="159" t="s">
        <v>2659</v>
      </c>
      <c r="D7" s="160"/>
      <c r="E7" s="176"/>
      <c r="F7" s="129"/>
      <c r="G7" s="129"/>
      <c r="H7" s="153"/>
      <c r="I7" s="153"/>
    </row>
    <row r="8" spans="1:12" s="22" customFormat="1" ht="81" x14ac:dyDescent="0.25">
      <c r="A8" s="22" t="s">
        <v>2658</v>
      </c>
      <c r="B8" s="160" t="s">
        <v>2314</v>
      </c>
      <c r="C8" s="158" t="s">
        <v>2315</v>
      </c>
      <c r="D8" s="160" t="s">
        <v>2241</v>
      </c>
      <c r="E8" s="176">
        <v>1</v>
      </c>
      <c r="F8" s="166">
        <v>1125</v>
      </c>
      <c r="G8" s="166">
        <v>0</v>
      </c>
      <c r="H8" s="153">
        <v>1125</v>
      </c>
      <c r="I8" s="153">
        <v>0</v>
      </c>
      <c r="J8" s="159" t="s">
        <v>2659</v>
      </c>
      <c r="K8" s="22" t="s">
        <v>2688</v>
      </c>
      <c r="L8" s="175" t="s">
        <v>2693</v>
      </c>
    </row>
    <row r="9" spans="1:12" s="22" customFormat="1" ht="81" x14ac:dyDescent="0.25">
      <c r="A9" s="22" t="s">
        <v>2658</v>
      </c>
      <c r="B9" s="160" t="s">
        <v>2320</v>
      </c>
      <c r="C9" s="158" t="s">
        <v>2321</v>
      </c>
      <c r="D9" s="160" t="s">
        <v>2241</v>
      </c>
      <c r="E9" s="176">
        <v>1</v>
      </c>
      <c r="F9" s="129">
        <v>84.9</v>
      </c>
      <c r="G9" s="129">
        <v>0</v>
      </c>
      <c r="H9" s="153">
        <v>84.9</v>
      </c>
      <c r="I9" s="153">
        <v>0</v>
      </c>
      <c r="J9" s="159" t="s">
        <v>2659</v>
      </c>
      <c r="K9" s="22" t="s">
        <v>2688</v>
      </c>
      <c r="L9" s="175" t="s">
        <v>2693</v>
      </c>
    </row>
    <row r="10" spans="1:12" s="22" customFormat="1" ht="81" x14ac:dyDescent="0.25">
      <c r="A10" s="22" t="s">
        <v>2658</v>
      </c>
      <c r="B10" s="160" t="s">
        <v>2326</v>
      </c>
      <c r="C10" s="158" t="s">
        <v>2327</v>
      </c>
      <c r="D10" s="160" t="s">
        <v>2241</v>
      </c>
      <c r="E10" s="176">
        <v>2</v>
      </c>
      <c r="F10" s="129">
        <v>685.05</v>
      </c>
      <c r="G10" s="129">
        <v>0</v>
      </c>
      <c r="H10" s="153">
        <v>1370.1</v>
      </c>
      <c r="I10" s="153">
        <v>0</v>
      </c>
      <c r="J10" s="159" t="s">
        <v>2659</v>
      </c>
      <c r="K10" s="22" t="s">
        <v>2688</v>
      </c>
      <c r="L10" s="175" t="s">
        <v>2693</v>
      </c>
    </row>
    <row r="11" spans="1:12" s="22" customFormat="1" ht="81" x14ac:dyDescent="0.25">
      <c r="A11" s="22" t="s">
        <v>2658</v>
      </c>
      <c r="B11" s="160" t="s">
        <v>2339</v>
      </c>
      <c r="C11" s="158" t="s">
        <v>2340</v>
      </c>
      <c r="D11" s="160" t="s">
        <v>2241</v>
      </c>
      <c r="E11" s="176">
        <v>2</v>
      </c>
      <c r="F11" s="129">
        <v>34.950000000000003</v>
      </c>
      <c r="G11" s="129">
        <v>0</v>
      </c>
      <c r="H11" s="153">
        <v>69.900000000000006</v>
      </c>
      <c r="I11" s="153">
        <v>0</v>
      </c>
      <c r="J11" s="159" t="s">
        <v>2659</v>
      </c>
      <c r="K11" s="22" t="s">
        <v>2688</v>
      </c>
      <c r="L11" s="175" t="s">
        <v>2693</v>
      </c>
    </row>
    <row r="12" spans="1:12" s="22" customFormat="1" ht="81" x14ac:dyDescent="0.25">
      <c r="A12" s="22" t="s">
        <v>2658</v>
      </c>
      <c r="B12" s="160" t="s">
        <v>2341</v>
      </c>
      <c r="C12" s="158" t="s">
        <v>2342</v>
      </c>
      <c r="D12" s="160" t="s">
        <v>2241</v>
      </c>
      <c r="E12" s="176">
        <v>2</v>
      </c>
      <c r="F12" s="129">
        <v>54.9</v>
      </c>
      <c r="G12" s="129">
        <v>0</v>
      </c>
      <c r="H12" s="153">
        <v>109.8</v>
      </c>
      <c r="I12" s="153">
        <v>0</v>
      </c>
      <c r="J12" s="159" t="s">
        <v>2659</v>
      </c>
      <c r="K12" s="22" t="s">
        <v>2688</v>
      </c>
      <c r="L12" s="175" t="s">
        <v>2693</v>
      </c>
    </row>
    <row r="13" spans="1:12" s="22" customFormat="1" ht="81" x14ac:dyDescent="0.25">
      <c r="A13" s="22" t="s">
        <v>2658</v>
      </c>
      <c r="B13" s="160" t="s">
        <v>2346</v>
      </c>
      <c r="C13" s="158" t="s">
        <v>2347</v>
      </c>
      <c r="D13" s="160" t="s">
        <v>2241</v>
      </c>
      <c r="E13" s="176">
        <v>2</v>
      </c>
      <c r="F13" s="129">
        <v>175.35</v>
      </c>
      <c r="G13" s="129">
        <v>0</v>
      </c>
      <c r="H13" s="153">
        <v>350.7</v>
      </c>
      <c r="I13" s="153">
        <v>0</v>
      </c>
      <c r="J13" s="159" t="s">
        <v>2659</v>
      </c>
      <c r="K13" s="22" t="s">
        <v>2688</v>
      </c>
      <c r="L13" s="175" t="s">
        <v>2693</v>
      </c>
    </row>
    <row r="14" spans="1:12" s="22" customFormat="1" ht="81" x14ac:dyDescent="0.25">
      <c r="A14" s="22" t="s">
        <v>2658</v>
      </c>
      <c r="B14" s="160" t="s">
        <v>2348</v>
      </c>
      <c r="C14" s="158" t="s">
        <v>2349</v>
      </c>
      <c r="D14" s="160" t="s">
        <v>2241</v>
      </c>
      <c r="E14" s="176">
        <v>2</v>
      </c>
      <c r="F14" s="129">
        <v>205.5</v>
      </c>
      <c r="G14" s="129">
        <v>0</v>
      </c>
      <c r="H14" s="153">
        <v>411</v>
      </c>
      <c r="I14" s="153">
        <v>0</v>
      </c>
      <c r="J14" s="159" t="s">
        <v>2659</v>
      </c>
      <c r="K14" s="22" t="s">
        <v>2688</v>
      </c>
      <c r="L14" s="175" t="s">
        <v>2693</v>
      </c>
    </row>
    <row r="15" spans="1:12" s="22" customFormat="1" ht="81" x14ac:dyDescent="0.25">
      <c r="A15" s="22" t="s">
        <v>2658</v>
      </c>
      <c r="B15" s="160" t="s">
        <v>2360</v>
      </c>
      <c r="C15" s="158" t="s">
        <v>2361</v>
      </c>
      <c r="D15" s="160" t="s">
        <v>2241</v>
      </c>
      <c r="E15" s="176">
        <v>2</v>
      </c>
      <c r="F15" s="129">
        <v>31.65</v>
      </c>
      <c r="G15" s="129">
        <v>0</v>
      </c>
      <c r="H15" s="153">
        <v>63.3</v>
      </c>
      <c r="I15" s="153">
        <v>0</v>
      </c>
      <c r="J15" s="159" t="s">
        <v>2659</v>
      </c>
      <c r="K15" s="22" t="s">
        <v>2688</v>
      </c>
      <c r="L15" s="175" t="s">
        <v>2693</v>
      </c>
    </row>
    <row r="16" spans="1:12" s="22" customFormat="1" ht="81" x14ac:dyDescent="0.25">
      <c r="A16" s="22" t="s">
        <v>2658</v>
      </c>
      <c r="B16" s="160" t="s">
        <v>2362</v>
      </c>
      <c r="C16" s="158" t="s">
        <v>2363</v>
      </c>
      <c r="D16" s="160" t="s">
        <v>2241</v>
      </c>
      <c r="E16" s="176">
        <v>3</v>
      </c>
      <c r="F16" s="129">
        <v>49.05</v>
      </c>
      <c r="G16" s="129">
        <v>0</v>
      </c>
      <c r="H16" s="153">
        <v>147.14999999999998</v>
      </c>
      <c r="I16" s="153">
        <v>0</v>
      </c>
      <c r="J16" s="159" t="s">
        <v>2659</v>
      </c>
      <c r="K16" s="22" t="s">
        <v>2688</v>
      </c>
      <c r="L16" s="175" t="s">
        <v>2693</v>
      </c>
    </row>
    <row r="17" spans="1:12" s="22" customFormat="1" ht="81" x14ac:dyDescent="0.25">
      <c r="A17" s="22" t="s">
        <v>2658</v>
      </c>
      <c r="B17" s="160" t="s">
        <v>2477</v>
      </c>
      <c r="C17" s="158" t="s">
        <v>2478</v>
      </c>
      <c r="D17" s="160" t="s">
        <v>2241</v>
      </c>
      <c r="E17" s="176">
        <v>2</v>
      </c>
      <c r="F17" s="129">
        <v>388.5</v>
      </c>
      <c r="G17" s="129">
        <v>0</v>
      </c>
      <c r="H17" s="153">
        <v>777</v>
      </c>
      <c r="I17" s="153">
        <v>0</v>
      </c>
      <c r="J17" s="159" t="s">
        <v>2659</v>
      </c>
      <c r="K17" s="22" t="s">
        <v>2688</v>
      </c>
      <c r="L17" s="175" t="s">
        <v>2693</v>
      </c>
    </row>
    <row r="18" spans="1:12" ht="18" customHeight="1" x14ac:dyDescent="0.2">
      <c r="G18" s="62" t="s">
        <v>26</v>
      </c>
      <c r="H18" s="147">
        <v>4508.8500000000004</v>
      </c>
      <c r="I18" s="147">
        <v>0</v>
      </c>
    </row>
    <row r="19" spans="1:12" ht="18" customHeight="1" x14ac:dyDescent="0.2">
      <c r="B19" s="1" t="s">
        <v>28</v>
      </c>
    </row>
    <row r="20" spans="1:12" ht="18" customHeight="1" x14ac:dyDescent="0.2">
      <c r="B20" s="20"/>
    </row>
    <row r="21" spans="1:12" ht="18" customHeight="1" x14ac:dyDescent="0.2">
      <c r="E21"/>
      <c r="F21"/>
      <c r="G21" s="2"/>
      <c r="H21" s="2"/>
      <c r="I21" s="2"/>
    </row>
    <row r="22" spans="1:12" ht="18" customHeight="1" x14ac:dyDescent="0.2">
      <c r="E22"/>
      <c r="F22"/>
      <c r="G22" s="38"/>
      <c r="H22" s="37" t="s">
        <v>29</v>
      </c>
      <c r="I22" s="36"/>
    </row>
    <row r="23" spans="1:12" ht="18" customHeight="1" x14ac:dyDescent="0.2">
      <c r="E23"/>
      <c r="F23"/>
      <c r="G23" s="69" t="s">
        <v>30</v>
      </c>
      <c r="H23" s="70"/>
      <c r="I23" s="70"/>
    </row>
    <row r="24" spans="1:12" ht="18" customHeight="1" x14ac:dyDescent="0.2">
      <c r="E24"/>
      <c r="F24"/>
      <c r="H24" s="26" t="s">
        <v>31</v>
      </c>
      <c r="I24" s="25"/>
    </row>
  </sheetData>
  <printOptions horizontalCentered="1"/>
  <pageMargins left="0.23622047244094491" right="0.23622047244094491" top="0.55118110236220474" bottom="0.55118110236220474" header="0.31496062992125984" footer="0.31496062992125984"/>
  <pageSetup scale="85" orientation="landscape" r:id="rId1"/>
  <headerFooter>
    <oddFooter>&amp;C&amp;9&amp;P  de  &amp;N</oddFooter>
  </headerFooter>
  <colBreaks count="1" manualBreakCount="1">
    <brk id="9" max="1048575" man="1"/>
  </colBreaks>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668B5-0D1E-4791-9D4A-0904F50E52AC}">
  <sheetPr>
    <tabColor theme="8" tint="-0.499984740745262"/>
  </sheetPr>
  <dimension ref="A1:L22"/>
  <sheetViews>
    <sheetView workbookViewId="0">
      <selection activeCell="D11" sqref="D11"/>
    </sheetView>
  </sheetViews>
  <sheetFormatPr baseColWidth="10" defaultColWidth="11.42578125" defaultRowHeight="18" customHeight="1" x14ac:dyDescent="0.2"/>
  <cols>
    <col min="1" max="1" width="10.85546875" style="1" customWidth="1"/>
    <col min="2" max="2" width="10.7109375" style="1" customWidth="1"/>
    <col min="3" max="3" width="70.7109375" style="2" customWidth="1"/>
    <col min="4" max="4" width="11.7109375" style="1" customWidth="1"/>
    <col min="5" max="5" width="24.140625" style="1" customWidth="1"/>
    <col min="6" max="7" width="12.7109375" style="1" customWidth="1"/>
    <col min="8" max="9" width="15.7109375" style="1" customWidth="1"/>
    <col min="10" max="10" width="11.7109375" style="1" bestFit="1" customWidth="1"/>
    <col min="11" max="11" width="12" style="1" bestFit="1" customWidth="1"/>
    <col min="12" max="12" width="10.140625" style="1" bestFit="1" customWidth="1"/>
    <col min="13" max="16384" width="11.42578125" style="1"/>
  </cols>
  <sheetData>
    <row r="1" spans="1:12" ht="21.75" customHeight="1" x14ac:dyDescent="0.2">
      <c r="B1" s="16" t="s">
        <v>0</v>
      </c>
      <c r="C1" s="12"/>
      <c r="D1" s="16"/>
      <c r="E1" s="16"/>
      <c r="F1" s="16"/>
      <c r="G1" s="16"/>
      <c r="H1" s="16"/>
      <c r="I1" s="16"/>
    </row>
    <row r="2" spans="1:12" ht="20.100000000000001" customHeight="1" x14ac:dyDescent="0.2">
      <c r="B2" s="12" t="s">
        <v>1</v>
      </c>
      <c r="C2" s="12"/>
      <c r="D2" s="12"/>
      <c r="E2" s="12"/>
      <c r="F2" s="12"/>
      <c r="G2" s="12"/>
      <c r="H2" s="12"/>
      <c r="I2" s="12"/>
    </row>
    <row r="3" spans="1:12" ht="27" x14ac:dyDescent="0.2">
      <c r="B3" s="16" t="s">
        <v>2</v>
      </c>
      <c r="C3" s="12"/>
      <c r="D3" s="12"/>
      <c r="E3" s="12"/>
      <c r="F3" s="12"/>
      <c r="G3" s="12"/>
      <c r="H3" s="12"/>
      <c r="I3" s="12"/>
    </row>
    <row r="4" spans="1:12" ht="10.15" customHeight="1" x14ac:dyDescent="0.25">
      <c r="B4" s="22"/>
      <c r="C4" s="15"/>
      <c r="D4" s="22"/>
      <c r="E4" s="22"/>
      <c r="F4" s="22"/>
      <c r="G4" s="22"/>
      <c r="H4" s="22"/>
      <c r="I4" s="22"/>
    </row>
    <row r="5" spans="1:12" ht="20.100000000000001" customHeight="1" x14ac:dyDescent="0.2">
      <c r="B5" s="29" t="s">
        <v>2660</v>
      </c>
      <c r="C5" s="31"/>
      <c r="D5" s="31"/>
      <c r="E5" s="31"/>
      <c r="F5" s="31"/>
      <c r="G5" s="31"/>
      <c r="H5" s="31"/>
      <c r="I5" s="31"/>
    </row>
    <row r="6" spans="1:12" s="22" customFormat="1" ht="15" customHeight="1" x14ac:dyDescent="0.25">
      <c r="A6" s="165" t="s">
        <v>2677</v>
      </c>
      <c r="B6" s="163" t="s">
        <v>2673</v>
      </c>
      <c r="C6" s="163" t="s">
        <v>2674</v>
      </c>
      <c r="D6" s="163" t="s">
        <v>33</v>
      </c>
      <c r="E6" s="164" t="s">
        <v>34</v>
      </c>
      <c r="F6" s="165" t="s">
        <v>2675</v>
      </c>
      <c r="G6" s="165" t="s">
        <v>2676</v>
      </c>
      <c r="H6" s="165" t="s">
        <v>10</v>
      </c>
      <c r="I6" s="165" t="s">
        <v>11</v>
      </c>
      <c r="J6" s="165" t="s">
        <v>2679</v>
      </c>
      <c r="K6" s="165" t="s">
        <v>2680</v>
      </c>
      <c r="L6" s="165" t="s">
        <v>2681</v>
      </c>
    </row>
    <row r="7" spans="1:12" s="22" customFormat="1" ht="13.5" x14ac:dyDescent="0.25">
      <c r="A7" s="22" t="s">
        <v>2686</v>
      </c>
      <c r="B7" s="148">
        <v>6</v>
      </c>
      <c r="C7" s="167" t="s">
        <v>2661</v>
      </c>
      <c r="D7" s="152"/>
      <c r="E7" s="148"/>
      <c r="F7" s="178"/>
      <c r="G7" s="178"/>
      <c r="H7" s="178"/>
      <c r="I7" s="178"/>
    </row>
    <row r="8" spans="1:12" s="22" customFormat="1" ht="22.15" customHeight="1" x14ac:dyDescent="0.25">
      <c r="A8" s="22" t="s">
        <v>2686</v>
      </c>
      <c r="B8" s="61" t="s">
        <v>2662</v>
      </c>
      <c r="C8" s="152" t="s">
        <v>2663</v>
      </c>
      <c r="D8" s="61" t="s">
        <v>2664</v>
      </c>
      <c r="E8" s="179">
        <v>1049146</v>
      </c>
      <c r="F8" s="166">
        <v>475</v>
      </c>
      <c r="G8" s="180">
        <v>0</v>
      </c>
      <c r="H8" s="153">
        <v>498344350</v>
      </c>
      <c r="I8" s="153">
        <v>0</v>
      </c>
      <c r="J8" s="167" t="s">
        <v>2687</v>
      </c>
      <c r="K8" s="22" t="s">
        <v>2688</v>
      </c>
      <c r="L8" s="22" t="s">
        <v>2694</v>
      </c>
    </row>
    <row r="9" spans="1:12" s="22" customFormat="1" ht="22.15" customHeight="1" x14ac:dyDescent="0.25">
      <c r="A9" s="22" t="s">
        <v>2686</v>
      </c>
      <c r="B9" s="61" t="s">
        <v>2665</v>
      </c>
      <c r="C9" s="152" t="s">
        <v>2666</v>
      </c>
      <c r="D9" s="61" t="s">
        <v>2664</v>
      </c>
      <c r="E9" s="179">
        <v>31444</v>
      </c>
      <c r="F9" s="180">
        <v>375</v>
      </c>
      <c r="G9" s="180">
        <v>0</v>
      </c>
      <c r="H9" s="153">
        <v>11791500</v>
      </c>
      <c r="I9" s="153">
        <v>0</v>
      </c>
      <c r="J9" s="167" t="s">
        <v>2687</v>
      </c>
      <c r="K9" s="22" t="s">
        <v>2688</v>
      </c>
      <c r="L9" s="22" t="s">
        <v>2694</v>
      </c>
    </row>
    <row r="10" spans="1:12" s="22" customFormat="1" ht="22.15" customHeight="1" x14ac:dyDescent="0.25">
      <c r="A10" s="22" t="s">
        <v>2686</v>
      </c>
      <c r="B10" s="61" t="s">
        <v>2667</v>
      </c>
      <c r="C10" s="152" t="s">
        <v>2668</v>
      </c>
      <c r="D10" s="61" t="s">
        <v>2664</v>
      </c>
      <c r="E10" s="179">
        <v>13476</v>
      </c>
      <c r="F10" s="180">
        <v>262.5</v>
      </c>
      <c r="G10" s="180">
        <v>0</v>
      </c>
      <c r="H10" s="153">
        <v>3537450</v>
      </c>
      <c r="I10" s="153">
        <v>0</v>
      </c>
      <c r="J10" s="167" t="s">
        <v>2687</v>
      </c>
      <c r="K10" s="22" t="s">
        <v>2688</v>
      </c>
      <c r="L10" s="22" t="s">
        <v>2694</v>
      </c>
    </row>
    <row r="11" spans="1:12" s="22" customFormat="1" ht="22.15" customHeight="1" x14ac:dyDescent="0.25">
      <c r="A11" s="22" t="s">
        <v>2686</v>
      </c>
      <c r="B11" s="61" t="s">
        <v>2669</v>
      </c>
      <c r="C11" s="152" t="s">
        <v>2670</v>
      </c>
      <c r="D11" s="61" t="s">
        <v>2671</v>
      </c>
      <c r="E11" s="179">
        <v>1534</v>
      </c>
      <c r="F11" s="180">
        <v>131.25</v>
      </c>
      <c r="G11" s="180">
        <v>0</v>
      </c>
      <c r="H11" s="153">
        <v>201337.5</v>
      </c>
      <c r="I11" s="153">
        <v>0</v>
      </c>
      <c r="J11" s="167" t="s">
        <v>2687</v>
      </c>
      <c r="K11" s="22" t="s">
        <v>2688</v>
      </c>
      <c r="L11" s="22" t="s">
        <v>2694</v>
      </c>
    </row>
    <row r="12" spans="1:12" s="22" customFormat="1" ht="22.15" customHeight="1" x14ac:dyDescent="0.25">
      <c r="B12" s="62"/>
      <c r="C12" s="62"/>
      <c r="D12" s="62"/>
      <c r="E12" s="62"/>
      <c r="F12" s="62"/>
      <c r="G12" s="62" t="s">
        <v>2672</v>
      </c>
      <c r="H12" s="177">
        <v>513874637.5</v>
      </c>
      <c r="I12" s="177">
        <v>0</v>
      </c>
    </row>
    <row r="14" spans="1:12" ht="18" customHeight="1" x14ac:dyDescent="0.2">
      <c r="E14" s="46"/>
      <c r="F14" s="46"/>
      <c r="G14" s="46"/>
      <c r="H14" s="47"/>
    </row>
    <row r="17" spans="2:9" ht="18" customHeight="1" x14ac:dyDescent="0.2">
      <c r="B17" s="1" t="s">
        <v>28</v>
      </c>
    </row>
    <row r="18" spans="2:9" ht="18" customHeight="1" x14ac:dyDescent="0.2">
      <c r="B18" s="20"/>
    </row>
    <row r="19" spans="2:9" ht="18" customHeight="1" x14ac:dyDescent="0.2">
      <c r="G19" s="35"/>
      <c r="H19" s="35"/>
      <c r="I19" s="35"/>
    </row>
    <row r="20" spans="2:9" ht="18" customHeight="1" x14ac:dyDescent="0.2">
      <c r="G20" s="38"/>
      <c r="H20" s="37" t="s">
        <v>29</v>
      </c>
      <c r="I20" s="36"/>
    </row>
    <row r="21" spans="2:9" ht="18" customHeight="1" x14ac:dyDescent="0.2">
      <c r="G21" s="69" t="s">
        <v>30</v>
      </c>
      <c r="H21" s="70"/>
      <c r="I21" s="70"/>
    </row>
    <row r="22" spans="2:9" ht="18" customHeight="1" x14ac:dyDescent="0.2">
      <c r="H22" s="26" t="s">
        <v>31</v>
      </c>
      <c r="I22" s="25"/>
    </row>
  </sheetData>
  <printOptions horizontalCentered="1"/>
  <pageMargins left="0.23622047244094491" right="0.23622047244094491" top="0.55118110236220474" bottom="0.55118110236220474" header="0.31496062992125984" footer="0.31496062992125984"/>
  <pageSetup scale="80" orientation="landscape" r:id="rId1"/>
  <headerFooter>
    <oddFooter>&amp;C&amp;9&amp;P  de  &amp;N</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DB7CB9-E699-4F99-8CDA-33D1B3B5AC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15</vt:i4>
      </vt:variant>
    </vt:vector>
  </HeadingPairs>
  <TitlesOfParts>
    <vt:vector size="23" baseType="lpstr">
      <vt:lpstr>Anexo C-CR</vt:lpstr>
      <vt:lpstr>Anexo C-2-CR</vt:lpstr>
      <vt:lpstr>Anexo C-3-CR</vt:lpstr>
      <vt:lpstr>Anexo C-4-CR</vt:lpstr>
      <vt:lpstr>Anexo C-4-1</vt:lpstr>
      <vt:lpstr>Anexo C-5-CR</vt:lpstr>
      <vt:lpstr>Anexo C-5-1 </vt:lpstr>
      <vt:lpstr>Anexo C-6-CR</vt:lpstr>
      <vt:lpstr>'Anexo C-2-CR'!Área_de_impresión</vt:lpstr>
      <vt:lpstr>'Anexo C-3-CR'!Área_de_impresión</vt:lpstr>
      <vt:lpstr>'Anexo C-4-1'!Área_de_impresión</vt:lpstr>
      <vt:lpstr>'Anexo C-4-CR'!Área_de_impresión</vt:lpstr>
      <vt:lpstr>'Anexo C-5-1 '!Área_de_impresión</vt:lpstr>
      <vt:lpstr>'Anexo C-5-CR'!Área_de_impresión</vt:lpstr>
      <vt:lpstr>'Anexo C-6-CR'!Área_de_impresión</vt:lpstr>
      <vt:lpstr>'Anexo C-CR'!Área_de_impresión</vt:lpstr>
      <vt:lpstr>'Anexo C-2-CR'!Títulos_a_imprimir</vt:lpstr>
      <vt:lpstr>'Anexo C-3-CR'!Títulos_a_imprimir</vt:lpstr>
      <vt:lpstr>'Anexo C-4-1'!Títulos_a_imprimir</vt:lpstr>
      <vt:lpstr>'Anexo C-4-CR'!Títulos_a_imprimir</vt:lpstr>
      <vt:lpstr>'Anexo C-5-1 '!Títulos_a_imprimir</vt:lpstr>
      <vt:lpstr>'Anexo C-5-CR'!Títulos_a_imprimir</vt:lpstr>
      <vt:lpstr>'Anexo C-CR'!Títulos_a_imprimir</vt:lpstr>
    </vt:vector>
  </TitlesOfParts>
  <Manager/>
  <Company>Subsea7</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Julio Cesar Ramírez Huerta</dc:creator>
  <cp:keywords/>
  <dc:description/>
  <cp:lastModifiedBy>Jose Armando Perera Antonio</cp:lastModifiedBy>
  <cp:revision/>
  <cp:lastPrinted>2023-02-09T20:01:14Z</cp:lastPrinted>
  <dcterms:created xsi:type="dcterms:W3CDTF">2013-11-26T20:15:05Z</dcterms:created>
  <dcterms:modified xsi:type="dcterms:W3CDTF">2026-01-22T23:01:07Z</dcterms:modified>
  <cp:category/>
  <cp:contentStatus/>
</cp:coreProperties>
</file>