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4E54BC77-6E4A-4B4C-8675-23C190055A05}" xr6:coauthVersionLast="47" xr6:coauthVersionMax="47" xr10:uidLastSave="{00000000-0000-0000-0000-000000000000}"/>
  <bookViews>
    <workbookView xWindow="28695" yWindow="0" windowWidth="14610" windowHeight="15585"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C'!$C$1:$K$138</definedName>
    <definedName name="_xlnm.Print_Area" localSheetId="3">'ANEXO DE-ME'!$C$1:$J$22</definedName>
    <definedName name="_xlnm.Print_Area" localSheetId="2">'ANEXO DE-MN'!$C$1:$J$145</definedName>
    <definedName name="_xlnm.Print_Area" localSheetId="4">'ANEXO DT-6'!$C$1:$H$127</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C'!$C$1:$K$141</definedName>
    <definedName name="Print_Area" localSheetId="3">'ANEXO DE-ME'!$C$1:$I$22</definedName>
    <definedName name="Print_Area" localSheetId="2">'ANEXO DE-MN'!$C$1:$J$232</definedName>
    <definedName name="Print_Area" localSheetId="4">'ANEXO DT-6'!$C$1:$G$127</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<sst xmlns="http://schemas.openxmlformats.org/spreadsheetml/2006/main" count="1165" uniqueCount="386">
  <si>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</si>
  <si>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</si>
  <si>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</si>
  <si>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</si>
  <si>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</si>
  <si>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</si>
  <si>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</si>
  <si>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</si>
  <si>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</si>
  <si>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</si>
  <si>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</si>
  <si>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</si>
  <si>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</si>
  <si>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</si>
  <si>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</si>
  <si>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</si>
  <si>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</si>
  <si>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</si>
  <si>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</si>
  <si>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</si>
  <si>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</si>
  <si>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</si>
  <si>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</si>
  <si>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</si>
  <si>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</si>
  <si>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</si>
  <si>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</si>
  <si>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</si>
  <si>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</si>
  <si>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</si>
  <si>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</si>
  <si>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</si>
  <si>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</si>
  <si>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</si>
  <si>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</si>
  <si>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</si>
  <si>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</si>
  <si>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</si>
  <si>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</si>
  <si>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</si>
  <si>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</si>
  <si>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</si>
  <si>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</si>
  <si>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</si>
  <si>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</si>
  <si>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</si>
  <si>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 UN MIL CUATROCIENTOS SESENTA Y TRES  PESOS 99/100 M.N. )
( CERO DÓLARES 00/100 USD )</t>
  </si>
  <si>
    <t>4.5.</t>
  </si>
  <si>
    <t xml:space="preserve">
MANIOBRISTA
</t>
  </si>
  <si>
    <t>( DOS MIL TRESCIENTOS SESENTA Y NUEVE  PESOS 01/100 M.N. )
( CERO DÓLARES 00/100 USD )</t>
  </si>
  <si>
    <t>4.6.</t>
  </si>
  <si>
    <t xml:space="preserve">
OPERARIO DE PRIMERA.
</t>
  </si>
  <si>
    <t>( DOS MIL OCHOCIENTOS SESENTA Y UN  PESOS 56/100 M.N. )
( CERO DÓLARES 00/100 USD )</t>
  </si>
  <si>
    <t>4.7.</t>
  </si>
  <si>
    <t xml:space="preserve">
OPERARIO ESPECIALISTA. (SOLDADOR)
</t>
  </si>
  <si>
    <t>( TRES MIL SEISCIENTOS SESENTA  PESOS 18/100 M.N. )
( CERO DÓLARES 00/100 USD )</t>
  </si>
  <si>
    <t xml:space="preserve">4.7. </t>
  </si>
  <si>
    <t xml:space="preserve">
OPERARIO ESPECIALISTA. (TUBERO)
</t>
  </si>
  <si>
    <t xml:space="preserve">4.7.  </t>
  </si>
  <si>
    <t xml:space="preserve">
OPERARIO ESPECIALISTA. (ELECTRICO)
</t>
  </si>
  <si>
    <t xml:space="preserve">
OPERARIO ESPECIALISTA. (MECANICO)
</t>
  </si>
  <si>
    <t>4.9.</t>
  </si>
  <si>
    <t>( TRES MIL NOVECIENTOS CUARENTA Y SIETE  PESOS 93/100 M.N. )
( CERO DÓLARES 00/100 USD )</t>
  </si>
  <si>
    <t>4.10.</t>
  </si>
  <si>
    <t xml:space="preserve">
CABO DE MANIOBRAS
</t>
  </si>
  <si>
    <t>( TRES MIL TRECE  PESOS 83/100 M.N. )
( CERO DÓLARES 00/100 USD )</t>
  </si>
  <si>
    <t>4.11.</t>
  </si>
  <si>
    <t>( CUATRO MIL NOVECIENTOS SESENTA Y DOS  PESOS 23/100 M.N. )
( CERO DÓLARES 00/100 USD )</t>
  </si>
  <si>
    <t>4.12.</t>
  </si>
  <si>
    <t xml:space="preserve">
TECNICO ESPECIALISTA SISTEMA AUTOCAD
</t>
  </si>
  <si>
    <t>( DOS MIL QUINIENTOS CINCUENTA Y TRES  PESOS 58/100 M.N. )
( CERO DÓLARES 00/100 USD )</t>
  </si>
  <si>
    <t>4.13.</t>
  </si>
  <si>
    <t xml:space="preserve">
INGENIERO ESPECIALISTA DE CAMPO (MAR)
</t>
  </si>
  <si>
    <t>( CINCO MIL TRESCIENTOS NOVENTA Y SIETE  PESOS 20/100 M.N. )
( CERO DÓLARES 00/100 USD )</t>
  </si>
  <si>
    <t xml:space="preserve">
PERSONAL DE SEGURIDAD
</t>
  </si>
  <si>
    <t>4.16.</t>
  </si>
  <si>
    <t xml:space="preserve">
ENCARGADO DE SEGURIDAD Y PROTECCIÓN AMBIENTAL
</t>
  </si>
  <si>
    <t>( CUATRO MIL DOSCIENTOS OCHENTA Y TRES  PESOS 63/100 M.N. )
( CERO DÓLARES 00/100 USD )</t>
  </si>
  <si>
    <t>4.17.</t>
  </si>
  <si>
    <t xml:space="preserve">
AYUDANTE DE SEGURIDAD INDUSTRIAL Y CONTRA INCENDIO
</t>
  </si>
  <si>
    <t>( DOS MIL QUINIENTOS SETENTA  PESOS 18/100 M.N. )
( CERO DÓLARES 00/100 USD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</si>
  <si>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</si>
  <si>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</si>
  <si>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</si>
  <si>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</si>
  <si>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</si>
  <si>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</si>
  <si>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</si>
  <si>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</si>
  <si>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</si>
  <si>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</si>
  <si>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</si>
  <si>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</si>
  <si>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</si>
  <si>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 UN MIL CIENTO VEINTICINCO  PESOS 00/100 M.N. )
( CERO DÓLARES 00/100 USD )</t>
  </si>
  <si>
    <t>5.3.</t>
  </si>
  <si>
    <t xml:space="preserve">
HORNOS ELÉCTRICOS CON CONTROL DE TEMPERATURA PARA LA CONSERVACIÓN DE LA SOLDADURA.
</t>
  </si>
  <si>
    <t>( CIENTO VEINTICUATRO  PESOS 95/100 M.N. )
( CERO DÓLARES 00/100 USD )</t>
  </si>
  <si>
    <t>5.4.</t>
  </si>
  <si>
    <t xml:space="preserve">
EQUIPO COMPLETO DE OXIACETILENO PARA CALENTAMIENTO Y CORTE.
</t>
  </si>
  <si>
    <t>( OCHENTA Y CUATRO  PESOS 90/100 M.N. )
( CERO DÓLARES 00/100 USD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</si>
  <si>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</si>
  <si>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</si>
  <si>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SEISCIENTOS OCHENTA Y CINCO  PESOS 05/100 M.N. )
( CERO DÓLARES 00/100 USD )</t>
  </si>
  <si>
    <t xml:space="preserve">
LEVANTADORA MONTACARGA DE CADENA
</t>
  </si>
  <si>
    <t>5.13.</t>
  </si>
  <si>
    <t xml:space="preserve">
LEVANTADORA MONTACARGA DE CADENA DE 1 ½ TONELADAS.
</t>
  </si>
  <si>
    <t>( TREINTA Y CUATRO  PESOS 95/100 M.N. )
( CERO DÓLARES 00/100 USD )</t>
  </si>
  <si>
    <t>5.14.</t>
  </si>
  <si>
    <t xml:space="preserve">
LEVANTADORA MONTACARGA DE CADENA DE 3 TONELADAS.
</t>
  </si>
  <si>
    <t>( CINCUENTA Y CUATRO  PESOS 90/100 M.N. )
( CERO DÓLARES 00/100 USD )</t>
  </si>
  <si>
    <t>5.15.</t>
  </si>
  <si>
    <t xml:space="preserve">
LEVANTADORA MONTACARGA DE CADENA DE 6 TONELADAS.
</t>
  </si>
  <si>
    <t>( CIENTO SESENTA Y DOS  PESOS 90/100 M.N. )
( CERO DÓLARES 00/100 USD )</t>
  </si>
  <si>
    <t xml:space="preserve">
DIFERENCIAL DE CADENA
</t>
  </si>
  <si>
    <t>5.16.</t>
  </si>
  <si>
    <t xml:space="preserve">
DIFERENCIAL DE CADENA DE 1½ TONELADAS.
</t>
  </si>
  <si>
    <t>( CIENTO SETENTA Y CINCO  PESOS 35/100 M.N. )
( CERO DÓLARES 00/100 USD )</t>
  </si>
  <si>
    <t>5.17.</t>
  </si>
  <si>
    <t xml:space="preserve">
DIFERENCIAL DE CADENA DE 3 TONELADAS.
</t>
  </si>
  <si>
    <t>( DOSCIENTOS CINCO  PESOS 50/100 M.N. )
( CERO DÓLARES 00/100 USD )</t>
  </si>
  <si>
    <t>5.18.</t>
  </si>
  <si>
    <t xml:space="preserve">
DIFERENCIAL DE CADENA DE 5 TONELADAS.
</t>
  </si>
  <si>
    <t>( TRESCIENTOS CUARENTA Y NUEVE  PESOS 95/100 M.N. )
( CERO DÓLARES 00/100 USD )</t>
  </si>
  <si>
    <t>5.19.</t>
  </si>
  <si>
    <t xml:space="preserve">
DIFERENCIAL DE CADENA DE 10 TONELADAS.
</t>
  </si>
  <si>
    <t>( QUINIENTOS SEIS  PESOS 25/100 M.N. )
( CERO DÓLARES 00/100 USD )</t>
  </si>
  <si>
    <t>5.22.</t>
  </si>
  <si>
    <t xml:space="preserve">
GRILLETES DE ACERO PARA 10 TON.
</t>
  </si>
  <si>
    <t>( TREINTA Y UN  PESOS 65/100 M.N. )
( CERO DÓLARES 00/100 USD )</t>
  </si>
  <si>
    <t xml:space="preserve">
PLANTILLA BASE DE EQUIPO (ANEXO C-5-1)
</t>
  </si>
  <si>
    <t>5.23.</t>
  </si>
  <si>
    <t xml:space="preserve">
GRILLETES DE ACERO PARA 15 TON.
</t>
  </si>
  <si>
    <t>( CUARENTA Y NUEVE  PESOS 05/100 M.N. )
( CERO DÓLARES 00/100 USD )</t>
  </si>
  <si>
    <t>5.79.</t>
  </si>
  <si>
    <t xml:space="preserve">
LUMINARIO INDUSTRIAL PARA ALUMBRADO EXTERIOR A PRUEBA DE EXPLOSIÓN.
</t>
  </si>
  <si>
    <t>( TRESCIENTOS OCHENTA Y OCHO  PESOS 50/100 M.N. )
( CERO DÓLARES 00/100 USD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</si>
  <si>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</si>
  <si>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</si>
  <si>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</si>
  <si>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</si>
  <si>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</si>
  <si>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</si>
  <si>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</si>
  <si>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</si>
  <si>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</si>
  <si>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</si>
  <si>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</si>
  <si>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</si>
  <si>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</si>
  <si>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</si>
  <si>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</si>
  <si>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</si>
  <si>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</si>
  <si>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</si>
  <si>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</si>
  <si>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</si>
  <si>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</si>
  <si>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</si>
  <si>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</si>
  <si>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</si>
  <si>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 OCHENTA Y SIETE  PESOS 45/100 M.N. )
( CERO DÓLARES 00/100 USD )</t>
  </si>
  <si>
    <t>5.34.</t>
  </si>
  <si>
    <t xml:space="preserve">
EQUIPO DE GENERACIÓN ELÉCTRICA A BASE DE MOTOR DE COMBUSTIÓN INTERNA CON RANGO DE 120 A 150 KVA CON SALIDA DE 220/440 VOLTS EQUIPADO CON AMPERÍMETROS Y VOLTÍMETROS VISIBLES Y CABLES.
</t>
  </si>
  <si>
    <t>( CUATROCIENTOS NOVENTA Y NUEVE  PESOS 95/100 M.N. )
( CERO DÓLARES 00/100 USD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</si>
  <si>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</si>
  <si>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</si>
  <si>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</si>
  <si>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</si>
  <si>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</si>
  <si>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</si>
  <si>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</si>
  <si>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</si>
  <si>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DIEZ MIL CUATROCIENTOS CUARENTA Y NUEVE  PESOS 94/100 M.N. )
( SETENTA Y NUEVE MIL SETECIENTOS DOCE  DÓLARES 50/100 USD )</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</si>
  <si>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</si>
  <si>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</si>
  <si>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</si>
  <si>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</si>
  <si>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</si>
  <si>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SIETE MIL SETECIENTOS CUARENTA  PESOS 70/100 M.N. )
( SESENTA Y UN MIL TRESCIENTOS DIECISIETE  DÓLARES 31/100 USD )</t>
  </si>
  <si>
    <t xml:space="preserve">
SUBTOTAL ANEXO C-010
</t>
  </si>
  <si>
    <t xml:space="preserve">
PERSONAL (TIERRA)
</t>
  </si>
  <si>
    <t>4.24.</t>
  </si>
  <si>
    <t>( DOS MIL OCHOCIENTOS CINCUENTA Y SEIS  PESOS 73/100 M.N. )
( CERO DÓLARES 00/100 USD )</t>
  </si>
  <si>
    <t>4.30.</t>
  </si>
  <si>
    <t>( UN MIL SETECIENTOS NOVENTA Y UN  PESOS 26/100 M.N. )
( CERO DÓLARES 00/100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</si>
  <si>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</si>
  <si>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</si>
  <si>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</si>
  <si>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</si>
  <si>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</si>
  <si>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DOS MIL QUINIENTOS  PESOS 00/100 M.N. )
( CERO DÓLARES 00/100 USD )</t>
  </si>
  <si>
    <t xml:space="preserve">
LEVANTAMIENTO DE CAMPO
</t>
  </si>
  <si>
    <t>H-H</t>
  </si>
  <si>
    <t xml:space="preserve">
GRÚAS
</t>
  </si>
  <si>
    <t>5.115.</t>
  </si>
  <si>
    <t xml:space="preserve">
GRÚA DE 60 TON. (INCLUYE OPERADOR, ESTROBOS, GRILLETES Y GROMET´S).
</t>
  </si>
  <si>
    <t>( VEINTICINCO MIL  PESOS 00/100 M.N. )
( CERO DÓLARES 00/100 USD )</t>
  </si>
  <si>
    <t>5.28.</t>
  </si>
  <si>
    <t xml:space="preserve">
UNIDAD DE ARCO AIRE (ARC-AIR). CON MANGUERA Y ACCESORIOS. INCLUYE CARBONES.
</t>
  </si>
  <si>
    <t>5.32.</t>
  </si>
  <si>
    <t xml:space="preserve">
COMPRESORES DE AIRE DE 600 PCM. MÍNIMO:
</t>
  </si>
  <si>
    <t>( DOS MIL SEISCIENTOS OCHENTA Y SIETE  PESOS 40/100 M.N. )
( CERO DÓLARES 00/100 USD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</si>
  <si>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</si>
  <si>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</si>
  <si>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</si>
  <si>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</si>
  <si>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</si>
  <si>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</si>
  <si>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</si>
  <si>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</si>
  <si>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</si>
  <si>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 TRES MIL OCHOCIENTOS DOCE  PESOS 78/100 M.N. )
( CERO DÓLARES 00/100 USD )</t>
  </si>
  <si>
    <t>4.36.</t>
  </si>
  <si>
    <t xml:space="preserve">
SUPERVISOR ESPECIALISTA TIPO (A- TIERRA)
</t>
  </si>
  <si>
    <t>( CUATRO MIL DOSCIENTOS NUEVE  PESOS 81/100 M.N. )
( CERO DÓLARES 00/100 USD )</t>
  </si>
  <si>
    <t>4.38.</t>
  </si>
  <si>
    <t xml:space="preserve">
SUPERVISOR ESPECIALISTA TIPO (B- TIERRA)
</t>
  </si>
  <si>
    <t>( CUATRO MIL SEISCIENTOS NOVENTA Y CINCO  PESOS 55/100 M.N. )
( CERO DÓLARES 00/100 USD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</si>
  <si>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</si>
  <si>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</si>
  <si>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</si>
  <si>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</si>
  <si>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</si>
  <si>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</si>
  <si>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 CIENTO NOVENTA Y CINCO  PESOS 00/100 M.N. )
( CERO DÓLARES 00/100 USD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</si>
  <si>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</si>
  <si>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</si>
  <si>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</si>
  <si>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</si>
  <si>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</si>
  <si>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</si>
  <si>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 CUATRO MIL CIENTO VEINTICINCO  PESOS 53/100 M.N. )
( CERO DÓLARES 00/100 USD )</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</si>
  <si>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</si>
  <si>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</si>
  <si>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 OCHO MIL CUATROCIENTOS CINCUENTA Y UN  PESOS 23/100 M.N. )
( CERO DÓLARES 00/100 USD )</t>
  </si>
  <si>
    <t>2.406.</t>
  </si>
  <si>
    <t xml:space="preserve">
RECUBRIMIENTO DE ENLACE EPÓXICO MODIFICADO AUTOIMPRIMANTE DE DOS COMPONENTES ALTOS SOLIDOS RI-41 MODIFICADO COLOR AMARILLO CATERPILAR (DOS CAPAS DE 2.5 MILÉSIMAS DE PULGADA ).
</t>
  </si>
  <si>
    <t>( DOS MIL SETECIENTOS CUATRO  PESOS 50/100 M.N. )
( CERO DÓLARES 00/100 USD )</t>
  </si>
  <si>
    <t xml:space="preserve">
SUBTOTAL ANEXO C-2
</t>
  </si>
  <si>
    <t>3.470.</t>
  </si>
  <si>
    <t xml:space="preserve">
LEVANTAMIENTO EN CAMPO CON PERSONAL ESPECIALISTA, INCLUYE HERRAMIENTA MENOR Y EQUIPO DE PROTECCIÓN PERSONAL. (INCLUYE PERSONAL, EQUIPO (LAPTOP) Y SOFTWARE).
</t>
  </si>
  <si>
    <t>( OCHOCIENTOS OCHO  PESOS 44/100 M.N. )
( CERO DÓLARES 00/100 USD )</t>
  </si>
  <si>
    <t xml:space="preserve"> </t>
  </si>
  <si>
    <t xml:space="preserve">
SOBRESTANTE (TUBERO - SOLDADOR)
</t>
  </si>
  <si>
    <t>4.18.</t>
  </si>
  <si>
    <t xml:space="preserve">
TÉCNICO ESPECIALISTA SISTEMA AUTOCAD
</t>
  </si>
  <si>
    <t>( DOS MIL CIENTO TREINTA Y CINCO  PESOS 10/100 M.N. )
( CERO DÓLARES 00/100 USD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</si>
  <si>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</si>
  <si>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</si>
  <si>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</si>
  <si>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</si>
  <si>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</si>
  <si>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</si>
  <si>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</si>
  <si>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</si>
  <si>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</si>
  <si>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</si>
  <si>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</si>
  <si>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</si>
  <si>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CERO PESOS 00/100 M.N. )
( ONCE MIL SETECIENTOS DIECIOCHO  DÓLARES 75/100 USD )</t>
  </si>
  <si>
    <t xml:space="preserve">
EQUIPOS OPTATIVO PARA TRABAJOS DE REHABILITACIÓN Y ADECUACIÓN 
</t>
  </si>
  <si>
    <t>5.120.</t>
  </si>
  <si>
    <t>( SETECIENTOS CINCUENTA  PESOS 00/100 M.N. )
( CERO DÓLARES 00/100 USD )</t>
  </si>
  <si>
    <t>5.122.</t>
  </si>
  <si>
    <t>( CINCUENTA Y SEIS  PESOS 60/100 M.N. )
( CERO DÓLARES 00/100 USD )</t>
  </si>
  <si>
    <t xml:space="preserve">
LEVANTADORA MONTACARGA DE CADENA DE:
</t>
  </si>
  <si>
    <t>5.124.</t>
  </si>
  <si>
    <t>( TREINTA Y SEIS  PESOS 60/100 M.N. )
( CERO DÓLARES 00/100 USD )</t>
  </si>
  <si>
    <t xml:space="preserve">
DIFERENCIAL DE CADENA DE:
</t>
  </si>
  <si>
    <t>5.127.</t>
  </si>
  <si>
    <t>( CIENTO TREINTA Y SIETE  PESOS 00/100 M.N. )
( CERO DÓLARES 00/100 USD )</t>
  </si>
  <si>
    <t>5.182.</t>
  </si>
  <si>
    <t xml:space="preserve">
HORNO ELÉCTRICO PORTÁTIL DE ALMACENAMIENTO DE ELECTRODOS (EN TIERRA).
</t>
  </si>
  <si>
    <t>( OCHENTA Y TRES  PESOS 34/100 M.N. )
( CERO DÓLARES 00/100 USD )</t>
  </si>
  <si>
    <t>5.183.</t>
  </si>
  <si>
    <t xml:space="preserve">
ESMERILADORA ELÉCTRICA DE 1HP. (EN TIERRA)
</t>
  </si>
  <si>
    <t>( TREINTA Y UN  PESOS 25/100 M.N. )
( CERO DÓLARES 00/100 USD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</si>
  <si>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</si>
  <si>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</si>
  <si>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</si>
  <si>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</si>
  <si>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DOS MIL SEISCIENTOS SETENTA Y OCHO  PESOS 86/100 M.N. )
( CERO DÓLARES 00/100 USD )</t>
  </si>
  <si>
    <t xml:space="preserve">
SUBTOTAL ANEXO C-3EXT
</t>
  </si>
  <si>
    <t xml:space="preserve">
PLACA LISA DE ¼" ESP.
</t>
  </si>
  <si>
    <t xml:space="preserve">
GRILLETES DE ACERO PARA
</t>
  </si>
  <si>
    <t>5.24.</t>
  </si>
  <si>
    <t xml:space="preserve">
GRILLETES DE ACERO PARA 25 TON.
</t>
  </si>
  <si>
    <t>( OCHENTA Y CINCO  PESOS 35/100 M.N. )
( CERO DÓLARES 00/100 USD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</si>
  <si>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</si>
  <si>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</si>
  <si>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</si>
  <si>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</si>
  <si>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</si>
  <si>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</si>
  <si>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 QUINCE MIL SETECIENTOS DOS  PESOS 45/100 M.N. )
( CERO DÓLARES 00/100 USD )</t>
  </si>
  <si>
    <t>5.94.</t>
  </si>
  <si>
    <t xml:space="preserve">
COMPRESOR Y EQUIPO DE CASCADA GRADO "D" 'O "E' MAYOR DE 10 PIES CÚBICOS POR MINUTO Y UNA PRESIÓN DE 5000 PSI.
</t>
  </si>
  <si>
    <t>( UN MIL QUINIENTOS  PESOS 00/100 M.N. )
( CERO DÓLARES 00/100 USD )</t>
  </si>
  <si>
    <t>5.111.</t>
  </si>
  <si>
    <t xml:space="preserve">
CAMIÓN CON PLATAFORMA DE 30 TON TIPO PLANA ( INCLUYE OPERADOR, ESTROBOS, GRILLETES Y GROMET´S).
</t>
  </si>
  <si>
    <t>( TRES MIL CIENTO VEINTICINCO  PESOS 00/100 M.N. )
( CERO DÓLARES 00/100 USD )</t>
  </si>
  <si>
    <t>5.123.</t>
  </si>
  <si>
    <t>( VEINTITRES  PESOS 30/100 M.N. )
( CERO DÓLARES 00/100 USD )</t>
  </si>
  <si>
    <t>5.126.</t>
  </si>
  <si>
    <t xml:space="preserve">
DIFERENCIAL DE CADENA DE 1 ½ TONELADAS.
</t>
  </si>
  <si>
    <t>( CIENTO DIECISEIS  PESOS 90/100 M.N. )
( CERO DÓLARES 00/100 USD )</t>
  </si>
  <si>
    <t>5.132.</t>
  </si>
  <si>
    <t>( VEINTIUN  PESOS 10/100 M.N. )
( CERO DÓLARES 00/100 USD )</t>
  </si>
  <si>
    <t>5.135.</t>
  </si>
  <si>
    <t>( OCHENTA Y TRES  PESOS 30/100 M.N. )
( CERO DÓLARES 00/100 USD )</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</si>
  <si>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</si>
  <si>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</si>
  <si>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 NUEVE MIL TREINTA Y NUEVE  PESOS 13/100 M.N. )
( CERO DÓLARES 00/100 USD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</si>
  <si>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</si>
  <si>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</si>
  <si>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 NUEVE MIL OCHOCIENTOS SESENTA Y OCHO  PESOS 62/100 M.N. )
( CERO DÓLARES 00/100 USD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</si>
  <si>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</si>
  <si>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</si>
  <si>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</si>
  <si>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</si>
  <si>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</si>
  <si>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</si>
  <si>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</si>
  <si>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</si>
  <si>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</si>
  <si>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 CUARENTA Y CINCO MIL OCHOCIENTOS TREINTA  PESOS 69/100 M.N. )
( CERO DÓLARES 00/100 USD )</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</si>
  <si>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</si>
  <si>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</si>
  <si>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 SEIS MIL DOSCIENTOS VEINTIDOS  PESOS 50/100 M.N. )
( CERO DÓLARES 00/100 USD )</t>
  </si>
  <si>
    <t>MES 1</t>
  </si>
  <si>
    <t>MES 2</t>
  </si>
  <si>
    <t>IMPORTE 
MES 3 M.N.</t>
  </si>
  <si>
    <t>IMPORTE 
MES 3 USD</t>
  </si>
  <si>
    <t>HOM/DÍA</t>
  </si>
  <si>
    <t xml:space="preserve">	LEVANTAMIENTO EN CAMPO CON PERSONAL ESPECIALISTA, INCLUYE HERRAMIENTA MENOR Y EQUIPO DE PROTECCION PERSONAL. (INCLUYE PERSONAL, EQUIPO (LAPTOP) Y SOFTWARE).</t>
  </si>
  <si>
    <t>TÉCNICO ESPECIALISTA SISTEMA AUTOCAD.</t>
  </si>
  <si>
    <t xml:space="preserve">
CABO DE OFICIOS
</t>
  </si>
  <si>
    <t xml:space="preserve">
SUPERVISOR ESPECIALISTA "A" (TIERRA)
</t>
  </si>
  <si>
    <t xml:space="preserve">
SUPERVISOR ESPECIALISTA "B" (TIERRA)
</t>
  </si>
  <si>
    <t>OPERARIO ESPECIALISTA.</t>
  </si>
  <si>
    <t xml:space="preserve">
LEVANTADORA MONTACARGA DE CADENA DE 1 ½ TONELADAS
</t>
  </si>
  <si>
    <t xml:space="preserve">
LEVANTADORA MONTACARGA DE CADENA DE 6 TONELADAS
</t>
  </si>
  <si>
    <t xml:space="preserve">
DIFERENCIAL DE CADENA DE 1½ TONELADAS
</t>
  </si>
  <si>
    <t xml:space="preserve">
DIFERENCIAL DE CADENA DE 3 TONELADAS
</t>
  </si>
  <si>
    <t xml:space="preserve">
DIFERENCIAL DE CADENA DE 5 TONELADAS
</t>
  </si>
  <si>
    <t xml:space="preserve">
DIFERENCIAL DE CADENA DE 10 TONELADAS
</t>
  </si>
  <si>
    <t xml:space="preserve">
GRILLETES DE ACERO PARA 10 TON
</t>
  </si>
  <si>
    <t xml:space="preserve">
GRILLETES DE ACERO PARA 15 TON
</t>
  </si>
  <si>
    <t xml:space="preserve">
GRILLETES DE ACERO PARA 25 TON
</t>
  </si>
  <si>
    <t xml:space="preserve">
UNIDAD DE ARCO AIRE (ARC-AIR). CON MANGUERA Y ACCESORIOS. INCLUYE CARBONES
</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</si>
  <si>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
</t>
  </si>
  <si>
    <t xml:space="preserve">
MULTÍMETRO DIGITAL CON LAS SIGUIENTES CAPACIDADES DE LECTURA: 0-750VAC, 0-1000 VDC, 0-10 ADC, 0-500MAAC, 0-50 MEGOHMS. MCA. FLUKE O EQUIVALENTE, QUE CUENTE CON CERTIFICACIÓN DE LA EMA
</t>
  </si>
  <si>
    <t xml:space="preserve">
MARROS DE BRONCE DE 12 LIBRAS
</t>
  </si>
  <si>
    <t xml:space="preserve">
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t>
  </si>
  <si>
    <t>COMPRESOR Y EQUIPO DE CASCADA GRADO "D" ‘O ‘’E’ MAYOR DE 10 PIES CÚBICOS POR MINUTO Y UNA PRESIÓN DE 5000 PSI.</t>
  </si>
  <si>
    <t xml:space="preserve">
CAMIÓN CON PLATAFORMA DE 30 TON Y GRÚA ARTICULADA CAP. 10 TON. (INCLUYE OPERADOR, ESTROBOS, GRILLETES Y GROMET´S)
</t>
  </si>
  <si>
    <t xml:space="preserve">
GRÚA DE 60 TON. (INCLUYE OPERADOR, ESTROBOS, GRILLETES Y GROMET´S)
</t>
  </si>
  <si>
    <t xml:space="preserve">
LEVANTADORA MONTACARGA DE CADENA DE 1½ TONELADAS
</t>
  </si>
  <si>
    <t xml:space="preserve">
LEVANTADORA MONTACARGA DE CADENA DE 3 TONELADAS
</t>
  </si>
  <si>
    <t xml:space="preserve">
DIFERENCIAL DE CADENA DE 1 ½ TONELADAS
</t>
  </si>
  <si>
    <t xml:space="preserve">
DIFERENCIAL DE CADENA DE 3 TONELADAS</t>
  </si>
  <si>
    <t xml:space="preserve">
ESMERILADORA ELECTRICA DE 1 HP. (EN TIERRA)
</t>
  </si>
  <si>
    <t xml:space="preserve">
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
</t>
  </si>
  <si>
    <t xml:space="preserve">
DIFERENCIAL DE CADENA DE 1½ TONELADAS</t>
  </si>
  <si>
    <t xml:space="preserve">
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</si>
  <si>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 xml:space="preserve">
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</si>
  <si>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t>
  </si>
  <si>
    <t>APLICACIÓN DE RECUBRIMIENTO PRIMARIO POLIMERO HIBRIDO DE DOS COMPONENTES NAPKO 4109 (UNA CAPA DE 4 MILESIMAS DE PULGADA POR ESPESOR), APLICACIÓN POR ASPERSIÓN, INCLUYE: LIMPIEZA DE LA SUPERFICIE MANUAL MECANICA, MATERIALES DE CONSUMO, PINTURA, SOLVENTES, LIMPIEZA DEL ÁREA DE TRABAJO. PARA APLICACION EN TUBERÍAS, CODOS, TEES, REDUCCIONES ETC. DE DIFERENTES DIÁMETROS, ASI COMO EN VIGAS, ANGULOS, SOLERAS ETC.</t>
  </si>
  <si>
    <t xml:space="preserve">
RECUBRIMIENTO DE ENLACE EPOXICO MODIFICADO AUTOIMPRIMANTE DE DOS COMPONENTES ALTOS SOLIDOS RI-41 MODIFICADO COLOR AMARILLO CATERPILAR (DOS CAPAS DE 2.5 MILÉSIMAS DE PULGADA ).</t>
  </si>
  <si>
    <t xml:space="preserve">
LEVANTAMIENTO EN CAMPO CON PERSONAL ESPECIALISTA, INCLUYE HERRAMIENTA MENOR Y EQUIPO DE PROTECCION PERSONAL. (INCLUYE PERSONAL, EQUIPO (LAPTOP) Y SOFTWARE).
</t>
  </si>
  <si>
    <t xml:space="preserve">
EQUIPO DE GENERACION ELECTRICA A BASE DE MOTOR DE COMBUSTION INTERNA CON RANGO DE 120 A 150 KVA CON SALIDA DE 220/440 VOLTS EQUIPADO CON AMPERIMETROS Y VOLTIMETROS VISIBLES Y CABLES.</t>
  </si>
  <si>
    <t xml:space="preserve">
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
</t>
  </si>
  <si>
    <t xml:space="preserve">
COMPRESOR Y EQUIPO DE CASCADA GRADO "D" ‘O ‘’E’ MAYOR DE 10 PIES CÚBICOS POR MINUTO Y UNA PRESIÓN DE 5000 PSI.
</t>
  </si>
  <si>
    <t xml:space="preserve">
CAMIÓN CON PLATAFORMA DE 30 TON Y GRÚA ARTICULADA CAP. 10 TON (INCLUYE OPERADOR, ESTROBOS, GRILLETES Y GROMET´S)
</t>
  </si>
  <si>
    <t xml:space="preserve">
CAMIÓN CON PLATAFORMA DE 30 TON TIPO PLANA (INCLUYE OPERADOR, ESTROBOS, GRILLETES Y GROMET´S)
</t>
  </si>
  <si>
    <t xml:space="preserve">
GRILLETES DE ACERO PARA 10 TON</t>
  </si>
  <si>
    <t xml:space="preserve">
EQUIPO DE APOYO (EMBARCACIÓN CON GRUA DE POSICIONAMIENTO DINÁMICO DP-II).
</t>
  </si>
  <si>
    <t xml:space="preserve">
EQUIPO DE APOYO (EMBARCACIÓN CON GRUA DE POSICIONAMIENTO DINÁMICO DP-II). EN ESPERA
</t>
  </si>
  <si>
    <t xml:space="preserve">
LIMPIEZA CON ARENA SILICA (MALLA) 16/35 O 8/35 INCLUYE MATERIALES DE CONSUMO, LIMPIEZA DEL ÁREA DE TRABAJO. DE ACUERDO A LA NORMA ETP-295-PEMEX-2013. COSTA FUERA.
</t>
  </si>
  <si>
    <t xml:space="preserve">
OPERARIO ESPECIALISTA.
</t>
  </si>
  <si>
    <t>LEVANTADORA MONTACARGA DE CADENA DE 1½ TONELADAS</t>
  </si>
  <si>
    <t xml:space="preserve">
UNIDAD DE ARCO AIRE (ARC-AIR). CON MANGUERA Y ACCESORIOS INCLUYE CARBONES
</t>
  </si>
  <si>
    <t xml:space="preserve">
HORNO ELECTRICO PORTATIL DE ALMACENAMIENTO DE ELECTRODOS (EN TIERRA)
</t>
  </si>
  <si>
    <t xml:space="preserve">
TÉCNICO ESPECIALISTA SISTEMA AUTOCAD.
</t>
  </si>
  <si>
    <t xml:space="preserve">
GRÚA DE 60 TON (INCLUYE OPERADOR, ESTROBOS, GRILLETES Y GROMET´S)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</si>
</sst>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5">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xf numFmtId="0" fontId="0" fillId="0" borderId="0" xfId="0" applyAlignment="1">
      <alignment wrapText="1"/>
    </xf>
  </cellXfs>
  <cellStyles count="3">
    <cellStyle name="Moneda" xfId="2" builtinId="4"/>
    <cellStyle name="Normal" xfId="0" builtinId="0"/>
    <cellStyle name="Normal 2" xfId="1" xr:uid="{A125DA83-AEAE-4E36-8FC3-ACF21A6A20AF}"/>
  </cellStyles>
  <dxfs count="90">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40" totalsRowCount="1" headerRowDxfId="89" dataDxfId="88">
  <autoFilter ref="C11:M139" xr:uid="{0D5C96FB-0DF1-4021-B930-6E971E8588FE}">
    <filterColumn colId="0">
      <filters>
        <filter val="5.123."/>
      </filters>
    </filterColumn>
  </autoFilter>
  <tableColumns count="11">
    <tableColumn id="1" xr3:uid="{DD420003-54D4-4434-B51B-5F91E43ADF1A}" name="PARTIDA" dataDxfId="18" totalsRowDxfId="8"/>
    <tableColumn id="2" xr3:uid="{82FDAF4C-BB73-4FFD-81C9-8C2C25575F8F}" name="CONCEPTO" dataDxfId="17" totalsRowDxfId="7"/>
    <tableColumn id="3" xr3:uid="{285D6E73-691B-4B68-BC69-D00FC9638C1E}" name="UNIDAD" dataDxfId="16" totalsRowDxfId="6"/>
    <tableColumn id="4" xr3:uid="{D9B73593-B3B1-49C2-8824-959E3C01985B}" name="VOLUMEN PTE" dataDxfId="15" totalsRowDxfId="5"/>
    <tableColumn id="5" xr3:uid="{A1ECBF3E-4919-4931-AACD-0FE77F751F47}" name="P.U. M.N." dataDxfId="14" totalsRowDxfId="4"/>
    <tableColumn id="6" xr3:uid="{2AF75FFD-258F-4D7F-97C5-77E3903BE5D7}" name="P.U. USD" dataDxfId="13" totalsRowDxfId="3"/>
    <tableColumn id="7" xr3:uid="{2A17FCA4-9973-47B4-B3C3-E1827106E98A}" name="PRECIO UNITARIO CON LETRA" dataDxfId="12" totalsRowDxfId="2"/>
    <tableColumn id="8" xr3:uid="{3A5C67D1-2017-467B-88C6-7A1D8AC88F51}" name="IMPORTE PTE M.N." dataDxfId="11" totalsRowDxfId="1"/>
    <tableColumn id="9" xr3:uid="{C7BBBF50-D460-49A6-9DC4-C665F499CA1E}" name="IMPORTE PTE USD" dataDxfId="10" totalsRowDxfId="0"/>
    <tableColumn id="10" xr3:uid="{71D5BDE9-DE7F-4AA3-9B02-484851D4A7AF}" name="Column64" dataDxfId="9"/>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87" dataDxfId="86">
  <autoFilter ref="C10:L145" xr:uid="{DFAF970C-DFD4-4BB3-8A55-E5CB19273DC7}"/>
  <tableColumns count="10">
    <tableColumn id="57" xr3:uid="{050B8709-AAC3-4F5D-93B0-EBF8A06245DF}" name="PARTIDA" dataDxfId="85"/>
    <tableColumn id="58" xr3:uid="{36727243-91DC-42DD-BDF7-B5B1935699CC}" name="CONCEPTO" dataDxfId="84"/>
    <tableColumn id="59" xr3:uid="{505A0CF5-F2EB-4AA0-AED6-074540D695A8}" name="UNIDAD" dataDxfId="83"/>
    <tableColumn id="60" xr3:uid="{8E7EEB30-D0F7-47F7-9178-1807042067A1}" name="VOLUMEN PTE" dataDxfId="82"/>
    <tableColumn id="61" xr3:uid="{45B467AE-A9EB-4432-9383-24A16B2033C5}" name="P.U. M.N." dataDxfId="81" dataCellStyle="Moneda"/>
    <tableColumn id="5" xr3:uid="{4F3AAE6B-B167-4957-A7C0-FF004F4315F9}" name="IMPORTE PTE M.N." dataDxfId="80" dataCellStyle="Moneda"/>
    <tableColumn id="63" xr3:uid="{E90B66F6-FB39-4723-ADC5-90D3046A8169}" name="IMPORTE _x000a_MES 1 M.N." dataDxfId="79" dataCellStyle="Moneda"/>
    <tableColumn id="1" xr3:uid="{EB6DAEB3-40D0-4159-8A95-CB7FC8E4E7A0}" name="IMPORTE _x000a_MES 2 M.N." dataDxfId="78"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77" dataDxfId="76">
  <autoFilter ref="C10:L22" xr:uid="{60666DF6-4B0E-4551-B7C9-9174934D7DA2}"/>
  <tableColumns count="10">
    <tableColumn id="57" xr3:uid="{68E06E9F-909D-4197-8FB6-72B8CB51817B}" name="PARTIDA" dataDxfId="75"/>
    <tableColumn id="58" xr3:uid="{E825ED6E-4023-4AD9-BEBD-A3713ABB1CA3}" name="CONCEPTO" dataDxfId="74"/>
    <tableColumn id="59" xr3:uid="{165A444A-2901-4C59-ABC1-10127BAE42D1}" name="UNIDAD" dataDxfId="73"/>
    <tableColumn id="60" xr3:uid="{6E250D6D-78FB-47E9-AC71-89535F0E0DE3}" name="VOLUMEN PTE" dataDxfId="72"/>
    <tableColumn id="61" xr3:uid="{13455D6D-0887-491A-9BE6-909798505EF3}" name="P.U. USD" dataDxfId="71" dataCellStyle="Moneda"/>
    <tableColumn id="62" xr3:uid="{5155EF33-EB5E-49DA-9951-77A8916C00D3}" name="IMPORTE PTE USD" dataDxfId="70" dataCellStyle="Moneda"/>
    <tableColumn id="63" xr3:uid="{A9257C49-B624-4CF7-AFE2-2D19A9D54CF1}" name="IMPORTE _x000a_MES 1 USD" dataDxfId="69" dataCellStyle="Moneda"/>
    <tableColumn id="1" xr3:uid="{20888258-EE95-4C27-886D-0E6CDB39735B}" name="IMPORTE _x000a_MES 2 USD" dataDxfId="68" dataCellStyle="Moneda"/>
    <tableColumn id="2" xr3:uid="{389BB3FF-7F36-4D42-909A-D1FABE919FFD}" name="IMPORTE _x000a_MES 3 USD" dataCellStyle="Moneda"/>
    <tableColumn id="5" xr3:uid="{6D69F4D7-435E-45B2-9387-979CA0194528}" name="Column65" dataDxfId="67"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27" totalsRowShown="0" headerRowDxfId="66" dataDxfId="64" headerRowBorderDxfId="65">
  <autoFilter ref="C10:L127" xr:uid="{00D27DFA-3C9D-4E76-8314-BBAD3CE58A04}"/>
  <tableColumns count="10">
    <tableColumn id="57" xr3:uid="{E1411861-9DF6-4DB7-A466-009CF4461D0A}" name="PARTIDA" dataDxfId="63"/>
    <tableColumn id="58" xr3:uid="{FD0966CD-BCDD-4084-B86F-E266AF16EC34}" name="CONCEPTO" dataDxfId="62"/>
    <tableColumn id="59" xr3:uid="{C5026A65-AECD-46F1-B16C-635A67188495}" name="UNIDAD" dataDxfId="61"/>
    <tableColumn id="60" xr3:uid="{432399D8-D331-4AA1-8034-69FF818D558F}" name="VOLUMEN PTE" dataDxfId="60"/>
    <tableColumn id="61" xr3:uid="{290DA53E-1986-4DA5-BCA5-9123C66E2B1C}" name="VOLUMEN 1" dataDxfId="59"/>
    <tableColumn id="1" xr3:uid="{E4B4A224-2BE0-4143-85BF-157A5DE86649}" name="VOLUMEN 2" dataDxfId="58"/>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57" dataDxfId="55" headerRowBorderDxfId="56">
  <autoFilter ref="C10:L21" xr:uid="{2AA14215-4139-4015-ACDB-36DEC1C75ED4}"/>
  <tableColumns count="10">
    <tableColumn id="57" xr3:uid="{8A3BB9BE-D1F0-4323-A142-1702E876A8EB}" name="PARTIDA" dataDxfId="54"/>
    <tableColumn id="58" xr3:uid="{99CAA9F2-2313-4BEB-95B6-3E750F006CE0}" name="CONCEPTO" dataDxfId="53"/>
    <tableColumn id="59" xr3:uid="{A92108EF-7E09-4AEE-B148-B4752ACBFCE5}" name="UNIDAD" dataDxfId="52"/>
    <tableColumn id="60" xr3:uid="{4C3D5644-2187-43AD-9D62-9B404A973F85}" name="VOLUMEN PTE" dataDxfId="51"/>
    <tableColumn id="61" xr3:uid="{1AEFA2FA-3ED2-4A4A-AFB6-A50C24BB2C58}" name="VOLUMEN 1" dataDxfId="50"/>
    <tableColumn id="1" xr3:uid="{ED2BBA7B-D0D2-467A-BE5B-3069DBAB10F0}" name="VOLUMEN 2" dataDxfId="49"/>
    <tableColumn id="2" xr3:uid="{699CFA93-3847-47FD-B0FF-7C08B7321D3F}" name="VOLUMEN 3" dataDxfId="48"/>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154</v>
      </c>
    </row>
    <row r="4" spans="2:3" s="1" customFormat="1" ht="15" customHeight="1" x14ac:dyDescent="0.25">
      <c r="B4" s="1" t="s">
        <v>155</v>
      </c>
    </row>
    <row r="5" spans="2:3" s="1" customFormat="1" ht="15" customHeight="1" x14ac:dyDescent="0.25">
      <c r="B5" s="1" t="s">
        <v>156</v>
      </c>
    </row>
    <row r="6" spans="2:3" s="1" customFormat="1" ht="15" customHeight="1" x14ac:dyDescent="0.25">
      <c r="B6" s="1" t="s">
        <v>157</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318</v>
      </c>
    </row>
    <row r="12" spans="2:3" s="1" customFormat="1" ht="15" customHeight="1" x14ac:dyDescent="0.25">
      <c r="B12" s="1" t="s">
        <v>319</v>
      </c>
    </row>
    <row r="13" spans="2:3" s="1" customFormat="1" ht="15" customHeight="1" x14ac:dyDescent="0.25">
      <c r="B13" s="1" t="s">
        <v>317</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topLeftCell="A2" zoomScale="70" zoomScaleNormal="100" zoomScaleSheetLayoutView="70" workbookViewId="0">
      <selection activeCell="D140" sqref="D140"/>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5" t="str">
        <f>DATOS!B14</f>
        <v>ANEXO "C"</v>
      </c>
      <c r="D1" s="95"/>
      <c r="E1" s="95"/>
      <c r="F1" s="95"/>
      <c r="G1" s="95"/>
      <c r="H1" s="95"/>
      <c r="I1" s="95"/>
      <c r="J1" s="95"/>
      <c r="K1" s="95"/>
      <c r="L1" s="28"/>
      <c r="M1" s="28"/>
      <c r="N1" s="28"/>
      <c r="O1" s="28"/>
    </row>
    <row r="2" spans="1:15" ht="12.75" customHeight="1" x14ac:dyDescent="0.25">
      <c r="A2" s="3"/>
      <c r="B2" s="3"/>
      <c r="C2" s="96" t="str">
        <f>DATOS!C14</f>
        <v>CATALOGO DE CONCEPTOS</v>
      </c>
      <c r="D2" s="96"/>
      <c r="E2" s="96"/>
      <c r="F2" s="96"/>
      <c r="G2" s="96"/>
      <c r="H2" s="96"/>
      <c r="I2" s="96"/>
      <c r="J2" s="96"/>
      <c r="K2" s="96"/>
      <c r="L2" s="29"/>
      <c r="M2" s="29"/>
      <c r="N2" s="29"/>
      <c r="O2" s="29"/>
    </row>
    <row r="3" spans="1:15" ht="15" customHeight="1" x14ac:dyDescent="0.25">
      <c r="A3" s="3"/>
      <c r="B3" s="3"/>
      <c r="C3" s="98" t="str">
        <f>DATOS!B8</f>
        <v>CONTRATO: 648233801</v>
      </c>
      <c r="D3" s="98"/>
      <c r="E3" s="98"/>
      <c r="F3" s="98"/>
      <c r="G3" s="98"/>
      <c r="H3" s="98"/>
      <c r="I3" s="98"/>
      <c r="J3" s="98"/>
      <c r="K3" s="98"/>
      <c r="L3" s="30"/>
      <c r="M3" s="30"/>
      <c r="N3" s="30"/>
      <c r="O3" s="30"/>
    </row>
    <row r="4" spans="1:15" ht="29.25" customHeight="1" x14ac:dyDescent="0.25">
      <c r="A4" s="3"/>
      <c r="B4" s="3"/>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97"/>
      <c r="L4" s="5"/>
      <c r="M4" s="5"/>
      <c r="N4" s="5"/>
      <c r="O4" s="5"/>
    </row>
    <row r="5" spans="1:15" ht="15" customHeight="1" x14ac:dyDescent="0.25">
      <c r="A5" s="3"/>
      <c r="B5" s="3"/>
      <c r="C5" s="97" t="str">
        <f>DATOS!B11</f>
        <v>OBJETO DE LOS TRABAJOS: “REHABILITACION DE TECHUMBRE EN CUARTO DE CONTROL DE LA PLATAFORMA DE TELECOMUNICACIONES DEL CP POL-A”</v>
      </c>
      <c r="D5" s="97"/>
      <c r="E5" s="97"/>
      <c r="F5" s="97"/>
      <c r="G5" s="97"/>
      <c r="H5" s="97"/>
      <c r="I5" s="97"/>
      <c r="J5" s="97"/>
      <c r="K5" s="97"/>
      <c r="L5" s="29"/>
      <c r="M5" s="29"/>
      <c r="N5" s="29"/>
      <c r="O5" s="29"/>
    </row>
    <row r="6" spans="1:15" ht="12.75" customHeight="1" x14ac:dyDescent="0.25">
      <c r="A6" s="3"/>
      <c r="B6" s="3"/>
      <c r="C6" s="94" t="str">
        <f>DATOS!B13</f>
        <v>PLAZO DE EJECUCIÓN: 59 DÍAS NATURALES.</v>
      </c>
      <c r="D6" s="94"/>
      <c r="E6" s="94"/>
      <c r="F6" s="94"/>
      <c r="G6" s="94"/>
      <c r="H6" s="94"/>
      <c r="I6" s="94"/>
      <c r="J6" s="94"/>
      <c r="K6" s="94"/>
      <c r="L6" s="31"/>
      <c r="M6" s="31"/>
      <c r="N6" s="31"/>
      <c r="O6" s="31"/>
    </row>
    <row r="7" spans="1:15" ht="25.05" customHeight="1" x14ac:dyDescent="0.25">
      <c r="A7" s="3"/>
      <c r="B7" s="3"/>
      <c r="C7" s="93" t="str">
        <f>DATOS!B12</f>
        <v>PROPUESTA TECNICA Y ECONOMICA No. BME-801-118-2025</v>
      </c>
      <c r="D7" s="93"/>
      <c r="E7" s="93"/>
      <c r="F7" s="93"/>
      <c r="G7" s="93"/>
      <c r="H7" s="93"/>
      <c r="I7" s="93"/>
      <c r="J7" s="93"/>
      <c r="K7" s="93"/>
      <c r="L7" s="32"/>
      <c r="M7" s="32"/>
      <c r="N7" s="32"/>
      <c r="O7" s="32"/>
    </row>
    <row r="8" spans="1:15" ht="17.399999999999999" customHeight="1" x14ac:dyDescent="0.25">
      <c r="A8" s="3"/>
      <c r="B8" s="3"/>
      <c r="C8" s="90" t="s">
        <v>0</v>
      </c>
      <c r="D8" s="90" t="s">
        <v>1</v>
      </c>
      <c r="E8" s="90" t="s">
        <v>2</v>
      </c>
      <c r="F8" s="92" t="s">
        <v>24</v>
      </c>
      <c r="G8" s="91" t="s">
        <v>19</v>
      </c>
      <c r="H8" s="91"/>
      <c r="I8" s="90" t="s">
        <v>22</v>
      </c>
      <c r="J8" s="91" t="s">
        <v>23</v>
      </c>
      <c r="K8" s="91"/>
      <c r="L8" s="34"/>
      <c r="M8" s="34"/>
      <c r="N8" s="34"/>
      <c r="O8" s="34"/>
    </row>
    <row r="9" spans="1:15" ht="14.4" x14ac:dyDescent="0.25">
      <c r="A9" s="3"/>
      <c r="B9" s="3"/>
      <c r="C9" s="90"/>
      <c r="D9" s="90"/>
      <c r="E9" s="90"/>
      <c r="F9" s="92"/>
      <c r="G9" s="85" t="s">
        <v>20</v>
      </c>
      <c r="H9" s="85" t="s">
        <v>21</v>
      </c>
      <c r="I9" s="90"/>
      <c r="J9" s="85" t="s">
        <v>20</v>
      </c>
      <c r="K9" s="85" t="s">
        <v>36</v>
      </c>
      <c r="L9" s="34"/>
      <c r="M9" s="34"/>
      <c r="N9" s="34"/>
      <c r="O9" s="34"/>
    </row>
    <row r="10" spans="1:15" x14ac:dyDescent="0.25">
      <c r="A10" s="7"/>
      <c r="B10" s="7"/>
      <c r="C10" s="7"/>
      <c r="D10" s="7"/>
      <c r="E10" s="7"/>
      <c r="F10" s="7"/>
      <c r="G10" s="8"/>
      <c r="H10" s="7"/>
      <c r="I10" s="37"/>
      <c r="J10" s="9"/>
      <c r="K10" s="9"/>
      <c r="L10" s="9"/>
      <c r="M10" s="9"/>
      <c r="N10" s="9"/>
      <c r="O10" s="9"/>
    </row>
    <row r="11" spans="1:15" ht="13.05" customHeight="1" x14ac:dyDescent="0.25">
      <c r="A11" s="7"/>
      <c r="B11" s="7"/>
      <c r="C11" s="10" t="s">
        <v>0</v>
      </c>
      <c r="D11" s="10" t="s">
        <v>1</v>
      </c>
      <c r="E11" s="10" t="s">
        <v>2</v>
      </c>
      <c r="F11" s="11" t="s">
        <v>5</v>
      </c>
      <c r="G11" s="12" t="s">
        <v>3</v>
      </c>
      <c r="H11" s="12" t="s">
        <v>4</v>
      </c>
      <c r="I11" s="38" t="s">
        <v>22</v>
      </c>
      <c r="J11" s="12" t="s">
        <v>6</v>
      </c>
      <c r="K11" s="12" t="s">
        <v>7</v>
      </c>
      <c r="L11" t="s">
        <v>39</v>
      </c>
      <c r="M11" t="s">
        <v>153</v>
      </c>
    </row>
    <row r="12" spans="1:15" s="4" customFormat="1" ht="55.2" hidden="1" x14ac:dyDescent="0.3">
      <c r="A12" s="29"/>
      <c r="B12" s="29"/>
      <c r="C12" s="43" t="s">
        <v>226</v>
      </c>
      <c r="D12" s="65" t="s">
        <v>227</v>
      </c>
      <c r="E12" s="43"/>
      <c r="F12" s="75"/>
      <c r="G12" s="44"/>
      <c r="H12" s="44"/>
      <c r="I12" s="17"/>
      <c r="J12" s="44"/>
      <c r="K12" s="44"/>
      <c r="M12"/>
    </row>
    <row r="13" spans="1:15" s="4" customFormat="1" ht="55.2" hidden="1" x14ac:dyDescent="0.3">
      <c r="A13" s="3"/>
      <c r="B13" s="3"/>
      <c r="C13" s="43"/>
      <c r="D13" s="65" t="s">
        <v>320</v>
      </c>
      <c r="E13" s="43"/>
      <c r="F13" s="75"/>
      <c r="G13" s="44"/>
      <c r="H13" s="44"/>
      <c r="I13" s="17"/>
      <c r="J13" s="44"/>
      <c r="K13" s="44"/>
      <c r="M13"/>
    </row>
    <row r="14" spans="1:15" s="4" customFormat="1" ht="46.5" hidden="1" customHeight="1" x14ac:dyDescent="0.3">
      <c r="A14" s="3"/>
      <c r="B14" s="3"/>
      <c r="C14" s="43" t="s">
        <v>321</v>
      </c>
      <c r="D14" s="65" t="s">
        <v>322</v>
      </c>
      <c r="E14" s="43" t="s">
        <v>221</v>
      </c>
      <c r="F14" s="75">
        <v>3.5000000000000003E-2</v>
      </c>
      <c r="G14" s="44">
        <v>166256.66</v>
      </c>
      <c r="H14" s="44">
        <v>0</v>
      </c>
      <c r="I14" s="17" t="s">
        <v>323</v>
      </c>
      <c r="J14" s="44">
        <v>5818.98</v>
      </c>
      <c r="K14" s="44">
        <v>0</v>
      </c>
      <c r="M14"/>
    </row>
    <row r="15" spans="1:15" s="4" customFormat="1" ht="54" hidden="1" customHeight="1" x14ac:dyDescent="0.3">
      <c r="A15" s="3"/>
      <c r="B15" s="3"/>
      <c r="C15" s="43"/>
      <c r="D15" s="17" t="s">
        <v>324</v>
      </c>
      <c r="E15" s="43"/>
      <c r="F15" s="75"/>
      <c r="G15" s="44"/>
      <c r="H15" s="44"/>
      <c r="I15" s="17"/>
      <c r="J15" s="44"/>
      <c r="K15" s="44"/>
      <c r="M15"/>
    </row>
    <row r="16" spans="1:15" s="4" customFormat="1" ht="41.4" hidden="1" x14ac:dyDescent="0.3">
      <c r="A16" s="3"/>
      <c r="B16" s="3"/>
      <c r="C16" s="43" t="s">
        <v>325</v>
      </c>
      <c r="D16" s="65" t="s">
        <v>284</v>
      </c>
      <c r="E16" s="43" t="s">
        <v>221</v>
      </c>
      <c r="F16" s="75">
        <v>5.1100000000000003</v>
      </c>
      <c r="G16" s="44">
        <v>45830.69</v>
      </c>
      <c r="H16" s="44">
        <v>0</v>
      </c>
      <c r="I16" s="17" t="s">
        <v>326</v>
      </c>
      <c r="J16" s="44">
        <v>234194.83</v>
      </c>
      <c r="K16" s="44">
        <v>0</v>
      </c>
      <c r="M16"/>
    </row>
    <row r="17" spans="1:13" s="4" customFormat="1" ht="41.4" hidden="1" x14ac:dyDescent="0.3">
      <c r="A17" s="3"/>
      <c r="B17" s="3"/>
      <c r="C17" s="43"/>
      <c r="D17" s="65" t="s">
        <v>228</v>
      </c>
      <c r="E17" s="43"/>
      <c r="F17" s="75"/>
      <c r="G17" s="44"/>
      <c r="H17" s="44"/>
      <c r="I17" s="17"/>
      <c r="J17" s="44"/>
      <c r="K17" s="44"/>
      <c r="M17"/>
    </row>
    <row r="18" spans="1:13" s="4" customFormat="1" ht="55.2" hidden="1" x14ac:dyDescent="0.3">
      <c r="A18" s="3"/>
      <c r="B18" s="3"/>
      <c r="C18" s="43" t="s">
        <v>229</v>
      </c>
      <c r="D18" s="65" t="s">
        <v>230</v>
      </c>
      <c r="E18" s="43" t="s">
        <v>205</v>
      </c>
      <c r="F18" s="75">
        <v>200</v>
      </c>
      <c r="G18" s="44">
        <v>4125.53</v>
      </c>
      <c r="H18" s="44">
        <v>0</v>
      </c>
      <c r="I18" s="17" t="s">
        <v>232</v>
      </c>
      <c r="J18" s="44">
        <v>825106</v>
      </c>
      <c r="K18" s="44">
        <v>0</v>
      </c>
      <c r="M18"/>
    </row>
    <row r="19" spans="1:13" s="4" customFormat="1" ht="27.6" hidden="1" x14ac:dyDescent="0.3">
      <c r="A19" s="3"/>
      <c r="B19" s="3"/>
      <c r="C19" s="43" t="s">
        <v>233</v>
      </c>
      <c r="D19" t="s">
        <v>368</v>
      </c>
      <c r="E19" s="43" t="s">
        <v>205</v>
      </c>
      <c r="F19" s="75">
        <v>200</v>
      </c>
      <c r="G19" s="44">
        <v>8451.23</v>
      </c>
      <c r="H19" s="44">
        <v>0</v>
      </c>
      <c r="I19" s="17" t="s">
        <v>235</v>
      </c>
      <c r="J19" s="44">
        <v>1690246</v>
      </c>
      <c r="K19" s="44">
        <v>0</v>
      </c>
      <c r="M19"/>
    </row>
    <row r="20" spans="1:13" s="4" customFormat="1" ht="53.4" hidden="1" x14ac:dyDescent="0.3">
      <c r="A20" s="3"/>
      <c r="B20" s="3"/>
      <c r="C20" s="43" t="s">
        <v>236</v>
      </c>
      <c r="D20" s="104" t="s">
        <v>369</v>
      </c>
      <c r="E20" s="43" t="s">
        <v>205</v>
      </c>
      <c r="F20" s="75">
        <v>200</v>
      </c>
      <c r="G20" s="44">
        <v>2704.5</v>
      </c>
      <c r="H20" s="44">
        <v>0</v>
      </c>
      <c r="I20" s="17" t="s">
        <v>238</v>
      </c>
      <c r="J20" s="44">
        <v>540900</v>
      </c>
      <c r="K20" s="44">
        <v>0</v>
      </c>
      <c r="M20"/>
    </row>
    <row r="21" spans="1:13" s="4" customFormat="1" ht="41.4" hidden="1" x14ac:dyDescent="0.3">
      <c r="A21" s="3"/>
      <c r="B21" s="3"/>
      <c r="C21" s="43"/>
      <c r="D21" s="65" t="s">
        <v>239</v>
      </c>
      <c r="E21" s="43"/>
      <c r="F21" s="75"/>
      <c r="G21" s="44"/>
      <c r="H21" s="44"/>
      <c r="I21" s="17"/>
      <c r="J21" s="44">
        <v>3296265.81</v>
      </c>
      <c r="K21" s="44">
        <v>0</v>
      </c>
      <c r="M21"/>
    </row>
    <row r="22" spans="1:13" s="4" customFormat="1" ht="43.5" hidden="1" customHeight="1" x14ac:dyDescent="0.3">
      <c r="A22" s="3"/>
      <c r="B22" s="3"/>
      <c r="C22" s="43" t="s">
        <v>219</v>
      </c>
      <c r="D22" s="65" t="s">
        <v>220</v>
      </c>
      <c r="E22" s="43"/>
      <c r="F22" s="75"/>
      <c r="G22" s="44"/>
      <c r="H22" s="44"/>
      <c r="I22" s="17"/>
      <c r="J22" s="44"/>
      <c r="K22" s="44"/>
      <c r="M22"/>
    </row>
    <row r="23" spans="1:13" s="4" customFormat="1" ht="41.4" hidden="1" x14ac:dyDescent="0.3">
      <c r="A23" s="3"/>
      <c r="B23" s="3"/>
      <c r="C23" s="43"/>
      <c r="D23" s="65" t="s">
        <v>192</v>
      </c>
      <c r="E23" s="43"/>
      <c r="F23" s="75"/>
      <c r="G23" s="44"/>
      <c r="H23" s="44"/>
      <c r="I23" s="17"/>
      <c r="J23" s="44"/>
      <c r="K23" s="44"/>
      <c r="M23"/>
    </row>
    <row r="24" spans="1:13" s="4" customFormat="1" ht="43.5" hidden="1" customHeight="1" x14ac:dyDescent="0.3">
      <c r="A24" s="3"/>
      <c r="B24" s="3"/>
      <c r="C24" s="43" t="s">
        <v>240</v>
      </c>
      <c r="D24" s="104" t="s">
        <v>370</v>
      </c>
      <c r="E24" s="43" t="s">
        <v>193</v>
      </c>
      <c r="F24" s="75">
        <v>120</v>
      </c>
      <c r="G24" s="44">
        <v>808.44</v>
      </c>
      <c r="H24" s="44">
        <v>0</v>
      </c>
      <c r="I24" s="17" t="s">
        <v>242</v>
      </c>
      <c r="J24" s="44">
        <v>97012.800000000003</v>
      </c>
      <c r="K24" s="44">
        <v>0</v>
      </c>
      <c r="L24" s="4" t="s">
        <v>243</v>
      </c>
      <c r="M24"/>
    </row>
    <row r="25" spans="1:13" s="4" customFormat="1" ht="41.4" hidden="1" x14ac:dyDescent="0.3">
      <c r="A25" s="3"/>
      <c r="B25" s="3"/>
      <c r="C25" s="43"/>
      <c r="D25" s="65" t="s">
        <v>37</v>
      </c>
      <c r="E25" s="43"/>
      <c r="F25" s="75"/>
      <c r="G25" s="44"/>
      <c r="H25" s="44"/>
      <c r="I25" s="17"/>
      <c r="J25" s="44">
        <v>97012.800000000003</v>
      </c>
      <c r="K25" s="44">
        <v>0</v>
      </c>
      <c r="M25"/>
    </row>
    <row r="26" spans="1:13" s="4" customFormat="1" ht="55.2" hidden="1" x14ac:dyDescent="0.3">
      <c r="A26" s="3"/>
      <c r="B26" s="3"/>
      <c r="C26" s="43" t="s">
        <v>40</v>
      </c>
      <c r="D26" s="65" t="s">
        <v>41</v>
      </c>
      <c r="E26" s="43"/>
      <c r="F26" s="75"/>
      <c r="G26" s="44"/>
      <c r="H26" s="44"/>
      <c r="I26" s="17"/>
      <c r="J26" s="44"/>
      <c r="K26" s="44"/>
      <c r="M26"/>
    </row>
    <row r="27" spans="1:13" s="4" customFormat="1" ht="41.4" hidden="1" x14ac:dyDescent="0.3">
      <c r="A27" s="3"/>
      <c r="B27" s="3"/>
      <c r="C27" s="43"/>
      <c r="D27" s="65" t="s">
        <v>42</v>
      </c>
      <c r="E27" s="43"/>
      <c r="F27" s="75"/>
      <c r="G27" s="44"/>
      <c r="H27" s="44"/>
      <c r="I27" s="17"/>
      <c r="J27" s="44"/>
      <c r="K27" s="44"/>
      <c r="M27"/>
    </row>
    <row r="28" spans="1:13" s="4" customFormat="1" ht="41.4" hidden="1" x14ac:dyDescent="0.3">
      <c r="A28" s="3"/>
      <c r="B28" s="3"/>
      <c r="C28" s="43" t="s">
        <v>47</v>
      </c>
      <c r="D28" s="65" t="s">
        <v>48</v>
      </c>
      <c r="E28" s="43" t="s">
        <v>45</v>
      </c>
      <c r="F28" s="75">
        <v>666</v>
      </c>
      <c r="G28" s="44">
        <v>2369.0100000000002</v>
      </c>
      <c r="H28" s="44">
        <v>0</v>
      </c>
      <c r="I28" s="17" t="s">
        <v>49</v>
      </c>
      <c r="J28" s="44">
        <v>1577760.66</v>
      </c>
      <c r="K28" s="44">
        <v>0</v>
      </c>
      <c r="M28"/>
    </row>
    <row r="29" spans="1:13" s="4" customFormat="1" ht="41.4" hidden="1" x14ac:dyDescent="0.3">
      <c r="A29" s="3"/>
      <c r="B29" s="3"/>
      <c r="C29" s="43" t="s">
        <v>50</v>
      </c>
      <c r="D29" s="65" t="s">
        <v>51</v>
      </c>
      <c r="E29" s="43" t="s">
        <v>45</v>
      </c>
      <c r="F29" s="75">
        <v>74</v>
      </c>
      <c r="G29" s="44">
        <v>2861.56</v>
      </c>
      <c r="H29" s="44">
        <v>0</v>
      </c>
      <c r="I29" s="17" t="s">
        <v>52</v>
      </c>
      <c r="J29" s="44">
        <v>211755.44</v>
      </c>
      <c r="K29" s="44">
        <v>0</v>
      </c>
      <c r="M29"/>
    </row>
    <row r="30" spans="1:13" s="4" customFormat="1" ht="41.4" hidden="1" x14ac:dyDescent="0.3">
      <c r="A30" s="3"/>
      <c r="B30" s="3"/>
      <c r="C30" s="43" t="s">
        <v>63</v>
      </c>
      <c r="D30" s="65" t="s">
        <v>64</v>
      </c>
      <c r="E30" s="43" t="s">
        <v>45</v>
      </c>
      <c r="F30" s="75">
        <v>74</v>
      </c>
      <c r="G30" s="44">
        <v>3013.83</v>
      </c>
      <c r="H30" s="44">
        <v>0</v>
      </c>
      <c r="I30" s="17" t="s">
        <v>65</v>
      </c>
      <c r="J30" s="44">
        <v>223023.42</v>
      </c>
      <c r="K30" s="44">
        <v>0</v>
      </c>
      <c r="M30"/>
    </row>
    <row r="31" spans="1:13" s="4" customFormat="1" ht="41.4" hidden="1" x14ac:dyDescent="0.3">
      <c r="A31" s="3"/>
      <c r="B31" s="3"/>
      <c r="C31" s="43" t="s">
        <v>68</v>
      </c>
      <c r="D31" s="17" t="s">
        <v>384</v>
      </c>
      <c r="E31" s="43" t="s">
        <v>45</v>
      </c>
      <c r="F31" s="75">
        <v>37</v>
      </c>
      <c r="G31" s="44">
        <v>2553.58</v>
      </c>
      <c r="H31" s="44">
        <v>0</v>
      </c>
      <c r="I31" s="17" t="s">
        <v>70</v>
      </c>
      <c r="J31" s="44">
        <v>94482.46</v>
      </c>
      <c r="K31" s="44">
        <v>0</v>
      </c>
      <c r="M31"/>
    </row>
    <row r="32" spans="1:13" s="4" customFormat="1" ht="41.4" hidden="1" x14ac:dyDescent="0.3">
      <c r="C32" s="43" t="s">
        <v>71</v>
      </c>
      <c r="D32" s="65" t="s">
        <v>72</v>
      </c>
      <c r="E32" s="43" t="s">
        <v>45</v>
      </c>
      <c r="F32" s="75">
        <v>74</v>
      </c>
      <c r="G32" s="44">
        <v>5397.2</v>
      </c>
      <c r="H32" s="44">
        <v>0</v>
      </c>
      <c r="I32" s="17" t="s">
        <v>73</v>
      </c>
      <c r="J32" s="44">
        <v>399392.8</v>
      </c>
      <c r="K32" s="44">
        <v>0</v>
      </c>
      <c r="M32"/>
    </row>
    <row r="33" spans="3:13" s="4" customFormat="1" ht="41.4" hidden="1" x14ac:dyDescent="0.3">
      <c r="C33" s="43" t="s">
        <v>206</v>
      </c>
      <c r="D33" s="65" t="s">
        <v>207</v>
      </c>
      <c r="E33" s="43" t="s">
        <v>45</v>
      </c>
      <c r="F33" s="75">
        <v>170</v>
      </c>
      <c r="G33" s="44">
        <v>5397.2</v>
      </c>
      <c r="H33" s="44">
        <v>0</v>
      </c>
      <c r="I33" s="17" t="s">
        <v>73</v>
      </c>
      <c r="J33" s="44">
        <v>917524</v>
      </c>
      <c r="K33" s="44">
        <v>0</v>
      </c>
      <c r="M33"/>
    </row>
    <row r="34" spans="3:13" s="4" customFormat="1" ht="41.4" hidden="1" x14ac:dyDescent="0.3">
      <c r="C34" s="43" t="s">
        <v>208</v>
      </c>
      <c r="D34" s="65" t="s">
        <v>209</v>
      </c>
      <c r="E34" s="43" t="s">
        <v>45</v>
      </c>
      <c r="F34" s="75">
        <v>74</v>
      </c>
      <c r="G34" s="44">
        <v>5397.2</v>
      </c>
      <c r="H34" s="44">
        <v>0</v>
      </c>
      <c r="I34" s="17" t="s">
        <v>73</v>
      </c>
      <c r="J34" s="44">
        <v>399392.8</v>
      </c>
      <c r="K34" s="44">
        <v>0</v>
      </c>
      <c r="M34"/>
    </row>
    <row r="35" spans="3:13" s="4" customFormat="1" ht="41.4" hidden="1" x14ac:dyDescent="0.3">
      <c r="C35" s="43"/>
      <c r="D35" s="65" t="s">
        <v>74</v>
      </c>
      <c r="E35" s="43"/>
      <c r="F35" s="75"/>
      <c r="G35" s="44"/>
      <c r="H35" s="44"/>
      <c r="I35" s="17"/>
      <c r="J35" s="44"/>
      <c r="K35" s="44"/>
      <c r="M35"/>
    </row>
    <row r="36" spans="3:13" s="4" customFormat="1" ht="41.4" hidden="1" x14ac:dyDescent="0.3">
      <c r="C36" s="43" t="s">
        <v>75</v>
      </c>
      <c r="D36" s="65" t="s">
        <v>76</v>
      </c>
      <c r="E36" s="43" t="s">
        <v>45</v>
      </c>
      <c r="F36" s="75">
        <v>74</v>
      </c>
      <c r="G36" s="44">
        <v>4283.63</v>
      </c>
      <c r="H36" s="44">
        <v>0</v>
      </c>
      <c r="I36" s="17" t="s">
        <v>77</v>
      </c>
      <c r="J36" s="44">
        <v>316988.62</v>
      </c>
      <c r="K36" s="44">
        <v>0</v>
      </c>
      <c r="M36"/>
    </row>
    <row r="37" spans="3:13" s="4" customFormat="1" ht="41.4" hidden="1" x14ac:dyDescent="0.3">
      <c r="C37" s="43" t="s">
        <v>78</v>
      </c>
      <c r="D37" s="65" t="s">
        <v>79</v>
      </c>
      <c r="E37" s="43" t="s">
        <v>45</v>
      </c>
      <c r="F37" s="75">
        <v>148</v>
      </c>
      <c r="G37" s="44">
        <v>2570.1799999999998</v>
      </c>
      <c r="H37" s="44">
        <v>0</v>
      </c>
      <c r="I37" s="17" t="s">
        <v>80</v>
      </c>
      <c r="J37" s="44">
        <v>380386.64</v>
      </c>
      <c r="K37" s="44">
        <v>0</v>
      </c>
      <c r="M37"/>
    </row>
    <row r="38" spans="3:13" s="4" customFormat="1" ht="41.4" hidden="1" x14ac:dyDescent="0.3">
      <c r="C38" s="43"/>
      <c r="D38" s="65" t="s">
        <v>181</v>
      </c>
      <c r="E38" s="43"/>
      <c r="F38" s="75"/>
      <c r="G38" s="44"/>
      <c r="H38" s="44"/>
      <c r="I38" s="17"/>
      <c r="J38" s="44"/>
      <c r="K38" s="44"/>
      <c r="M38"/>
    </row>
    <row r="39" spans="3:13" s="4" customFormat="1" ht="41.4" hidden="1" x14ac:dyDescent="0.3">
      <c r="C39" s="43" t="s">
        <v>245</v>
      </c>
      <c r="D39" s="65" t="s">
        <v>246</v>
      </c>
      <c r="E39" s="43" t="s">
        <v>45</v>
      </c>
      <c r="F39" s="75">
        <v>6</v>
      </c>
      <c r="G39" s="44">
        <v>2135.1</v>
      </c>
      <c r="H39" s="44">
        <v>0</v>
      </c>
      <c r="I39" s="17" t="s">
        <v>247</v>
      </c>
      <c r="J39" s="44">
        <v>12810.6</v>
      </c>
      <c r="K39" s="44">
        <v>0</v>
      </c>
      <c r="M39"/>
    </row>
    <row r="40" spans="3:13" s="4" customFormat="1" ht="41.4" hidden="1" x14ac:dyDescent="0.3">
      <c r="C40" s="43" t="s">
        <v>182</v>
      </c>
      <c r="D40" s="17" t="s">
        <v>337</v>
      </c>
      <c r="E40" s="43" t="s">
        <v>45</v>
      </c>
      <c r="F40" s="75">
        <v>6</v>
      </c>
      <c r="G40" s="44">
        <v>2856.73</v>
      </c>
      <c r="H40" s="44">
        <v>0</v>
      </c>
      <c r="I40" s="17" t="s">
        <v>183</v>
      </c>
      <c r="J40" s="44">
        <v>17140.38</v>
      </c>
      <c r="K40" s="44">
        <v>0</v>
      </c>
      <c r="M40"/>
    </row>
    <row r="41" spans="3:13" s="4" customFormat="1" ht="41.4" hidden="1" x14ac:dyDescent="0.3">
      <c r="C41" s="43" t="s">
        <v>252</v>
      </c>
      <c r="D41" s="65" t="s">
        <v>253</v>
      </c>
      <c r="E41" s="43" t="s">
        <v>45</v>
      </c>
      <c r="F41" s="75">
        <v>8</v>
      </c>
      <c r="G41" s="44">
        <v>3812.78</v>
      </c>
      <c r="H41" s="44">
        <v>0</v>
      </c>
      <c r="I41" s="17" t="s">
        <v>212</v>
      </c>
      <c r="J41" s="44">
        <v>30502.240000000002</v>
      </c>
      <c r="K41" s="44">
        <v>0</v>
      </c>
      <c r="M41"/>
    </row>
    <row r="42" spans="3:13" s="4" customFormat="1" ht="41.4" hidden="1" x14ac:dyDescent="0.3">
      <c r="C42" s="43" t="s">
        <v>254</v>
      </c>
      <c r="D42" s="65" t="s">
        <v>64</v>
      </c>
      <c r="E42" s="43" t="s">
        <v>45</v>
      </c>
      <c r="F42" s="75">
        <v>8</v>
      </c>
      <c r="G42" s="44">
        <v>2856.73</v>
      </c>
      <c r="H42" s="44">
        <v>0</v>
      </c>
      <c r="I42" s="17" t="s">
        <v>183</v>
      </c>
      <c r="J42" s="44">
        <v>22853.84</v>
      </c>
      <c r="K42" s="44">
        <v>0</v>
      </c>
      <c r="M42"/>
    </row>
    <row r="43" spans="3:13" s="4" customFormat="1" ht="41.4" hidden="1" x14ac:dyDescent="0.3">
      <c r="C43" s="43" t="s">
        <v>184</v>
      </c>
      <c r="D43" s="65" t="s">
        <v>48</v>
      </c>
      <c r="E43" s="43" t="s">
        <v>45</v>
      </c>
      <c r="F43" s="75">
        <v>48</v>
      </c>
      <c r="G43" s="44">
        <v>1791.26</v>
      </c>
      <c r="H43" s="44">
        <v>0</v>
      </c>
      <c r="I43" s="17" t="s">
        <v>185</v>
      </c>
      <c r="J43" s="44">
        <v>85980.479999999996</v>
      </c>
      <c r="K43" s="44">
        <v>0</v>
      </c>
      <c r="M43"/>
    </row>
    <row r="44" spans="3:13" s="4" customFormat="1" ht="41.4" hidden="1" x14ac:dyDescent="0.3">
      <c r="C44" s="43" t="s">
        <v>210</v>
      </c>
      <c r="D44" s="65" t="s">
        <v>211</v>
      </c>
      <c r="E44" s="43" t="s">
        <v>45</v>
      </c>
      <c r="F44" s="75">
        <v>36</v>
      </c>
      <c r="G44" s="44">
        <v>3812.78</v>
      </c>
      <c r="H44" s="44">
        <v>0</v>
      </c>
      <c r="I44" s="17" t="s">
        <v>212</v>
      </c>
      <c r="J44" s="44">
        <v>137260.07999999999</v>
      </c>
      <c r="K44" s="44">
        <v>0</v>
      </c>
      <c r="M44"/>
    </row>
    <row r="45" spans="3:13" s="4" customFormat="1" ht="41.4" hidden="1" x14ac:dyDescent="0.3">
      <c r="C45" s="43" t="s">
        <v>213</v>
      </c>
      <c r="D45" s="17" t="s">
        <v>338</v>
      </c>
      <c r="E45" s="43" t="s">
        <v>45</v>
      </c>
      <c r="F45" s="75">
        <v>36</v>
      </c>
      <c r="G45" s="44">
        <v>4209.8100000000004</v>
      </c>
      <c r="H45" s="44">
        <v>0</v>
      </c>
      <c r="I45" s="17" t="s">
        <v>215</v>
      </c>
      <c r="J45" s="44">
        <v>151553.16</v>
      </c>
      <c r="K45" s="44">
        <v>0</v>
      </c>
      <c r="M45"/>
    </row>
    <row r="46" spans="3:13" s="4" customFormat="1" ht="41.4" hidden="1" x14ac:dyDescent="0.3">
      <c r="C46" s="43" t="s">
        <v>216</v>
      </c>
      <c r="D46" s="17" t="s">
        <v>339</v>
      </c>
      <c r="E46" s="43" t="s">
        <v>45</v>
      </c>
      <c r="F46" s="75">
        <v>42</v>
      </c>
      <c r="G46" s="44">
        <v>4695.55</v>
      </c>
      <c r="H46" s="44">
        <v>0</v>
      </c>
      <c r="I46" s="17" t="s">
        <v>218</v>
      </c>
      <c r="J46" s="44">
        <v>197213.1</v>
      </c>
      <c r="K46" s="44">
        <v>0</v>
      </c>
      <c r="M46"/>
    </row>
    <row r="47" spans="3:13" s="4" customFormat="1" ht="41.4" hidden="1" x14ac:dyDescent="0.3">
      <c r="C47" s="43"/>
      <c r="D47" s="65" t="s">
        <v>165</v>
      </c>
      <c r="E47" s="43"/>
      <c r="F47" s="75"/>
      <c r="G47" s="44"/>
      <c r="H47" s="44"/>
      <c r="I47" s="17"/>
      <c r="J47" s="44">
        <v>10900473.32</v>
      </c>
      <c r="K47" s="44">
        <v>0</v>
      </c>
      <c r="M47"/>
    </row>
    <row r="48" spans="3:13" s="4" customFormat="1" ht="41.4" hidden="1" x14ac:dyDescent="0.3">
      <c r="C48" s="43" t="s">
        <v>81</v>
      </c>
      <c r="D48" s="65" t="s">
        <v>82</v>
      </c>
      <c r="E48" s="43"/>
      <c r="F48" s="75"/>
      <c r="G48" s="44"/>
      <c r="H48" s="44"/>
      <c r="I48" s="17"/>
      <c r="J48" s="44"/>
      <c r="K48" s="44"/>
      <c r="L48" s="81"/>
      <c r="M48"/>
    </row>
    <row r="49" spans="3:13" s="4" customFormat="1" ht="41.4" hidden="1" x14ac:dyDescent="0.3">
      <c r="C49" s="43"/>
      <c r="D49" s="65" t="s">
        <v>42</v>
      </c>
      <c r="E49" s="43"/>
      <c r="F49" s="75"/>
      <c r="G49" s="44"/>
      <c r="H49" s="44"/>
      <c r="I49" s="17"/>
      <c r="J49" s="44"/>
      <c r="K49" s="44"/>
      <c r="L49" s="81"/>
      <c r="M49"/>
    </row>
    <row r="50" spans="3:13" s="4" customFormat="1" ht="41.4" hidden="1" x14ac:dyDescent="0.3">
      <c r="C50" s="43" t="s">
        <v>43</v>
      </c>
      <c r="D50" s="65" t="s">
        <v>44</v>
      </c>
      <c r="E50" s="43" t="s">
        <v>45</v>
      </c>
      <c r="F50" s="75">
        <v>4</v>
      </c>
      <c r="G50" s="44">
        <v>1463.99</v>
      </c>
      <c r="H50" s="44">
        <v>0</v>
      </c>
      <c r="I50" s="17" t="s">
        <v>46</v>
      </c>
      <c r="J50" s="44">
        <v>5855.96</v>
      </c>
      <c r="K50" s="44">
        <v>0</v>
      </c>
      <c r="L50" s="81"/>
      <c r="M50"/>
    </row>
    <row r="51" spans="3:13" s="4" customFormat="1" ht="41.4" hidden="1" x14ac:dyDescent="0.3">
      <c r="C51" s="43" t="s">
        <v>47</v>
      </c>
      <c r="D51" s="65" t="s">
        <v>48</v>
      </c>
      <c r="E51" s="43" t="s">
        <v>45</v>
      </c>
      <c r="F51" s="75">
        <v>12</v>
      </c>
      <c r="G51" s="44">
        <v>2369.0100000000002</v>
      </c>
      <c r="H51" s="44">
        <v>0</v>
      </c>
      <c r="I51" s="17" t="s">
        <v>49</v>
      </c>
      <c r="J51" s="44">
        <v>28428.12</v>
      </c>
      <c r="K51" s="44">
        <v>0</v>
      </c>
      <c r="L51" s="81"/>
      <c r="M51"/>
    </row>
    <row r="52" spans="3:13" s="4" customFormat="1" ht="41.4" hidden="1" x14ac:dyDescent="0.3">
      <c r="C52" s="43" t="s">
        <v>83</v>
      </c>
      <c r="D52" s="17" t="s">
        <v>380</v>
      </c>
      <c r="E52" s="43" t="s">
        <v>45</v>
      </c>
      <c r="F52" s="75">
        <v>8</v>
      </c>
      <c r="G52" s="44">
        <v>3660.18</v>
      </c>
      <c r="H52" s="44">
        <v>0</v>
      </c>
      <c r="I52" s="17" t="s">
        <v>55</v>
      </c>
      <c r="J52" s="44">
        <v>29281.439999999999</v>
      </c>
      <c r="K52" s="44">
        <v>0</v>
      </c>
      <c r="L52" s="81"/>
      <c r="M52"/>
    </row>
    <row r="53" spans="3:13" s="4" customFormat="1" ht="41.4" hidden="1" x14ac:dyDescent="0.3">
      <c r="C53" s="43" t="s">
        <v>61</v>
      </c>
      <c r="D53" s="65" t="s">
        <v>85</v>
      </c>
      <c r="E53" s="43" t="s">
        <v>45</v>
      </c>
      <c r="F53" s="75">
        <v>4</v>
      </c>
      <c r="G53" s="44">
        <v>3947.93</v>
      </c>
      <c r="H53" s="44">
        <v>0</v>
      </c>
      <c r="I53" s="17" t="s">
        <v>62</v>
      </c>
      <c r="J53" s="44">
        <v>15791.72</v>
      </c>
      <c r="K53" s="44">
        <v>0</v>
      </c>
      <c r="L53" s="81"/>
      <c r="M53"/>
    </row>
    <row r="54" spans="3:13" s="4" customFormat="1" ht="41.4" hidden="1" x14ac:dyDescent="0.3">
      <c r="C54" s="43" t="s">
        <v>66</v>
      </c>
      <c r="D54" s="65" t="s">
        <v>86</v>
      </c>
      <c r="E54" s="43" t="s">
        <v>45</v>
      </c>
      <c r="F54" s="75">
        <v>2</v>
      </c>
      <c r="G54" s="44">
        <v>4962.2299999999996</v>
      </c>
      <c r="H54" s="44">
        <v>0</v>
      </c>
      <c r="I54" s="17" t="s">
        <v>67</v>
      </c>
      <c r="J54" s="44">
        <v>9924.4599999999991</v>
      </c>
      <c r="K54" s="44">
        <v>0</v>
      </c>
      <c r="M54"/>
    </row>
    <row r="55" spans="3:13" s="4" customFormat="1" ht="41.4" hidden="1" x14ac:dyDescent="0.3">
      <c r="C55" s="43" t="s">
        <v>71</v>
      </c>
      <c r="D55" s="65" t="s">
        <v>72</v>
      </c>
      <c r="E55" s="43" t="s">
        <v>45</v>
      </c>
      <c r="F55" s="75">
        <v>1</v>
      </c>
      <c r="G55" s="44">
        <v>5397.2</v>
      </c>
      <c r="H55" s="44">
        <v>0</v>
      </c>
      <c r="I55" s="17" t="s">
        <v>73</v>
      </c>
      <c r="J55" s="44">
        <v>5397.2</v>
      </c>
      <c r="K55" s="44">
        <v>0</v>
      </c>
      <c r="L55" s="81"/>
      <c r="M55"/>
    </row>
    <row r="56" spans="3:13" s="4" customFormat="1" ht="41.4" hidden="1" x14ac:dyDescent="0.3">
      <c r="C56" s="43"/>
      <c r="D56" s="65" t="s">
        <v>87</v>
      </c>
      <c r="E56" s="43"/>
      <c r="F56" s="75"/>
      <c r="G56" s="44"/>
      <c r="H56" s="44"/>
      <c r="I56" s="17"/>
      <c r="J56" s="44"/>
      <c r="K56" s="44"/>
      <c r="M56"/>
    </row>
    <row r="57" spans="3:13" s="80" customFormat="1" ht="41.4" hidden="1" x14ac:dyDescent="0.3">
      <c r="C57" s="43" t="s">
        <v>75</v>
      </c>
      <c r="D57" s="65" t="s">
        <v>76</v>
      </c>
      <c r="E57" s="43" t="s">
        <v>45</v>
      </c>
      <c r="F57" s="75">
        <v>2</v>
      </c>
      <c r="G57" s="44">
        <v>4283.63</v>
      </c>
      <c r="H57" s="44">
        <v>0</v>
      </c>
      <c r="I57" s="17" t="s">
        <v>77</v>
      </c>
      <c r="J57" s="44">
        <v>8567.26</v>
      </c>
      <c r="K57" s="44">
        <v>0</v>
      </c>
      <c r="L57" s="81"/>
      <c r="M57"/>
    </row>
    <row r="58" spans="3:13" s="80" customFormat="1" ht="41.4" hidden="1" x14ac:dyDescent="0.3">
      <c r="C58" s="43"/>
      <c r="D58" s="65" t="s">
        <v>88</v>
      </c>
      <c r="E58" s="43"/>
      <c r="F58" s="75"/>
      <c r="G58" s="44"/>
      <c r="H58" s="44"/>
      <c r="I58" s="17"/>
      <c r="J58" s="44">
        <v>103246.16</v>
      </c>
      <c r="K58" s="44">
        <v>0</v>
      </c>
      <c r="L58" s="4"/>
      <c r="M58"/>
    </row>
    <row r="59" spans="3:13" s="80" customFormat="1" ht="55.2" hidden="1" x14ac:dyDescent="0.3">
      <c r="C59" s="43" t="s">
        <v>89</v>
      </c>
      <c r="D59" s="65" t="s">
        <v>90</v>
      </c>
      <c r="E59" s="43"/>
      <c r="F59" s="75"/>
      <c r="G59" s="44"/>
      <c r="H59" s="44"/>
      <c r="I59" s="17"/>
      <c r="J59" s="44"/>
      <c r="K59" s="44"/>
      <c r="L59" s="81"/>
      <c r="M59"/>
    </row>
    <row r="60" spans="3:13" s="80" customFormat="1" ht="41.4" hidden="1" x14ac:dyDescent="0.3">
      <c r="C60" s="43"/>
      <c r="D60" s="65" t="s">
        <v>91</v>
      </c>
      <c r="E60" s="43"/>
      <c r="F60" s="75"/>
      <c r="G60" s="44"/>
      <c r="H60" s="44"/>
      <c r="I60" s="17"/>
      <c r="J60" s="44"/>
      <c r="K60" s="44"/>
      <c r="L60" s="81"/>
      <c r="M60"/>
    </row>
    <row r="61" spans="3:13" s="80" customFormat="1" ht="69" hidden="1" x14ac:dyDescent="0.3">
      <c r="C61" s="43" t="s">
        <v>92</v>
      </c>
      <c r="D61" s="65" t="s">
        <v>93</v>
      </c>
      <c r="E61" s="43" t="s">
        <v>45</v>
      </c>
      <c r="F61" s="75">
        <v>608</v>
      </c>
      <c r="G61" s="44">
        <v>1125</v>
      </c>
      <c r="H61" s="44">
        <v>0</v>
      </c>
      <c r="I61" s="17" t="s">
        <v>94</v>
      </c>
      <c r="J61" s="44">
        <v>684000</v>
      </c>
      <c r="K61" s="44">
        <v>0</v>
      </c>
      <c r="L61" s="81"/>
      <c r="M61"/>
    </row>
    <row r="62" spans="3:13" s="80" customFormat="1" ht="55.2" hidden="1" x14ac:dyDescent="0.3">
      <c r="C62" s="43" t="s">
        <v>95</v>
      </c>
      <c r="D62" s="65" t="s">
        <v>96</v>
      </c>
      <c r="E62" s="43" t="s">
        <v>45</v>
      </c>
      <c r="F62" s="75">
        <v>592</v>
      </c>
      <c r="G62" s="44">
        <v>124.95</v>
      </c>
      <c r="H62" s="44">
        <v>0</v>
      </c>
      <c r="I62" s="17" t="s">
        <v>97</v>
      </c>
      <c r="J62" s="44">
        <v>73970.399999999994</v>
      </c>
      <c r="K62" s="44">
        <v>0</v>
      </c>
      <c r="L62" s="4"/>
      <c r="M62"/>
    </row>
    <row r="63" spans="3:13" s="4" customFormat="1" ht="41.4" hidden="1" x14ac:dyDescent="0.3">
      <c r="C63" s="43" t="s">
        <v>98</v>
      </c>
      <c r="D63" s="65" t="s">
        <v>99</v>
      </c>
      <c r="E63" s="43" t="s">
        <v>45</v>
      </c>
      <c r="F63" s="75">
        <v>74</v>
      </c>
      <c r="G63" s="44">
        <v>84.9</v>
      </c>
      <c r="H63" s="44">
        <v>0</v>
      </c>
      <c r="I63" s="17" t="s">
        <v>100</v>
      </c>
      <c r="J63" s="44">
        <v>6282.6</v>
      </c>
      <c r="K63" s="44">
        <v>0</v>
      </c>
      <c r="M63"/>
    </row>
    <row r="64" spans="3:13" s="80" customFormat="1" ht="41.4" hidden="1" x14ac:dyDescent="0.3">
      <c r="C64" s="43"/>
      <c r="D64" s="65" t="s">
        <v>104</v>
      </c>
      <c r="E64" s="43"/>
      <c r="F64" s="75"/>
      <c r="G64" s="44"/>
      <c r="H64" s="44"/>
      <c r="I64" s="17"/>
      <c r="J64" s="44"/>
      <c r="K64" s="44"/>
      <c r="L64" s="4"/>
      <c r="M64"/>
    </row>
    <row r="65" spans="3:13" s="4" customFormat="1" ht="27.6" hidden="1" x14ac:dyDescent="0.3">
      <c r="C65" s="43" t="s">
        <v>105</v>
      </c>
      <c r="D65" s="17" t="s">
        <v>381</v>
      </c>
      <c r="E65" s="43" t="s">
        <v>45</v>
      </c>
      <c r="F65" s="75">
        <v>100</v>
      </c>
      <c r="G65" s="44">
        <v>34.950000000000003</v>
      </c>
      <c r="H65" s="44">
        <v>0</v>
      </c>
      <c r="I65" s="17" t="s">
        <v>107</v>
      </c>
      <c r="J65" s="44">
        <v>3495</v>
      </c>
      <c r="K65" s="44">
        <v>0</v>
      </c>
      <c r="M65"/>
    </row>
    <row r="66" spans="3:13" s="80" customFormat="1" ht="41.4" hidden="1" x14ac:dyDescent="0.3">
      <c r="C66" s="43" t="s">
        <v>108</v>
      </c>
      <c r="D66" s="17" t="s">
        <v>359</v>
      </c>
      <c r="E66" s="43" t="s">
        <v>45</v>
      </c>
      <c r="F66" s="75">
        <v>100</v>
      </c>
      <c r="G66" s="44">
        <v>54.9</v>
      </c>
      <c r="H66" s="44">
        <v>0</v>
      </c>
      <c r="I66" s="17" t="s">
        <v>110</v>
      </c>
      <c r="J66" s="44">
        <v>5490</v>
      </c>
      <c r="K66" s="44">
        <v>0</v>
      </c>
      <c r="L66" s="4"/>
      <c r="M66"/>
    </row>
    <row r="67" spans="3:13" s="4" customFormat="1" ht="41.4" hidden="1" x14ac:dyDescent="0.3">
      <c r="C67" s="43" t="s">
        <v>111</v>
      </c>
      <c r="D67" s="17" t="s">
        <v>342</v>
      </c>
      <c r="E67" s="43" t="s">
        <v>45</v>
      </c>
      <c r="F67" s="75">
        <v>64</v>
      </c>
      <c r="G67" s="44">
        <v>162.9</v>
      </c>
      <c r="H67" s="44">
        <v>0</v>
      </c>
      <c r="I67" s="17" t="s">
        <v>113</v>
      </c>
      <c r="J67" s="44">
        <v>10425.6</v>
      </c>
      <c r="K67" s="44">
        <v>0</v>
      </c>
      <c r="M67"/>
    </row>
    <row r="68" spans="3:13" s="80" customFormat="1" ht="41.4" hidden="1" x14ac:dyDescent="0.3">
      <c r="C68" s="43"/>
      <c r="D68" s="65" t="s">
        <v>114</v>
      </c>
      <c r="E68" s="43"/>
      <c r="F68" s="75"/>
      <c r="G68" s="44"/>
      <c r="H68" s="44"/>
      <c r="I68" s="17"/>
      <c r="J68" s="44"/>
      <c r="K68" s="44"/>
      <c r="L68" s="4"/>
      <c r="M68"/>
    </row>
    <row r="69" spans="3:13" s="80" customFormat="1" ht="41.4" hidden="1" x14ac:dyDescent="0.3">
      <c r="C69" s="43" t="s">
        <v>115</v>
      </c>
      <c r="D69" s="17" t="s">
        <v>343</v>
      </c>
      <c r="E69" s="43" t="s">
        <v>45</v>
      </c>
      <c r="F69" s="75">
        <v>100</v>
      </c>
      <c r="G69" s="44">
        <v>175.35</v>
      </c>
      <c r="H69" s="44">
        <v>0</v>
      </c>
      <c r="I69" s="17" t="s">
        <v>117</v>
      </c>
      <c r="J69" s="44">
        <v>17535</v>
      </c>
      <c r="K69" s="44">
        <v>0</v>
      </c>
      <c r="L69" s="4"/>
      <c r="M69"/>
    </row>
    <row r="70" spans="3:13" s="80" customFormat="1" ht="45" hidden="1" customHeight="1" x14ac:dyDescent="0.3">
      <c r="C70" s="43" t="s">
        <v>118</v>
      </c>
      <c r="D70" s="17" t="s">
        <v>344</v>
      </c>
      <c r="E70" s="43" t="s">
        <v>45</v>
      </c>
      <c r="F70" s="75">
        <v>100</v>
      </c>
      <c r="G70" s="44">
        <v>205.5</v>
      </c>
      <c r="H70" s="44">
        <v>0</v>
      </c>
      <c r="I70" s="17" t="s">
        <v>120</v>
      </c>
      <c r="J70" s="44">
        <v>20550</v>
      </c>
      <c r="K70" s="44">
        <v>0</v>
      </c>
      <c r="L70" s="4"/>
      <c r="M70"/>
    </row>
    <row r="71" spans="3:13" s="4" customFormat="1" ht="41.4" hidden="1" x14ac:dyDescent="0.3">
      <c r="C71" s="43" t="s">
        <v>121</v>
      </c>
      <c r="D71" s="17" t="s">
        <v>345</v>
      </c>
      <c r="E71" s="43" t="s">
        <v>45</v>
      </c>
      <c r="F71" s="75">
        <v>100</v>
      </c>
      <c r="G71" s="44">
        <v>349.95</v>
      </c>
      <c r="H71" s="44">
        <v>0</v>
      </c>
      <c r="I71" s="17" t="s">
        <v>123</v>
      </c>
      <c r="J71" s="44">
        <v>34995</v>
      </c>
      <c r="K71" s="44">
        <v>0</v>
      </c>
      <c r="M71"/>
    </row>
    <row r="72" spans="3:13" s="4" customFormat="1" ht="53.55" hidden="1" customHeight="1" x14ac:dyDescent="0.3">
      <c r="C72" s="43" t="s">
        <v>124</v>
      </c>
      <c r="D72" s="17" t="s">
        <v>346</v>
      </c>
      <c r="E72" s="43" t="s">
        <v>45</v>
      </c>
      <c r="F72" s="75">
        <v>100</v>
      </c>
      <c r="G72" s="44">
        <v>506.25</v>
      </c>
      <c r="H72" s="44">
        <v>0</v>
      </c>
      <c r="I72" s="17" t="s">
        <v>126</v>
      </c>
      <c r="J72" s="44">
        <v>50625</v>
      </c>
      <c r="K72" s="44">
        <v>0</v>
      </c>
      <c r="M72"/>
    </row>
    <row r="73" spans="3:13" s="4" customFormat="1" ht="45" hidden="1" customHeight="1" x14ac:dyDescent="0.3">
      <c r="C73" s="43"/>
      <c r="D73" s="65" t="s">
        <v>285</v>
      </c>
      <c r="E73" s="43"/>
      <c r="F73" s="75"/>
      <c r="G73" s="44"/>
      <c r="H73" s="44"/>
      <c r="I73" s="17"/>
      <c r="J73" s="44"/>
      <c r="K73" s="44"/>
      <c r="M73"/>
    </row>
    <row r="74" spans="3:13" s="4" customFormat="1" ht="41.4" hidden="1" x14ac:dyDescent="0.3">
      <c r="C74" s="43" t="s">
        <v>127</v>
      </c>
      <c r="D74" s="17" t="s">
        <v>347</v>
      </c>
      <c r="E74" s="43" t="s">
        <v>45</v>
      </c>
      <c r="F74" s="75">
        <v>100</v>
      </c>
      <c r="G74" s="44">
        <v>31.65</v>
      </c>
      <c r="H74" s="44">
        <v>0</v>
      </c>
      <c r="I74" s="17" t="s">
        <v>129</v>
      </c>
      <c r="J74" s="44">
        <v>3165</v>
      </c>
      <c r="K74" s="44">
        <v>0</v>
      </c>
      <c r="M74"/>
    </row>
    <row r="75" spans="3:13" s="4" customFormat="1" ht="41.4" hidden="1" x14ac:dyDescent="0.3">
      <c r="C75" s="43" t="s">
        <v>131</v>
      </c>
      <c r="D75" s="17" t="s">
        <v>348</v>
      </c>
      <c r="E75" s="43" t="s">
        <v>45</v>
      </c>
      <c r="F75" s="75">
        <v>100</v>
      </c>
      <c r="G75" s="44">
        <v>49.05</v>
      </c>
      <c r="H75" s="44">
        <v>0</v>
      </c>
      <c r="I75" s="17" t="s">
        <v>133</v>
      </c>
      <c r="J75" s="44">
        <v>4905</v>
      </c>
      <c r="K75" s="44">
        <v>0</v>
      </c>
      <c r="M75"/>
    </row>
    <row r="76" spans="3:13" s="4" customFormat="1" ht="41.4" hidden="1" x14ac:dyDescent="0.3">
      <c r="C76" s="43" t="s">
        <v>286</v>
      </c>
      <c r="D76" s="17" t="s">
        <v>349</v>
      </c>
      <c r="E76" s="43" t="s">
        <v>45</v>
      </c>
      <c r="F76" s="75">
        <v>52</v>
      </c>
      <c r="G76" s="44">
        <v>85.35</v>
      </c>
      <c r="H76" s="44">
        <v>0</v>
      </c>
      <c r="I76" s="17" t="s">
        <v>288</v>
      </c>
      <c r="J76" s="44">
        <v>4438.2</v>
      </c>
      <c r="K76" s="44">
        <v>0</v>
      </c>
      <c r="M76"/>
    </row>
    <row r="77" spans="3:13" s="4" customFormat="1" ht="41.4" hidden="1" x14ac:dyDescent="0.3">
      <c r="C77" s="43"/>
      <c r="D77" s="65" t="s">
        <v>158</v>
      </c>
      <c r="E77" s="43"/>
      <c r="F77" s="75"/>
      <c r="G77" s="44"/>
      <c r="H77" s="44"/>
      <c r="I77" s="17"/>
      <c r="J77" s="44"/>
      <c r="K77" s="44"/>
      <c r="M77"/>
    </row>
    <row r="78" spans="3:13" s="4" customFormat="1" ht="41.4" hidden="1" x14ac:dyDescent="0.3">
      <c r="C78" s="43" t="s">
        <v>198</v>
      </c>
      <c r="D78" s="17" t="s">
        <v>382</v>
      </c>
      <c r="E78" s="43" t="s">
        <v>45</v>
      </c>
      <c r="F78" s="75">
        <v>152</v>
      </c>
      <c r="G78" s="44">
        <v>124.95</v>
      </c>
      <c r="H78" s="44">
        <v>0</v>
      </c>
      <c r="I78" s="17" t="s">
        <v>97</v>
      </c>
      <c r="J78" s="44">
        <v>18992.400000000001</v>
      </c>
      <c r="K78" s="44">
        <v>0</v>
      </c>
      <c r="M78"/>
    </row>
    <row r="79" spans="3:13" s="4" customFormat="1" ht="41.4" hidden="1" x14ac:dyDescent="0.3">
      <c r="C79" s="43" t="s">
        <v>200</v>
      </c>
      <c r="D79" s="65" t="s">
        <v>201</v>
      </c>
      <c r="E79" s="43" t="s">
        <v>45</v>
      </c>
      <c r="F79" s="75">
        <v>64</v>
      </c>
      <c r="G79" s="44">
        <v>2687.4</v>
      </c>
      <c r="H79" s="44">
        <v>0</v>
      </c>
      <c r="I79" s="17" t="s">
        <v>202</v>
      </c>
      <c r="J79" s="44">
        <v>171993.60000000001</v>
      </c>
      <c r="K79" s="44">
        <v>0</v>
      </c>
      <c r="M79"/>
    </row>
    <row r="80" spans="3:13" s="4" customFormat="1" ht="55.2" hidden="1" x14ac:dyDescent="0.3">
      <c r="C80" s="43" t="s">
        <v>162</v>
      </c>
      <c r="D80" s="17" t="s">
        <v>371</v>
      </c>
      <c r="E80" s="43" t="s">
        <v>45</v>
      </c>
      <c r="F80" s="75">
        <v>76</v>
      </c>
      <c r="G80" s="44">
        <v>499.95</v>
      </c>
      <c r="H80" s="44">
        <v>0</v>
      </c>
      <c r="I80" s="17" t="s">
        <v>164</v>
      </c>
      <c r="J80" s="44">
        <v>37996.199999999997</v>
      </c>
      <c r="K80" s="44">
        <v>0</v>
      </c>
      <c r="M80"/>
    </row>
    <row r="81" spans="3:13" s="4" customFormat="1" ht="82.8" hidden="1" x14ac:dyDescent="0.3">
      <c r="C81" s="43" t="s">
        <v>289</v>
      </c>
      <c r="D81" s="17" t="s">
        <v>351</v>
      </c>
      <c r="E81" s="43" t="s">
        <v>45</v>
      </c>
      <c r="F81" s="75">
        <v>64</v>
      </c>
      <c r="G81" s="44">
        <v>249.9</v>
      </c>
      <c r="H81" s="44">
        <v>0</v>
      </c>
      <c r="I81" s="17" t="s">
        <v>291</v>
      </c>
      <c r="J81" s="44">
        <v>15993.6</v>
      </c>
      <c r="K81" s="44">
        <v>0</v>
      </c>
      <c r="M81"/>
    </row>
    <row r="82" spans="3:13" ht="69" hidden="1" x14ac:dyDescent="0.3">
      <c r="C82" s="43" t="s">
        <v>159</v>
      </c>
      <c r="D82" s="17" t="s">
        <v>352</v>
      </c>
      <c r="E82" s="43" t="s">
        <v>45</v>
      </c>
      <c r="F82" s="75">
        <v>102</v>
      </c>
      <c r="G82" s="44">
        <v>87.45</v>
      </c>
      <c r="H82" s="44">
        <v>0</v>
      </c>
      <c r="I82" s="17" t="s">
        <v>161</v>
      </c>
      <c r="J82" s="44">
        <v>8919.9</v>
      </c>
      <c r="K82" s="44">
        <v>0</v>
      </c>
      <c r="L82" s="4"/>
    </row>
    <row r="83" spans="3:13" ht="41.4" hidden="1" x14ac:dyDescent="0.3">
      <c r="C83" s="43" t="s">
        <v>203</v>
      </c>
      <c r="D83" s="17" t="s">
        <v>353</v>
      </c>
      <c r="E83" s="43" t="s">
        <v>45</v>
      </c>
      <c r="F83" s="75">
        <v>148</v>
      </c>
      <c r="G83" s="44">
        <v>124.95</v>
      </c>
      <c r="H83" s="44">
        <v>0</v>
      </c>
      <c r="I83" s="17" t="s">
        <v>97</v>
      </c>
      <c r="J83" s="44">
        <v>18492.599999999999</v>
      </c>
      <c r="K83" s="44">
        <v>0</v>
      </c>
      <c r="L83" s="4"/>
    </row>
    <row r="84" spans="3:13" ht="55.2" hidden="1" x14ac:dyDescent="0.3">
      <c r="C84" s="43" t="s">
        <v>223</v>
      </c>
      <c r="D84" s="65" t="s">
        <v>224</v>
      </c>
      <c r="E84" s="43" t="s">
        <v>190</v>
      </c>
      <c r="F84" s="75">
        <v>912</v>
      </c>
      <c r="G84" s="44">
        <v>195</v>
      </c>
      <c r="H84" s="44">
        <v>0</v>
      </c>
      <c r="I84" s="17" t="s">
        <v>225</v>
      </c>
      <c r="J84" s="44">
        <v>177840</v>
      </c>
      <c r="K84" s="44">
        <v>0</v>
      </c>
      <c r="L84" s="4"/>
    </row>
    <row r="85" spans="3:13" ht="41.4" hidden="1" x14ac:dyDescent="0.3">
      <c r="C85" s="43"/>
      <c r="D85" s="65" t="s">
        <v>292</v>
      </c>
      <c r="E85" s="43"/>
      <c r="F85" s="75"/>
      <c r="G85" s="44"/>
      <c r="H85" s="44"/>
      <c r="I85" s="17"/>
      <c r="J85" s="44"/>
      <c r="K85" s="44"/>
      <c r="L85" s="4"/>
    </row>
    <row r="86" spans="3:13" ht="96.6" hidden="1" x14ac:dyDescent="0.3">
      <c r="C86" s="43" t="s">
        <v>293</v>
      </c>
      <c r="D86" s="17" t="s">
        <v>372</v>
      </c>
      <c r="E86" s="43" t="s">
        <v>45</v>
      </c>
      <c r="F86" s="75">
        <v>76</v>
      </c>
      <c r="G86" s="44">
        <v>15702.45</v>
      </c>
      <c r="H86" s="44">
        <v>0</v>
      </c>
      <c r="I86" s="17" t="s">
        <v>295</v>
      </c>
      <c r="J86" s="44">
        <v>1193386.2</v>
      </c>
      <c r="K86" s="44">
        <v>0</v>
      </c>
      <c r="L86" s="4"/>
    </row>
    <row r="87" spans="3:13" ht="52.95" hidden="1" customHeight="1" x14ac:dyDescent="0.3">
      <c r="C87" s="43"/>
      <c r="D87" s="65" t="s">
        <v>255</v>
      </c>
      <c r="E87" s="43"/>
      <c r="F87" s="75"/>
      <c r="G87" s="44"/>
      <c r="H87" s="44"/>
      <c r="I87" s="17"/>
      <c r="J87" s="44"/>
      <c r="K87" s="44"/>
      <c r="L87" s="4"/>
    </row>
    <row r="88" spans="3:13" ht="66.45" hidden="1" customHeight="1" x14ac:dyDescent="0.3">
      <c r="C88" s="43" t="s">
        <v>296</v>
      </c>
      <c r="D88" s="17" t="s">
        <v>373</v>
      </c>
      <c r="E88" s="43" t="s">
        <v>45</v>
      </c>
      <c r="F88" s="75">
        <v>76</v>
      </c>
      <c r="G88" s="44">
        <v>1500</v>
      </c>
      <c r="H88" s="44">
        <v>0</v>
      </c>
      <c r="I88" s="17" t="s">
        <v>298</v>
      </c>
      <c r="J88" s="44">
        <v>114000</v>
      </c>
      <c r="K88" s="44">
        <v>0</v>
      </c>
      <c r="L88" s="4"/>
    </row>
    <row r="89" spans="3:13" ht="40.950000000000003" hidden="1" customHeight="1" x14ac:dyDescent="0.3">
      <c r="C89" s="43"/>
      <c r="D89" s="65" t="s">
        <v>256</v>
      </c>
      <c r="E89" s="43"/>
      <c r="F89" s="75"/>
      <c r="G89" s="44"/>
      <c r="H89" s="44"/>
      <c r="I89" s="17"/>
      <c r="J89" s="44"/>
      <c r="K89" s="44"/>
      <c r="L89" s="4"/>
    </row>
    <row r="90" spans="3:13" ht="41.4" hidden="1" x14ac:dyDescent="0.3">
      <c r="C90" s="43" t="s">
        <v>257</v>
      </c>
      <c r="D90" s="65" t="s">
        <v>258</v>
      </c>
      <c r="E90" s="43" t="s">
        <v>259</v>
      </c>
      <c r="F90" s="75">
        <v>2</v>
      </c>
      <c r="G90" s="44">
        <v>0</v>
      </c>
      <c r="H90" s="44">
        <v>11718.75</v>
      </c>
      <c r="I90" s="17" t="s">
        <v>260</v>
      </c>
      <c r="J90" s="44">
        <v>0</v>
      </c>
      <c r="K90" s="44">
        <v>23437.5</v>
      </c>
      <c r="L90" s="4"/>
    </row>
    <row r="91" spans="3:13" ht="41.4" hidden="1" x14ac:dyDescent="0.3">
      <c r="C91" s="43"/>
      <c r="D91" s="65" t="s">
        <v>186</v>
      </c>
      <c r="E91" s="43"/>
      <c r="F91" s="75"/>
      <c r="G91" s="44"/>
      <c r="H91" s="44"/>
      <c r="I91" s="17"/>
      <c r="J91" s="44"/>
      <c r="K91" s="44"/>
      <c r="L91" s="4"/>
    </row>
    <row r="92" spans="3:13" ht="67.95" hidden="1" customHeight="1" x14ac:dyDescent="0.3">
      <c r="C92" s="43"/>
      <c r="D92" s="65" t="s">
        <v>187</v>
      </c>
      <c r="E92" s="43"/>
      <c r="F92" s="75"/>
      <c r="G92" s="44"/>
      <c r="H92" s="44"/>
      <c r="I92" s="17"/>
      <c r="J92" s="44"/>
      <c r="K92" s="44"/>
      <c r="L92" s="4"/>
    </row>
    <row r="93" spans="3:13" ht="59.55" hidden="1" customHeight="1" x14ac:dyDescent="0.3">
      <c r="C93" s="43" t="s">
        <v>188</v>
      </c>
      <c r="D93" s="17" t="s">
        <v>374</v>
      </c>
      <c r="E93" s="43" t="s">
        <v>190</v>
      </c>
      <c r="F93" s="75">
        <v>16</v>
      </c>
      <c r="G93" s="44">
        <v>2500</v>
      </c>
      <c r="H93" s="44">
        <v>0</v>
      </c>
      <c r="I93" s="17" t="s">
        <v>191</v>
      </c>
      <c r="J93" s="44">
        <v>40000</v>
      </c>
      <c r="K93" s="44">
        <v>0</v>
      </c>
      <c r="L93" s="4"/>
    </row>
    <row r="94" spans="3:13" ht="55.2" hidden="1" x14ac:dyDescent="0.3">
      <c r="C94" s="43" t="s">
        <v>299</v>
      </c>
      <c r="D94" s="17" t="s">
        <v>375</v>
      </c>
      <c r="E94" s="43" t="s">
        <v>190</v>
      </c>
      <c r="F94" s="75">
        <v>12</v>
      </c>
      <c r="G94" s="44">
        <v>3125</v>
      </c>
      <c r="H94" s="44">
        <v>0</v>
      </c>
      <c r="I94" s="17" t="s">
        <v>301</v>
      </c>
      <c r="J94" s="44">
        <v>37500</v>
      </c>
      <c r="K94" s="44">
        <v>0</v>
      </c>
      <c r="L94" s="4"/>
    </row>
    <row r="95" spans="3:13" ht="41.4" hidden="1" x14ac:dyDescent="0.3">
      <c r="C95" s="43"/>
      <c r="D95" s="65" t="s">
        <v>194</v>
      </c>
      <c r="E95" s="43"/>
      <c r="F95" s="75"/>
      <c r="G95" s="44"/>
      <c r="H95" s="44"/>
      <c r="I95" s="17"/>
      <c r="J95" s="44"/>
      <c r="K95" s="44"/>
      <c r="L95" s="4"/>
    </row>
    <row r="96" spans="3:13" ht="41.4" hidden="1" x14ac:dyDescent="0.3">
      <c r="C96" s="43" t="s">
        <v>195</v>
      </c>
      <c r="D96" s="17" t="s">
        <v>385</v>
      </c>
      <c r="E96" s="43" t="s">
        <v>45</v>
      </c>
      <c r="F96" s="75">
        <v>1</v>
      </c>
      <c r="G96" s="44">
        <v>25000</v>
      </c>
      <c r="H96" s="44">
        <v>0</v>
      </c>
      <c r="I96" s="17" t="s">
        <v>197</v>
      </c>
      <c r="J96" s="44">
        <v>25000</v>
      </c>
      <c r="K96" s="44">
        <v>0</v>
      </c>
      <c r="L96" s="4"/>
    </row>
    <row r="97" spans="3:12" ht="72" hidden="1" customHeight="1" x14ac:dyDescent="0.3">
      <c r="C97" s="43"/>
      <c r="D97" s="65" t="s">
        <v>261</v>
      </c>
      <c r="E97" s="43"/>
      <c r="F97" s="75"/>
      <c r="G97" s="44"/>
      <c r="H97" s="44"/>
      <c r="I97" s="17"/>
      <c r="J97" s="44"/>
      <c r="K97" s="44"/>
      <c r="L97" s="4"/>
    </row>
    <row r="98" spans="3:12" ht="69" hidden="1" x14ac:dyDescent="0.3">
      <c r="C98" s="43" t="s">
        <v>262</v>
      </c>
      <c r="D98" s="65" t="s">
        <v>93</v>
      </c>
      <c r="E98" s="43" t="s">
        <v>45</v>
      </c>
      <c r="F98" s="75">
        <v>12</v>
      </c>
      <c r="G98" s="44">
        <v>750</v>
      </c>
      <c r="H98" s="44">
        <v>0</v>
      </c>
      <c r="I98" s="17" t="s">
        <v>263</v>
      </c>
      <c r="J98" s="44">
        <v>9000</v>
      </c>
      <c r="K98" s="44">
        <v>0</v>
      </c>
      <c r="L98" s="4"/>
    </row>
    <row r="99" spans="3:12" ht="41.4" hidden="1" x14ac:dyDescent="0.3">
      <c r="C99" s="43" t="s">
        <v>264</v>
      </c>
      <c r="D99" s="65" t="s">
        <v>99</v>
      </c>
      <c r="E99" s="43" t="s">
        <v>45</v>
      </c>
      <c r="F99" s="75">
        <v>24</v>
      </c>
      <c r="G99" s="44">
        <v>56.6</v>
      </c>
      <c r="H99" s="44">
        <v>0</v>
      </c>
      <c r="I99" s="17" t="s">
        <v>265</v>
      </c>
      <c r="J99" s="44">
        <v>1358.4</v>
      </c>
      <c r="K99" s="44">
        <v>0</v>
      </c>
      <c r="L99" s="4"/>
    </row>
    <row r="100" spans="3:12" ht="45.45" hidden="1" customHeight="1" x14ac:dyDescent="0.3">
      <c r="C100" s="43"/>
      <c r="D100" s="65" t="s">
        <v>266</v>
      </c>
      <c r="E100" s="43"/>
      <c r="F100" s="75"/>
      <c r="G100" s="44"/>
      <c r="H100" s="44"/>
      <c r="I100" s="17"/>
      <c r="J100" s="44"/>
      <c r="K100" s="44"/>
      <c r="L100" s="4"/>
    </row>
    <row r="101" spans="3:12" ht="41.4" x14ac:dyDescent="0.3">
      <c r="C101" s="43" t="s">
        <v>302</v>
      </c>
      <c r="D101" s="17" t="s">
        <v>358</v>
      </c>
      <c r="E101" s="43" t="s">
        <v>45</v>
      </c>
      <c r="F101" s="75">
        <v>4</v>
      </c>
      <c r="G101" s="44">
        <v>23.3</v>
      </c>
      <c r="H101" s="44">
        <v>0</v>
      </c>
      <c r="I101" s="17" t="s">
        <v>303</v>
      </c>
      <c r="J101" s="44">
        <v>93.2</v>
      </c>
      <c r="K101" s="44">
        <v>0</v>
      </c>
      <c r="L101" s="4"/>
    </row>
    <row r="102" spans="3:12" ht="41.4" hidden="1" x14ac:dyDescent="0.3">
      <c r="C102" s="43" t="s">
        <v>267</v>
      </c>
      <c r="D102" s="17" t="s">
        <v>359</v>
      </c>
      <c r="E102" s="43" t="s">
        <v>45</v>
      </c>
      <c r="F102" s="75">
        <v>4</v>
      </c>
      <c r="G102" s="44">
        <v>36.6</v>
      </c>
      <c r="H102" s="44">
        <v>0</v>
      </c>
      <c r="I102" s="17" t="s">
        <v>268</v>
      </c>
      <c r="J102" s="44">
        <v>146.4</v>
      </c>
      <c r="K102" s="44">
        <v>0</v>
      </c>
      <c r="L102" s="4"/>
    </row>
    <row r="103" spans="3:12" ht="41.4" hidden="1" x14ac:dyDescent="0.3">
      <c r="C103" s="43"/>
      <c r="D103" s="65" t="s">
        <v>269</v>
      </c>
      <c r="E103" s="43"/>
      <c r="F103" s="75"/>
      <c r="G103" s="44"/>
      <c r="H103" s="44"/>
      <c r="I103" s="17"/>
      <c r="J103" s="44"/>
      <c r="K103" s="44"/>
      <c r="L103" s="4"/>
    </row>
    <row r="104" spans="3:12" ht="48.45" hidden="1" customHeight="1" x14ac:dyDescent="0.3">
      <c r="C104" s="43" t="s">
        <v>304</v>
      </c>
      <c r="D104" s="17" t="s">
        <v>343</v>
      </c>
      <c r="E104" s="43" t="s">
        <v>45</v>
      </c>
      <c r="F104" s="75">
        <v>4</v>
      </c>
      <c r="G104" s="44">
        <v>116.9</v>
      </c>
      <c r="H104" s="44">
        <v>0</v>
      </c>
      <c r="I104" s="17" t="s">
        <v>306</v>
      </c>
      <c r="J104" s="44">
        <v>467.6</v>
      </c>
      <c r="K104" s="44">
        <v>0</v>
      </c>
      <c r="L104" s="4"/>
    </row>
    <row r="105" spans="3:12" ht="51.45" hidden="1" customHeight="1" x14ac:dyDescent="0.3">
      <c r="C105" s="43" t="s">
        <v>270</v>
      </c>
      <c r="D105" s="17" t="s">
        <v>344</v>
      </c>
      <c r="E105" s="43" t="s">
        <v>45</v>
      </c>
      <c r="F105" s="75">
        <v>4</v>
      </c>
      <c r="G105" s="44">
        <v>137</v>
      </c>
      <c r="H105" s="44">
        <v>0</v>
      </c>
      <c r="I105" s="17" t="s">
        <v>271</v>
      </c>
      <c r="J105" s="44">
        <v>548</v>
      </c>
      <c r="K105" s="44">
        <v>0</v>
      </c>
      <c r="L105" s="4"/>
    </row>
    <row r="106" spans="3:12" ht="41.4" hidden="1" x14ac:dyDescent="0.3">
      <c r="C106" s="43"/>
      <c r="D106" s="65" t="s">
        <v>285</v>
      </c>
      <c r="E106" s="43"/>
      <c r="F106" s="75"/>
      <c r="G106" s="44"/>
      <c r="H106" s="44"/>
      <c r="I106" s="17"/>
      <c r="J106" s="44"/>
      <c r="K106" s="44"/>
      <c r="L106" s="4"/>
    </row>
    <row r="107" spans="3:12" ht="41.4" hidden="1" x14ac:dyDescent="0.3">
      <c r="C107" s="43" t="s">
        <v>307</v>
      </c>
      <c r="D107" s="17" t="s">
        <v>347</v>
      </c>
      <c r="E107" s="43" t="s">
        <v>45</v>
      </c>
      <c r="F107" s="75">
        <v>4</v>
      </c>
      <c r="G107" s="44">
        <v>21.1</v>
      </c>
      <c r="H107" s="44">
        <v>0</v>
      </c>
      <c r="I107" s="17" t="s">
        <v>308</v>
      </c>
      <c r="J107" s="44">
        <v>84.4</v>
      </c>
      <c r="K107" s="44">
        <v>0</v>
      </c>
      <c r="L107" s="4"/>
    </row>
    <row r="108" spans="3:12" ht="41.4" hidden="1" x14ac:dyDescent="0.3">
      <c r="C108" s="43" t="s">
        <v>309</v>
      </c>
      <c r="D108" s="17" t="s">
        <v>382</v>
      </c>
      <c r="E108" s="43" t="s">
        <v>45</v>
      </c>
      <c r="F108" s="75">
        <v>4</v>
      </c>
      <c r="G108" s="44">
        <v>83.3</v>
      </c>
      <c r="H108" s="44">
        <v>0</v>
      </c>
      <c r="I108" s="17" t="s">
        <v>310</v>
      </c>
      <c r="J108" s="44">
        <v>333.2</v>
      </c>
      <c r="K108" s="44">
        <v>0</v>
      </c>
      <c r="L108" s="4"/>
    </row>
    <row r="109" spans="3:12" ht="41.4" hidden="1" x14ac:dyDescent="0.3">
      <c r="C109" s="43" t="s">
        <v>272</v>
      </c>
      <c r="D109" s="17" t="s">
        <v>383</v>
      </c>
      <c r="E109" s="43" t="s">
        <v>190</v>
      </c>
      <c r="F109" s="75">
        <v>144</v>
      </c>
      <c r="G109" s="44">
        <v>83.34</v>
      </c>
      <c r="H109" s="44">
        <v>0</v>
      </c>
      <c r="I109" s="17" t="s">
        <v>274</v>
      </c>
      <c r="J109" s="44">
        <v>12000.96</v>
      </c>
      <c r="K109" s="44">
        <v>0</v>
      </c>
      <c r="L109" s="4"/>
    </row>
    <row r="110" spans="3:12" ht="41.4" hidden="1" x14ac:dyDescent="0.3">
      <c r="C110" s="43" t="s">
        <v>275</v>
      </c>
      <c r="D110" s="17" t="s">
        <v>362</v>
      </c>
      <c r="E110" s="43" t="s">
        <v>190</v>
      </c>
      <c r="F110" s="75">
        <v>432</v>
      </c>
      <c r="G110" s="44">
        <v>31.25</v>
      </c>
      <c r="H110" s="44">
        <v>0</v>
      </c>
      <c r="I110" s="17" t="s">
        <v>277</v>
      </c>
      <c r="J110" s="44">
        <v>13500</v>
      </c>
      <c r="K110" s="44">
        <v>0</v>
      </c>
      <c r="L110" s="4"/>
    </row>
    <row r="111" spans="3:12" ht="41.4" hidden="1" x14ac:dyDescent="0.3">
      <c r="C111" s="43"/>
      <c r="D111" s="65" t="s">
        <v>166</v>
      </c>
      <c r="E111" s="43"/>
      <c r="F111" s="75"/>
      <c r="G111" s="44"/>
      <c r="H111" s="44"/>
      <c r="I111" s="17"/>
      <c r="J111" s="44">
        <v>2817523.46</v>
      </c>
      <c r="K111" s="44">
        <v>23437.5</v>
      </c>
      <c r="L111" s="4"/>
    </row>
    <row r="112" spans="3:12" ht="41.4" hidden="1" x14ac:dyDescent="0.3">
      <c r="C112" s="43" t="s">
        <v>92</v>
      </c>
      <c r="D112" s="65" t="s">
        <v>130</v>
      </c>
      <c r="E112" s="43"/>
      <c r="F112" s="75"/>
      <c r="G112" s="44"/>
      <c r="H112" s="44"/>
      <c r="I112" s="17"/>
      <c r="J112" s="44"/>
      <c r="K112" s="44"/>
      <c r="L112" s="4"/>
    </row>
    <row r="113" spans="3:15" ht="69" hidden="1" x14ac:dyDescent="0.3">
      <c r="C113" s="43" t="s">
        <v>92</v>
      </c>
      <c r="D113" s="65" t="s">
        <v>93</v>
      </c>
      <c r="E113" s="43" t="s">
        <v>45</v>
      </c>
      <c r="F113" s="75">
        <v>1</v>
      </c>
      <c r="G113" s="44">
        <v>1125</v>
      </c>
      <c r="H113" s="44">
        <v>0</v>
      </c>
      <c r="I113" s="17" t="s">
        <v>94</v>
      </c>
      <c r="J113" s="44">
        <v>1125</v>
      </c>
      <c r="K113" s="44">
        <v>0</v>
      </c>
      <c r="L113" s="4"/>
    </row>
    <row r="114" spans="3:15" ht="41.4" hidden="1" x14ac:dyDescent="0.3">
      <c r="C114" s="43" t="s">
        <v>98</v>
      </c>
      <c r="D114" s="65" t="s">
        <v>99</v>
      </c>
      <c r="E114" s="43" t="s">
        <v>45</v>
      </c>
      <c r="F114" s="75">
        <v>1</v>
      </c>
      <c r="G114" s="44">
        <v>84.9</v>
      </c>
      <c r="H114" s="44">
        <v>0</v>
      </c>
      <c r="I114" s="17" t="s">
        <v>100</v>
      </c>
      <c r="J114" s="44">
        <v>84.9</v>
      </c>
      <c r="K114" s="44">
        <v>0</v>
      </c>
      <c r="L114" s="4"/>
    </row>
    <row r="115" spans="3:15" ht="82.8" hidden="1" x14ac:dyDescent="0.3">
      <c r="C115" s="43" t="s">
        <v>101</v>
      </c>
      <c r="D115" s="17" t="s">
        <v>363</v>
      </c>
      <c r="E115" s="43" t="s">
        <v>45</v>
      </c>
      <c r="F115" s="75">
        <v>2</v>
      </c>
      <c r="G115" s="44">
        <v>685.05</v>
      </c>
      <c r="H115" s="44">
        <v>0</v>
      </c>
      <c r="I115" s="17" t="s">
        <v>103</v>
      </c>
      <c r="J115" s="44">
        <v>1370.1</v>
      </c>
      <c r="K115" s="44">
        <v>0</v>
      </c>
      <c r="L115" s="4"/>
    </row>
    <row r="116" spans="3:15" ht="27.6" hidden="1" x14ac:dyDescent="0.3">
      <c r="C116" s="43" t="s">
        <v>105</v>
      </c>
      <c r="D116" s="17" t="s">
        <v>381</v>
      </c>
      <c r="E116" s="43" t="s">
        <v>45</v>
      </c>
      <c r="F116" s="75">
        <v>2</v>
      </c>
      <c r="G116" s="44">
        <v>34.950000000000003</v>
      </c>
      <c r="H116" s="44">
        <v>0</v>
      </c>
      <c r="I116" s="17" t="s">
        <v>107</v>
      </c>
      <c r="J116" s="44">
        <v>69.900000000000006</v>
      </c>
      <c r="K116" s="44">
        <v>0</v>
      </c>
      <c r="L116" s="4"/>
    </row>
    <row r="117" spans="3:15" ht="41.4" hidden="1" x14ac:dyDescent="0.3">
      <c r="C117" s="43" t="s">
        <v>108</v>
      </c>
      <c r="D117" s="17" t="s">
        <v>359</v>
      </c>
      <c r="E117" s="43" t="s">
        <v>45</v>
      </c>
      <c r="F117" s="75">
        <v>2</v>
      </c>
      <c r="G117" s="44">
        <v>54.9</v>
      </c>
      <c r="H117" s="44">
        <v>0</v>
      </c>
      <c r="I117" s="17" t="s">
        <v>110</v>
      </c>
      <c r="J117" s="44">
        <v>109.8</v>
      </c>
      <c r="K117" s="44">
        <v>0</v>
      </c>
      <c r="L117" s="4"/>
    </row>
    <row r="118" spans="3:15" ht="41.4" hidden="1" x14ac:dyDescent="0.3">
      <c r="C118" s="43" t="s">
        <v>115</v>
      </c>
      <c r="D118" s="17" t="s">
        <v>343</v>
      </c>
      <c r="E118" s="43" t="s">
        <v>45</v>
      </c>
      <c r="F118" s="75">
        <v>2</v>
      </c>
      <c r="G118" s="44">
        <v>175.35</v>
      </c>
      <c r="H118" s="44">
        <v>0</v>
      </c>
      <c r="I118" s="17" t="s">
        <v>117</v>
      </c>
      <c r="J118" s="44">
        <v>350.7</v>
      </c>
      <c r="K118" s="44">
        <v>0</v>
      </c>
      <c r="L118" s="4"/>
      <c r="N118" s="9"/>
      <c r="O118" s="9"/>
    </row>
    <row r="119" spans="3:15" ht="41.4" hidden="1" x14ac:dyDescent="0.3">
      <c r="C119" s="43" t="s">
        <v>118</v>
      </c>
      <c r="D119" s="17" t="s">
        <v>344</v>
      </c>
      <c r="E119" s="43" t="s">
        <v>45</v>
      </c>
      <c r="F119" s="75">
        <v>2</v>
      </c>
      <c r="G119" s="44">
        <v>205.5</v>
      </c>
      <c r="H119" s="44">
        <v>0</v>
      </c>
      <c r="I119" s="17" t="s">
        <v>120</v>
      </c>
      <c r="J119" s="44">
        <v>411</v>
      </c>
      <c r="K119" s="44">
        <v>0</v>
      </c>
      <c r="L119" s="4"/>
    </row>
    <row r="120" spans="3:15" ht="48.45" hidden="1" customHeight="1" x14ac:dyDescent="0.3">
      <c r="C120" s="43" t="s">
        <v>127</v>
      </c>
      <c r="D120" s="17" t="s">
        <v>376</v>
      </c>
      <c r="E120" s="43" t="s">
        <v>45</v>
      </c>
      <c r="F120" s="75">
        <v>2</v>
      </c>
      <c r="G120" s="44">
        <v>31.65</v>
      </c>
      <c r="H120" s="44">
        <v>0</v>
      </c>
      <c r="I120" s="17" t="s">
        <v>129</v>
      </c>
      <c r="J120" s="44">
        <v>63.3</v>
      </c>
      <c r="K120" s="44">
        <v>0</v>
      </c>
      <c r="L120" s="4"/>
    </row>
    <row r="121" spans="3:15" ht="41.4" hidden="1" x14ac:dyDescent="0.3">
      <c r="C121" s="43" t="s">
        <v>131</v>
      </c>
      <c r="D121" s="17" t="s">
        <v>348</v>
      </c>
      <c r="E121" s="43" t="s">
        <v>45</v>
      </c>
      <c r="F121" s="75">
        <v>3</v>
      </c>
      <c r="G121" s="44">
        <v>49.05</v>
      </c>
      <c r="H121" s="44">
        <v>0</v>
      </c>
      <c r="I121" s="17" t="s">
        <v>133</v>
      </c>
      <c r="J121" s="44">
        <v>147.15</v>
      </c>
      <c r="K121" s="44">
        <v>0</v>
      </c>
      <c r="L121" s="4"/>
    </row>
    <row r="122" spans="3:15" ht="45" hidden="1" customHeight="1" x14ac:dyDescent="0.3">
      <c r="C122" s="43" t="s">
        <v>134</v>
      </c>
      <c r="D122" s="65" t="s">
        <v>135</v>
      </c>
      <c r="E122" s="43" t="s">
        <v>45</v>
      </c>
      <c r="F122" s="75">
        <v>2</v>
      </c>
      <c r="G122" s="44">
        <v>388.5</v>
      </c>
      <c r="H122" s="44">
        <v>0</v>
      </c>
      <c r="I122" s="17" t="s">
        <v>136</v>
      </c>
      <c r="J122" s="44">
        <v>777</v>
      </c>
      <c r="K122" s="44">
        <v>0</v>
      </c>
      <c r="L122" s="4"/>
    </row>
    <row r="123" spans="3:15" ht="41.4" hidden="1" x14ac:dyDescent="0.3">
      <c r="C123" s="43"/>
      <c r="D123" s="65" t="s">
        <v>137</v>
      </c>
      <c r="E123" s="43"/>
      <c r="F123" s="75"/>
      <c r="G123" s="44"/>
      <c r="H123" s="44"/>
      <c r="I123" s="17"/>
      <c r="J123" s="44">
        <v>4508.8500000000004</v>
      </c>
      <c r="K123" s="44">
        <v>0</v>
      </c>
      <c r="L123" s="4"/>
    </row>
    <row r="124" spans="3:15" ht="41.4" hidden="1" x14ac:dyDescent="0.3">
      <c r="C124" s="43" t="s">
        <v>138</v>
      </c>
      <c r="D124" s="65" t="s">
        <v>139</v>
      </c>
      <c r="E124" s="43"/>
      <c r="F124" s="75"/>
      <c r="G124" s="44"/>
      <c r="H124" s="44"/>
      <c r="I124" s="17"/>
      <c r="J124" s="44"/>
      <c r="K124" s="44"/>
      <c r="L124" s="4"/>
    </row>
    <row r="125" spans="3:15" ht="41.4" hidden="1" x14ac:dyDescent="0.3">
      <c r="C125" s="43" t="s">
        <v>140</v>
      </c>
      <c r="D125" s="65" t="s">
        <v>141</v>
      </c>
      <c r="E125" s="43" t="s">
        <v>334</v>
      </c>
      <c r="F125" s="75">
        <v>250</v>
      </c>
      <c r="G125" s="44">
        <v>475</v>
      </c>
      <c r="H125" s="44">
        <v>0</v>
      </c>
      <c r="I125" s="17" t="s">
        <v>143</v>
      </c>
      <c r="J125" s="44">
        <v>118750</v>
      </c>
      <c r="K125" s="44">
        <v>0</v>
      </c>
      <c r="L125" s="4"/>
    </row>
    <row r="126" spans="3:15" ht="41.4" hidden="1" x14ac:dyDescent="0.3">
      <c r="C126" s="43"/>
      <c r="D126" s="65" t="s">
        <v>144</v>
      </c>
      <c r="E126" s="43"/>
      <c r="F126" s="75"/>
      <c r="G126" s="44"/>
      <c r="H126" s="44"/>
      <c r="I126" s="17"/>
      <c r="J126" s="44">
        <v>118750</v>
      </c>
      <c r="K126" s="44">
        <v>0</v>
      </c>
      <c r="L126" s="4"/>
    </row>
    <row r="127" spans="3:15" ht="55.2" hidden="1" x14ac:dyDescent="0.3">
      <c r="C127" s="43" t="s">
        <v>168</v>
      </c>
      <c r="D127" s="65" t="s">
        <v>169</v>
      </c>
      <c r="E127" s="43"/>
      <c r="F127" s="75"/>
      <c r="G127" s="44"/>
      <c r="H127" s="44"/>
      <c r="I127" s="17"/>
      <c r="J127" s="44"/>
      <c r="K127" s="44"/>
      <c r="L127" s="4"/>
    </row>
    <row r="128" spans="3:15" ht="41.4" hidden="1" x14ac:dyDescent="0.3">
      <c r="C128" s="43" t="s">
        <v>170</v>
      </c>
      <c r="D128" s="17" t="s">
        <v>377</v>
      </c>
      <c r="E128" s="43" t="s">
        <v>259</v>
      </c>
      <c r="F128" s="75">
        <v>1</v>
      </c>
      <c r="G128" s="44">
        <v>10449.94</v>
      </c>
      <c r="H128" s="44">
        <v>79712.5</v>
      </c>
      <c r="I128" s="17" t="s">
        <v>173</v>
      </c>
      <c r="J128" s="44">
        <v>10449.94</v>
      </c>
      <c r="K128" s="44">
        <v>79712.5</v>
      </c>
      <c r="L128" s="4"/>
    </row>
    <row r="129" spans="3:13" ht="41.4" hidden="1" x14ac:dyDescent="0.3">
      <c r="C129" s="43"/>
      <c r="D129" s="65" t="s">
        <v>174</v>
      </c>
      <c r="E129" s="43"/>
      <c r="F129" s="75"/>
      <c r="G129" s="44"/>
      <c r="H129" s="44"/>
      <c r="I129" s="17"/>
      <c r="J129" s="44">
        <v>10449.94</v>
      </c>
      <c r="K129" s="44">
        <v>79712.5</v>
      </c>
      <c r="L129" s="4"/>
    </row>
    <row r="130" spans="3:13" ht="41.4" hidden="1" x14ac:dyDescent="0.3">
      <c r="C130" s="43" t="s">
        <v>175</v>
      </c>
      <c r="D130" s="65" t="s">
        <v>176</v>
      </c>
      <c r="E130" s="43"/>
      <c r="F130" s="75"/>
      <c r="G130" s="44"/>
      <c r="H130" s="44"/>
      <c r="I130" s="17"/>
      <c r="J130" s="44"/>
      <c r="K130" s="44"/>
      <c r="L130" s="4"/>
    </row>
    <row r="131" spans="3:13" ht="55.2" hidden="1" x14ac:dyDescent="0.3">
      <c r="C131" s="43" t="s">
        <v>177</v>
      </c>
      <c r="D131" s="17" t="s">
        <v>378</v>
      </c>
      <c r="E131" s="43" t="s">
        <v>259</v>
      </c>
      <c r="F131" s="75">
        <v>1</v>
      </c>
      <c r="G131" s="44">
        <v>7740.7</v>
      </c>
      <c r="H131" s="44">
        <v>61317.31</v>
      </c>
      <c r="I131" s="17" t="s">
        <v>179</v>
      </c>
      <c r="J131" s="44">
        <v>7740.7</v>
      </c>
      <c r="K131" s="44">
        <v>61317.31</v>
      </c>
      <c r="L131" s="4"/>
    </row>
    <row r="132" spans="3:13" ht="41.4" hidden="1" x14ac:dyDescent="0.3">
      <c r="C132" s="43"/>
      <c r="D132" s="65" t="s">
        <v>180</v>
      </c>
      <c r="E132" s="43"/>
      <c r="F132" s="75"/>
      <c r="G132" s="44"/>
      <c r="H132" s="44"/>
      <c r="I132" s="17"/>
      <c r="J132" s="44">
        <v>7740.7</v>
      </c>
      <c r="K132" s="44">
        <v>61317.31</v>
      </c>
      <c r="L132" s="4"/>
    </row>
    <row r="133" spans="3:13" ht="69" hidden="1" x14ac:dyDescent="0.3">
      <c r="C133" s="43" t="s">
        <v>278</v>
      </c>
      <c r="D133" s="65" t="s">
        <v>279</v>
      </c>
      <c r="E133" s="43"/>
      <c r="F133" s="75"/>
      <c r="G133" s="44"/>
      <c r="H133" s="44"/>
      <c r="I133" s="17"/>
      <c r="J133" s="44"/>
      <c r="K133" s="44"/>
      <c r="L133" s="4"/>
    </row>
    <row r="134" spans="3:13" ht="69" hidden="1" x14ac:dyDescent="0.3">
      <c r="C134" s="43" t="s">
        <v>280</v>
      </c>
      <c r="D134" s="17" t="s">
        <v>379</v>
      </c>
      <c r="E134" s="43" t="s">
        <v>205</v>
      </c>
      <c r="F134" s="75">
        <v>75</v>
      </c>
      <c r="G134" s="44">
        <v>2678.86</v>
      </c>
      <c r="H134" s="44">
        <v>0</v>
      </c>
      <c r="I134" s="17" t="s">
        <v>282</v>
      </c>
      <c r="J134" s="44">
        <v>200914.5</v>
      </c>
      <c r="K134" s="44">
        <v>0</v>
      </c>
      <c r="L134" s="4"/>
    </row>
    <row r="135" spans="3:13" ht="124.2" hidden="1" x14ac:dyDescent="0.3">
      <c r="C135" s="43" t="s">
        <v>327</v>
      </c>
      <c r="D135" s="17" t="s">
        <v>365</v>
      </c>
      <c r="E135" s="43" t="s">
        <v>205</v>
      </c>
      <c r="F135" s="75">
        <v>200</v>
      </c>
      <c r="G135" s="44">
        <v>6222.5</v>
      </c>
      <c r="H135" s="44">
        <v>0</v>
      </c>
      <c r="I135" s="17" t="s">
        <v>329</v>
      </c>
      <c r="J135" s="44">
        <v>1244500</v>
      </c>
      <c r="K135" s="44">
        <v>0</v>
      </c>
      <c r="L135" s="4"/>
    </row>
    <row r="136" spans="3:13" ht="124.2" hidden="1" x14ac:dyDescent="0.3">
      <c r="C136" s="43" t="s">
        <v>311</v>
      </c>
      <c r="D136" s="17" t="s">
        <v>366</v>
      </c>
      <c r="E136" s="43" t="s">
        <v>205</v>
      </c>
      <c r="F136" s="75">
        <v>300</v>
      </c>
      <c r="G136" s="44">
        <v>9039.1299999999992</v>
      </c>
      <c r="H136" s="44">
        <v>0</v>
      </c>
      <c r="I136" s="17" t="s">
        <v>313</v>
      </c>
      <c r="J136" s="44">
        <v>2711739</v>
      </c>
      <c r="K136" s="44">
        <v>0</v>
      </c>
      <c r="L136" s="4"/>
    </row>
    <row r="137" spans="3:13" ht="124.2" hidden="1" x14ac:dyDescent="0.3">
      <c r="C137" s="43" t="s">
        <v>314</v>
      </c>
      <c r="D137" s="65" t="s">
        <v>315</v>
      </c>
      <c r="E137" s="43" t="s">
        <v>205</v>
      </c>
      <c r="F137" s="75">
        <v>175</v>
      </c>
      <c r="G137" s="44">
        <v>9868.6200000000008</v>
      </c>
      <c r="H137" s="44">
        <v>0</v>
      </c>
      <c r="I137" s="17" t="s">
        <v>316</v>
      </c>
      <c r="J137" s="44">
        <v>1727008.5</v>
      </c>
      <c r="K137" s="44">
        <v>0</v>
      </c>
      <c r="L137" s="4"/>
    </row>
    <row r="138" spans="3:13" ht="41.4" hidden="1" x14ac:dyDescent="0.3">
      <c r="C138" s="43"/>
      <c r="D138" s="65" t="s">
        <v>283</v>
      </c>
      <c r="E138" s="43"/>
      <c r="F138" s="75"/>
      <c r="G138" s="44"/>
      <c r="H138" s="44"/>
      <c r="I138" s="17"/>
      <c r="J138" s="44">
        <v>5884162</v>
      </c>
      <c r="K138" s="44">
        <v>0</v>
      </c>
      <c r="L138" s="4"/>
    </row>
    <row r="139" spans="3:13" ht="41.4" hidden="1" x14ac:dyDescent="0.3">
      <c r="C139" s="43"/>
      <c r="D139" s="65" t="s">
        <v>167</v>
      </c>
      <c r="E139" s="43"/>
      <c r="F139" s="75"/>
      <c r="G139" s="44"/>
      <c r="H139" s="44"/>
      <c r="I139" s="17"/>
      <c r="J139" s="44">
        <v>23240133.039999999</v>
      </c>
      <c r="K139" s="44">
        <v>164467.31</v>
      </c>
      <c r="L139" s="4"/>
    </row>
    <row r="140" spans="3:13" x14ac:dyDescent="0.25">
      <c r="C140" s="53"/>
      <c r="D140" s="54"/>
      <c r="E140" s="53"/>
      <c r="F140" s="55"/>
      <c r="G140" s="56"/>
      <c r="H140" s="56"/>
      <c r="I140" s="36"/>
      <c r="J140" s="56"/>
      <c r="K140" s="56"/>
    </row>
    <row r="141" spans="3:13" x14ac:dyDescent="0.25">
      <c r="C141" s="7"/>
      <c r="D141" s="13" t="e">
        <v>#NAME?</v>
      </c>
      <c r="E141" s="35"/>
      <c r="F141" s="7"/>
      <c r="G141" s="8"/>
      <c r="H141" s="7"/>
      <c r="I141" s="39"/>
      <c r="J141" s="9"/>
      <c r="K141" s="9"/>
      <c r="L141" s="9"/>
      <c r="M141" s="9"/>
    </row>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C7:K7"/>
    <mergeCell ref="C6:K6"/>
    <mergeCell ref="C1:K1"/>
    <mergeCell ref="C2:K2"/>
    <mergeCell ref="C4:K4"/>
    <mergeCell ref="C5:K5"/>
    <mergeCell ref="C3:K3"/>
    <mergeCell ref="I8:I9"/>
    <mergeCell ref="J8:K8"/>
    <mergeCell ref="C8:C9"/>
    <mergeCell ref="D8:D9"/>
    <mergeCell ref="E8:E9"/>
    <mergeCell ref="F8:F9"/>
    <mergeCell ref="G8:H8"/>
  </mergeCells>
  <phoneticPr fontId="6" type="noConversion"/>
  <conditionalFormatting sqref="C141:M2532 C47:K140 C45:C46 E45:K46 C12:K44">
    <cfRule type="expression" dxfId="47" priority="15">
      <formula>$E12=""</formula>
    </cfRule>
  </conditionalFormatting>
  <conditionalFormatting sqref="N118:O2509">
    <cfRule type="expression" dxfId="46" priority="47">
      <formula>$E141=""</formula>
    </cfRule>
  </conditionalFormatting>
  <conditionalFormatting sqref="D45">
    <cfRule type="expression" dxfId="45" priority="2">
      <formula>$E45=""</formula>
    </cfRule>
  </conditionalFormatting>
  <conditionalFormatting sqref="D46">
    <cfRule type="expression" dxfId="44" priority="1">
      <formula>$E46=""</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2" manualBreakCount="2">
    <brk id="49" min="2" max="10" man="1"/>
    <brk id="65" min="2" max="10" man="1"/>
  </rowBreak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7" t="str">
        <f>DATOS!B15</f>
        <v>ANEXO "DE-MN"</v>
      </c>
      <c r="D1" s="97"/>
      <c r="E1" s="97"/>
      <c r="F1" s="97"/>
      <c r="G1" s="97"/>
      <c r="H1" s="97"/>
      <c r="I1" s="97"/>
      <c r="J1" s="97"/>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7" t="str">
        <f>DATOS!C15</f>
        <v>PROGRAMA DE EROGACIONES DE LA EJECUCIÓN GENERAL DE LOS TRABAJOS CANDELARIZADO Y CUANTIFICADO MENSUALMENTE</v>
      </c>
      <c r="D2" s="97"/>
      <c r="E2" s="97"/>
      <c r="F2" s="97"/>
      <c r="G2" s="97"/>
      <c r="H2" s="97"/>
      <c r="I2" s="97"/>
      <c r="J2" s="97"/>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7" t="str">
        <f>DATOS!B8</f>
        <v>CONTRATO: 648233801</v>
      </c>
      <c r="D3" s="97"/>
      <c r="E3" s="97"/>
      <c r="F3" s="97"/>
      <c r="G3" s="97"/>
      <c r="H3" s="97"/>
      <c r="I3" s="97"/>
      <c r="J3" s="97"/>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7" t="str">
        <f>DATOS!B11</f>
        <v>OBJETO DE LOS TRABAJOS: “REHABILITACION DE TECHUMBRE EN CUARTO DE CONTROL DE LA PLATAFORMA DE TELECOMUNICACIONES DEL CP POL-A”</v>
      </c>
      <c r="D5" s="97"/>
      <c r="E5" s="97"/>
      <c r="F5" s="97"/>
      <c r="G5" s="97"/>
      <c r="H5" s="97"/>
      <c r="I5" s="97"/>
      <c r="J5" s="97"/>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3" t="str">
        <f>DATOS!B12</f>
        <v>PROPUESTA TECNICA Y ECONOMICA No. BME-801-118-2025</v>
      </c>
      <c r="D7" s="93"/>
      <c r="E7" s="93"/>
      <c r="F7" s="93"/>
      <c r="G7" s="93"/>
      <c r="H7" s="93"/>
      <c r="I7" s="93"/>
      <c r="J7" s="93"/>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151</v>
      </c>
      <c r="J8" s="6" t="s">
        <v>152</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145</v>
      </c>
      <c r="K10" t="s">
        <v>332</v>
      </c>
      <c r="L10" t="s">
        <v>153</v>
      </c>
      <c r="M10" s="4"/>
      <c r="N10" s="4"/>
      <c r="O10" s="4"/>
      <c r="P10" s="4"/>
      <c r="Q10" s="4"/>
    </row>
    <row r="11" spans="1:68" ht="55.2" x14ac:dyDescent="0.3">
      <c r="A11" s="3"/>
      <c r="B11" s="3"/>
      <c r="C11" s="43" t="s">
        <v>226</v>
      </c>
      <c r="D11" s="65" t="s">
        <v>227</v>
      </c>
      <c r="E11" s="43"/>
      <c r="F11" s="75"/>
      <c r="G11" s="76"/>
      <c r="H11" s="76"/>
      <c r="I11" s="76"/>
      <c r="J11" s="76"/>
      <c r="K11"/>
      <c r="L11"/>
      <c r="M11" s="4"/>
      <c r="N11" s="4"/>
      <c r="O11" s="4"/>
      <c r="P11" s="4"/>
      <c r="Q11" s="4"/>
    </row>
    <row r="12" spans="1:68" ht="55.2" x14ac:dyDescent="0.3">
      <c r="A12" s="3"/>
      <c r="B12" s="3"/>
      <c r="C12" s="43"/>
      <c r="D12" s="65" t="s">
        <v>320</v>
      </c>
      <c r="E12" s="43"/>
      <c r="F12" s="75"/>
      <c r="G12" s="76"/>
      <c r="H12" s="76"/>
      <c r="I12" s="76"/>
      <c r="J12" s="76"/>
      <c r="K12"/>
      <c r="L12"/>
      <c r="M12" s="4"/>
      <c r="N12" s="4"/>
      <c r="O12" s="4"/>
      <c r="P12" s="4"/>
      <c r="Q12" s="4"/>
    </row>
    <row r="13" spans="1:68" ht="41.4" x14ac:dyDescent="0.3">
      <c r="A13" s="3"/>
      <c r="B13" s="3"/>
      <c r="C13" s="43" t="s">
        <v>321</v>
      </c>
      <c r="D13" s="65" t="s">
        <v>322</v>
      </c>
      <c r="E13" s="43" t="s">
        <v>221</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324</v>
      </c>
      <c r="E14" s="43"/>
      <c r="F14" s="75"/>
      <c r="G14" s="76"/>
      <c r="H14" s="76"/>
      <c r="I14" s="76"/>
      <c r="J14" s="76"/>
      <c r="K14"/>
      <c r="L14"/>
      <c r="M14" s="4"/>
      <c r="N14" s="4"/>
      <c r="O14" s="4"/>
      <c r="P14" s="4"/>
      <c r="Q14" s="4"/>
    </row>
    <row r="15" spans="1:68" ht="41.4" x14ac:dyDescent="0.3">
      <c r="A15" s="3"/>
      <c r="B15" s="3"/>
      <c r="C15" s="43" t="s">
        <v>325</v>
      </c>
      <c r="D15" s="65" t="s">
        <v>284</v>
      </c>
      <c r="E15" s="43" t="s">
        <v>221</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228</v>
      </c>
      <c r="E16" s="43"/>
      <c r="F16" s="75"/>
      <c r="G16" s="76"/>
      <c r="H16" s="76"/>
      <c r="I16" s="76"/>
      <c r="J16" s="76"/>
      <c r="K16"/>
      <c r="L16"/>
      <c r="M16" s="4"/>
      <c r="N16" s="4"/>
      <c r="O16" s="4"/>
      <c r="P16" s="4"/>
      <c r="Q16" s="4"/>
    </row>
    <row r="17" spans="1:17" ht="55.2" x14ac:dyDescent="0.3">
      <c r="A17" s="3"/>
      <c r="B17" s="3"/>
      <c r="C17" s="43" t="s">
        <v>229</v>
      </c>
      <c r="D17" s="65" t="s">
        <v>230</v>
      </c>
      <c r="E17" s="43" t="s">
        <v>231</v>
      </c>
      <c r="F17" s="75">
        <v>200</v>
      </c>
      <c r="G17" s="76">
        <v>4125.53</v>
      </c>
      <c r="H17" s="76">
        <v>825106</v>
      </c>
      <c r="I17" s="76">
        <v>825106</v>
      </c>
      <c r="J17" s="76">
        <v>0</v>
      </c>
      <c r="K17">
        <v>0</v>
      </c>
      <c r="L17"/>
      <c r="M17" s="4"/>
      <c r="N17" s="4"/>
      <c r="O17" s="4"/>
      <c r="P17" s="4"/>
      <c r="Q17" s="4"/>
    </row>
    <row r="18" spans="1:17" ht="96.6" x14ac:dyDescent="0.3">
      <c r="A18" s="3"/>
      <c r="B18" s="3"/>
      <c r="C18" s="43" t="s">
        <v>233</v>
      </c>
      <c r="D18" s="65" t="s">
        <v>234</v>
      </c>
      <c r="E18" s="43" t="s">
        <v>231</v>
      </c>
      <c r="F18" s="75">
        <v>200</v>
      </c>
      <c r="G18" s="76">
        <v>8451.23</v>
      </c>
      <c r="H18" s="76">
        <v>1690246</v>
      </c>
      <c r="I18" s="76">
        <v>1690246</v>
      </c>
      <c r="J18" s="76">
        <v>0</v>
      </c>
      <c r="K18">
        <v>0</v>
      </c>
      <c r="L18"/>
      <c r="M18" s="4"/>
      <c r="N18" s="4"/>
      <c r="O18" s="4"/>
      <c r="P18" s="4"/>
      <c r="Q18" s="4"/>
    </row>
    <row r="19" spans="1:17" ht="55.2" x14ac:dyDescent="0.3">
      <c r="A19" s="3"/>
      <c r="B19" s="3"/>
      <c r="C19" s="43" t="s">
        <v>236</v>
      </c>
      <c r="D19" s="65" t="s">
        <v>237</v>
      </c>
      <c r="E19" s="43" t="s">
        <v>231</v>
      </c>
      <c r="F19" s="75">
        <v>200</v>
      </c>
      <c r="G19" s="76">
        <v>2704.5</v>
      </c>
      <c r="H19" s="76">
        <v>540900</v>
      </c>
      <c r="I19" s="76">
        <v>540900</v>
      </c>
      <c r="J19" s="76">
        <v>0</v>
      </c>
      <c r="K19">
        <v>0</v>
      </c>
      <c r="L19"/>
      <c r="M19" s="4"/>
      <c r="N19" s="4"/>
      <c r="O19" s="4"/>
      <c r="P19" s="4"/>
      <c r="Q19" s="4"/>
    </row>
    <row r="20" spans="1:17" ht="41.4" x14ac:dyDescent="0.3">
      <c r="A20" s="3"/>
      <c r="B20" s="3"/>
      <c r="C20" s="43"/>
      <c r="D20" s="65" t="s">
        <v>239</v>
      </c>
      <c r="E20" s="43"/>
      <c r="F20" s="75"/>
      <c r="G20" s="76"/>
      <c r="H20" s="76">
        <v>3296265.81</v>
      </c>
      <c r="I20" s="76">
        <v>3296265.81</v>
      </c>
      <c r="J20" s="76">
        <v>0</v>
      </c>
      <c r="K20">
        <v>0</v>
      </c>
      <c r="L20"/>
      <c r="M20" s="4"/>
      <c r="N20" s="4"/>
      <c r="O20" s="4"/>
      <c r="P20" s="4"/>
      <c r="Q20" s="4"/>
    </row>
    <row r="21" spans="1:17" ht="55.2" x14ac:dyDescent="0.3">
      <c r="A21" s="3"/>
      <c r="B21" s="3"/>
      <c r="C21" s="43" t="s">
        <v>219</v>
      </c>
      <c r="D21" s="65" t="s">
        <v>220</v>
      </c>
      <c r="E21" s="43"/>
      <c r="F21" s="75"/>
      <c r="G21" s="76"/>
      <c r="H21" s="76"/>
      <c r="I21" s="76"/>
      <c r="J21" s="76"/>
      <c r="K21"/>
      <c r="L21"/>
      <c r="M21" s="4"/>
      <c r="N21" s="4"/>
      <c r="O21" s="4"/>
      <c r="P21" s="4"/>
      <c r="Q21" s="4"/>
    </row>
    <row r="22" spans="1:17" ht="41.4" x14ac:dyDescent="0.3">
      <c r="A22" s="3"/>
      <c r="B22" s="3"/>
      <c r="C22" s="43"/>
      <c r="D22" s="65" t="s">
        <v>192</v>
      </c>
      <c r="E22" s="43"/>
      <c r="F22" s="75"/>
      <c r="G22" s="76"/>
      <c r="H22" s="76"/>
      <c r="I22" s="76"/>
      <c r="J22" s="76"/>
      <c r="K22"/>
      <c r="L22"/>
      <c r="M22" s="4"/>
      <c r="N22" s="4"/>
      <c r="O22" s="4"/>
      <c r="P22" s="4"/>
      <c r="Q22" s="4"/>
    </row>
    <row r="23" spans="1:17" ht="55.2" x14ac:dyDescent="0.3">
      <c r="A23" s="3"/>
      <c r="B23" s="3"/>
      <c r="C23" s="43" t="s">
        <v>240</v>
      </c>
      <c r="D23" s="65" t="s">
        <v>241</v>
      </c>
      <c r="E23" s="43" t="s">
        <v>193</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47</v>
      </c>
      <c r="D27" s="65" t="s">
        <v>48</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50</v>
      </c>
      <c r="D28" s="65" t="s">
        <v>51</v>
      </c>
      <c r="E28" s="43" t="s">
        <v>45</v>
      </c>
      <c r="F28" s="75">
        <v>74</v>
      </c>
      <c r="G28" s="76">
        <v>2861.56</v>
      </c>
      <c r="H28" s="76">
        <v>211755.44</v>
      </c>
      <c r="I28" s="76">
        <v>54369.64</v>
      </c>
      <c r="J28" s="76">
        <v>157385.79999999999</v>
      </c>
      <c r="K28">
        <v>0</v>
      </c>
      <c r="L28"/>
      <c r="M28" s="4"/>
      <c r="N28" s="4"/>
      <c r="O28" s="4"/>
      <c r="P28" s="4"/>
      <c r="Q28" s="4"/>
    </row>
    <row r="29" spans="1:17" ht="41.4" x14ac:dyDescent="0.3">
      <c r="C29" s="43" t="s">
        <v>53</v>
      </c>
      <c r="D29" s="65" t="s">
        <v>57</v>
      </c>
      <c r="E29" s="43" t="s">
        <v>45</v>
      </c>
      <c r="F29" s="75">
        <v>592</v>
      </c>
      <c r="G29" s="76">
        <v>3660.18</v>
      </c>
      <c r="H29" s="76">
        <v>2166826.56</v>
      </c>
      <c r="I29" s="76">
        <v>563667.72</v>
      </c>
      <c r="J29" s="76">
        <v>1603158.84</v>
      </c>
      <c r="K29">
        <v>0</v>
      </c>
      <c r="L29"/>
      <c r="M29" s="4"/>
      <c r="N29" s="4"/>
      <c r="O29" s="4"/>
      <c r="P29" s="4"/>
      <c r="Q29" s="4"/>
    </row>
    <row r="30" spans="1:17" ht="41.4" x14ac:dyDescent="0.3">
      <c r="C30" s="43" t="s">
        <v>56</v>
      </c>
      <c r="D30" s="65" t="s">
        <v>54</v>
      </c>
      <c r="E30" s="43" t="s">
        <v>45</v>
      </c>
      <c r="F30" s="75">
        <v>592</v>
      </c>
      <c r="G30" s="76">
        <v>3660.18</v>
      </c>
      <c r="H30" s="76">
        <v>2166826.56</v>
      </c>
      <c r="I30" s="76">
        <v>563667.72</v>
      </c>
      <c r="J30" s="76">
        <v>1603158.84</v>
      </c>
      <c r="K30">
        <v>0</v>
      </c>
      <c r="L30"/>
      <c r="M30" s="4"/>
      <c r="N30" s="4"/>
      <c r="O30" s="4"/>
      <c r="P30" s="4"/>
      <c r="Q30" s="4"/>
    </row>
    <row r="31" spans="1:17" ht="41.4" x14ac:dyDescent="0.3">
      <c r="C31" s="43" t="s">
        <v>58</v>
      </c>
      <c r="D31" s="65" t="s">
        <v>60</v>
      </c>
      <c r="E31" s="43" t="s">
        <v>45</v>
      </c>
      <c r="F31" s="75">
        <v>74</v>
      </c>
      <c r="G31" s="76">
        <v>3660.18</v>
      </c>
      <c r="H31" s="76">
        <v>270853.32</v>
      </c>
      <c r="I31" s="76">
        <v>69543.42</v>
      </c>
      <c r="J31" s="76">
        <v>201309.9</v>
      </c>
      <c r="K31">
        <v>0</v>
      </c>
      <c r="L31"/>
      <c r="M31" s="4"/>
      <c r="N31" s="4"/>
      <c r="O31" s="4"/>
      <c r="P31" s="4"/>
      <c r="Q31" s="4"/>
    </row>
    <row r="32" spans="1:17" ht="41.4" x14ac:dyDescent="0.3">
      <c r="C32" s="43" t="s">
        <v>58</v>
      </c>
      <c r="D32" s="65" t="s">
        <v>59</v>
      </c>
      <c r="E32" s="43" t="s">
        <v>45</v>
      </c>
      <c r="F32" s="75">
        <v>74</v>
      </c>
      <c r="G32" s="76">
        <v>3660.18</v>
      </c>
      <c r="H32" s="76">
        <v>270853.32</v>
      </c>
      <c r="I32" s="76">
        <v>69543.42</v>
      </c>
      <c r="J32" s="76">
        <v>201309.9</v>
      </c>
      <c r="K32">
        <v>0</v>
      </c>
      <c r="L32"/>
      <c r="M32" s="4"/>
      <c r="N32" s="4"/>
      <c r="O32" s="4"/>
      <c r="P32" s="4"/>
      <c r="Q32" s="4"/>
    </row>
    <row r="33" spans="3:17" ht="41.4" x14ac:dyDescent="0.3">
      <c r="C33" s="43" t="s">
        <v>61</v>
      </c>
      <c r="D33" s="65" t="s">
        <v>222</v>
      </c>
      <c r="E33" s="43" t="s">
        <v>45</v>
      </c>
      <c r="F33" s="75">
        <v>74</v>
      </c>
      <c r="G33" s="76">
        <v>3947.93</v>
      </c>
      <c r="H33" s="76">
        <v>292146.82</v>
      </c>
      <c r="I33" s="76">
        <v>75010.67</v>
      </c>
      <c r="J33" s="76">
        <v>217136.15</v>
      </c>
      <c r="K33">
        <v>0</v>
      </c>
      <c r="L33"/>
      <c r="M33" s="4"/>
      <c r="N33" s="4"/>
      <c r="O33" s="4"/>
      <c r="P33" s="4"/>
      <c r="Q33" s="4"/>
    </row>
    <row r="34" spans="3:17" ht="41.4" x14ac:dyDescent="0.3">
      <c r="C34" s="43" t="s">
        <v>63</v>
      </c>
      <c r="D34" s="65" t="s">
        <v>64</v>
      </c>
      <c r="E34" s="43" t="s">
        <v>45</v>
      </c>
      <c r="F34" s="75">
        <v>74</v>
      </c>
      <c r="G34" s="76">
        <v>3013.83</v>
      </c>
      <c r="H34" s="76">
        <v>223023.42</v>
      </c>
      <c r="I34" s="76">
        <v>57262.77</v>
      </c>
      <c r="J34" s="76">
        <v>165760.65</v>
      </c>
      <c r="K34">
        <v>0</v>
      </c>
      <c r="L34"/>
      <c r="M34" s="4"/>
      <c r="N34" s="4"/>
      <c r="O34" s="4"/>
      <c r="P34" s="4"/>
      <c r="Q34" s="4"/>
    </row>
    <row r="35" spans="3:17" ht="41.4" x14ac:dyDescent="0.3">
      <c r="C35" s="43" t="s">
        <v>66</v>
      </c>
      <c r="D35" s="65" t="s">
        <v>244</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68</v>
      </c>
      <c r="D36" s="65" t="s">
        <v>69</v>
      </c>
      <c r="E36" s="43" t="s">
        <v>45</v>
      </c>
      <c r="F36" s="75">
        <v>37</v>
      </c>
      <c r="G36" s="76">
        <v>2553.58</v>
      </c>
      <c r="H36" s="76">
        <v>94482.46</v>
      </c>
      <c r="I36" s="76">
        <v>25535.8</v>
      </c>
      <c r="J36" s="76">
        <v>68946.66</v>
      </c>
      <c r="K36">
        <v>0</v>
      </c>
      <c r="L36"/>
      <c r="M36" s="4"/>
      <c r="N36" s="4"/>
      <c r="O36" s="4"/>
      <c r="P36" s="4"/>
      <c r="Q36" s="4"/>
    </row>
    <row r="37" spans="3:17" ht="41.4" x14ac:dyDescent="0.3">
      <c r="C37" s="43" t="s">
        <v>71</v>
      </c>
      <c r="D37" s="65" t="s">
        <v>72</v>
      </c>
      <c r="E37" s="43" t="s">
        <v>45</v>
      </c>
      <c r="F37" s="75">
        <v>74</v>
      </c>
      <c r="G37" s="76">
        <v>5397.2</v>
      </c>
      <c r="H37" s="76">
        <v>399392.8</v>
      </c>
      <c r="I37" s="76">
        <v>102546.8</v>
      </c>
      <c r="J37" s="76">
        <v>296846</v>
      </c>
      <c r="K37">
        <v>0</v>
      </c>
      <c r="L37"/>
      <c r="M37" s="4"/>
      <c r="N37" s="4"/>
      <c r="O37" s="4"/>
      <c r="P37" s="4"/>
      <c r="Q37" s="4"/>
    </row>
    <row r="38" spans="3:17" ht="41.4" x14ac:dyDescent="0.3">
      <c r="C38" s="43" t="s">
        <v>206</v>
      </c>
      <c r="D38" s="65" t="s">
        <v>207</v>
      </c>
      <c r="E38" s="43" t="s">
        <v>45</v>
      </c>
      <c r="F38" s="75">
        <v>170</v>
      </c>
      <c r="G38" s="76">
        <v>5397.2</v>
      </c>
      <c r="H38" s="76">
        <v>917524</v>
      </c>
      <c r="I38" s="76">
        <v>237476.8</v>
      </c>
      <c r="J38" s="76">
        <v>680047.2</v>
      </c>
      <c r="K38">
        <v>0</v>
      </c>
      <c r="L38"/>
      <c r="M38" s="4"/>
      <c r="N38" s="4"/>
      <c r="O38" s="4"/>
      <c r="P38" s="4"/>
      <c r="Q38" s="4"/>
    </row>
    <row r="39" spans="3:17" ht="41.4" x14ac:dyDescent="0.3">
      <c r="C39" s="43" t="s">
        <v>208</v>
      </c>
      <c r="D39" s="65" t="s">
        <v>209</v>
      </c>
      <c r="E39" s="43" t="s">
        <v>45</v>
      </c>
      <c r="F39" s="75">
        <v>74</v>
      </c>
      <c r="G39" s="76">
        <v>5397.2</v>
      </c>
      <c r="H39" s="76">
        <v>399392.8</v>
      </c>
      <c r="I39" s="76">
        <v>102546.8</v>
      </c>
      <c r="J39" s="76">
        <v>296846</v>
      </c>
      <c r="K39">
        <v>0</v>
      </c>
      <c r="L39"/>
      <c r="M39" s="4"/>
      <c r="N39" s="4"/>
      <c r="O39" s="4"/>
      <c r="P39" s="4"/>
      <c r="Q39" s="4"/>
    </row>
    <row r="40" spans="3:17" ht="41.4" x14ac:dyDescent="0.3">
      <c r="C40" s="43"/>
      <c r="D40" s="65" t="s">
        <v>74</v>
      </c>
      <c r="E40" s="43"/>
      <c r="F40" s="75"/>
      <c r="G40" s="76"/>
      <c r="H40" s="76"/>
      <c r="I40" s="76"/>
      <c r="J40" s="76"/>
      <c r="K40"/>
      <c r="L40"/>
      <c r="M40" s="4"/>
      <c r="N40" s="4"/>
      <c r="O40" s="4"/>
      <c r="P40" s="4"/>
      <c r="Q40" s="4"/>
    </row>
    <row r="41" spans="3:17" ht="41.4" x14ac:dyDescent="0.3">
      <c r="C41" s="43" t="s">
        <v>75</v>
      </c>
      <c r="D41" s="65" t="s">
        <v>76</v>
      </c>
      <c r="E41" s="43" t="s">
        <v>45</v>
      </c>
      <c r="F41" s="75">
        <v>74</v>
      </c>
      <c r="G41" s="76">
        <v>4283.63</v>
      </c>
      <c r="H41" s="76">
        <v>316988.62</v>
      </c>
      <c r="I41" s="76">
        <v>81388.97</v>
      </c>
      <c r="J41" s="76">
        <v>235599.65</v>
      </c>
      <c r="K41">
        <v>0</v>
      </c>
      <c r="L41"/>
      <c r="M41" s="4"/>
      <c r="N41" s="4"/>
      <c r="O41" s="4"/>
      <c r="P41" s="4"/>
      <c r="Q41" s="4"/>
    </row>
    <row r="42" spans="3:17" ht="41.4" x14ac:dyDescent="0.3">
      <c r="C42" s="43" t="s">
        <v>78</v>
      </c>
      <c r="D42" s="65" t="s">
        <v>79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181</v>
      </c>
      <c r="E43" s="43"/>
      <c r="F43" s="75"/>
      <c r="G43" s="76"/>
      <c r="H43" s="76"/>
      <c r="I43" s="76"/>
      <c r="J43" s="76"/>
      <c r="K43"/>
      <c r="L43"/>
      <c r="M43" s="4"/>
      <c r="N43" s="4"/>
      <c r="O43" s="4"/>
      <c r="P43" s="4"/>
      <c r="Q43" s="4"/>
    </row>
    <row r="44" spans="3:17" ht="41.4" x14ac:dyDescent="0.3">
      <c r="C44" s="43" t="s">
        <v>245</v>
      </c>
      <c r="D44" s="65" t="s">
        <v>246</v>
      </c>
      <c r="E44" s="43" t="s">
        <v>45</v>
      </c>
      <c r="F44" s="75">
        <v>6</v>
      </c>
      <c r="G44" s="76">
        <v>2135.1</v>
      </c>
      <c r="H44" s="76">
        <v>12810.6</v>
      </c>
      <c r="I44" s="76">
        <v>12810.6</v>
      </c>
      <c r="J44" s="76">
        <v>0</v>
      </c>
      <c r="K44">
        <v>0</v>
      </c>
      <c r="L44"/>
      <c r="M44" s="4"/>
      <c r="N44" s="4"/>
      <c r="O44" s="4"/>
      <c r="P44" s="4"/>
      <c r="Q44" s="4"/>
    </row>
    <row r="45" spans="3:17" ht="41.4" x14ac:dyDescent="0.3">
      <c r="C45" s="43" t="s">
        <v>248</v>
      </c>
      <c r="D45" s="65" t="s">
        <v>249</v>
      </c>
      <c r="E45" s="43" t="s">
        <v>45</v>
      </c>
      <c r="F45" s="75">
        <v>18</v>
      </c>
      <c r="G45" s="76">
        <v>3162.35</v>
      </c>
      <c r="H45" s="76">
        <v>56922.3</v>
      </c>
      <c r="I45" s="76">
        <v>56922.3</v>
      </c>
      <c r="J45" s="76">
        <v>0</v>
      </c>
      <c r="K45">
        <v>0</v>
      </c>
      <c r="L45"/>
      <c r="M45" s="4"/>
      <c r="N45" s="4"/>
      <c r="O45" s="4"/>
      <c r="P45" s="4"/>
      <c r="Q45" s="4"/>
    </row>
    <row r="46" spans="3:17" ht="41.4" x14ac:dyDescent="0.3">
      <c r="C46" s="43" t="s">
        <v>248</v>
      </c>
      <c r="D46" s="65" t="s">
        <v>250</v>
      </c>
      <c r="E46" s="43" t="s">
        <v>45</v>
      </c>
      <c r="F46" s="75">
        <v>36</v>
      </c>
      <c r="G46" s="76">
        <v>3162.35</v>
      </c>
      <c r="H46" s="76">
        <v>113844.6</v>
      </c>
      <c r="I46" s="76">
        <v>113844.6</v>
      </c>
      <c r="J46" s="76">
        <v>0</v>
      </c>
      <c r="K46">
        <v>0</v>
      </c>
      <c r="L46"/>
      <c r="M46" s="4"/>
      <c r="N46" s="4"/>
      <c r="O46" s="4"/>
      <c r="P46" s="4"/>
      <c r="Q46" s="4"/>
    </row>
    <row r="47" spans="3:17" ht="41.4" x14ac:dyDescent="0.3">
      <c r="C47" s="43" t="s">
        <v>248</v>
      </c>
      <c r="D47" s="65" t="s">
        <v>251</v>
      </c>
      <c r="E47" s="43" t="s">
        <v>45</v>
      </c>
      <c r="F47" s="75">
        <v>6</v>
      </c>
      <c r="G47" s="76">
        <v>3162.35</v>
      </c>
      <c r="H47" s="76">
        <v>18974.099999999999</v>
      </c>
      <c r="I47" s="76">
        <v>18974.099999999999</v>
      </c>
      <c r="J47" s="76">
        <v>0</v>
      </c>
      <c r="K47">
        <v>0</v>
      </c>
      <c r="L47"/>
      <c r="M47" s="4"/>
      <c r="N47" s="4"/>
      <c r="O47" s="4"/>
      <c r="P47" s="4"/>
      <c r="Q47" s="4"/>
    </row>
    <row r="48" spans="3:17" ht="41.4" x14ac:dyDescent="0.3">
      <c r="C48" s="43" t="s">
        <v>182</v>
      </c>
      <c r="D48" s="65" t="s">
        <v>85</v>
      </c>
      <c r="E48" s="43" t="s">
        <v>45</v>
      </c>
      <c r="F48" s="75">
        <v>6</v>
      </c>
      <c r="G48" s="76">
        <v>2856.73</v>
      </c>
      <c r="H48" s="76">
        <v>17140.38</v>
      </c>
      <c r="I48" s="76">
        <v>17140.38</v>
      </c>
      <c r="J48" s="76">
        <v>0</v>
      </c>
      <c r="K48">
        <v>0</v>
      </c>
      <c r="L48"/>
      <c r="M48" s="4"/>
      <c r="N48" s="4"/>
      <c r="O48" s="4"/>
      <c r="P48" s="4"/>
      <c r="Q48" s="4"/>
    </row>
    <row r="49" spans="3:17" ht="41.4" x14ac:dyDescent="0.3">
      <c r="C49" s="43" t="s">
        <v>252</v>
      </c>
      <c r="D49" s="65" t="s">
        <v>253</v>
      </c>
      <c r="E49" s="43" t="s">
        <v>45</v>
      </c>
      <c r="F49" s="75">
        <v>8</v>
      </c>
      <c r="G49" s="76">
        <v>3812.78</v>
      </c>
      <c r="H49" s="76">
        <v>30502.240000000002</v>
      </c>
      <c r="I49" s="76">
        <v>30502.240000000002</v>
      </c>
      <c r="J49" s="76">
        <v>0</v>
      </c>
      <c r="K49">
        <v>0</v>
      </c>
      <c r="L49"/>
      <c r="M49" s="4"/>
      <c r="N49" s="4"/>
      <c r="O49" s="4"/>
      <c r="P49" s="4"/>
      <c r="Q49" s="4"/>
    </row>
    <row r="50" spans="3:17" ht="41.4" x14ac:dyDescent="0.3">
      <c r="C50" s="43" t="s">
        <v>254</v>
      </c>
      <c r="D50" s="65" t="s">
        <v>64</v>
      </c>
      <c r="E50" s="43" t="s">
        <v>45</v>
      </c>
      <c r="F50" s="75">
        <v>8</v>
      </c>
      <c r="G50" s="76">
        <v>2856.73</v>
      </c>
      <c r="H50" s="76">
        <v>22853.84</v>
      </c>
      <c r="I50" s="76">
        <v>22853.84</v>
      </c>
      <c r="J50" s="76">
        <v>0</v>
      </c>
      <c r="K50">
        <v>0</v>
      </c>
      <c r="L50"/>
      <c r="M50" s="4"/>
      <c r="N50" s="4"/>
      <c r="O50" s="4"/>
      <c r="P50" s="4"/>
      <c r="Q50" s="4"/>
    </row>
    <row r="51" spans="3:17" ht="41.4" x14ac:dyDescent="0.3">
      <c r="C51" s="43" t="s">
        <v>184</v>
      </c>
      <c r="D51" s="65" t="s">
        <v>48</v>
      </c>
      <c r="E51" s="43" t="s">
        <v>45</v>
      </c>
      <c r="F51" s="75">
        <v>48</v>
      </c>
      <c r="G51" s="76">
        <v>1791.26</v>
      </c>
      <c r="H51" s="76">
        <v>85980.479999999996</v>
      </c>
      <c r="I51" s="76">
        <v>85980.479999999996</v>
      </c>
      <c r="J51" s="76">
        <v>0</v>
      </c>
      <c r="K51">
        <v>0</v>
      </c>
      <c r="L51"/>
      <c r="M51" s="4"/>
      <c r="N51" s="4"/>
      <c r="O51" s="4"/>
      <c r="P51" s="4"/>
      <c r="Q51" s="4"/>
    </row>
    <row r="52" spans="3:17" ht="41.4" x14ac:dyDescent="0.3">
      <c r="C52" s="43" t="s">
        <v>210</v>
      </c>
      <c r="D52" s="65" t="s">
        <v>211</v>
      </c>
      <c r="E52" s="43" t="s">
        <v>45</v>
      </c>
      <c r="F52" s="75">
        <v>36</v>
      </c>
      <c r="G52" s="76">
        <v>3812.78</v>
      </c>
      <c r="H52" s="76">
        <v>137260.07999999999</v>
      </c>
      <c r="I52" s="76">
        <v>137260.07999999999</v>
      </c>
      <c r="J52" s="76">
        <v>0</v>
      </c>
      <c r="K52">
        <v>0</v>
      </c>
      <c r="L52"/>
      <c r="M52" s="4"/>
      <c r="N52" s="4"/>
      <c r="O52" s="4"/>
      <c r="P52" s="4"/>
      <c r="Q52" s="4"/>
    </row>
    <row r="53" spans="3:17" ht="41.4" x14ac:dyDescent="0.3">
      <c r="C53" s="43" t="s">
        <v>213</v>
      </c>
      <c r="D53" s="65" t="s">
        <v>214</v>
      </c>
      <c r="E53" s="43" t="s">
        <v>45</v>
      </c>
      <c r="F53" s="75">
        <v>36</v>
      </c>
      <c r="G53" s="76">
        <v>4209.8100000000004</v>
      </c>
      <c r="H53" s="76">
        <v>151553.16</v>
      </c>
      <c r="I53" s="76">
        <v>151553.16</v>
      </c>
      <c r="J53" s="76">
        <v>0</v>
      </c>
      <c r="K53">
        <v>0</v>
      </c>
      <c r="L53"/>
      <c r="M53" s="4"/>
      <c r="N53" s="4"/>
      <c r="O53" s="4"/>
      <c r="P53" s="4"/>
      <c r="Q53" s="4"/>
    </row>
    <row r="54" spans="3:17" ht="41.4" x14ac:dyDescent="0.3">
      <c r="C54" s="43" t="s">
        <v>216</v>
      </c>
      <c r="D54" s="65" t="s">
        <v>217</v>
      </c>
      <c r="E54" s="43" t="s">
        <v>45</v>
      </c>
      <c r="F54" s="75">
        <v>42</v>
      </c>
      <c r="G54" s="76">
        <v>4695.55</v>
      </c>
      <c r="H54" s="76">
        <v>197213.1</v>
      </c>
      <c r="I54" s="76">
        <v>197213.1</v>
      </c>
      <c r="J54" s="76">
        <v>0</v>
      </c>
      <c r="K54">
        <v>0</v>
      </c>
      <c r="L54"/>
      <c r="M54" s="4"/>
      <c r="N54" s="4"/>
      <c r="O54" s="4"/>
      <c r="P54" s="4"/>
      <c r="Q54" s="4"/>
    </row>
    <row r="55" spans="3:17" ht="41.4" x14ac:dyDescent="0.3">
      <c r="C55" s="43"/>
      <c r="D55" s="65" t="s">
        <v>165</v>
      </c>
      <c r="E55" s="43"/>
      <c r="F55" s="75"/>
      <c r="G55" s="76"/>
      <c r="H55" s="76">
        <v>10900473.32</v>
      </c>
      <c r="I55" s="76">
        <v>3449403.35</v>
      </c>
      <c r="J55" s="76">
        <v>7451069.9699999997</v>
      </c>
      <c r="K55">
        <v>0</v>
      </c>
      <c r="L55"/>
      <c r="M55" s="4"/>
      <c r="N55" s="4"/>
      <c r="O55" s="4"/>
      <c r="P55" s="4"/>
      <c r="Q55" s="4"/>
    </row>
    <row r="56" spans="3:17" ht="41.4" x14ac:dyDescent="0.3">
      <c r="C56" s="43" t="s">
        <v>81</v>
      </c>
      <c r="D56" s="65" t="s">
        <v>82</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47</v>
      </c>
      <c r="D59" s="65" t="s">
        <v>48</v>
      </c>
      <c r="E59" s="43" t="s">
        <v>45</v>
      </c>
      <c r="F59" s="75">
        <v>12</v>
      </c>
      <c r="G59" s="76">
        <v>2369.0100000000002</v>
      </c>
      <c r="H59" s="76">
        <v>28428.12</v>
      </c>
      <c r="I59" s="76">
        <v>28428.12</v>
      </c>
      <c r="J59" s="76">
        <v>0</v>
      </c>
      <c r="K59">
        <v>0</v>
      </c>
      <c r="L59"/>
      <c r="M59" s="4"/>
      <c r="N59" s="4"/>
      <c r="O59" s="4"/>
      <c r="P59" s="4"/>
      <c r="Q59" s="4"/>
    </row>
    <row r="60" spans="3:17" ht="41.4" x14ac:dyDescent="0.3">
      <c r="C60" s="43" t="s">
        <v>83</v>
      </c>
      <c r="D60" s="65" t="s">
        <v>84</v>
      </c>
      <c r="E60" s="43" t="s">
        <v>45</v>
      </c>
      <c r="F60" s="75">
        <v>8</v>
      </c>
      <c r="G60" s="76">
        <v>3660.18</v>
      </c>
      <c r="H60" s="76">
        <v>29281.439999999999</v>
      </c>
      <c r="I60" s="76">
        <v>29281.439999999999</v>
      </c>
      <c r="J60" s="76">
        <v>0</v>
      </c>
      <c r="K60">
        <v>0</v>
      </c>
      <c r="L60"/>
      <c r="M60" s="4"/>
      <c r="N60" s="4"/>
      <c r="O60" s="4"/>
      <c r="P60" s="4"/>
      <c r="Q60" s="4"/>
    </row>
    <row r="61" spans="3:17" ht="41.4" x14ac:dyDescent="0.3">
      <c r="C61" s="43" t="s">
        <v>61</v>
      </c>
      <c r="D61" s="65" t="s">
        <v>85</v>
      </c>
      <c r="E61" s="43" t="s">
        <v>45</v>
      </c>
      <c r="F61" s="75">
        <v>4</v>
      </c>
      <c r="G61" s="76">
        <v>3947.93</v>
      </c>
      <c r="H61" s="76">
        <v>15791.72</v>
      </c>
      <c r="I61" s="76">
        <v>15791.72</v>
      </c>
      <c r="J61" s="76">
        <v>0</v>
      </c>
      <c r="K61">
        <v>0</v>
      </c>
      <c r="L61"/>
      <c r="M61" s="4"/>
      <c r="N61" s="4"/>
      <c r="O61" s="4"/>
      <c r="P61" s="4"/>
      <c r="Q61" s="4"/>
    </row>
    <row r="62" spans="3:17" ht="41.4" x14ac:dyDescent="0.3">
      <c r="C62" s="43" t="s">
        <v>66</v>
      </c>
      <c r="D62" s="65" t="s">
        <v>86</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71</v>
      </c>
      <c r="D63" s="65" t="s">
        <v>72</v>
      </c>
      <c r="E63" s="43" t="s">
        <v>45</v>
      </c>
      <c r="F63" s="75">
        <v>1</v>
      </c>
      <c r="G63" s="76">
        <v>5397.2</v>
      </c>
      <c r="H63" s="76">
        <v>5397.2</v>
      </c>
      <c r="I63" s="76">
        <v>5397.2</v>
      </c>
      <c r="J63" s="76">
        <v>0</v>
      </c>
      <c r="K63">
        <v>0</v>
      </c>
      <c r="L63"/>
      <c r="M63" s="4"/>
      <c r="N63" s="4"/>
      <c r="O63" s="4"/>
      <c r="P63" s="4"/>
      <c r="Q63" s="4"/>
    </row>
    <row r="64" spans="3:17" ht="41.4" x14ac:dyDescent="0.3">
      <c r="C64" s="43"/>
      <c r="D64" s="65" t="s">
        <v>87</v>
      </c>
      <c r="E64" s="43"/>
      <c r="F64" s="75"/>
      <c r="G64" s="76"/>
      <c r="H64" s="76"/>
      <c r="I64" s="76"/>
      <c r="J64" s="76"/>
      <c r="K64"/>
      <c r="L64"/>
      <c r="M64" s="4"/>
      <c r="N64" s="4"/>
      <c r="O64" s="4"/>
      <c r="P64" s="4"/>
      <c r="Q64" s="4"/>
    </row>
    <row r="65" spans="3:17" ht="41.4" x14ac:dyDescent="0.3">
      <c r="C65" s="43" t="s">
        <v>75</v>
      </c>
      <c r="D65" s="65" t="s">
        <v>76</v>
      </c>
      <c r="E65" s="43" t="s">
        <v>45</v>
      </c>
      <c r="F65" s="75">
        <v>2</v>
      </c>
      <c r="G65" s="76">
        <v>4283.63</v>
      </c>
      <c r="H65" s="76">
        <v>8567.26</v>
      </c>
      <c r="I65" s="76">
        <v>8567.26</v>
      </c>
      <c r="J65" s="76">
        <v>0</v>
      </c>
      <c r="K65">
        <v>0</v>
      </c>
      <c r="L65"/>
      <c r="M65" s="4"/>
      <c r="N65" s="4"/>
      <c r="O65" s="4"/>
      <c r="P65" s="4"/>
      <c r="Q65" s="4"/>
    </row>
    <row r="66" spans="3:17" ht="41.4" x14ac:dyDescent="0.3">
      <c r="C66" s="43"/>
      <c r="D66" s="65" t="s">
        <v>88</v>
      </c>
      <c r="E66" s="43"/>
      <c r="F66" s="75"/>
      <c r="G66" s="76"/>
      <c r="H66" s="76">
        <v>103246.16</v>
      </c>
      <c r="I66" s="76">
        <v>103246.16</v>
      </c>
      <c r="J66" s="76">
        <v>0</v>
      </c>
      <c r="K66">
        <v>0</v>
      </c>
      <c r="L66"/>
      <c r="M66" s="4"/>
      <c r="N66" s="4"/>
      <c r="O66" s="4"/>
      <c r="P66" s="4"/>
      <c r="Q66" s="4"/>
    </row>
    <row r="67" spans="3:17" ht="55.2" x14ac:dyDescent="0.3">
      <c r="C67" s="43" t="s">
        <v>89</v>
      </c>
      <c r="D67" s="65" t="s">
        <v>90</v>
      </c>
      <c r="E67" s="43"/>
      <c r="F67" s="75"/>
      <c r="G67" s="76"/>
      <c r="H67" s="76"/>
      <c r="I67" s="76"/>
      <c r="J67" s="76"/>
      <c r="K67"/>
      <c r="L67"/>
      <c r="M67" s="4"/>
      <c r="N67" s="4"/>
      <c r="O67" s="4"/>
      <c r="P67" s="4"/>
      <c r="Q67" s="4"/>
    </row>
    <row r="68" spans="3:17" ht="41.4" x14ac:dyDescent="0.3">
      <c r="C68" s="43"/>
      <c r="D68" s="65" t="s">
        <v>91</v>
      </c>
      <c r="E68" s="43"/>
      <c r="F68" s="75"/>
      <c r="G68" s="76"/>
      <c r="H68" s="76"/>
      <c r="I68" s="76"/>
      <c r="J68" s="76"/>
      <c r="K68"/>
      <c r="L68"/>
      <c r="M68" s="4"/>
      <c r="N68" s="4"/>
      <c r="O68" s="4"/>
      <c r="P68" s="4"/>
      <c r="Q68" s="4"/>
    </row>
    <row r="69" spans="3:17" ht="69" x14ac:dyDescent="0.3">
      <c r="C69" s="43" t="s">
        <v>92</v>
      </c>
      <c r="D69" s="65" t="s">
        <v>93</v>
      </c>
      <c r="E69" s="43" t="s">
        <v>45</v>
      </c>
      <c r="F69" s="75">
        <v>608</v>
      </c>
      <c r="G69" s="76">
        <v>1125</v>
      </c>
      <c r="H69" s="76">
        <v>684000</v>
      </c>
      <c r="I69" s="76">
        <v>177750</v>
      </c>
      <c r="J69" s="76">
        <v>506250</v>
      </c>
      <c r="K69">
        <v>0</v>
      </c>
      <c r="L69"/>
      <c r="M69" s="4"/>
      <c r="N69" s="4"/>
      <c r="O69" s="4"/>
      <c r="P69" s="4"/>
      <c r="Q69" s="4"/>
    </row>
    <row r="70" spans="3:17" ht="41.4" x14ac:dyDescent="0.3">
      <c r="C70" s="43" t="s">
        <v>95</v>
      </c>
      <c r="D70" s="65" t="s">
        <v>96</v>
      </c>
      <c r="E70" s="43" t="s">
        <v>45</v>
      </c>
      <c r="F70" s="75">
        <v>592</v>
      </c>
      <c r="G70" s="76">
        <v>124.95</v>
      </c>
      <c r="H70" s="76">
        <v>73970.399999999994</v>
      </c>
      <c r="I70" s="76">
        <v>19242.3</v>
      </c>
      <c r="J70" s="76">
        <v>54728.1</v>
      </c>
      <c r="K70">
        <v>0</v>
      </c>
      <c r="L70"/>
      <c r="M70" s="4"/>
      <c r="N70" s="4"/>
      <c r="O70" s="4"/>
      <c r="P70" s="4"/>
      <c r="Q70" s="4"/>
    </row>
    <row r="71" spans="3:17" ht="41.4" x14ac:dyDescent="0.3">
      <c r="C71" s="43" t="s">
        <v>98</v>
      </c>
      <c r="D71" s="65" t="s">
        <v>99</v>
      </c>
      <c r="E71" s="43" t="s">
        <v>45</v>
      </c>
      <c r="F71" s="75">
        <v>74</v>
      </c>
      <c r="G71" s="76">
        <v>84.9</v>
      </c>
      <c r="H71" s="76">
        <v>6282.6</v>
      </c>
      <c r="I71" s="76">
        <v>1613.1</v>
      </c>
      <c r="J71" s="76">
        <v>4669.5</v>
      </c>
      <c r="K71">
        <v>0</v>
      </c>
      <c r="L71"/>
      <c r="M71" s="4"/>
      <c r="N71" s="4"/>
      <c r="O71" s="4"/>
      <c r="P71" s="4"/>
      <c r="Q71" s="4"/>
    </row>
    <row r="72" spans="3:17" ht="41.4" x14ac:dyDescent="0.3">
      <c r="C72" s="43"/>
      <c r="D72" s="65" t="s">
        <v>104</v>
      </c>
      <c r="E72" s="43"/>
      <c r="F72" s="75"/>
      <c r="G72" s="76"/>
      <c r="H72" s="76"/>
      <c r="I72" s="76"/>
      <c r="J72" s="76"/>
      <c r="K72"/>
      <c r="L72"/>
      <c r="M72" s="4"/>
      <c r="N72" s="4"/>
      <c r="O72" s="4"/>
      <c r="P72" s="4"/>
      <c r="Q72" s="4"/>
    </row>
    <row r="73" spans="3:17" ht="41.4" x14ac:dyDescent="0.3">
      <c r="C73" s="43" t="s">
        <v>105</v>
      </c>
      <c r="D73" s="65" t="s">
        <v>106</v>
      </c>
      <c r="E73" s="43" t="s">
        <v>45</v>
      </c>
      <c r="F73" s="75">
        <v>100</v>
      </c>
      <c r="G73" s="76">
        <v>34.950000000000003</v>
      </c>
      <c r="H73" s="76">
        <v>3495</v>
      </c>
      <c r="I73" s="76">
        <v>908.7</v>
      </c>
      <c r="J73" s="76">
        <v>2586.3000000000002</v>
      </c>
      <c r="K73">
        <v>0</v>
      </c>
      <c r="L73"/>
      <c r="M73" s="4"/>
      <c r="N73" s="4"/>
      <c r="O73" s="4"/>
      <c r="P73" s="4"/>
      <c r="Q73" s="4"/>
    </row>
    <row r="74" spans="3:17" ht="41.4" x14ac:dyDescent="0.3">
      <c r="C74" s="43" t="s">
        <v>108</v>
      </c>
      <c r="D74" s="65" t="s">
        <v>109</v>
      </c>
      <c r="E74" s="43" t="s">
        <v>45</v>
      </c>
      <c r="F74" s="75">
        <v>100</v>
      </c>
      <c r="G74" s="76">
        <v>54.9</v>
      </c>
      <c r="H74" s="76">
        <v>5490</v>
      </c>
      <c r="I74" s="76">
        <v>1427.4</v>
      </c>
      <c r="J74" s="76">
        <v>4062.6</v>
      </c>
      <c r="K74">
        <v>0</v>
      </c>
      <c r="L74"/>
      <c r="M74" s="4"/>
      <c r="N74" s="4"/>
      <c r="O74" s="4"/>
      <c r="P74" s="4"/>
      <c r="Q74" s="4"/>
    </row>
    <row r="75" spans="3:17" ht="41.4" x14ac:dyDescent="0.3">
      <c r="C75" s="43" t="s">
        <v>111</v>
      </c>
      <c r="D75" s="65" t="s">
        <v>112</v>
      </c>
      <c r="E75" s="43" t="s">
        <v>45</v>
      </c>
      <c r="F75" s="75">
        <v>64</v>
      </c>
      <c r="G75" s="76">
        <v>162.9</v>
      </c>
      <c r="H75" s="76">
        <v>10425.6</v>
      </c>
      <c r="I75" s="76">
        <v>2769.3</v>
      </c>
      <c r="J75" s="76">
        <v>7656.3</v>
      </c>
      <c r="K75">
        <v>0</v>
      </c>
      <c r="L75"/>
      <c r="M75" s="4"/>
      <c r="N75" s="4"/>
      <c r="O75" s="4"/>
      <c r="P75" s="4"/>
      <c r="Q75" s="4"/>
    </row>
    <row r="76" spans="3:17" ht="41.4" x14ac:dyDescent="0.3">
      <c r="C76" s="43"/>
      <c r="D76" s="65" t="s">
        <v>114</v>
      </c>
      <c r="E76" s="43"/>
      <c r="F76" s="75"/>
      <c r="G76" s="76"/>
      <c r="H76" s="76"/>
      <c r="I76" s="76"/>
      <c r="J76" s="76"/>
      <c r="K76"/>
      <c r="L76"/>
      <c r="M76" s="4"/>
      <c r="N76" s="4"/>
      <c r="O76" s="4"/>
      <c r="P76" s="4"/>
      <c r="Q76" s="4"/>
    </row>
    <row r="77" spans="3:17" ht="41.4" x14ac:dyDescent="0.3">
      <c r="C77" s="43" t="s">
        <v>115</v>
      </c>
      <c r="D77" s="65" t="s">
        <v>116</v>
      </c>
      <c r="E77" s="43" t="s">
        <v>45</v>
      </c>
      <c r="F77" s="75">
        <v>100</v>
      </c>
      <c r="G77" s="76">
        <v>175.35</v>
      </c>
      <c r="H77" s="76">
        <v>17535</v>
      </c>
      <c r="I77" s="76">
        <v>4559.1000000000004</v>
      </c>
      <c r="J77" s="76">
        <v>12975.9</v>
      </c>
      <c r="K77">
        <v>0</v>
      </c>
      <c r="L77"/>
      <c r="M77" s="4"/>
      <c r="N77" s="4"/>
      <c r="O77" s="4"/>
      <c r="P77" s="4"/>
      <c r="Q77" s="4"/>
    </row>
    <row r="78" spans="3:17" ht="41.4" x14ac:dyDescent="0.3">
      <c r="C78" s="43" t="s">
        <v>118</v>
      </c>
      <c r="D78" s="65" t="s">
        <v>119</v>
      </c>
      <c r="E78" s="43" t="s">
        <v>45</v>
      </c>
      <c r="F78" s="75">
        <v>100</v>
      </c>
      <c r="G78" s="76">
        <v>205.5</v>
      </c>
      <c r="H78" s="76">
        <v>20550</v>
      </c>
      <c r="I78" s="76">
        <v>5343</v>
      </c>
      <c r="J78" s="76">
        <v>15207</v>
      </c>
      <c r="K78">
        <v>0</v>
      </c>
      <c r="L78"/>
      <c r="M78" s="4"/>
      <c r="N78" s="4"/>
      <c r="O78" s="4"/>
      <c r="P78" s="4"/>
      <c r="Q78" s="4"/>
    </row>
    <row r="79" spans="3:17" ht="41.4" x14ac:dyDescent="0.3">
      <c r="C79" s="43" t="s">
        <v>121</v>
      </c>
      <c r="D79" s="65" t="s">
        <v>122</v>
      </c>
      <c r="E79" s="43" t="s">
        <v>45</v>
      </c>
      <c r="F79" s="75">
        <v>100</v>
      </c>
      <c r="G79" s="76">
        <v>349.95</v>
      </c>
      <c r="H79" s="76">
        <v>34995</v>
      </c>
      <c r="I79" s="76">
        <v>9098.7000000000007</v>
      </c>
      <c r="J79" s="76">
        <v>25896.3</v>
      </c>
      <c r="K79">
        <v>0</v>
      </c>
      <c r="L79"/>
      <c r="M79" s="4"/>
      <c r="N79" s="4"/>
      <c r="O79" s="4"/>
      <c r="P79" s="4"/>
      <c r="Q79" s="4"/>
    </row>
    <row r="80" spans="3:17" ht="41.4" x14ac:dyDescent="0.3">
      <c r="C80" s="43" t="s">
        <v>124</v>
      </c>
      <c r="D80" s="65" t="s">
        <v>125</v>
      </c>
      <c r="E80" s="43" t="s">
        <v>45</v>
      </c>
      <c r="F80" s="75">
        <v>100</v>
      </c>
      <c r="G80" s="76">
        <v>506.25</v>
      </c>
      <c r="H80" s="76">
        <v>50625</v>
      </c>
      <c r="I80" s="76">
        <v>13162.5</v>
      </c>
      <c r="J80" s="76">
        <v>37462.5</v>
      </c>
      <c r="K80">
        <v>0</v>
      </c>
      <c r="L80"/>
      <c r="M80" s="4"/>
      <c r="N80" s="4"/>
      <c r="O80" s="4"/>
      <c r="P80" s="4"/>
      <c r="Q80" s="4"/>
    </row>
    <row r="81" spans="3:17" ht="41.4" x14ac:dyDescent="0.3">
      <c r="C81" s="43"/>
      <c r="D81" s="65" t="s">
        <v>285</v>
      </c>
      <c r="E81" s="43"/>
      <c r="F81" s="75"/>
      <c r="G81" s="76"/>
      <c r="H81" s="76"/>
      <c r="I81" s="76"/>
      <c r="J81" s="76"/>
      <c r="K81"/>
      <c r="L81"/>
      <c r="M81" s="4"/>
      <c r="N81" s="4"/>
      <c r="O81" s="4"/>
      <c r="P81" s="4"/>
      <c r="Q81" s="4"/>
    </row>
    <row r="82" spans="3:17" ht="41.4" x14ac:dyDescent="0.3">
      <c r="C82" s="43" t="s">
        <v>127</v>
      </c>
      <c r="D82" s="65" t="s">
        <v>128</v>
      </c>
      <c r="E82" s="43" t="s">
        <v>45</v>
      </c>
      <c r="F82" s="75">
        <v>100</v>
      </c>
      <c r="G82" s="76">
        <v>31.65</v>
      </c>
      <c r="H82" s="76">
        <v>3165</v>
      </c>
      <c r="I82" s="76">
        <v>822.9</v>
      </c>
      <c r="J82" s="76">
        <v>2342.1</v>
      </c>
      <c r="K82">
        <v>0</v>
      </c>
      <c r="L82"/>
      <c r="M82" s="4"/>
      <c r="N82" s="4"/>
      <c r="O82" s="4"/>
      <c r="P82" s="4"/>
      <c r="Q82" s="4"/>
    </row>
    <row r="83" spans="3:17" ht="41.4" x14ac:dyDescent="0.3">
      <c r="C83" s="43" t="s">
        <v>131</v>
      </c>
      <c r="D83" s="65" t="s">
        <v>132</v>
      </c>
      <c r="E83" s="43" t="s">
        <v>45</v>
      </c>
      <c r="F83" s="75">
        <v>100</v>
      </c>
      <c r="G83" s="76">
        <v>49.05</v>
      </c>
      <c r="H83" s="76">
        <v>4905</v>
      </c>
      <c r="I83" s="76">
        <v>1275.3</v>
      </c>
      <c r="J83" s="76">
        <v>3629.7</v>
      </c>
      <c r="K83">
        <v>0</v>
      </c>
      <c r="L83"/>
      <c r="M83" s="4"/>
      <c r="N83" s="4"/>
      <c r="O83" s="4"/>
      <c r="P83" s="4"/>
      <c r="Q83" s="4"/>
    </row>
    <row r="84" spans="3:17" ht="41.4" x14ac:dyDescent="0.3">
      <c r="C84" s="43" t="s">
        <v>286</v>
      </c>
      <c r="D84" s="65" t="s">
        <v>287</v>
      </c>
      <c r="E84" s="43" t="s">
        <v>45</v>
      </c>
      <c r="F84" s="75">
        <v>52</v>
      </c>
      <c r="G84" s="76">
        <v>85.35</v>
      </c>
      <c r="H84" s="76">
        <v>4438.2</v>
      </c>
      <c r="I84" s="76">
        <v>1194.9000000000001</v>
      </c>
      <c r="J84" s="76">
        <v>3243.3</v>
      </c>
      <c r="K84">
        <v>0</v>
      </c>
      <c r="L84"/>
      <c r="M84" s="4"/>
      <c r="N84" s="4"/>
      <c r="O84" s="4"/>
      <c r="P84" s="4"/>
      <c r="Q84" s="4"/>
    </row>
    <row r="85" spans="3:17" ht="41.4" x14ac:dyDescent="0.3">
      <c r="C85" s="43"/>
      <c r="D85" s="65" t="s">
        <v>158</v>
      </c>
      <c r="E85" s="43"/>
      <c r="F85" s="75"/>
      <c r="G85" s="76"/>
      <c r="H85" s="76"/>
      <c r="I85" s="76"/>
      <c r="J85" s="76"/>
      <c r="K85"/>
      <c r="L85"/>
      <c r="M85" s="4"/>
      <c r="N85" s="4"/>
      <c r="O85" s="4"/>
      <c r="P85" s="4"/>
      <c r="Q85" s="4"/>
    </row>
    <row r="86" spans="3:17" ht="41.4" x14ac:dyDescent="0.3">
      <c r="C86" s="43" t="s">
        <v>198</v>
      </c>
      <c r="D86" s="65" t="s">
        <v>199</v>
      </c>
      <c r="E86" s="43" t="s">
        <v>45</v>
      </c>
      <c r="F86" s="75">
        <v>152</v>
      </c>
      <c r="G86" s="76">
        <v>124.95</v>
      </c>
      <c r="H86" s="76">
        <v>18992.400000000001</v>
      </c>
      <c r="I86" s="76">
        <v>4998</v>
      </c>
      <c r="J86" s="76">
        <v>13994.4</v>
      </c>
      <c r="K86">
        <v>0</v>
      </c>
      <c r="L86"/>
      <c r="M86" s="4"/>
      <c r="N86" s="4"/>
      <c r="O86" s="4"/>
      <c r="P86" s="4"/>
      <c r="Q86" s="4"/>
    </row>
    <row r="87" spans="3:17" ht="41.4" x14ac:dyDescent="0.3">
      <c r="C87" s="43" t="s">
        <v>200</v>
      </c>
      <c r="D87" s="65" t="s">
        <v>201</v>
      </c>
      <c r="E87" s="43" t="s">
        <v>45</v>
      </c>
      <c r="F87" s="75">
        <v>64</v>
      </c>
      <c r="G87" s="76">
        <v>2687.4</v>
      </c>
      <c r="H87" s="76">
        <v>171993.60000000001</v>
      </c>
      <c r="I87" s="76">
        <v>45685.8</v>
      </c>
      <c r="J87" s="76">
        <v>126307.8</v>
      </c>
      <c r="K87">
        <v>0</v>
      </c>
      <c r="L87"/>
      <c r="M87" s="4"/>
      <c r="N87" s="4"/>
      <c r="O87" s="4"/>
      <c r="P87" s="4"/>
      <c r="Q87" s="4"/>
    </row>
    <row r="88" spans="3:17" ht="69" x14ac:dyDescent="0.3">
      <c r="C88" s="43" t="s">
        <v>162</v>
      </c>
      <c r="D88" s="65" t="s">
        <v>163</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289</v>
      </c>
      <c r="D89" s="65" t="s">
        <v>290</v>
      </c>
      <c r="E89" s="43" t="s">
        <v>45</v>
      </c>
      <c r="F89" s="75">
        <v>64</v>
      </c>
      <c r="G89" s="76">
        <v>249.9</v>
      </c>
      <c r="H89" s="76">
        <v>15993.6</v>
      </c>
      <c r="I89" s="76">
        <v>4248.3</v>
      </c>
      <c r="J89" s="76">
        <v>11745.3</v>
      </c>
      <c r="K89">
        <v>0</v>
      </c>
      <c r="L89"/>
      <c r="M89" s="4"/>
      <c r="N89" s="4"/>
      <c r="O89" s="4"/>
      <c r="P89" s="4"/>
      <c r="Q89" s="4"/>
    </row>
    <row r="90" spans="3:17" ht="55.2" x14ac:dyDescent="0.3">
      <c r="C90" s="43" t="s">
        <v>159</v>
      </c>
      <c r="D90" s="65" t="s">
        <v>160</v>
      </c>
      <c r="E90" s="43" t="s">
        <v>45</v>
      </c>
      <c r="F90" s="75">
        <v>102</v>
      </c>
      <c r="G90" s="76">
        <v>87.45</v>
      </c>
      <c r="H90" s="76">
        <v>8919.9</v>
      </c>
      <c r="I90" s="76">
        <v>2361.15</v>
      </c>
      <c r="J90" s="76">
        <v>6558.75</v>
      </c>
      <c r="K90">
        <v>0</v>
      </c>
      <c r="L90"/>
      <c r="M90" s="4"/>
      <c r="N90" s="4"/>
      <c r="O90" s="4"/>
      <c r="P90" s="4"/>
      <c r="Q90" s="4"/>
    </row>
    <row r="91" spans="3:17" ht="41.4" x14ac:dyDescent="0.3">
      <c r="C91" s="43" t="s">
        <v>203</v>
      </c>
      <c r="D91" s="65" t="s">
        <v>204</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223</v>
      </c>
      <c r="D92" s="65" t="s">
        <v>224</v>
      </c>
      <c r="E92" s="43" t="s">
        <v>190</v>
      </c>
      <c r="F92" s="75">
        <v>912</v>
      </c>
      <c r="G92" s="76">
        <v>195</v>
      </c>
      <c r="H92" s="76">
        <v>177840</v>
      </c>
      <c r="I92" s="76">
        <v>46215</v>
      </c>
      <c r="J92" s="76">
        <v>131625</v>
      </c>
      <c r="K92">
        <v>0</v>
      </c>
      <c r="L92"/>
      <c r="M92" s="4"/>
      <c r="N92" s="4"/>
      <c r="O92" s="4"/>
      <c r="P92" s="4"/>
      <c r="Q92" s="4"/>
    </row>
    <row r="93" spans="3:17" ht="41.4" x14ac:dyDescent="0.3">
      <c r="C93" s="43"/>
      <c r="D93" s="65" t="s">
        <v>292</v>
      </c>
      <c r="E93" s="43"/>
      <c r="F93" s="75"/>
      <c r="G93" s="76"/>
      <c r="H93" s="76"/>
      <c r="I93" s="76"/>
      <c r="J93" s="76"/>
      <c r="K93"/>
      <c r="L93"/>
      <c r="M93" s="4"/>
      <c r="N93" s="4"/>
      <c r="O93" s="4"/>
      <c r="P93" s="4"/>
      <c r="Q93" s="4"/>
    </row>
    <row r="94" spans="3:17" ht="82.8" x14ac:dyDescent="0.3">
      <c r="C94" s="43" t="s">
        <v>293</v>
      </c>
      <c r="D94" s="65" t="s">
        <v>294</v>
      </c>
      <c r="E94" s="43" t="s">
        <v>45</v>
      </c>
      <c r="F94" s="75">
        <v>76</v>
      </c>
      <c r="G94" s="76">
        <v>15702.45</v>
      </c>
      <c r="H94" s="76">
        <v>1193386.2</v>
      </c>
      <c r="I94" s="76">
        <v>314049</v>
      </c>
      <c r="J94" s="76">
        <v>879337.2</v>
      </c>
      <c r="K94">
        <v>0</v>
      </c>
      <c r="L94"/>
      <c r="M94" s="4"/>
      <c r="N94" s="4"/>
      <c r="O94" s="4"/>
      <c r="P94" s="4"/>
      <c r="Q94" s="4"/>
    </row>
    <row r="95" spans="3:17" ht="41.4" x14ac:dyDescent="0.3">
      <c r="C95" s="43"/>
      <c r="D95" s="65" t="s">
        <v>255</v>
      </c>
      <c r="E95" s="43"/>
      <c r="F95" s="75"/>
      <c r="G95" s="76"/>
      <c r="H95" s="76"/>
      <c r="I95" s="76"/>
      <c r="J95" s="76"/>
      <c r="K95"/>
      <c r="L95"/>
      <c r="M95" s="4"/>
      <c r="N95" s="4"/>
      <c r="O95" s="4"/>
      <c r="P95" s="4"/>
      <c r="Q95" s="4"/>
    </row>
    <row r="96" spans="3:17" ht="55.2" x14ac:dyDescent="0.3">
      <c r="C96" s="43" t="s">
        <v>296</v>
      </c>
      <c r="D96" s="65" t="s">
        <v>297</v>
      </c>
      <c r="E96" s="43" t="s">
        <v>45</v>
      </c>
      <c r="F96" s="75">
        <v>76</v>
      </c>
      <c r="G96" s="76">
        <v>1500</v>
      </c>
      <c r="H96" s="76">
        <v>114000</v>
      </c>
      <c r="I96" s="76">
        <v>30000</v>
      </c>
      <c r="J96" s="76">
        <v>84000</v>
      </c>
      <c r="K96">
        <v>0</v>
      </c>
      <c r="L96"/>
      <c r="M96" s="4"/>
      <c r="N96" s="4"/>
      <c r="O96" s="4"/>
      <c r="P96" s="4"/>
      <c r="Q96" s="4"/>
    </row>
    <row r="97" spans="3:17" ht="41.4" x14ac:dyDescent="0.3">
      <c r="C97" s="43"/>
      <c r="D97" s="65" t="s">
        <v>186</v>
      </c>
      <c r="E97" s="43"/>
      <c r="F97" s="75"/>
      <c r="G97" s="76"/>
      <c r="H97" s="76"/>
      <c r="I97" s="76"/>
      <c r="J97" s="76"/>
      <c r="K97"/>
      <c r="L97"/>
      <c r="M97" s="4"/>
      <c r="N97" s="4"/>
      <c r="O97" s="4"/>
      <c r="P97" s="4"/>
      <c r="Q97" s="4"/>
    </row>
    <row r="98" spans="3:17" ht="41.4" x14ac:dyDescent="0.3">
      <c r="C98" s="43"/>
      <c r="D98" s="65" t="s">
        <v>187</v>
      </c>
      <c r="E98" s="43"/>
      <c r="F98" s="75"/>
      <c r="G98" s="76"/>
      <c r="H98" s="76"/>
      <c r="I98" s="76"/>
      <c r="J98" s="76"/>
      <c r="K98"/>
      <c r="L98"/>
      <c r="M98" s="4"/>
      <c r="N98" s="4"/>
      <c r="O98" s="4"/>
      <c r="P98" s="4"/>
      <c r="Q98" s="4"/>
    </row>
    <row r="99" spans="3:17" ht="55.2" x14ac:dyDescent="0.3">
      <c r="C99" s="43" t="s">
        <v>188</v>
      </c>
      <c r="D99" s="65" t="s">
        <v>189</v>
      </c>
      <c r="E99" s="43" t="s">
        <v>190</v>
      </c>
      <c r="F99" s="75">
        <v>16</v>
      </c>
      <c r="G99" s="76">
        <v>2500</v>
      </c>
      <c r="H99" s="76">
        <v>40000</v>
      </c>
      <c r="I99" s="76">
        <v>40000</v>
      </c>
      <c r="J99" s="76">
        <v>0</v>
      </c>
      <c r="K99">
        <v>0</v>
      </c>
      <c r="L99"/>
      <c r="M99" s="4"/>
      <c r="N99" s="4"/>
      <c r="O99" s="4"/>
      <c r="P99" s="4"/>
      <c r="Q99" s="4"/>
    </row>
    <row r="100" spans="3:17" ht="55.2" x14ac:dyDescent="0.3">
      <c r="C100" s="43" t="s">
        <v>299</v>
      </c>
      <c r="D100" s="65" t="s">
        <v>300</v>
      </c>
      <c r="E100" s="43" t="s">
        <v>190</v>
      </c>
      <c r="F100" s="75">
        <v>12</v>
      </c>
      <c r="G100" s="76">
        <v>3125</v>
      </c>
      <c r="H100" s="76">
        <v>37500</v>
      </c>
      <c r="I100" s="76">
        <v>37500</v>
      </c>
      <c r="J100" s="76">
        <v>0</v>
      </c>
      <c r="K100">
        <v>0</v>
      </c>
      <c r="L100"/>
      <c r="M100" s="4"/>
      <c r="N100" s="4"/>
      <c r="O100" s="4"/>
      <c r="P100" s="4"/>
      <c r="Q100" s="4"/>
    </row>
    <row r="101" spans="3:17" ht="41.4" x14ac:dyDescent="0.3">
      <c r="C101" s="43"/>
      <c r="D101" s="65" t="s">
        <v>194</v>
      </c>
      <c r="E101" s="43"/>
      <c r="F101" s="75"/>
      <c r="G101" s="76"/>
      <c r="H101" s="76"/>
      <c r="I101" s="76"/>
      <c r="J101" s="76"/>
      <c r="K101"/>
      <c r="L101"/>
      <c r="M101" s="4"/>
      <c r="N101" s="4"/>
      <c r="O101" s="4"/>
      <c r="P101" s="4"/>
      <c r="Q101" s="4"/>
    </row>
    <row r="102" spans="3:17" ht="41.4" x14ac:dyDescent="0.3">
      <c r="C102" s="43" t="s">
        <v>195</v>
      </c>
      <c r="D102" s="65" t="s">
        <v>196</v>
      </c>
      <c r="E102" s="43" t="s">
        <v>45</v>
      </c>
      <c r="F102" s="75">
        <v>1</v>
      </c>
      <c r="G102" s="76">
        <v>25000</v>
      </c>
      <c r="H102" s="76">
        <v>25000</v>
      </c>
      <c r="I102" s="76">
        <v>25000</v>
      </c>
      <c r="J102" s="76">
        <v>0</v>
      </c>
      <c r="K102">
        <v>0</v>
      </c>
      <c r="L102"/>
      <c r="M102" s="4"/>
      <c r="N102" s="4"/>
      <c r="O102" s="4"/>
      <c r="P102" s="4"/>
      <c r="Q102" s="4"/>
    </row>
    <row r="103" spans="3:17" ht="41.4" x14ac:dyDescent="0.3">
      <c r="C103" s="43"/>
      <c r="D103" s="65" t="s">
        <v>261</v>
      </c>
      <c r="E103" s="43"/>
      <c r="F103" s="75"/>
      <c r="G103" s="76"/>
      <c r="H103" s="76"/>
      <c r="I103" s="76"/>
      <c r="J103" s="76"/>
      <c r="K103"/>
      <c r="L103"/>
      <c r="M103" s="4"/>
      <c r="N103" s="4"/>
      <c r="O103" s="4"/>
      <c r="P103" s="4"/>
      <c r="Q103" s="4"/>
    </row>
    <row r="104" spans="3:17" ht="69" x14ac:dyDescent="0.3">
      <c r="C104" s="43" t="s">
        <v>262</v>
      </c>
      <c r="D104" s="65" t="s">
        <v>93</v>
      </c>
      <c r="E104" s="43" t="s">
        <v>45</v>
      </c>
      <c r="F104" s="75">
        <v>12</v>
      </c>
      <c r="G104" s="76">
        <v>750</v>
      </c>
      <c r="H104" s="76">
        <v>9000</v>
      </c>
      <c r="I104" s="76">
        <v>9000</v>
      </c>
      <c r="J104" s="76">
        <v>0</v>
      </c>
      <c r="K104">
        <v>0</v>
      </c>
      <c r="L104"/>
      <c r="M104" s="4"/>
      <c r="N104" s="4"/>
      <c r="O104" s="4"/>
      <c r="P104" s="4"/>
      <c r="Q104" s="4"/>
    </row>
    <row r="105" spans="3:17" ht="41.4" x14ac:dyDescent="0.3">
      <c r="C105" s="43" t="s">
        <v>264</v>
      </c>
      <c r="D105" s="65" t="s">
        <v>99</v>
      </c>
      <c r="E105" s="43" t="s">
        <v>45</v>
      </c>
      <c r="F105" s="75">
        <v>24</v>
      </c>
      <c r="G105" s="76">
        <v>56.6</v>
      </c>
      <c r="H105" s="76">
        <v>1358.4</v>
      </c>
      <c r="I105" s="76">
        <v>1358.4</v>
      </c>
      <c r="J105" s="76">
        <v>0</v>
      </c>
      <c r="K105">
        <v>0</v>
      </c>
      <c r="L105"/>
      <c r="M105" s="4"/>
      <c r="N105" s="4"/>
      <c r="O105" s="4"/>
      <c r="P105" s="4"/>
      <c r="Q105" s="4"/>
    </row>
    <row r="106" spans="3:17" ht="41.4" x14ac:dyDescent="0.3">
      <c r="C106" s="43"/>
      <c r="D106" s="65" t="s">
        <v>266</v>
      </c>
      <c r="E106" s="43"/>
      <c r="F106" s="75"/>
      <c r="G106" s="76"/>
      <c r="H106" s="76"/>
      <c r="I106" s="76"/>
      <c r="J106" s="76"/>
      <c r="K106"/>
      <c r="L106"/>
      <c r="M106" s="4"/>
      <c r="N106" s="4"/>
      <c r="O106" s="4"/>
      <c r="P106" s="4"/>
      <c r="Q106" s="4"/>
    </row>
    <row r="107" spans="3:17" ht="41.4" x14ac:dyDescent="0.3">
      <c r="C107" s="43" t="s">
        <v>302</v>
      </c>
      <c r="D107" s="65" t="s">
        <v>106</v>
      </c>
      <c r="E107" s="43" t="s">
        <v>45</v>
      </c>
      <c r="F107" s="75">
        <v>4</v>
      </c>
      <c r="G107" s="76">
        <v>23.3</v>
      </c>
      <c r="H107" s="76">
        <v>93.2</v>
      </c>
      <c r="I107" s="76">
        <v>93.2</v>
      </c>
      <c r="J107" s="76">
        <v>0</v>
      </c>
      <c r="K107">
        <v>0</v>
      </c>
      <c r="L107"/>
      <c r="M107" s="4"/>
      <c r="N107" s="4"/>
      <c r="O107" s="4"/>
      <c r="P107" s="4"/>
      <c r="Q107" s="4"/>
    </row>
    <row r="108" spans="3:17" ht="41.4" x14ac:dyDescent="0.3">
      <c r="C108" s="43" t="s">
        <v>267</v>
      </c>
      <c r="D108" s="65" t="s">
        <v>109</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269</v>
      </c>
      <c r="E109" s="43"/>
      <c r="F109" s="75"/>
      <c r="G109" s="76"/>
      <c r="H109" s="76"/>
      <c r="I109" s="76"/>
      <c r="J109" s="76"/>
      <c r="K109"/>
      <c r="L109"/>
      <c r="M109" s="4"/>
      <c r="N109" s="4"/>
      <c r="O109" s="4"/>
      <c r="P109" s="4"/>
      <c r="Q109" s="4"/>
    </row>
    <row r="110" spans="3:17" ht="41.4" x14ac:dyDescent="0.3">
      <c r="C110" s="43" t="s">
        <v>304</v>
      </c>
      <c r="D110" s="65" t="s">
        <v>305</v>
      </c>
      <c r="E110" s="43" t="s">
        <v>45</v>
      </c>
      <c r="F110" s="75">
        <v>4</v>
      </c>
      <c r="G110" s="76">
        <v>116.9</v>
      </c>
      <c r="H110" s="76">
        <v>467.6</v>
      </c>
      <c r="I110" s="76">
        <v>467.6</v>
      </c>
      <c r="J110" s="76">
        <v>0</v>
      </c>
      <c r="K110">
        <v>0</v>
      </c>
      <c r="L110"/>
      <c r="M110" s="4"/>
      <c r="N110" s="4"/>
      <c r="O110" s="4"/>
      <c r="P110" s="4"/>
      <c r="Q110" s="4"/>
    </row>
    <row r="111" spans="3:17" ht="41.4" x14ac:dyDescent="0.3">
      <c r="C111" s="43" t="s">
        <v>270</v>
      </c>
      <c r="D111" s="65" t="s">
        <v>119</v>
      </c>
      <c r="E111" s="43" t="s">
        <v>45</v>
      </c>
      <c r="F111" s="75">
        <v>4</v>
      </c>
      <c r="G111" s="76">
        <v>137</v>
      </c>
      <c r="H111" s="76">
        <v>548</v>
      </c>
      <c r="I111" s="76">
        <v>548</v>
      </c>
      <c r="J111" s="76">
        <v>0</v>
      </c>
      <c r="K111">
        <v>0</v>
      </c>
      <c r="L111"/>
      <c r="M111" s="4"/>
      <c r="N111" s="4"/>
      <c r="O111" s="4"/>
      <c r="P111" s="4"/>
      <c r="Q111" s="4"/>
    </row>
    <row r="112" spans="3:17" ht="41.4" x14ac:dyDescent="0.3">
      <c r="C112" s="43"/>
      <c r="D112" s="65" t="s">
        <v>285</v>
      </c>
      <c r="E112" s="43"/>
      <c r="F112" s="75"/>
      <c r="G112" s="76"/>
      <c r="H112" s="76"/>
      <c r="I112" s="76"/>
      <c r="J112" s="76"/>
      <c r="K112"/>
      <c r="L112"/>
      <c r="M112" s="4"/>
      <c r="N112" s="4"/>
      <c r="O112" s="4"/>
      <c r="P112" s="4"/>
      <c r="Q112" s="4"/>
    </row>
    <row r="113" spans="3:17" ht="41.4" x14ac:dyDescent="0.3">
      <c r="C113" s="43" t="s">
        <v>307</v>
      </c>
      <c r="D113" s="65" t="s">
        <v>128</v>
      </c>
      <c r="E113" s="43" t="s">
        <v>45</v>
      </c>
      <c r="F113" s="75">
        <v>4</v>
      </c>
      <c r="G113" s="76">
        <v>21.1</v>
      </c>
      <c r="H113" s="76">
        <v>84.4</v>
      </c>
      <c r="I113" s="76">
        <v>84.4</v>
      </c>
      <c r="J113" s="76">
        <v>0</v>
      </c>
      <c r="K113">
        <v>0</v>
      </c>
      <c r="L113"/>
      <c r="M113" s="4"/>
      <c r="N113" s="4"/>
      <c r="O113" s="4"/>
      <c r="P113" s="4"/>
      <c r="Q113" s="4"/>
    </row>
    <row r="114" spans="3:17" ht="41.4" x14ac:dyDescent="0.3">
      <c r="C114" s="43" t="s">
        <v>309</v>
      </c>
      <c r="D114" s="65" t="s">
        <v>199</v>
      </c>
      <c r="E114" s="43" t="s">
        <v>45</v>
      </c>
      <c r="F114" s="75">
        <v>4</v>
      </c>
      <c r="G114" s="76">
        <v>83.3</v>
      </c>
      <c r="H114" s="76">
        <v>333.2</v>
      </c>
      <c r="I114" s="76">
        <v>333.2</v>
      </c>
      <c r="J114" s="76">
        <v>0</v>
      </c>
      <c r="K114">
        <v>0</v>
      </c>
      <c r="L114"/>
      <c r="M114" s="4"/>
      <c r="N114" s="4"/>
      <c r="O114" s="4"/>
      <c r="P114" s="4"/>
      <c r="Q114" s="4"/>
    </row>
    <row r="115" spans="3:17" ht="41.4" x14ac:dyDescent="0.3">
      <c r="C115" s="43" t="s">
        <v>272</v>
      </c>
      <c r="D115" s="65" t="s">
        <v>273</v>
      </c>
      <c r="E115" s="43" t="s">
        <v>190</v>
      </c>
      <c r="F115" s="75">
        <v>144</v>
      </c>
      <c r="G115" s="76">
        <v>83.34</v>
      </c>
      <c r="H115" s="76">
        <v>12000.96</v>
      </c>
      <c r="I115" s="76">
        <v>12000.96</v>
      </c>
      <c r="J115" s="76">
        <v>0</v>
      </c>
      <c r="K115">
        <v>0</v>
      </c>
      <c r="L115"/>
      <c r="M115" s="4"/>
      <c r="N115" s="4"/>
      <c r="O115" s="4"/>
      <c r="P115" s="4"/>
      <c r="Q115" s="4"/>
    </row>
    <row r="116" spans="3:17" ht="41.4" x14ac:dyDescent="0.3">
      <c r="C116" s="43" t="s">
        <v>275</v>
      </c>
      <c r="D116" s="65" t="s">
        <v>276</v>
      </c>
      <c r="E116" s="43" t="s">
        <v>190</v>
      </c>
      <c r="F116" s="75">
        <v>432</v>
      </c>
      <c r="G116" s="76">
        <v>31.25</v>
      </c>
      <c r="H116" s="76">
        <v>13500</v>
      </c>
      <c r="I116" s="76">
        <v>13500</v>
      </c>
      <c r="J116" s="76">
        <v>0</v>
      </c>
      <c r="K116">
        <v>0</v>
      </c>
      <c r="L116"/>
      <c r="M116" s="76"/>
      <c r="N116" s="76"/>
      <c r="O116" s="4"/>
      <c r="P116" s="4"/>
      <c r="Q116" s="4"/>
    </row>
    <row r="117" spans="3:17" ht="41.4" x14ac:dyDescent="0.3">
      <c r="C117" s="43"/>
      <c r="D117" s="65" t="s">
        <v>166</v>
      </c>
      <c r="E117" s="43"/>
      <c r="F117" s="75"/>
      <c r="G117" s="76"/>
      <c r="H117" s="76">
        <v>2817523.46</v>
      </c>
      <c r="I117" s="76">
        <v>841503.71</v>
      </c>
      <c r="J117" s="76">
        <v>1976019.75</v>
      </c>
      <c r="K117">
        <v>0</v>
      </c>
      <c r="L117"/>
      <c r="M117" s="82"/>
      <c r="N117" s="82"/>
      <c r="O117" s="4"/>
      <c r="P117" s="4"/>
      <c r="Q117" s="4"/>
    </row>
    <row r="118" spans="3:17" ht="41.4" x14ac:dyDescent="0.3">
      <c r="C118" s="43" t="s">
        <v>92</v>
      </c>
      <c r="D118" s="65" t="s">
        <v>130</v>
      </c>
      <c r="E118" s="43"/>
      <c r="F118" s="75"/>
      <c r="G118" s="76"/>
      <c r="H118" s="76"/>
      <c r="I118" s="76"/>
      <c r="J118" s="76"/>
      <c r="K118"/>
      <c r="L118"/>
      <c r="M118" s="42"/>
      <c r="N118" s="42"/>
      <c r="O118" s="4"/>
      <c r="P118" s="4"/>
      <c r="Q118" s="4"/>
    </row>
    <row r="119" spans="3:17" ht="69" x14ac:dyDescent="0.3">
      <c r="C119" s="43" t="s">
        <v>92</v>
      </c>
      <c r="D119" s="65" t="s">
        <v>93</v>
      </c>
      <c r="E119" s="43" t="s">
        <v>45</v>
      </c>
      <c r="F119" s="75">
        <v>1</v>
      </c>
      <c r="G119" s="76">
        <v>1125</v>
      </c>
      <c r="H119" s="76">
        <v>1125</v>
      </c>
      <c r="I119" s="76">
        <v>1125</v>
      </c>
      <c r="J119" s="76">
        <v>0</v>
      </c>
      <c r="K119">
        <v>0</v>
      </c>
      <c r="L119"/>
      <c r="M119" s="42"/>
      <c r="N119" s="42"/>
      <c r="O119" s="4"/>
      <c r="P119" s="4"/>
      <c r="Q119" s="4"/>
    </row>
    <row r="120" spans="3:17" ht="41.4" x14ac:dyDescent="0.3">
      <c r="C120" s="43" t="s">
        <v>98</v>
      </c>
      <c r="D120" s="65" t="s">
        <v>99</v>
      </c>
      <c r="E120" s="43" t="s">
        <v>45</v>
      </c>
      <c r="F120" s="75">
        <v>1</v>
      </c>
      <c r="G120" s="76">
        <v>84.9</v>
      </c>
      <c r="H120" s="76">
        <v>84.9</v>
      </c>
      <c r="I120" s="76">
        <v>84.9</v>
      </c>
      <c r="J120" s="76">
        <v>0</v>
      </c>
      <c r="K120">
        <v>0</v>
      </c>
      <c r="L120"/>
      <c r="M120" s="42"/>
      <c r="N120" s="42"/>
      <c r="O120" s="4"/>
      <c r="P120" s="4"/>
      <c r="Q120" s="4"/>
    </row>
    <row r="121" spans="3:17" ht="82.8" x14ac:dyDescent="0.3">
      <c r="C121" s="43" t="s">
        <v>101</v>
      </c>
      <c r="D121" s="65" t="s">
        <v>102</v>
      </c>
      <c r="E121" s="43" t="s">
        <v>45</v>
      </c>
      <c r="F121" s="75">
        <v>2</v>
      </c>
      <c r="G121" s="76">
        <v>685.05</v>
      </c>
      <c r="H121" s="76">
        <v>1370.1</v>
      </c>
      <c r="I121" s="76">
        <v>1370.1</v>
      </c>
      <c r="J121" s="76">
        <v>0</v>
      </c>
      <c r="K121">
        <v>0</v>
      </c>
      <c r="L121"/>
      <c r="M121" s="42"/>
      <c r="N121" s="42"/>
      <c r="O121" s="4"/>
      <c r="P121" s="4"/>
      <c r="Q121" s="4"/>
    </row>
    <row r="122" spans="3:17" ht="41.4" x14ac:dyDescent="0.3">
      <c r="C122" s="43" t="s">
        <v>105</v>
      </c>
      <c r="D122" s="65" t="s">
        <v>106</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108</v>
      </c>
      <c r="D123" s="65" t="s">
        <v>109</v>
      </c>
      <c r="E123" s="43" t="s">
        <v>45</v>
      </c>
      <c r="F123" s="75">
        <v>2</v>
      </c>
      <c r="G123" s="76">
        <v>54.9</v>
      </c>
      <c r="H123" s="76">
        <v>109.8</v>
      </c>
      <c r="I123" s="76">
        <v>109.8</v>
      </c>
      <c r="J123" s="76">
        <v>0</v>
      </c>
      <c r="K123">
        <v>0</v>
      </c>
      <c r="L123"/>
      <c r="M123" s="42"/>
      <c r="N123" s="42"/>
      <c r="O123" s="4"/>
      <c r="P123" s="4"/>
      <c r="Q123" s="4"/>
    </row>
    <row r="124" spans="3:17" ht="41.4" x14ac:dyDescent="0.3">
      <c r="C124" s="43" t="s">
        <v>115</v>
      </c>
      <c r="D124" s="65" t="s">
        <v>116</v>
      </c>
      <c r="E124" s="43" t="s">
        <v>45</v>
      </c>
      <c r="F124" s="75">
        <v>2</v>
      </c>
      <c r="G124" s="76">
        <v>175.35</v>
      </c>
      <c r="H124" s="76">
        <v>350.7</v>
      </c>
      <c r="I124" s="76">
        <v>350.7</v>
      </c>
      <c r="J124" s="76">
        <v>0</v>
      </c>
      <c r="K124">
        <v>0</v>
      </c>
      <c r="L124"/>
      <c r="M124" s="42"/>
      <c r="N124" s="42"/>
      <c r="O124" s="4"/>
      <c r="P124" s="4"/>
      <c r="Q124" s="4"/>
    </row>
    <row r="125" spans="3:17" ht="41.4" x14ac:dyDescent="0.3">
      <c r="C125" s="43" t="s">
        <v>118</v>
      </c>
      <c r="D125" s="65" t="s">
        <v>119</v>
      </c>
      <c r="E125" s="43" t="s">
        <v>45</v>
      </c>
      <c r="F125" s="75">
        <v>2</v>
      </c>
      <c r="G125" s="76">
        <v>205.5</v>
      </c>
      <c r="H125" s="76">
        <v>411</v>
      </c>
      <c r="I125" s="76">
        <v>411</v>
      </c>
      <c r="J125" s="76">
        <v>0</v>
      </c>
      <c r="K125">
        <v>0</v>
      </c>
      <c r="L125"/>
      <c r="M125" s="42"/>
      <c r="N125" s="42"/>
      <c r="O125" s="4"/>
      <c r="P125" s="4"/>
      <c r="Q125" s="4"/>
    </row>
    <row r="126" spans="3:17" ht="41.4" x14ac:dyDescent="0.3">
      <c r="C126" s="43" t="s">
        <v>127</v>
      </c>
      <c r="D126" s="65" t="s">
        <v>128</v>
      </c>
      <c r="E126" s="43" t="s">
        <v>45</v>
      </c>
      <c r="F126" s="75">
        <v>2</v>
      </c>
      <c r="G126" s="76">
        <v>31.65</v>
      </c>
      <c r="H126" s="76">
        <v>63.3</v>
      </c>
      <c r="I126" s="76">
        <v>63.3</v>
      </c>
      <c r="J126" s="76">
        <v>0</v>
      </c>
      <c r="K126">
        <v>0</v>
      </c>
      <c r="L126"/>
      <c r="M126" s="42"/>
      <c r="N126" s="42"/>
      <c r="O126" s="4"/>
      <c r="P126" s="4"/>
      <c r="Q126" s="4"/>
    </row>
    <row r="127" spans="3:17" ht="41.4" x14ac:dyDescent="0.3">
      <c r="C127" s="43" t="s">
        <v>131</v>
      </c>
      <c r="D127" s="65" t="s">
        <v>132</v>
      </c>
      <c r="E127" s="43" t="s">
        <v>45</v>
      </c>
      <c r="F127" s="75">
        <v>3</v>
      </c>
      <c r="G127" s="76">
        <v>49.05</v>
      </c>
      <c r="H127" s="76">
        <v>147.15</v>
      </c>
      <c r="I127" s="76">
        <v>147.15</v>
      </c>
      <c r="J127" s="76">
        <v>0</v>
      </c>
      <c r="K127">
        <v>0</v>
      </c>
      <c r="L127"/>
      <c r="M127" s="42"/>
      <c r="N127" s="42"/>
      <c r="O127" s="4"/>
      <c r="P127" s="4"/>
      <c r="Q127" s="4"/>
    </row>
    <row r="128" spans="3:17" ht="41.4" x14ac:dyDescent="0.3">
      <c r="C128" s="43" t="s">
        <v>134</v>
      </c>
      <c r="D128" s="65" t="s">
        <v>135</v>
      </c>
      <c r="E128" s="43" t="s">
        <v>45</v>
      </c>
      <c r="F128" s="75">
        <v>2</v>
      </c>
      <c r="G128" s="76">
        <v>388.5</v>
      </c>
      <c r="H128" s="76">
        <v>777</v>
      </c>
      <c r="I128" s="76">
        <v>777</v>
      </c>
      <c r="J128" s="76">
        <v>0</v>
      </c>
      <c r="K128">
        <v>0</v>
      </c>
      <c r="L128"/>
      <c r="M128" s="42"/>
      <c r="N128" s="42"/>
      <c r="O128" s="4"/>
      <c r="P128" s="4"/>
      <c r="Q128" s="4"/>
    </row>
    <row r="129" spans="3:17" ht="41.4" x14ac:dyDescent="0.3">
      <c r="C129" s="43"/>
      <c r="D129" s="65" t="s">
        <v>137</v>
      </c>
      <c r="E129" s="43"/>
      <c r="F129" s="75"/>
      <c r="G129" s="76"/>
      <c r="H129" s="76">
        <v>4508.8500000000004</v>
      </c>
      <c r="I129" s="76">
        <v>4508.8500000000004</v>
      </c>
      <c r="J129" s="76">
        <v>0</v>
      </c>
      <c r="K129">
        <v>0</v>
      </c>
      <c r="L129"/>
      <c r="M129" s="42"/>
      <c r="N129" s="42"/>
      <c r="O129" s="4"/>
      <c r="P129" s="4"/>
      <c r="Q129" s="4"/>
    </row>
    <row r="130" spans="3:17" ht="41.4" x14ac:dyDescent="0.3">
      <c r="C130" s="43" t="s">
        <v>138</v>
      </c>
      <c r="D130" s="65" t="s">
        <v>139</v>
      </c>
      <c r="E130" s="43"/>
      <c r="F130" s="75"/>
      <c r="G130" s="76"/>
      <c r="H130" s="76"/>
      <c r="I130" s="76"/>
      <c r="J130" s="76"/>
      <c r="K130"/>
      <c r="L130"/>
      <c r="M130" s="42"/>
      <c r="N130" s="42"/>
      <c r="O130" s="4"/>
      <c r="P130" s="4"/>
      <c r="Q130" s="4"/>
    </row>
    <row r="131" spans="3:17" ht="41.4" x14ac:dyDescent="0.3">
      <c r="C131" s="43" t="s">
        <v>140</v>
      </c>
      <c r="D131" s="65" t="s">
        <v>141</v>
      </c>
      <c r="E131" s="43" t="s">
        <v>142</v>
      </c>
      <c r="F131" s="75">
        <v>250</v>
      </c>
      <c r="G131" s="76">
        <v>475</v>
      </c>
      <c r="H131" s="76">
        <v>118750</v>
      </c>
      <c r="I131" s="76">
        <v>118750</v>
      </c>
      <c r="J131" s="76">
        <v>0</v>
      </c>
      <c r="K131">
        <v>0</v>
      </c>
      <c r="L131"/>
      <c r="M131" s="42"/>
      <c r="N131" s="42"/>
      <c r="O131" s="4"/>
      <c r="P131" s="4"/>
      <c r="Q131" s="4"/>
    </row>
    <row r="132" spans="3:17" ht="41.4" x14ac:dyDescent="0.3">
      <c r="C132" s="43"/>
      <c r="D132" s="65" t="s">
        <v>144</v>
      </c>
      <c r="E132" s="43"/>
      <c r="F132" s="75"/>
      <c r="G132" s="76"/>
      <c r="H132" s="76">
        <v>118750</v>
      </c>
      <c r="I132" s="76">
        <v>118750</v>
      </c>
      <c r="J132" s="76">
        <v>0</v>
      </c>
      <c r="K132">
        <v>0</v>
      </c>
      <c r="L132"/>
      <c r="M132" s="42"/>
      <c r="N132" s="42"/>
      <c r="O132" s="4"/>
      <c r="P132" s="4"/>
      <c r="Q132" s="4"/>
    </row>
    <row r="133" spans="3:17" ht="41.4" x14ac:dyDescent="0.3">
      <c r="C133" s="43" t="s">
        <v>168</v>
      </c>
      <c r="D133" s="65" t="s">
        <v>169</v>
      </c>
      <c r="E133" s="43"/>
      <c r="F133" s="75"/>
      <c r="G133" s="76"/>
      <c r="H133" s="76"/>
      <c r="I133" s="76"/>
      <c r="J133" s="76"/>
      <c r="K133"/>
      <c r="L133"/>
      <c r="M133" s="42"/>
      <c r="N133" s="42"/>
      <c r="O133" s="4"/>
      <c r="P133" s="4"/>
      <c r="Q133" s="4"/>
    </row>
    <row r="134" spans="3:17" ht="41.4" x14ac:dyDescent="0.3">
      <c r="C134" s="43" t="s">
        <v>170</v>
      </c>
      <c r="D134" s="65" t="s">
        <v>171</v>
      </c>
      <c r="E134" s="43" t="s">
        <v>172</v>
      </c>
      <c r="F134" s="75">
        <v>1</v>
      </c>
      <c r="G134" s="76">
        <v>10449.94</v>
      </c>
      <c r="H134" s="76">
        <v>10449.94</v>
      </c>
      <c r="I134" s="76">
        <v>0</v>
      </c>
      <c r="J134" s="76">
        <v>10449.94</v>
      </c>
      <c r="K134">
        <v>0</v>
      </c>
      <c r="L134"/>
      <c r="M134" s="42"/>
      <c r="N134" s="42"/>
      <c r="O134" s="4"/>
      <c r="P134" s="4"/>
      <c r="Q134" s="4"/>
    </row>
    <row r="135" spans="3:17" ht="41.4" x14ac:dyDescent="0.3">
      <c r="C135" s="43"/>
      <c r="D135" s="65" t="s">
        <v>174</v>
      </c>
      <c r="E135" s="43"/>
      <c r="F135" s="75"/>
      <c r="G135" s="76"/>
      <c r="H135" s="76">
        <v>10449.94</v>
      </c>
      <c r="I135" s="76">
        <v>0</v>
      </c>
      <c r="J135" s="76">
        <v>10449.94</v>
      </c>
      <c r="K135">
        <v>0</v>
      </c>
      <c r="L135"/>
      <c r="M135" s="42"/>
      <c r="N135" s="42"/>
      <c r="O135" s="4"/>
      <c r="P135" s="4"/>
      <c r="Q135" s="4"/>
    </row>
    <row r="136" spans="3:17" ht="41.4" x14ac:dyDescent="0.3">
      <c r="C136" s="43" t="s">
        <v>175</v>
      </c>
      <c r="D136" s="65" t="s">
        <v>176</v>
      </c>
      <c r="E136" s="43"/>
      <c r="F136" s="75"/>
      <c r="G136" s="76"/>
      <c r="H136" s="76"/>
      <c r="I136" s="76"/>
      <c r="J136" s="76"/>
      <c r="K136"/>
      <c r="L136"/>
      <c r="M136" s="42"/>
      <c r="N136" s="42"/>
      <c r="O136" s="4"/>
      <c r="P136" s="4"/>
      <c r="Q136" s="4"/>
    </row>
    <row r="137" spans="3:17" ht="41.4" x14ac:dyDescent="0.3">
      <c r="C137" s="43" t="s">
        <v>177</v>
      </c>
      <c r="D137" s="65" t="s">
        <v>178</v>
      </c>
      <c r="E137" s="43" t="s">
        <v>172</v>
      </c>
      <c r="F137" s="75">
        <v>1</v>
      </c>
      <c r="G137" s="76">
        <v>7740.7</v>
      </c>
      <c r="H137" s="76">
        <v>7740.7</v>
      </c>
      <c r="I137" s="76">
        <v>0</v>
      </c>
      <c r="J137" s="76">
        <v>7740.7</v>
      </c>
      <c r="K137">
        <v>0</v>
      </c>
      <c r="L137"/>
      <c r="M137" s="42"/>
      <c r="N137" s="42"/>
      <c r="O137" s="4"/>
      <c r="P137" s="4"/>
      <c r="Q137" s="4"/>
    </row>
    <row r="138" spans="3:17" ht="41.4" x14ac:dyDescent="0.3">
      <c r="C138" s="43"/>
      <c r="D138" s="65" t="s">
        <v>180</v>
      </c>
      <c r="E138" s="43"/>
      <c r="F138" s="75"/>
      <c r="G138" s="76"/>
      <c r="H138" s="76">
        <v>7740.7</v>
      </c>
      <c r="I138" s="76">
        <v>0</v>
      </c>
      <c r="J138" s="76">
        <v>7740.7</v>
      </c>
      <c r="K138">
        <v>0</v>
      </c>
      <c r="L138"/>
      <c r="M138" s="42"/>
      <c r="N138" s="42"/>
      <c r="O138" s="4"/>
      <c r="P138" s="4"/>
      <c r="Q138" s="4"/>
    </row>
    <row r="139" spans="3:17" ht="55.2" x14ac:dyDescent="0.3">
      <c r="C139" s="43" t="s">
        <v>278</v>
      </c>
      <c r="D139" s="65" t="s">
        <v>279</v>
      </c>
      <c r="E139" s="43"/>
      <c r="F139" s="75"/>
      <c r="G139" s="76"/>
      <c r="H139" s="76"/>
      <c r="I139" s="76"/>
      <c r="J139" s="76"/>
      <c r="K139"/>
      <c r="L139"/>
      <c r="M139" s="42"/>
      <c r="N139" s="42"/>
      <c r="O139" s="4"/>
      <c r="P139" s="4"/>
      <c r="Q139" s="4"/>
    </row>
    <row r="140" spans="3:17" ht="55.2" x14ac:dyDescent="0.3">
      <c r="C140" s="43" t="s">
        <v>280</v>
      </c>
      <c r="D140" s="65" t="s">
        <v>281</v>
      </c>
      <c r="E140" s="43" t="s">
        <v>205</v>
      </c>
      <c r="F140" s="75">
        <v>75</v>
      </c>
      <c r="G140" s="76">
        <v>2678.86</v>
      </c>
      <c r="H140" s="76">
        <v>200914.5</v>
      </c>
      <c r="I140" s="76">
        <v>200914.5</v>
      </c>
      <c r="J140" s="76">
        <v>0</v>
      </c>
      <c r="K140">
        <v>0</v>
      </c>
      <c r="L140"/>
      <c r="M140" s="42"/>
      <c r="N140" s="42"/>
      <c r="O140" s="4"/>
      <c r="P140" s="4"/>
      <c r="Q140" s="4"/>
    </row>
    <row r="141" spans="3:17" ht="124.2" x14ac:dyDescent="0.3">
      <c r="C141" s="43" t="s">
        <v>327</v>
      </c>
      <c r="D141" s="65" t="s">
        <v>328</v>
      </c>
      <c r="E141" s="43" t="s">
        <v>205</v>
      </c>
      <c r="F141" s="75">
        <v>200</v>
      </c>
      <c r="G141" s="76">
        <v>6222.5</v>
      </c>
      <c r="H141" s="76">
        <v>1244500</v>
      </c>
      <c r="I141" s="76">
        <v>1244500</v>
      </c>
      <c r="J141" s="76">
        <v>0</v>
      </c>
      <c r="K141">
        <v>0</v>
      </c>
      <c r="L141"/>
      <c r="M141" s="42"/>
      <c r="N141" s="42"/>
      <c r="O141" s="4"/>
      <c r="P141" s="4"/>
      <c r="Q141" s="4"/>
    </row>
    <row r="142" spans="3:17" ht="124.2" x14ac:dyDescent="0.3">
      <c r="C142" s="43" t="s">
        <v>311</v>
      </c>
      <c r="D142" s="65" t="s">
        <v>312</v>
      </c>
      <c r="E142" s="43" t="s">
        <v>205</v>
      </c>
      <c r="F142" s="75">
        <v>300</v>
      </c>
      <c r="G142" s="76">
        <v>9039.1299999999992</v>
      </c>
      <c r="H142" s="76">
        <v>2711739</v>
      </c>
      <c r="I142" s="76">
        <v>2711739</v>
      </c>
      <c r="J142" s="76">
        <v>0</v>
      </c>
      <c r="K142">
        <v>0</v>
      </c>
      <c r="L142"/>
      <c r="M142" s="42"/>
      <c r="N142" s="42"/>
      <c r="O142" s="4"/>
      <c r="P142" s="4"/>
      <c r="Q142" s="4"/>
    </row>
    <row r="143" spans="3:17" ht="110.4" x14ac:dyDescent="0.3">
      <c r="C143" s="43" t="s">
        <v>314</v>
      </c>
      <c r="D143" s="65" t="s">
        <v>315</v>
      </c>
      <c r="E143" s="43" t="s">
        <v>231</v>
      </c>
      <c r="F143" s="75">
        <v>175</v>
      </c>
      <c r="G143" s="76">
        <v>9868.6200000000008</v>
      </c>
      <c r="H143" s="76">
        <v>1727008.5</v>
      </c>
      <c r="I143" s="76">
        <v>1727008.5</v>
      </c>
      <c r="J143" s="76">
        <v>0</v>
      </c>
      <c r="K143">
        <v>0</v>
      </c>
      <c r="L143"/>
      <c r="M143" s="42"/>
      <c r="N143" s="42"/>
      <c r="O143" s="4"/>
      <c r="P143" s="4"/>
      <c r="Q143" s="4"/>
    </row>
    <row r="144" spans="3:17" ht="41.4" x14ac:dyDescent="0.3">
      <c r="C144" s="43"/>
      <c r="D144" s="65" t="s">
        <v>283</v>
      </c>
      <c r="E144" s="43"/>
      <c r="F144" s="75"/>
      <c r="G144" s="76"/>
      <c r="H144" s="76">
        <v>5884162</v>
      </c>
      <c r="I144" s="76">
        <v>5884162</v>
      </c>
      <c r="J144" s="76">
        <v>0</v>
      </c>
      <c r="K144">
        <v>0</v>
      </c>
      <c r="L144"/>
      <c r="M144" s="42"/>
      <c r="N144" s="42"/>
      <c r="O144" s="4"/>
      <c r="P144" s="4"/>
      <c r="Q144" s="4"/>
    </row>
    <row r="145" spans="3:17" ht="41.4" x14ac:dyDescent="0.3">
      <c r="C145" s="43"/>
      <c r="D145" s="65" t="s">
        <v>167</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43" priority="18">
      <formula>$E306=""</formula>
    </cfRule>
  </conditionalFormatting>
  <conditionalFormatting sqref="C11:I96 J96 C97:J145 C146:L2613">
    <cfRule type="expression" dxfId="42" priority="60">
      <formula>$E11=""</formula>
    </cfRule>
  </conditionalFormatting>
  <conditionalFormatting sqref="O273:O2548">
    <cfRule type="expression" dxfId="41" priority="64">
      <formula>$E338=""</formula>
    </cfRule>
  </conditionalFormatting>
  <conditionalFormatting sqref="J63">
    <cfRule type="expression" dxfId="40" priority="11">
      <formula>$E63=""</formula>
    </cfRule>
  </conditionalFormatting>
  <conditionalFormatting sqref="J15">
    <cfRule type="expression" dxfId="39" priority="10">
      <formula>$E15=""</formula>
    </cfRule>
  </conditionalFormatting>
  <conditionalFormatting sqref="J34">
    <cfRule type="expression" dxfId="38" priority="9">
      <formula>$E34=""</formula>
    </cfRule>
  </conditionalFormatting>
  <conditionalFormatting sqref="J45">
    <cfRule type="expression" dxfId="37" priority="8">
      <formula>$E45=""</formula>
    </cfRule>
  </conditionalFormatting>
  <conditionalFormatting sqref="J73">
    <cfRule type="expression" dxfId="36" priority="7">
      <formula>$E73=""</formula>
    </cfRule>
  </conditionalFormatting>
  <conditionalFormatting sqref="J85">
    <cfRule type="expression" dxfId="35" priority="6">
      <formula>$E85=""</formula>
    </cfRule>
  </conditionalFormatting>
  <conditionalFormatting sqref="J88">
    <cfRule type="expression" dxfId="34" priority="5">
      <formula>$E88=""</formula>
    </cfRule>
  </conditionalFormatting>
  <conditionalFormatting sqref="J94">
    <cfRule type="expression" dxfId="33" priority="3">
      <formula>$E94=""</formula>
    </cfRule>
  </conditionalFormatting>
  <conditionalFormatting sqref="J91">
    <cfRule type="expression" dxfId="32" priority="2">
      <formula>$E91=""</formula>
    </cfRule>
  </conditionalFormatting>
  <conditionalFormatting sqref="M116:N2583">
    <cfRule type="expression" dxfId="31" priority="66">
      <formula>$E146=""</formula>
    </cfRule>
  </conditionalFormatting>
  <conditionalFormatting sqref="J76">
    <cfRule type="expression" dxfId="3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8" t="str">
        <f>DATOS!B16</f>
        <v>ANEXO "DE-ME"</v>
      </c>
      <c r="D1" s="98"/>
      <c r="E1" s="98"/>
      <c r="F1" s="98"/>
      <c r="G1" s="98"/>
      <c r="H1" s="98"/>
      <c r="I1" s="98"/>
      <c r="J1" s="98"/>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6" t="str">
        <f>DATOS!B8</f>
        <v>CONTRATO: 648233801</v>
      </c>
      <c r="D3" s="96"/>
      <c r="E3" s="96"/>
      <c r="F3" s="96"/>
      <c r="G3" s="96"/>
      <c r="H3" s="96"/>
      <c r="I3" s="96"/>
      <c r="J3" s="96"/>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3" t="str">
        <f>DATOS!B12</f>
        <v>PROPUESTA TECNICA Y ECONOMICA No. BME-801-118-2025</v>
      </c>
      <c r="D7" s="93"/>
      <c r="E7" s="93"/>
      <c r="F7" s="93"/>
      <c r="G7" s="93"/>
      <c r="H7" s="93"/>
      <c r="I7" s="93"/>
      <c r="J7" s="93"/>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146</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146</v>
      </c>
      <c r="K10" t="s">
        <v>333</v>
      </c>
      <c r="L10" t="s">
        <v>153</v>
      </c>
    </row>
    <row r="11" spans="1:69" s="4" customFormat="1" ht="42.45" customHeight="1" x14ac:dyDescent="0.3">
      <c r="A11" s="43"/>
      <c r="B11" s="43"/>
      <c r="C11" s="43" t="s">
        <v>226</v>
      </c>
      <c r="D11" s="65" t="s">
        <v>227</v>
      </c>
      <c r="E11" s="43"/>
      <c r="F11" s="75"/>
      <c r="G11" s="76"/>
      <c r="H11" s="76"/>
      <c r="I11" s="76"/>
      <c r="J11" s="76"/>
      <c r="K11"/>
      <c r="L11" s="86"/>
    </row>
    <row r="12" spans="1:69" s="4" customFormat="1" ht="41.4" x14ac:dyDescent="0.3">
      <c r="C12" s="43"/>
      <c r="D12" s="65" t="s">
        <v>239</v>
      </c>
      <c r="E12" s="43"/>
      <c r="F12" s="75"/>
      <c r="G12" s="76"/>
      <c r="H12" s="76">
        <v>0</v>
      </c>
      <c r="I12" s="76">
        <v>0</v>
      </c>
      <c r="J12" s="76">
        <v>0</v>
      </c>
      <c r="K12">
        <v>0</v>
      </c>
      <c r="L12"/>
    </row>
    <row r="13" spans="1:69" s="4" customFormat="1" ht="41.4" x14ac:dyDescent="0.3">
      <c r="A13" s="77"/>
      <c r="B13" s="77"/>
      <c r="C13" s="43"/>
      <c r="D13" s="65" t="s">
        <v>256</v>
      </c>
      <c r="E13" s="43"/>
      <c r="F13" s="75"/>
      <c r="G13" s="76"/>
      <c r="H13" s="76"/>
      <c r="I13" s="76"/>
      <c r="J13" s="76"/>
      <c r="K13"/>
      <c r="L13" s="86"/>
    </row>
    <row r="14" spans="1:69" s="4" customFormat="1" ht="41.4" x14ac:dyDescent="0.3">
      <c r="A14" s="43"/>
      <c r="B14" s="43"/>
      <c r="C14" s="43" t="s">
        <v>257</v>
      </c>
      <c r="D14" s="65" t="s">
        <v>258</v>
      </c>
      <c r="E14" s="43" t="s">
        <v>259</v>
      </c>
      <c r="F14" s="75">
        <v>2</v>
      </c>
      <c r="G14" s="76">
        <v>11718.75</v>
      </c>
      <c r="H14" s="76">
        <v>23437.5</v>
      </c>
      <c r="I14" s="76">
        <v>11718.75</v>
      </c>
      <c r="J14" s="76">
        <v>11718.75</v>
      </c>
      <c r="K14">
        <v>0</v>
      </c>
      <c r="L14" s="86"/>
    </row>
    <row r="15" spans="1:69" s="4" customFormat="1" ht="41.4" x14ac:dyDescent="0.3">
      <c r="A15" s="43"/>
      <c r="B15" s="43"/>
      <c r="C15" s="43"/>
      <c r="D15" s="65" t="s">
        <v>166</v>
      </c>
      <c r="E15" s="43"/>
      <c r="F15" s="75"/>
      <c r="G15" s="76"/>
      <c r="H15" s="76">
        <v>23437.5</v>
      </c>
      <c r="I15" s="76">
        <v>11718.75</v>
      </c>
      <c r="J15" s="89">
        <v>11718.75</v>
      </c>
      <c r="K15">
        <v>0</v>
      </c>
      <c r="L15" s="86"/>
      <c r="M15" s="44"/>
      <c r="N15" s="44"/>
    </row>
    <row r="16" spans="1:69" s="4" customFormat="1" ht="55.2" x14ac:dyDescent="0.3">
      <c r="A16" s="43"/>
      <c r="B16" s="43"/>
      <c r="C16" s="43" t="s">
        <v>168</v>
      </c>
      <c r="D16" s="65" t="s">
        <v>169</v>
      </c>
      <c r="E16" s="43"/>
      <c r="F16" s="75"/>
      <c r="G16" s="76"/>
      <c r="H16" s="76"/>
      <c r="I16" s="76"/>
      <c r="J16" s="76"/>
      <c r="K16"/>
      <c r="L16" s="86"/>
      <c r="M16" s="44"/>
      <c r="N16" s="44"/>
    </row>
    <row r="17" spans="1:16" s="4" customFormat="1" ht="55.2" x14ac:dyDescent="0.3">
      <c r="A17" s="43"/>
      <c r="B17" s="43"/>
      <c r="C17" s="43" t="s">
        <v>170</v>
      </c>
      <c r="D17" s="65" t="s">
        <v>171</v>
      </c>
      <c r="E17" s="43" t="s">
        <v>172</v>
      </c>
      <c r="F17" s="75">
        <v>1</v>
      </c>
      <c r="G17" s="76">
        <v>79712.5</v>
      </c>
      <c r="H17" s="76">
        <v>79712.5</v>
      </c>
      <c r="I17" s="76">
        <v>0</v>
      </c>
      <c r="J17" s="76">
        <v>79712.5</v>
      </c>
      <c r="K17">
        <v>0</v>
      </c>
      <c r="L17" s="86"/>
      <c r="M17" s="44"/>
      <c r="N17" s="44"/>
    </row>
    <row r="18" spans="1:16" s="4" customFormat="1" ht="41.4" x14ac:dyDescent="0.3">
      <c r="A18" s="43"/>
      <c r="B18" s="43"/>
      <c r="C18" s="43"/>
      <c r="D18" s="65" t="s">
        <v>174</v>
      </c>
      <c r="E18" s="43"/>
      <c r="F18" s="75"/>
      <c r="G18" s="76"/>
      <c r="H18" s="76">
        <v>79712.5</v>
      </c>
      <c r="I18" s="76">
        <v>0</v>
      </c>
      <c r="J18" s="76">
        <v>79712.5</v>
      </c>
      <c r="K18">
        <v>0</v>
      </c>
      <c r="L18" s="86"/>
      <c r="M18" s="44"/>
      <c r="N18" s="44"/>
    </row>
    <row r="19" spans="1:16" s="4" customFormat="1" ht="41.4" x14ac:dyDescent="0.3">
      <c r="C19" s="43" t="s">
        <v>175</v>
      </c>
      <c r="D19" s="65" t="s">
        <v>176</v>
      </c>
      <c r="E19" s="43"/>
      <c r="F19" s="75"/>
      <c r="G19" s="76"/>
      <c r="H19" s="76"/>
      <c r="I19" s="76"/>
      <c r="J19" s="76"/>
      <c r="K19"/>
      <c r="L19" s="86"/>
      <c r="M19" s="44"/>
      <c r="N19" s="44"/>
    </row>
    <row r="20" spans="1:16" s="4" customFormat="1" ht="55.2" x14ac:dyDescent="0.3">
      <c r="C20" s="43" t="s">
        <v>177</v>
      </c>
      <c r="D20" s="65" t="s">
        <v>178</v>
      </c>
      <c r="E20" s="43" t="s">
        <v>172</v>
      </c>
      <c r="F20" s="75">
        <v>1</v>
      </c>
      <c r="G20" s="76">
        <v>61317.31</v>
      </c>
      <c r="H20" s="76">
        <v>61317.31</v>
      </c>
      <c r="I20" s="76">
        <v>0</v>
      </c>
      <c r="J20" s="76">
        <v>61317.31</v>
      </c>
      <c r="K20">
        <v>0</v>
      </c>
      <c r="L20" s="86"/>
      <c r="M20" s="44"/>
      <c r="N20" s="44"/>
    </row>
    <row r="21" spans="1:16" s="4" customFormat="1" ht="41.4" x14ac:dyDescent="0.3">
      <c r="C21" s="43"/>
      <c r="D21" s="65" t="s">
        <v>180</v>
      </c>
      <c r="E21" s="43"/>
      <c r="F21" s="75"/>
      <c r="G21" s="76"/>
      <c r="H21" s="76">
        <v>61317.31</v>
      </c>
      <c r="I21" s="76">
        <v>0</v>
      </c>
      <c r="J21" s="76">
        <v>61317.31</v>
      </c>
      <c r="K21">
        <v>0</v>
      </c>
      <c r="L21" s="86"/>
      <c r="M21" s="44"/>
      <c r="N21" s="44"/>
    </row>
    <row r="22" spans="1:16" s="4" customFormat="1" ht="41.4" x14ac:dyDescent="0.3">
      <c r="C22" s="43"/>
      <c r="D22" s="65" t="s">
        <v>167</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29" priority="8">
      <formula>$E11=""</formula>
    </cfRule>
  </conditionalFormatting>
  <conditionalFormatting sqref="BR106:CD500 Q23:AA35 O21:Y22 T36:AD105">
    <cfRule type="expression" dxfId="28" priority="31">
      <formula>$E22=""</formula>
    </cfRule>
  </conditionalFormatting>
  <conditionalFormatting sqref="T106:BQ584">
    <cfRule type="expression" dxfId="27" priority="46">
      <formula>$E23=""</formula>
    </cfRule>
  </conditionalFormatting>
  <conditionalFormatting sqref="R36:S3705 O36:O3705 O23:P35 M15:N22">
    <cfRule type="expression" dxfId="26" priority="47">
      <formula>$E23=""</formula>
    </cfRule>
  </conditionalFormatting>
  <conditionalFormatting sqref="P36:Q3704">
    <cfRule type="expression" dxfId="25" priority="50">
      <formula>$E45=""</formula>
    </cfRule>
  </conditionalFormatting>
  <conditionalFormatting sqref="J13">
    <cfRule type="expression" dxfId="24" priority="6">
      <formula>$E13=""</formula>
    </cfRule>
  </conditionalFormatting>
  <conditionalFormatting sqref="J16">
    <cfRule type="expression" dxfId="23" priority="4">
      <formula>$E16=""</formula>
    </cfRule>
  </conditionalFormatting>
  <conditionalFormatting sqref="M23:N3713">
    <cfRule type="expression" dxfId="22" priority="68">
      <formula>$E23=""</formula>
    </cfRule>
  </conditionalFormatting>
  <conditionalFormatting sqref="C12:I12">
    <cfRule type="expression" dxfId="2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65"/>
  <sheetViews>
    <sheetView view="pageBreakPreview" topLeftCell="A38" zoomScale="70" zoomScaleNormal="100" zoomScaleSheetLayoutView="70" workbookViewId="0">
      <selection activeCell="D43" sqref="D43"/>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8" t="str">
        <f>DATOS!B17</f>
        <v>ANEXO "DT-6"</v>
      </c>
      <c r="D1" s="98"/>
      <c r="E1" s="98"/>
      <c r="F1" s="98"/>
      <c r="G1" s="98"/>
      <c r="H1" s="9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6" t="str">
        <f>DATOS!B8</f>
        <v>CONTRATO: 648233801</v>
      </c>
      <c r="D3" s="96"/>
      <c r="E3" s="96"/>
      <c r="F3" s="96"/>
      <c r="G3" s="96"/>
      <c r="H3" s="96"/>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3" t="str">
        <f>DATOS!B12</f>
        <v>PROPUESTA TECNICA Y ECONOMICA No. BME-801-118-2025</v>
      </c>
      <c r="D7" s="93"/>
      <c r="E7" s="93"/>
      <c r="F7" s="93"/>
      <c r="G7" s="93"/>
      <c r="H7" s="93"/>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330</v>
      </c>
      <c r="H8" s="15" t="s">
        <v>331</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customHeight="1" x14ac:dyDescent="0.3"/>
    <row r="10" spans="1:40" ht="32.549999999999997" customHeight="1" x14ac:dyDescent="0.25">
      <c r="A10" s="26"/>
      <c r="B10" s="26"/>
      <c r="C10" s="27" t="s">
        <v>0</v>
      </c>
      <c r="D10" s="27" t="s">
        <v>1</v>
      </c>
      <c r="E10" s="27" t="s">
        <v>2</v>
      </c>
      <c r="F10" s="27" t="s">
        <v>5</v>
      </c>
      <c r="G10" s="27" t="s">
        <v>32</v>
      </c>
      <c r="H10" s="27" t="s">
        <v>147</v>
      </c>
      <c r="I10" t="s">
        <v>148</v>
      </c>
      <c r="J10" t="s">
        <v>149</v>
      </c>
      <c r="K10" t="s">
        <v>150</v>
      </c>
      <c r="L10" t="s">
        <v>153</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227</v>
      </c>
      <c r="E11" s="43"/>
      <c r="F11" s="79"/>
      <c r="G11" s="84"/>
      <c r="H11" s="83"/>
      <c r="I11"/>
      <c r="J11"/>
      <c r="K11"/>
      <c r="L11"/>
    </row>
    <row r="12" spans="1:40" s="4" customFormat="1" ht="55.2" x14ac:dyDescent="0.3">
      <c r="A12" s="78"/>
      <c r="B12" s="78"/>
      <c r="C12" s="43"/>
      <c r="D12" s="65" t="s">
        <v>320</v>
      </c>
      <c r="E12" s="43"/>
      <c r="F12" s="79"/>
      <c r="G12" s="84"/>
      <c r="H12" s="83"/>
      <c r="I12"/>
      <c r="J12"/>
      <c r="K12"/>
      <c r="L12"/>
    </row>
    <row r="13" spans="1:40" s="4" customFormat="1" ht="41.4" x14ac:dyDescent="0.3">
      <c r="A13" s="78"/>
      <c r="B13" s="78"/>
      <c r="C13" s="43" t="s">
        <v>321</v>
      </c>
      <c r="D13" s="65" t="s">
        <v>322</v>
      </c>
      <c r="E13" s="43" t="s">
        <v>221</v>
      </c>
      <c r="F13" s="79">
        <v>3.5000000000000003E-2</v>
      </c>
      <c r="G13" s="83">
        <v>3.5000000000000003E-2</v>
      </c>
      <c r="H13" s="83"/>
      <c r="I13"/>
      <c r="J13"/>
      <c r="K13"/>
      <c r="L13"/>
    </row>
    <row r="14" spans="1:40" s="4" customFormat="1" ht="41.4" x14ac:dyDescent="0.3">
      <c r="A14" s="78"/>
      <c r="B14" s="78"/>
      <c r="C14" s="43"/>
      <c r="D14" s="65" t="s">
        <v>324</v>
      </c>
      <c r="E14" s="43"/>
      <c r="F14" s="79"/>
      <c r="G14" s="83"/>
      <c r="H14" s="83"/>
      <c r="I14"/>
      <c r="J14"/>
      <c r="K14"/>
      <c r="L14"/>
    </row>
    <row r="15" spans="1:40" s="4" customFormat="1" ht="41.4" x14ac:dyDescent="0.3">
      <c r="A15" s="78"/>
      <c r="B15" s="78"/>
      <c r="C15" s="43" t="s">
        <v>325</v>
      </c>
      <c r="D15" s="65" t="s">
        <v>284</v>
      </c>
      <c r="E15" s="43" t="s">
        <v>221</v>
      </c>
      <c r="F15" s="79">
        <v>5.1100000000000003</v>
      </c>
      <c r="G15" s="83">
        <v>5.1100000000000003</v>
      </c>
      <c r="H15" s="83"/>
      <c r="I15"/>
      <c r="J15"/>
      <c r="K15"/>
      <c r="L15"/>
    </row>
    <row r="16" spans="1:40" s="4" customFormat="1" ht="41.4" x14ac:dyDescent="0.3">
      <c r="A16" s="78"/>
      <c r="B16" s="78"/>
      <c r="C16" s="43"/>
      <c r="D16" s="65" t="s">
        <v>228</v>
      </c>
      <c r="E16" s="43"/>
      <c r="F16" s="79"/>
      <c r="G16" s="83"/>
      <c r="H16" s="83"/>
      <c r="I16"/>
      <c r="J16"/>
      <c r="K16"/>
      <c r="L16"/>
    </row>
    <row r="17" spans="1:12" s="4" customFormat="1" ht="55.2" x14ac:dyDescent="0.3">
      <c r="A17" s="78"/>
      <c r="B17" s="78"/>
      <c r="C17" s="43" t="s">
        <v>229</v>
      </c>
      <c r="D17" s="65" t="s">
        <v>230</v>
      </c>
      <c r="E17" s="43" t="s">
        <v>205</v>
      </c>
      <c r="F17" s="79">
        <v>200</v>
      </c>
      <c r="G17" s="83">
        <v>200</v>
      </c>
      <c r="H17" s="83"/>
      <c r="I17"/>
      <c r="J17"/>
      <c r="K17"/>
      <c r="L17"/>
    </row>
    <row r="18" spans="1:12" s="4" customFormat="1" ht="67.5" customHeight="1" x14ac:dyDescent="0.3">
      <c r="A18" s="78"/>
      <c r="B18" s="78"/>
      <c r="C18" s="43" t="s">
        <v>233</v>
      </c>
      <c r="D18" s="65" t="s">
        <v>234</v>
      </c>
      <c r="E18" s="43" t="s">
        <v>205</v>
      </c>
      <c r="F18" s="79">
        <v>200</v>
      </c>
      <c r="G18" s="83">
        <v>200</v>
      </c>
      <c r="H18" s="83"/>
      <c r="I18"/>
      <c r="J18"/>
      <c r="K18"/>
      <c r="L18"/>
    </row>
    <row r="19" spans="1:12" s="4" customFormat="1" ht="55.2" x14ac:dyDescent="0.3">
      <c r="A19" s="78"/>
      <c r="B19" s="78"/>
      <c r="C19" s="43" t="s">
        <v>236</v>
      </c>
      <c r="D19" s="65" t="s">
        <v>237</v>
      </c>
      <c r="E19" s="43" t="s">
        <v>205</v>
      </c>
      <c r="F19" s="79">
        <v>200</v>
      </c>
      <c r="G19" s="83">
        <v>200</v>
      </c>
      <c r="H19" s="83"/>
      <c r="I19"/>
      <c r="J19"/>
      <c r="K19"/>
      <c r="L19"/>
    </row>
    <row r="20" spans="1:12" s="4" customFormat="1" ht="55.2" x14ac:dyDescent="0.3">
      <c r="A20" s="78"/>
      <c r="B20" s="78"/>
      <c r="C20" s="43" t="s">
        <v>219</v>
      </c>
      <c r="D20" s="65" t="s">
        <v>220</v>
      </c>
      <c r="E20" s="43"/>
      <c r="F20" s="79"/>
      <c r="G20" s="83"/>
      <c r="H20" s="83"/>
      <c r="I20"/>
      <c r="J20"/>
      <c r="K20"/>
      <c r="L20"/>
    </row>
    <row r="21" spans="1:12" s="4" customFormat="1" ht="41.4" x14ac:dyDescent="0.3">
      <c r="A21" s="78"/>
      <c r="B21" s="78"/>
      <c r="C21" s="43"/>
      <c r="D21" s="65" t="s">
        <v>192</v>
      </c>
      <c r="E21" s="43"/>
      <c r="F21" s="79"/>
      <c r="G21" s="83"/>
      <c r="H21" s="83"/>
      <c r="I21"/>
      <c r="J21"/>
      <c r="K21"/>
      <c r="L21"/>
    </row>
    <row r="22" spans="1:12" s="4" customFormat="1" ht="27.6" x14ac:dyDescent="0.3">
      <c r="A22" s="78"/>
      <c r="B22" s="78"/>
      <c r="C22" s="43" t="s">
        <v>240</v>
      </c>
      <c r="D22" s="65" t="s">
        <v>335</v>
      </c>
      <c r="E22" s="43" t="s">
        <v>193</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17" t="s">
        <v>42</v>
      </c>
      <c r="E24" s="43"/>
      <c r="F24" s="79"/>
      <c r="G24" s="83"/>
      <c r="H24" s="83"/>
      <c r="I24"/>
      <c r="J24"/>
      <c r="K24"/>
      <c r="L24"/>
    </row>
    <row r="25" spans="1:12" s="4" customFormat="1" ht="41.4" x14ac:dyDescent="0.3">
      <c r="A25" s="78"/>
      <c r="B25" s="78"/>
      <c r="C25" s="43" t="s">
        <v>47</v>
      </c>
      <c r="D25" s="65" t="s">
        <v>48</v>
      </c>
      <c r="E25" s="43" t="s">
        <v>45</v>
      </c>
      <c r="F25" s="79">
        <v>666</v>
      </c>
      <c r="G25" s="83">
        <v>173</v>
      </c>
      <c r="H25" s="83">
        <v>493</v>
      </c>
      <c r="I25"/>
      <c r="J25"/>
      <c r="K25"/>
      <c r="L25"/>
    </row>
    <row r="26" spans="1:12" s="4" customFormat="1" ht="41.4" x14ac:dyDescent="0.3">
      <c r="A26" s="78"/>
      <c r="B26" s="78"/>
      <c r="C26" s="43" t="s">
        <v>50</v>
      </c>
      <c r="D26" s="65" t="s">
        <v>51</v>
      </c>
      <c r="E26" s="43" t="s">
        <v>45</v>
      </c>
      <c r="F26" s="79">
        <v>74</v>
      </c>
      <c r="G26" s="83">
        <v>19</v>
      </c>
      <c r="H26" s="83">
        <v>55</v>
      </c>
      <c r="I26"/>
      <c r="J26"/>
      <c r="K26"/>
      <c r="L26"/>
    </row>
    <row r="27" spans="1:12" s="4" customFormat="1" ht="41.4" x14ac:dyDescent="0.3">
      <c r="A27" s="78"/>
      <c r="B27" s="78"/>
      <c r="C27" s="43" t="s">
        <v>63</v>
      </c>
      <c r="D27" s="65" t="s">
        <v>64</v>
      </c>
      <c r="E27" s="43" t="s">
        <v>45</v>
      </c>
      <c r="F27" s="79">
        <v>74</v>
      </c>
      <c r="G27" s="83">
        <v>19</v>
      </c>
      <c r="H27" s="83">
        <v>55</v>
      </c>
      <c r="I27"/>
      <c r="J27"/>
      <c r="K27"/>
      <c r="L27"/>
    </row>
    <row r="28" spans="1:12" s="4" customFormat="1" x14ac:dyDescent="0.3">
      <c r="A28" s="78"/>
      <c r="B28" s="78"/>
      <c r="C28" s="43" t="s">
        <v>68</v>
      </c>
      <c r="D28" s="65" t="s">
        <v>336</v>
      </c>
      <c r="E28" s="43" t="s">
        <v>45</v>
      </c>
      <c r="F28" s="79">
        <v>37</v>
      </c>
      <c r="G28" s="83">
        <v>10</v>
      </c>
      <c r="H28" s="83">
        <v>27</v>
      </c>
      <c r="I28"/>
      <c r="J28"/>
      <c r="K28"/>
      <c r="L28"/>
    </row>
    <row r="29" spans="1:12" s="4" customFormat="1" ht="41.4" x14ac:dyDescent="0.3">
      <c r="A29" s="78"/>
      <c r="B29" s="78"/>
      <c r="C29" s="43" t="s">
        <v>71</v>
      </c>
      <c r="D29" s="65" t="s">
        <v>72</v>
      </c>
      <c r="E29" s="43" t="s">
        <v>45</v>
      </c>
      <c r="F29" s="79">
        <v>74</v>
      </c>
      <c r="G29" s="83">
        <v>19</v>
      </c>
      <c r="H29" s="83">
        <v>55</v>
      </c>
      <c r="I29"/>
      <c r="J29"/>
      <c r="K29"/>
      <c r="L29"/>
    </row>
    <row r="30" spans="1:12" s="4" customFormat="1" ht="41.4" x14ac:dyDescent="0.3">
      <c r="A30" s="78"/>
      <c r="B30" s="78"/>
      <c r="C30" s="43" t="s">
        <v>206</v>
      </c>
      <c r="D30" s="65" t="s">
        <v>207</v>
      </c>
      <c r="E30" s="43" t="s">
        <v>45</v>
      </c>
      <c r="F30" s="79">
        <v>170</v>
      </c>
      <c r="G30" s="83">
        <v>44</v>
      </c>
      <c r="H30" s="83">
        <v>126</v>
      </c>
      <c r="I30"/>
      <c r="J30"/>
      <c r="K30"/>
      <c r="L30"/>
    </row>
    <row r="31" spans="1:12" s="4" customFormat="1" ht="41.4" x14ac:dyDescent="0.3">
      <c r="A31" s="78"/>
      <c r="B31" s="78"/>
      <c r="C31" s="43" t="s">
        <v>208</v>
      </c>
      <c r="D31" s="65" t="s">
        <v>209</v>
      </c>
      <c r="E31" s="43" t="s">
        <v>45</v>
      </c>
      <c r="F31" s="79">
        <v>74</v>
      </c>
      <c r="G31" s="83">
        <v>19</v>
      </c>
      <c r="H31" s="83">
        <v>55</v>
      </c>
      <c r="I31"/>
      <c r="J31"/>
      <c r="K31"/>
      <c r="L31"/>
    </row>
    <row r="32" spans="1:12" s="4" customFormat="1" ht="41.4" x14ac:dyDescent="0.3">
      <c r="A32" s="78"/>
      <c r="B32" s="78"/>
      <c r="C32" s="43"/>
      <c r="D32" s="65" t="s">
        <v>74</v>
      </c>
      <c r="E32" s="43"/>
      <c r="F32" s="79"/>
      <c r="G32" s="83"/>
      <c r="H32" s="83"/>
      <c r="I32"/>
      <c r="J32"/>
      <c r="K32"/>
      <c r="L32"/>
    </row>
    <row r="33" spans="1:12" s="4" customFormat="1" ht="41.4" x14ac:dyDescent="0.3">
      <c r="A33" s="78"/>
      <c r="B33" s="78"/>
      <c r="C33" s="43" t="s">
        <v>75</v>
      </c>
      <c r="D33" s="65" t="s">
        <v>76</v>
      </c>
      <c r="E33" s="43" t="s">
        <v>45</v>
      </c>
      <c r="F33" s="79">
        <v>74</v>
      </c>
      <c r="G33" s="83">
        <v>19</v>
      </c>
      <c r="H33" s="83">
        <v>55</v>
      </c>
      <c r="I33"/>
      <c r="J33"/>
      <c r="K33"/>
      <c r="L33"/>
    </row>
    <row r="34" spans="1:12" s="4" customFormat="1" ht="41.4" x14ac:dyDescent="0.3">
      <c r="A34" s="78"/>
      <c r="B34" s="78"/>
      <c r="C34" s="43" t="s">
        <v>78</v>
      </c>
      <c r="D34" s="65" t="s">
        <v>79</v>
      </c>
      <c r="E34" s="43" t="s">
        <v>45</v>
      </c>
      <c r="F34" s="79">
        <v>148</v>
      </c>
      <c r="G34" s="83">
        <v>38</v>
      </c>
      <c r="H34" s="83">
        <v>110</v>
      </c>
      <c r="I34"/>
      <c r="J34"/>
      <c r="K34"/>
      <c r="L34"/>
    </row>
    <row r="35" spans="1:12" s="4" customFormat="1" ht="41.4" x14ac:dyDescent="0.3">
      <c r="A35" s="78"/>
      <c r="B35" s="78"/>
      <c r="C35" s="43"/>
      <c r="D35" s="65" t="s">
        <v>181</v>
      </c>
      <c r="E35" s="43"/>
      <c r="F35" s="79"/>
      <c r="G35" s="83"/>
      <c r="H35" s="83"/>
      <c r="I35"/>
      <c r="J35"/>
      <c r="K35"/>
      <c r="L35"/>
    </row>
    <row r="36" spans="1:12" s="4" customFormat="1" ht="41.4" x14ac:dyDescent="0.3">
      <c r="A36" s="78"/>
      <c r="B36" s="78"/>
      <c r="C36" s="43" t="s">
        <v>245</v>
      </c>
      <c r="D36" s="65" t="s">
        <v>246</v>
      </c>
      <c r="E36" s="43" t="s">
        <v>45</v>
      </c>
      <c r="F36" s="79">
        <v>6</v>
      </c>
      <c r="G36" s="83">
        <v>6</v>
      </c>
      <c r="H36" s="83"/>
      <c r="I36"/>
      <c r="J36"/>
      <c r="K36"/>
      <c r="L36"/>
    </row>
    <row r="37" spans="1:12" s="4" customFormat="1" ht="41.4" x14ac:dyDescent="0.3">
      <c r="A37" s="78"/>
      <c r="B37" s="78"/>
      <c r="C37" s="43" t="s">
        <v>182</v>
      </c>
      <c r="D37" s="17" t="s">
        <v>337</v>
      </c>
      <c r="E37" s="43" t="s">
        <v>45</v>
      </c>
      <c r="F37" s="79">
        <v>6</v>
      </c>
      <c r="G37" s="83">
        <v>6</v>
      </c>
      <c r="H37" s="83"/>
      <c r="I37"/>
      <c r="J37"/>
      <c r="K37"/>
      <c r="L37"/>
    </row>
    <row r="38" spans="1:12" s="4" customFormat="1" ht="41.4" x14ac:dyDescent="0.3">
      <c r="A38" s="78"/>
      <c r="B38" s="78"/>
      <c r="C38" s="43" t="s">
        <v>252</v>
      </c>
      <c r="D38" s="65" t="s">
        <v>253</v>
      </c>
      <c r="E38" s="43" t="s">
        <v>45</v>
      </c>
      <c r="F38" s="79">
        <v>8</v>
      </c>
      <c r="G38" s="83">
        <v>8</v>
      </c>
      <c r="H38" s="83"/>
      <c r="I38"/>
      <c r="J38"/>
      <c r="K38"/>
      <c r="L38"/>
    </row>
    <row r="39" spans="1:12" s="4" customFormat="1" ht="41.4" x14ac:dyDescent="0.3">
      <c r="A39" s="78"/>
      <c r="B39" s="78"/>
      <c r="C39" s="43" t="s">
        <v>254</v>
      </c>
      <c r="D39" s="65" t="s">
        <v>64</v>
      </c>
      <c r="E39" s="43" t="s">
        <v>45</v>
      </c>
      <c r="F39" s="79">
        <v>8</v>
      </c>
      <c r="G39" s="83">
        <v>8</v>
      </c>
      <c r="H39" s="83"/>
      <c r="I39"/>
      <c r="J39"/>
      <c r="K39"/>
      <c r="L39"/>
    </row>
    <row r="40" spans="1:12" s="4" customFormat="1" ht="41.4" x14ac:dyDescent="0.3">
      <c r="A40" s="78"/>
      <c r="B40" s="78"/>
      <c r="C40" s="43" t="s">
        <v>184</v>
      </c>
      <c r="D40" s="65" t="s">
        <v>48</v>
      </c>
      <c r="E40" s="43" t="s">
        <v>45</v>
      </c>
      <c r="F40" s="79">
        <v>48</v>
      </c>
      <c r="G40" s="83">
        <v>48</v>
      </c>
      <c r="H40" s="83"/>
      <c r="I40"/>
      <c r="J40"/>
      <c r="K40"/>
      <c r="L40"/>
    </row>
    <row r="41" spans="1:12" s="4" customFormat="1" ht="41.4" x14ac:dyDescent="0.3">
      <c r="A41" s="78"/>
      <c r="B41" s="78"/>
      <c r="C41" s="43" t="s">
        <v>210</v>
      </c>
      <c r="D41" s="65" t="s">
        <v>211</v>
      </c>
      <c r="E41" s="43" t="s">
        <v>45</v>
      </c>
      <c r="F41" s="79">
        <v>36</v>
      </c>
      <c r="G41" s="83">
        <v>36</v>
      </c>
      <c r="H41" s="83"/>
      <c r="I41"/>
      <c r="J41"/>
      <c r="K41"/>
      <c r="L41"/>
    </row>
    <row r="42" spans="1:12" s="4" customFormat="1" ht="41.4" x14ac:dyDescent="0.3">
      <c r="A42" s="78"/>
      <c r="B42" s="78"/>
      <c r="C42" s="43" t="s">
        <v>213</v>
      </c>
      <c r="D42" s="17" t="s">
        <v>338</v>
      </c>
      <c r="E42" s="43" t="s">
        <v>45</v>
      </c>
      <c r="F42" s="79">
        <v>36</v>
      </c>
      <c r="G42" s="83">
        <v>36</v>
      </c>
      <c r="H42" s="83"/>
      <c r="I42"/>
      <c r="J42"/>
      <c r="K42"/>
      <c r="L42"/>
    </row>
    <row r="43" spans="1:12" s="4" customFormat="1" ht="41.4" x14ac:dyDescent="0.3">
      <c r="A43" s="78"/>
      <c r="B43" s="78"/>
      <c r="C43" s="43" t="s">
        <v>216</v>
      </c>
      <c r="D43" s="17" t="s">
        <v>339</v>
      </c>
      <c r="E43" s="43" t="s">
        <v>45</v>
      </c>
      <c r="F43" s="79">
        <v>42</v>
      </c>
      <c r="G43" s="83">
        <v>42</v>
      </c>
      <c r="H43" s="83"/>
      <c r="I43"/>
      <c r="J43"/>
      <c r="K43"/>
      <c r="L43"/>
    </row>
    <row r="44" spans="1:12" s="4" customFormat="1" ht="41.4" x14ac:dyDescent="0.3">
      <c r="A44" s="78"/>
      <c r="B44" s="78"/>
      <c r="C44" s="43" t="s">
        <v>81</v>
      </c>
      <c r="D44" s="65" t="s">
        <v>82</v>
      </c>
      <c r="E44" s="43"/>
      <c r="F44" s="79"/>
      <c r="G44" s="83"/>
      <c r="H44" s="83"/>
      <c r="I44"/>
      <c r="J44"/>
      <c r="K44"/>
      <c r="L44"/>
    </row>
    <row r="45" spans="1:12" s="4" customFormat="1" ht="41.4" x14ac:dyDescent="0.3">
      <c r="A45" s="78"/>
      <c r="B45" s="78"/>
      <c r="C45" s="43"/>
      <c r="D45" s="65" t="s">
        <v>42</v>
      </c>
      <c r="E45" s="43"/>
      <c r="F45" s="79"/>
      <c r="G45" s="83"/>
      <c r="H45" s="83"/>
      <c r="I45"/>
      <c r="J45"/>
      <c r="K45"/>
      <c r="L45"/>
    </row>
    <row r="46" spans="1:12" s="4" customFormat="1" ht="41.4" x14ac:dyDescent="0.3">
      <c r="A46" s="78"/>
      <c r="B46" s="78"/>
      <c r="C46" s="43" t="s">
        <v>43</v>
      </c>
      <c r="D46" s="65" t="s">
        <v>44</v>
      </c>
      <c r="E46" s="43" t="s">
        <v>45</v>
      </c>
      <c r="F46" s="79">
        <v>4</v>
      </c>
      <c r="G46" s="83">
        <v>4</v>
      </c>
      <c r="H46" s="83"/>
      <c r="I46"/>
      <c r="J46"/>
      <c r="K46"/>
      <c r="L46"/>
    </row>
    <row r="47" spans="1:12" s="4" customFormat="1" ht="41.4" x14ac:dyDescent="0.3">
      <c r="A47" s="78"/>
      <c r="B47" s="78"/>
      <c r="C47" s="43" t="s">
        <v>47</v>
      </c>
      <c r="D47" s="65" t="s">
        <v>48</v>
      </c>
      <c r="E47" s="43" t="s">
        <v>45</v>
      </c>
      <c r="F47" s="79">
        <v>12</v>
      </c>
      <c r="G47" s="83">
        <v>12</v>
      </c>
      <c r="H47" s="83"/>
      <c r="I47"/>
      <c r="J47"/>
      <c r="K47"/>
      <c r="L47"/>
    </row>
    <row r="48" spans="1:12" s="4" customFormat="1" x14ac:dyDescent="0.3">
      <c r="A48" s="78"/>
      <c r="B48" s="78"/>
      <c r="C48" s="43" t="s">
        <v>83</v>
      </c>
      <c r="D48" s="65" t="s">
        <v>340</v>
      </c>
      <c r="E48" s="43" t="s">
        <v>45</v>
      </c>
      <c r="F48" s="79">
        <v>8</v>
      </c>
      <c r="G48" s="83">
        <v>8</v>
      </c>
      <c r="H48" s="83"/>
      <c r="I48"/>
      <c r="J48"/>
      <c r="K48"/>
      <c r="L48"/>
    </row>
    <row r="49" spans="1:12" s="4" customFormat="1" ht="41.4" x14ac:dyDescent="0.3">
      <c r="A49" s="78"/>
      <c r="B49" s="78"/>
      <c r="C49" s="43" t="s">
        <v>61</v>
      </c>
      <c r="D49" s="65" t="s">
        <v>85</v>
      </c>
      <c r="E49" s="43" t="s">
        <v>45</v>
      </c>
      <c r="F49" s="79">
        <v>4</v>
      </c>
      <c r="G49" s="83">
        <v>4</v>
      </c>
      <c r="H49" s="83"/>
      <c r="I49"/>
      <c r="J49"/>
      <c r="K49"/>
      <c r="L49"/>
    </row>
    <row r="50" spans="1:12" s="4" customFormat="1" ht="41.4" x14ac:dyDescent="0.3">
      <c r="A50" s="78"/>
      <c r="B50" s="78"/>
      <c r="C50" s="43" t="s">
        <v>66</v>
      </c>
      <c r="D50" s="65" t="s">
        <v>86</v>
      </c>
      <c r="E50" s="43" t="s">
        <v>45</v>
      </c>
      <c r="F50" s="79">
        <v>2</v>
      </c>
      <c r="G50" s="83">
        <v>2</v>
      </c>
      <c r="H50" s="83"/>
      <c r="I50"/>
      <c r="J50"/>
      <c r="K50"/>
      <c r="L50"/>
    </row>
    <row r="51" spans="1:12" s="4" customFormat="1" ht="41.4" x14ac:dyDescent="0.3">
      <c r="A51" s="78"/>
      <c r="B51" s="78"/>
      <c r="C51" s="43" t="s">
        <v>71</v>
      </c>
      <c r="D51" s="65" t="s">
        <v>72</v>
      </c>
      <c r="E51" s="43" t="s">
        <v>45</v>
      </c>
      <c r="F51" s="79">
        <v>1</v>
      </c>
      <c r="G51" s="83">
        <v>1</v>
      </c>
      <c r="H51" s="83"/>
      <c r="I51"/>
      <c r="J51"/>
      <c r="K51"/>
      <c r="L51"/>
    </row>
    <row r="52" spans="1:12" s="4" customFormat="1" ht="41.4" x14ac:dyDescent="0.3">
      <c r="A52" s="78"/>
      <c r="B52" s="78"/>
      <c r="C52" s="43"/>
      <c r="D52" s="65" t="s">
        <v>87</v>
      </c>
      <c r="E52" s="43"/>
      <c r="F52" s="79"/>
      <c r="G52" s="83"/>
      <c r="H52" s="83"/>
      <c r="I52"/>
      <c r="J52"/>
      <c r="K52"/>
      <c r="L52"/>
    </row>
    <row r="53" spans="1:12" s="4" customFormat="1" ht="30.45" customHeight="1" x14ac:dyDescent="0.3">
      <c r="A53" s="78"/>
      <c r="B53" s="78"/>
      <c r="C53" s="43" t="s">
        <v>75</v>
      </c>
      <c r="D53" s="65" t="s">
        <v>76</v>
      </c>
      <c r="E53" s="43" t="s">
        <v>45</v>
      </c>
      <c r="F53" s="79">
        <v>2</v>
      </c>
      <c r="G53" s="83">
        <v>2</v>
      </c>
      <c r="H53" s="83"/>
      <c r="I53"/>
      <c r="J53"/>
      <c r="K53"/>
      <c r="L53"/>
    </row>
    <row r="54" spans="1:12" s="4" customFormat="1" ht="55.2" x14ac:dyDescent="0.3">
      <c r="A54" s="78"/>
      <c r="B54" s="78"/>
      <c r="C54" s="43">
        <v>5</v>
      </c>
      <c r="D54" s="65" t="s">
        <v>90</v>
      </c>
      <c r="E54" s="43"/>
      <c r="F54" s="79"/>
      <c r="G54" s="83"/>
      <c r="H54" s="83"/>
      <c r="I54"/>
      <c r="J54"/>
      <c r="K54"/>
      <c r="L54"/>
    </row>
    <row r="55" spans="1:12" s="4" customFormat="1" ht="41.4" x14ac:dyDescent="0.3">
      <c r="A55" s="78"/>
      <c r="B55" s="78"/>
      <c r="C55" s="43"/>
      <c r="D55" s="65" t="s">
        <v>91</v>
      </c>
      <c r="E55" s="43"/>
      <c r="F55" s="79"/>
      <c r="G55" s="83"/>
      <c r="H55" s="83"/>
      <c r="I55"/>
      <c r="J55"/>
      <c r="K55"/>
      <c r="L55"/>
    </row>
    <row r="56" spans="1:12" s="4" customFormat="1" ht="55.2" x14ac:dyDescent="0.3">
      <c r="A56" s="78"/>
      <c r="B56" s="78"/>
      <c r="C56" s="43" t="s">
        <v>92</v>
      </c>
      <c r="D56" s="65" t="s">
        <v>93</v>
      </c>
      <c r="E56" s="43" t="s">
        <v>45</v>
      </c>
      <c r="F56" s="79">
        <v>608</v>
      </c>
      <c r="G56" s="83">
        <v>158</v>
      </c>
      <c r="H56" s="83">
        <v>450</v>
      </c>
      <c r="I56"/>
      <c r="J56"/>
      <c r="K56"/>
      <c r="L56"/>
    </row>
    <row r="57" spans="1:12" s="4" customFormat="1" ht="41.4" x14ac:dyDescent="0.3">
      <c r="A57" s="78"/>
      <c r="B57" s="78"/>
      <c r="C57" s="43" t="s">
        <v>95</v>
      </c>
      <c r="D57" s="65" t="s">
        <v>96</v>
      </c>
      <c r="E57" s="43" t="s">
        <v>45</v>
      </c>
      <c r="F57" s="79">
        <v>592</v>
      </c>
      <c r="G57" s="83">
        <v>154</v>
      </c>
      <c r="H57" s="83">
        <v>438</v>
      </c>
      <c r="I57"/>
      <c r="J57"/>
      <c r="K57"/>
      <c r="L57"/>
    </row>
    <row r="58" spans="1:12" s="4" customFormat="1" ht="41.4" x14ac:dyDescent="0.3">
      <c r="A58" s="78"/>
      <c r="B58" s="78"/>
      <c r="C58" s="43" t="s">
        <v>98</v>
      </c>
      <c r="D58" s="65" t="s">
        <v>99</v>
      </c>
      <c r="E58" s="43" t="s">
        <v>45</v>
      </c>
      <c r="F58" s="79">
        <v>74</v>
      </c>
      <c r="G58" s="83">
        <v>19</v>
      </c>
      <c r="H58" s="83">
        <v>55</v>
      </c>
      <c r="I58"/>
      <c r="J58"/>
      <c r="K58"/>
      <c r="L58"/>
    </row>
    <row r="59" spans="1:12" s="4" customFormat="1" ht="41.4" x14ac:dyDescent="0.3">
      <c r="A59" s="78"/>
      <c r="B59" s="78"/>
      <c r="C59" s="43"/>
      <c r="D59" s="65" t="s">
        <v>104</v>
      </c>
      <c r="E59" s="43"/>
      <c r="F59" s="79"/>
      <c r="G59" s="83"/>
      <c r="H59" s="83"/>
      <c r="I59"/>
      <c r="J59"/>
      <c r="K59"/>
      <c r="L59"/>
    </row>
    <row r="60" spans="1:12" s="4" customFormat="1" ht="41.4" x14ac:dyDescent="0.3">
      <c r="A60" s="78"/>
      <c r="B60" s="78"/>
      <c r="C60" s="43" t="s">
        <v>105</v>
      </c>
      <c r="D60" s="17" t="s">
        <v>341</v>
      </c>
      <c r="E60" s="43" t="s">
        <v>45</v>
      </c>
      <c r="F60" s="79">
        <v>100</v>
      </c>
      <c r="G60" s="83">
        <v>26</v>
      </c>
      <c r="H60" s="83">
        <v>74</v>
      </c>
      <c r="I60"/>
      <c r="J60"/>
      <c r="K60"/>
      <c r="L60"/>
    </row>
    <row r="61" spans="1:12" s="4" customFormat="1" ht="41.4" x14ac:dyDescent="0.3">
      <c r="A61" s="78"/>
      <c r="B61" s="78"/>
      <c r="C61" s="43" t="s">
        <v>108</v>
      </c>
      <c r="D61" s="65" t="s">
        <v>109</v>
      </c>
      <c r="E61" s="43" t="s">
        <v>45</v>
      </c>
      <c r="F61" s="79">
        <v>100</v>
      </c>
      <c r="G61" s="83">
        <v>26</v>
      </c>
      <c r="H61" s="83">
        <v>74</v>
      </c>
      <c r="I61"/>
      <c r="J61"/>
      <c r="K61"/>
      <c r="L61"/>
    </row>
    <row r="62" spans="1:12" s="4" customFormat="1" ht="41.4" x14ac:dyDescent="0.3">
      <c r="A62" s="78"/>
      <c r="B62" s="78"/>
      <c r="C62" s="43" t="s">
        <v>111</v>
      </c>
      <c r="D62" s="17" t="s">
        <v>342</v>
      </c>
      <c r="E62" s="43" t="s">
        <v>45</v>
      </c>
      <c r="F62" s="79">
        <v>64</v>
      </c>
      <c r="G62" s="83">
        <v>17</v>
      </c>
      <c r="H62" s="83">
        <v>47</v>
      </c>
      <c r="I62"/>
      <c r="J62"/>
      <c r="K62"/>
      <c r="L62"/>
    </row>
    <row r="63" spans="1:12" s="4" customFormat="1" ht="41.4" x14ac:dyDescent="0.3">
      <c r="A63" s="78"/>
      <c r="B63" s="78"/>
      <c r="C63" s="43"/>
      <c r="D63" s="65" t="s">
        <v>114</v>
      </c>
      <c r="E63" s="43"/>
      <c r="F63" s="79"/>
      <c r="G63" s="83"/>
      <c r="H63" s="83"/>
      <c r="I63"/>
      <c r="J63"/>
      <c r="K63"/>
      <c r="L63"/>
    </row>
    <row r="64" spans="1:12" s="4" customFormat="1" ht="41.4" x14ac:dyDescent="0.3">
      <c r="A64" s="78"/>
      <c r="B64" s="78"/>
      <c r="C64" s="43" t="s">
        <v>115</v>
      </c>
      <c r="D64" s="17" t="s">
        <v>343</v>
      </c>
      <c r="E64" s="43" t="s">
        <v>45</v>
      </c>
      <c r="F64" s="79">
        <v>100</v>
      </c>
      <c r="G64" s="83">
        <v>26</v>
      </c>
      <c r="H64" s="83">
        <v>74</v>
      </c>
      <c r="I64"/>
      <c r="J64"/>
      <c r="K64"/>
      <c r="L64"/>
    </row>
    <row r="65" spans="1:40" s="4" customFormat="1" ht="41.4" x14ac:dyDescent="0.3">
      <c r="A65" s="78"/>
      <c r="B65" s="78"/>
      <c r="C65" s="43" t="s">
        <v>118</v>
      </c>
      <c r="D65" s="17" t="s">
        <v>344</v>
      </c>
      <c r="E65" s="43" t="s">
        <v>45</v>
      </c>
      <c r="F65" s="79">
        <v>100</v>
      </c>
      <c r="G65" s="83">
        <v>26</v>
      </c>
      <c r="H65" s="83">
        <v>74</v>
      </c>
      <c r="I65"/>
      <c r="J65"/>
      <c r="K65"/>
      <c r="L65"/>
    </row>
    <row r="66" spans="1:40" s="4" customFormat="1" ht="41.4" x14ac:dyDescent="0.3">
      <c r="A66" s="78"/>
      <c r="B66" s="78"/>
      <c r="C66" s="43" t="s">
        <v>121</v>
      </c>
      <c r="D66" s="17" t="s">
        <v>345</v>
      </c>
      <c r="E66" s="43" t="s">
        <v>45</v>
      </c>
      <c r="F66" s="79">
        <v>100</v>
      </c>
      <c r="G66" s="83">
        <v>26</v>
      </c>
      <c r="H66" s="83">
        <v>74</v>
      </c>
      <c r="I66"/>
      <c r="J66"/>
      <c r="K66"/>
      <c r="L66"/>
    </row>
    <row r="67" spans="1:40" s="4" customFormat="1" ht="41.4" x14ac:dyDescent="0.3">
      <c r="A67" s="78"/>
      <c r="B67" s="78"/>
      <c r="C67" s="43" t="s">
        <v>124</v>
      </c>
      <c r="D67" s="17" t="s">
        <v>346</v>
      </c>
      <c r="E67" s="43" t="s">
        <v>45</v>
      </c>
      <c r="F67" s="79">
        <v>100</v>
      </c>
      <c r="G67" s="83">
        <v>26</v>
      </c>
      <c r="H67" s="83">
        <v>74</v>
      </c>
      <c r="I67"/>
      <c r="J67"/>
      <c r="K67"/>
      <c r="L67"/>
    </row>
    <row r="68" spans="1:40" s="4" customFormat="1" ht="41.4" x14ac:dyDescent="0.3">
      <c r="A68" s="78"/>
      <c r="B68" s="78"/>
      <c r="C68" s="43"/>
      <c r="D68" s="65" t="s">
        <v>285</v>
      </c>
      <c r="E68" s="43"/>
      <c r="F68" s="79"/>
      <c r="G68" s="83"/>
      <c r="H68" s="83"/>
      <c r="I68"/>
      <c r="J68"/>
      <c r="K68"/>
      <c r="L68"/>
    </row>
    <row r="69" spans="1:40" s="4" customFormat="1" ht="41.4" x14ac:dyDescent="0.3">
      <c r="A69" s="78"/>
      <c r="B69" s="78"/>
      <c r="C69" s="43" t="s">
        <v>127</v>
      </c>
      <c r="D69" s="17" t="s">
        <v>347</v>
      </c>
      <c r="E69" s="43" t="s">
        <v>45</v>
      </c>
      <c r="F69" s="79">
        <v>100</v>
      </c>
      <c r="G69" s="83">
        <v>26</v>
      </c>
      <c r="H69" s="83">
        <v>74</v>
      </c>
      <c r="I69"/>
      <c r="J69"/>
      <c r="K69"/>
      <c r="L69"/>
    </row>
    <row r="70" spans="1:40" s="4" customFormat="1" ht="41.4" x14ac:dyDescent="0.3">
      <c r="A70" s="78"/>
      <c r="B70" s="78"/>
      <c r="C70" s="43" t="s">
        <v>131</v>
      </c>
      <c r="D70" s="17" t="s">
        <v>348</v>
      </c>
      <c r="E70" s="43" t="s">
        <v>45</v>
      </c>
      <c r="F70" s="79">
        <v>100</v>
      </c>
      <c r="G70" s="83">
        <v>26</v>
      </c>
      <c r="H70" s="83">
        <v>74</v>
      </c>
      <c r="I70"/>
      <c r="J70"/>
      <c r="K70"/>
      <c r="L70"/>
    </row>
    <row r="71" spans="1:40" s="4" customFormat="1" ht="41.4" x14ac:dyDescent="0.3">
      <c r="A71" s="78"/>
      <c r="B71" s="78"/>
      <c r="C71" s="43" t="s">
        <v>286</v>
      </c>
      <c r="D71" s="17" t="s">
        <v>349</v>
      </c>
      <c r="E71" s="43" t="s">
        <v>45</v>
      </c>
      <c r="F71" s="79">
        <v>52</v>
      </c>
      <c r="G71" s="83">
        <v>14</v>
      </c>
      <c r="H71" s="83">
        <v>38</v>
      </c>
      <c r="I71"/>
      <c r="J71"/>
      <c r="K71"/>
      <c r="L71"/>
    </row>
    <row r="72" spans="1:40" s="4" customFormat="1" ht="41.4" x14ac:dyDescent="0.3">
      <c r="A72" s="78"/>
      <c r="B72" s="78"/>
      <c r="C72" s="43"/>
      <c r="D72" s="65" t="s">
        <v>158</v>
      </c>
      <c r="E72" s="43"/>
      <c r="F72" s="79"/>
      <c r="G72" s="83"/>
      <c r="H72" s="83"/>
      <c r="I72"/>
      <c r="J72"/>
      <c r="K72"/>
      <c r="L72"/>
    </row>
    <row r="73" spans="1:40" ht="41.4" x14ac:dyDescent="0.25">
      <c r="A73" s="26"/>
      <c r="B73" s="26"/>
      <c r="C73" s="43" t="s">
        <v>198</v>
      </c>
      <c r="D73" s="17" t="s">
        <v>350</v>
      </c>
      <c r="E73" s="43" t="s">
        <v>45</v>
      </c>
      <c r="F73" s="79">
        <v>152</v>
      </c>
      <c r="G73" s="83">
        <v>40</v>
      </c>
      <c r="H73" s="83">
        <v>112</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200</v>
      </c>
      <c r="D74" s="65" t="s">
        <v>201</v>
      </c>
      <c r="E74" s="43" t="s">
        <v>45</v>
      </c>
      <c r="F74" s="79">
        <v>64</v>
      </c>
      <c r="G74" s="83">
        <v>17</v>
      </c>
      <c r="H74" s="83">
        <v>47</v>
      </c>
      <c r="I74"/>
      <c r="J74"/>
      <c r="K74"/>
      <c r="L74"/>
      <c r="M74"/>
      <c r="N74"/>
      <c r="O74"/>
      <c r="P74"/>
      <c r="Q74"/>
      <c r="R74"/>
      <c r="S74"/>
      <c r="T74"/>
      <c r="U74"/>
      <c r="V74"/>
      <c r="W74"/>
      <c r="X74"/>
      <c r="Y74"/>
      <c r="Z74"/>
      <c r="AA74"/>
      <c r="AB74"/>
      <c r="AC74"/>
      <c r="AD74"/>
      <c r="AE74"/>
      <c r="AF74"/>
      <c r="AG74"/>
      <c r="AH74"/>
      <c r="AI74"/>
      <c r="AJ74"/>
      <c r="AK74"/>
      <c r="AL74"/>
      <c r="AM74"/>
      <c r="AN74"/>
    </row>
    <row r="75" spans="1:40" ht="55.2" x14ac:dyDescent="0.25">
      <c r="A75" s="26"/>
      <c r="B75" s="26"/>
      <c r="C75" s="43" t="s">
        <v>162</v>
      </c>
      <c r="D75" s="17" t="s">
        <v>163</v>
      </c>
      <c r="E75" s="43" t="s">
        <v>45</v>
      </c>
      <c r="F75" s="79">
        <v>76</v>
      </c>
      <c r="G75" s="83">
        <v>20</v>
      </c>
      <c r="H75" s="83">
        <v>56</v>
      </c>
      <c r="I75"/>
      <c r="J75"/>
      <c r="K75"/>
      <c r="L75"/>
      <c r="M75"/>
      <c r="N75"/>
      <c r="O75"/>
      <c r="P75"/>
      <c r="Q75"/>
      <c r="R75"/>
      <c r="S75"/>
      <c r="T75"/>
      <c r="U75"/>
      <c r="V75"/>
      <c r="W75"/>
      <c r="X75"/>
      <c r="Y75"/>
      <c r="Z75"/>
      <c r="AA75"/>
      <c r="AB75"/>
      <c r="AC75"/>
      <c r="AD75"/>
      <c r="AE75"/>
      <c r="AF75"/>
      <c r="AG75"/>
      <c r="AH75"/>
      <c r="AI75"/>
      <c r="AJ75"/>
      <c r="AK75"/>
      <c r="AL75"/>
      <c r="AM75"/>
      <c r="AN75"/>
    </row>
    <row r="76" spans="1:40" ht="69" x14ac:dyDescent="0.25">
      <c r="A76" s="26"/>
      <c r="B76" s="26"/>
      <c r="C76" s="43" t="s">
        <v>289</v>
      </c>
      <c r="D76" s="17" t="s">
        <v>351</v>
      </c>
      <c r="E76" s="43" t="s">
        <v>45</v>
      </c>
      <c r="F76" s="79">
        <v>64</v>
      </c>
      <c r="G76" s="83">
        <v>17</v>
      </c>
      <c r="H76" s="83">
        <v>47</v>
      </c>
      <c r="I76"/>
      <c r="J76"/>
      <c r="K76"/>
      <c r="L76"/>
      <c r="M76"/>
      <c r="N76"/>
      <c r="O76"/>
      <c r="P76"/>
      <c r="Q76"/>
      <c r="R76"/>
      <c r="S76"/>
      <c r="T76"/>
      <c r="U76"/>
      <c r="V76"/>
      <c r="W76"/>
      <c r="X76"/>
      <c r="Y76"/>
      <c r="Z76"/>
      <c r="AA76"/>
      <c r="AB76"/>
      <c r="AC76"/>
      <c r="AD76"/>
      <c r="AE76"/>
      <c r="AF76"/>
      <c r="AG76"/>
      <c r="AH76"/>
      <c r="AI76"/>
      <c r="AJ76"/>
      <c r="AK76"/>
      <c r="AL76"/>
      <c r="AM76"/>
      <c r="AN76"/>
    </row>
    <row r="77" spans="1:40" ht="55.2" x14ac:dyDescent="0.25">
      <c r="A77" s="26"/>
      <c r="B77" s="26"/>
      <c r="C77" s="43" t="s">
        <v>159</v>
      </c>
      <c r="D77" s="17" t="s">
        <v>352</v>
      </c>
      <c r="E77" s="43" t="s">
        <v>45</v>
      </c>
      <c r="F77" s="79">
        <v>102</v>
      </c>
      <c r="G77" s="83">
        <v>27</v>
      </c>
      <c r="H77" s="83">
        <v>75</v>
      </c>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203</v>
      </c>
      <c r="D78" s="17" t="s">
        <v>353</v>
      </c>
      <c r="E78" s="43" t="s">
        <v>45</v>
      </c>
      <c r="F78" s="79">
        <v>148</v>
      </c>
      <c r="G78" s="83">
        <v>38</v>
      </c>
      <c r="H78" s="83">
        <v>110</v>
      </c>
      <c r="I78"/>
      <c r="J78"/>
      <c r="K78"/>
      <c r="L78"/>
      <c r="M78"/>
      <c r="N78"/>
      <c r="O78"/>
      <c r="P78"/>
      <c r="Q78"/>
      <c r="R78"/>
      <c r="S78"/>
      <c r="T78"/>
      <c r="U78"/>
      <c r="V78"/>
      <c r="W78"/>
      <c r="X78"/>
      <c r="Y78"/>
      <c r="Z78"/>
      <c r="AA78"/>
      <c r="AB78"/>
      <c r="AC78"/>
      <c r="AD78"/>
      <c r="AE78"/>
      <c r="AF78"/>
      <c r="AG78"/>
      <c r="AH78"/>
      <c r="AI78"/>
      <c r="AJ78"/>
      <c r="AK78"/>
      <c r="AL78"/>
      <c r="AM78"/>
      <c r="AN78"/>
    </row>
    <row r="79" spans="1:40" ht="55.2" x14ac:dyDescent="0.25">
      <c r="A79" s="26"/>
      <c r="B79" s="26"/>
      <c r="C79" s="43" t="s">
        <v>223</v>
      </c>
      <c r="D79" s="65" t="s">
        <v>224</v>
      </c>
      <c r="E79" s="43" t="s">
        <v>190</v>
      </c>
      <c r="F79" s="79">
        <v>912</v>
      </c>
      <c r="G79" s="83">
        <v>237</v>
      </c>
      <c r="H79" s="83">
        <v>675</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c r="D80" s="65" t="s">
        <v>292</v>
      </c>
      <c r="E80" s="43"/>
      <c r="F80" s="79"/>
      <c r="G80" s="83"/>
      <c r="H80" s="83"/>
      <c r="I80"/>
      <c r="J80"/>
      <c r="K80"/>
      <c r="L80"/>
      <c r="M80"/>
      <c r="N80"/>
      <c r="O80"/>
      <c r="P80"/>
      <c r="Q80"/>
      <c r="R80"/>
      <c r="S80"/>
      <c r="T80"/>
      <c r="U80"/>
      <c r="V80"/>
      <c r="W80"/>
      <c r="X80"/>
      <c r="Y80"/>
      <c r="Z80"/>
      <c r="AA80"/>
      <c r="AB80"/>
      <c r="AC80"/>
      <c r="AD80"/>
      <c r="AE80"/>
      <c r="AF80"/>
      <c r="AG80"/>
      <c r="AH80"/>
      <c r="AI80"/>
      <c r="AJ80"/>
      <c r="AK80"/>
      <c r="AL80"/>
      <c r="AM80"/>
      <c r="AN80"/>
    </row>
    <row r="81" spans="1:40" ht="69" x14ac:dyDescent="0.25">
      <c r="A81" s="26"/>
      <c r="B81" s="26"/>
      <c r="C81" s="43" t="s">
        <v>293</v>
      </c>
      <c r="D81" s="17" t="s">
        <v>354</v>
      </c>
      <c r="E81" s="43" t="s">
        <v>45</v>
      </c>
      <c r="F81" s="79">
        <v>76</v>
      </c>
      <c r="G81" s="83">
        <v>20</v>
      </c>
      <c r="H81" s="83">
        <v>56</v>
      </c>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c r="D82" s="65" t="s">
        <v>255</v>
      </c>
      <c r="E82" s="43"/>
      <c r="F82" s="79"/>
      <c r="G82" s="83"/>
      <c r="H82" s="83"/>
      <c r="I82"/>
      <c r="J82"/>
      <c r="K82"/>
      <c r="L82"/>
      <c r="M82"/>
      <c r="N82"/>
      <c r="O82"/>
      <c r="P82"/>
      <c r="Q82"/>
      <c r="R82"/>
      <c r="S82"/>
      <c r="T82"/>
      <c r="U82"/>
      <c r="V82"/>
      <c r="W82"/>
      <c r="X82"/>
      <c r="Y82"/>
      <c r="Z82"/>
      <c r="AA82"/>
      <c r="AB82"/>
      <c r="AC82"/>
      <c r="AD82"/>
      <c r="AE82"/>
      <c r="AF82"/>
      <c r="AG82"/>
      <c r="AH82"/>
      <c r="AI82"/>
      <c r="AJ82"/>
      <c r="AK82"/>
      <c r="AL82"/>
      <c r="AM82"/>
      <c r="AN82"/>
    </row>
    <row r="83" spans="1:40" x14ac:dyDescent="0.25">
      <c r="A83" s="26"/>
      <c r="B83" s="26"/>
      <c r="C83" s="43" t="s">
        <v>296</v>
      </c>
      <c r="D83" s="65" t="s">
        <v>355</v>
      </c>
      <c r="E83" s="43" t="s">
        <v>45</v>
      </c>
      <c r="F83" s="79">
        <v>76</v>
      </c>
      <c r="G83" s="83">
        <v>20</v>
      </c>
      <c r="H83" s="83">
        <v>56</v>
      </c>
      <c r="I83"/>
      <c r="J83"/>
      <c r="K83"/>
      <c r="L83"/>
      <c r="M83"/>
      <c r="N83"/>
      <c r="O83"/>
      <c r="P83"/>
      <c r="Q83"/>
      <c r="R83"/>
      <c r="S83"/>
      <c r="T83"/>
      <c r="U83"/>
      <c r="V83"/>
      <c r="W83"/>
      <c r="X83"/>
      <c r="Y83"/>
      <c r="Z83"/>
      <c r="AA83"/>
      <c r="AB83"/>
      <c r="AC83"/>
      <c r="AD83"/>
      <c r="AE83"/>
      <c r="AF83"/>
      <c r="AG83"/>
      <c r="AH83"/>
      <c r="AI83"/>
      <c r="AJ83"/>
      <c r="AK83"/>
      <c r="AL83"/>
      <c r="AM83"/>
      <c r="AN83"/>
    </row>
    <row r="84" spans="1:40" ht="41.4" x14ac:dyDescent="0.25">
      <c r="A84" s="26"/>
      <c r="B84" s="26"/>
      <c r="C84" s="43"/>
      <c r="D84" s="65" t="s">
        <v>256</v>
      </c>
      <c r="E84" s="43"/>
      <c r="F84" s="79"/>
      <c r="G84" s="83"/>
      <c r="H84" s="83"/>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257</v>
      </c>
      <c r="D85" s="65" t="s">
        <v>258</v>
      </c>
      <c r="E85" s="43" t="s">
        <v>259</v>
      </c>
      <c r="F85" s="79">
        <v>2</v>
      </c>
      <c r="G85" s="83">
        <v>1</v>
      </c>
      <c r="H85" s="83">
        <v>1</v>
      </c>
      <c r="I85"/>
      <c r="J85"/>
      <c r="K85"/>
      <c r="L85"/>
      <c r="M85" s="52"/>
      <c r="N85"/>
      <c r="O85"/>
      <c r="P85"/>
      <c r="Q85"/>
      <c r="R85"/>
      <c r="S85"/>
      <c r="T85"/>
      <c r="U85"/>
      <c r="V85"/>
      <c r="W85"/>
      <c r="X85"/>
      <c r="Y85"/>
      <c r="Z85"/>
      <c r="AA85"/>
      <c r="AB85"/>
      <c r="AC85"/>
      <c r="AD85"/>
      <c r="AE85"/>
      <c r="AF85"/>
      <c r="AG85"/>
      <c r="AH85"/>
      <c r="AI85"/>
      <c r="AJ85"/>
      <c r="AK85"/>
      <c r="AL85"/>
      <c r="AM85"/>
      <c r="AN85"/>
    </row>
    <row r="86" spans="1:40" ht="41.4" x14ac:dyDescent="0.25">
      <c r="A86" s="26"/>
      <c r="B86" s="26"/>
      <c r="C86" s="43"/>
      <c r="D86" s="65" t="s">
        <v>186</v>
      </c>
      <c r="E86" s="43"/>
      <c r="F86" s="79"/>
      <c r="G86" s="83"/>
      <c r="H86" s="83"/>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c r="D87" s="65" t="s">
        <v>187</v>
      </c>
      <c r="E87" s="43"/>
      <c r="F87" s="79"/>
      <c r="G87" s="83"/>
      <c r="H87" s="83"/>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188</v>
      </c>
      <c r="D88" s="17" t="s">
        <v>356</v>
      </c>
      <c r="E88" s="43" t="s">
        <v>190</v>
      </c>
      <c r="F88" s="79">
        <v>16</v>
      </c>
      <c r="G88" s="83">
        <v>16</v>
      </c>
      <c r="H88" s="83"/>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t="s">
        <v>299</v>
      </c>
      <c r="D89" s="65" t="s">
        <v>300</v>
      </c>
      <c r="E89" s="43" t="s">
        <v>190</v>
      </c>
      <c r="F89" s="79">
        <v>12</v>
      </c>
      <c r="G89" s="83">
        <v>12</v>
      </c>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c r="D90" s="65" t="s">
        <v>194</v>
      </c>
      <c r="E90" s="43"/>
      <c r="F90" s="79"/>
      <c r="G90" s="83"/>
      <c r="H90" s="83"/>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t="s">
        <v>195</v>
      </c>
      <c r="D91" s="17" t="s">
        <v>357</v>
      </c>
      <c r="E91" s="43" t="s">
        <v>45</v>
      </c>
      <c r="F91" s="79">
        <v>1</v>
      </c>
      <c r="G91" s="83">
        <v>1</v>
      </c>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c r="D92" s="65" t="s">
        <v>261</v>
      </c>
      <c r="E92" s="43"/>
      <c r="F92" s="79"/>
      <c r="G92" s="83"/>
      <c r="H92" s="83"/>
      <c r="I92"/>
      <c r="J92"/>
      <c r="K92"/>
      <c r="L92"/>
      <c r="M92" s="52"/>
      <c r="N92"/>
      <c r="O92"/>
      <c r="P92"/>
      <c r="Q92"/>
      <c r="R92"/>
      <c r="S92"/>
      <c r="T92"/>
      <c r="U92"/>
      <c r="V92"/>
      <c r="W92"/>
      <c r="X92"/>
      <c r="Y92"/>
      <c r="Z92"/>
      <c r="AA92"/>
      <c r="AB92"/>
      <c r="AC92"/>
      <c r="AD92"/>
      <c r="AE92"/>
      <c r="AF92"/>
      <c r="AG92"/>
      <c r="AH92"/>
      <c r="AI92"/>
      <c r="AJ92"/>
      <c r="AK92"/>
      <c r="AL92"/>
      <c r="AM92"/>
      <c r="AN92"/>
    </row>
    <row r="93" spans="1:40" ht="55.2" x14ac:dyDescent="0.25">
      <c r="A93" s="26"/>
      <c r="B93" s="26"/>
      <c r="C93" s="43" t="s">
        <v>262</v>
      </c>
      <c r="D93" s="17" t="s">
        <v>93</v>
      </c>
      <c r="E93" s="43" t="s">
        <v>45</v>
      </c>
      <c r="F93" s="79">
        <v>12</v>
      </c>
      <c r="G93" s="83">
        <v>12</v>
      </c>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264</v>
      </c>
      <c r="D94" s="65" t="s">
        <v>99</v>
      </c>
      <c r="E94" s="43" t="s">
        <v>45</v>
      </c>
      <c r="F94" s="79">
        <v>24</v>
      </c>
      <c r="G94" s="83">
        <v>24</v>
      </c>
      <c r="H94" s="83"/>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266</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t="s">
        <v>302</v>
      </c>
      <c r="D96" s="17" t="s">
        <v>358</v>
      </c>
      <c r="E96" s="43" t="s">
        <v>45</v>
      </c>
      <c r="F96" s="79">
        <v>4</v>
      </c>
      <c r="G96" s="83">
        <v>4</v>
      </c>
      <c r="H96" s="83"/>
      <c r="I96"/>
      <c r="J96"/>
      <c r="K96"/>
      <c r="L96"/>
      <c r="M96" s="52"/>
      <c r="N96"/>
      <c r="O96"/>
      <c r="P96"/>
      <c r="Q96"/>
      <c r="R96"/>
      <c r="S96"/>
      <c r="T96"/>
      <c r="U96"/>
      <c r="V96"/>
      <c r="W96"/>
      <c r="X96"/>
      <c r="Y96"/>
      <c r="Z96"/>
      <c r="AA96"/>
      <c r="AB96"/>
      <c r="AC96"/>
      <c r="AD96"/>
      <c r="AE96"/>
      <c r="AF96"/>
      <c r="AG96"/>
      <c r="AH96"/>
      <c r="AI96"/>
      <c r="AJ96"/>
      <c r="AK96"/>
      <c r="AL96"/>
      <c r="AM96"/>
      <c r="AN96"/>
    </row>
    <row r="97" spans="3:40" ht="41.4" x14ac:dyDescent="0.3">
      <c r="C97" s="43" t="s">
        <v>267</v>
      </c>
      <c r="D97" s="17" t="s">
        <v>359</v>
      </c>
      <c r="E97" s="43" t="s">
        <v>45</v>
      </c>
      <c r="F97" s="79">
        <v>4</v>
      </c>
      <c r="G97" s="83">
        <v>4</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c r="D98" s="65" t="s">
        <v>269</v>
      </c>
      <c r="E98" s="43"/>
      <c r="F98" s="79"/>
      <c r="G98" s="83"/>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t="s">
        <v>304</v>
      </c>
      <c r="D99" s="17" t="s">
        <v>360</v>
      </c>
      <c r="E99" s="43" t="s">
        <v>45</v>
      </c>
      <c r="F99" s="79">
        <v>4</v>
      </c>
      <c r="G99" s="83">
        <v>4</v>
      </c>
      <c r="H99" s="83"/>
      <c r="I99"/>
      <c r="J99"/>
      <c r="K99"/>
      <c r="L99"/>
      <c r="M99" s="52"/>
      <c r="N99"/>
      <c r="O99"/>
      <c r="P99"/>
      <c r="Q99"/>
      <c r="R99"/>
      <c r="S99"/>
      <c r="T99"/>
      <c r="U99"/>
      <c r="V99"/>
      <c r="W99"/>
      <c r="X99"/>
      <c r="Y99"/>
      <c r="Z99"/>
      <c r="AA99"/>
      <c r="AB99"/>
      <c r="AC99"/>
      <c r="AD99"/>
      <c r="AE99"/>
      <c r="AF99"/>
      <c r="AG99"/>
      <c r="AH99"/>
      <c r="AI99"/>
      <c r="AJ99"/>
      <c r="AK99"/>
      <c r="AL99"/>
      <c r="AM99"/>
      <c r="AN99"/>
    </row>
    <row r="100" spans="3:40" ht="27.6" x14ac:dyDescent="0.3">
      <c r="C100" s="43" t="s">
        <v>270</v>
      </c>
      <c r="D100" s="17" t="s">
        <v>361</v>
      </c>
      <c r="E100" s="43" t="s">
        <v>45</v>
      </c>
      <c r="F100" s="79">
        <v>4</v>
      </c>
      <c r="G100" s="83">
        <v>4</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285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41.4" x14ac:dyDescent="0.3">
      <c r="C102" s="43" t="s">
        <v>307</v>
      </c>
      <c r="D102" s="17" t="s">
        <v>347</v>
      </c>
      <c r="E102" s="43" t="s">
        <v>45</v>
      </c>
      <c r="F102" s="79">
        <v>4</v>
      </c>
      <c r="G102" s="83">
        <v>4</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309</v>
      </c>
      <c r="D103" s="17" t="s">
        <v>350</v>
      </c>
      <c r="E103" s="43" t="s">
        <v>45</v>
      </c>
      <c r="F103" s="79">
        <v>4</v>
      </c>
      <c r="G103" s="83">
        <v>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t="s">
        <v>272</v>
      </c>
      <c r="D104" s="65" t="s">
        <v>273</v>
      </c>
      <c r="E104" s="43" t="s">
        <v>190</v>
      </c>
      <c r="F104" s="79">
        <v>144</v>
      </c>
      <c r="G104" s="83">
        <v>144</v>
      </c>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275</v>
      </c>
      <c r="D105" s="17" t="s">
        <v>362</v>
      </c>
      <c r="E105" s="43" t="s">
        <v>190</v>
      </c>
      <c r="F105" s="79">
        <v>432</v>
      </c>
      <c r="G105" s="83">
        <v>432</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92</v>
      </c>
      <c r="D106" s="65" t="s">
        <v>130</v>
      </c>
      <c r="E106" s="43"/>
      <c r="F106" s="79"/>
      <c r="G106" s="83"/>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55.2" x14ac:dyDescent="0.3">
      <c r="C107" s="43" t="s">
        <v>92</v>
      </c>
      <c r="D107" s="65" t="s">
        <v>93</v>
      </c>
      <c r="E107" s="43" t="s">
        <v>45</v>
      </c>
      <c r="F107" s="79">
        <v>1</v>
      </c>
      <c r="G107" s="83">
        <v>1</v>
      </c>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98</v>
      </c>
      <c r="D108" s="65" t="s">
        <v>99</v>
      </c>
      <c r="E108" s="43" t="s">
        <v>45</v>
      </c>
      <c r="F108" s="79">
        <v>1</v>
      </c>
      <c r="G108" s="83">
        <v>1</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69" x14ac:dyDescent="0.3">
      <c r="C109" s="43" t="s">
        <v>101</v>
      </c>
      <c r="D109" s="17" t="s">
        <v>363</v>
      </c>
      <c r="E109" s="43" t="s">
        <v>45</v>
      </c>
      <c r="F109" s="79">
        <v>2</v>
      </c>
      <c r="G109" s="83">
        <v>2</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t="s">
        <v>105</v>
      </c>
      <c r="D110" s="17" t="s">
        <v>341</v>
      </c>
      <c r="E110" s="43" t="s">
        <v>45</v>
      </c>
      <c r="F110" s="79">
        <v>2</v>
      </c>
      <c r="G110" s="83">
        <v>2</v>
      </c>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108</v>
      </c>
      <c r="D111" s="17" t="s">
        <v>359</v>
      </c>
      <c r="E111" s="43" t="s">
        <v>45</v>
      </c>
      <c r="F111" s="79">
        <v>2</v>
      </c>
      <c r="G111" s="83">
        <v>2</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27.6" x14ac:dyDescent="0.3">
      <c r="C112" s="43" t="s">
        <v>115</v>
      </c>
      <c r="D112" s="17" t="s">
        <v>364</v>
      </c>
      <c r="E112" s="43" t="s">
        <v>45</v>
      </c>
      <c r="F112" s="79">
        <v>2</v>
      </c>
      <c r="G112" s="83">
        <v>2</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118</v>
      </c>
      <c r="D113" s="17" t="s">
        <v>344</v>
      </c>
      <c r="E113" s="43" t="s">
        <v>45</v>
      </c>
      <c r="F113" s="79">
        <v>2</v>
      </c>
      <c r="G113" s="83">
        <v>2</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127</v>
      </c>
      <c r="D114" s="17" t="s">
        <v>347</v>
      </c>
      <c r="E114" s="43" t="s">
        <v>45</v>
      </c>
      <c r="F114" s="79">
        <v>2</v>
      </c>
      <c r="G114" s="83">
        <v>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131</v>
      </c>
      <c r="D115" s="65" t="s">
        <v>132</v>
      </c>
      <c r="E115" s="43" t="s">
        <v>45</v>
      </c>
      <c r="F115" s="79">
        <v>3</v>
      </c>
      <c r="G115" s="83">
        <v>3</v>
      </c>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41.4" x14ac:dyDescent="0.3">
      <c r="C116" s="43" t="s">
        <v>134</v>
      </c>
      <c r="D116" s="65" t="s">
        <v>135</v>
      </c>
      <c r="E116" s="43" t="s">
        <v>45</v>
      </c>
      <c r="F116" s="79">
        <v>2</v>
      </c>
      <c r="G116" s="83">
        <v>2</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138</v>
      </c>
      <c r="D117" s="65" t="s">
        <v>139</v>
      </c>
      <c r="E117" s="43"/>
      <c r="F117" s="79"/>
      <c r="G117" s="83"/>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41.4" x14ac:dyDescent="0.3">
      <c r="C118" s="43" t="s">
        <v>140</v>
      </c>
      <c r="D118" s="65" t="s">
        <v>141</v>
      </c>
      <c r="E118" s="43" t="s">
        <v>334</v>
      </c>
      <c r="F118" s="79">
        <v>250</v>
      </c>
      <c r="G118" s="83">
        <v>250</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168</v>
      </c>
      <c r="D119" s="65" t="s">
        <v>169</v>
      </c>
      <c r="E119" s="43"/>
      <c r="F119" s="79"/>
      <c r="G119" s="83"/>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170</v>
      </c>
      <c r="D120" s="65" t="s">
        <v>171</v>
      </c>
      <c r="E120" s="43" t="s">
        <v>259</v>
      </c>
      <c r="F120" s="79">
        <v>1</v>
      </c>
      <c r="G120" s="83"/>
      <c r="H120" s="83">
        <v>1</v>
      </c>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v>10</v>
      </c>
      <c r="D121" s="65" t="s">
        <v>176</v>
      </c>
      <c r="E121" s="43"/>
      <c r="F121" s="79"/>
      <c r="G121" s="83"/>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177</v>
      </c>
      <c r="D122" s="65" t="s">
        <v>178</v>
      </c>
      <c r="E122" s="43" t="s">
        <v>259</v>
      </c>
      <c r="F122" s="79">
        <v>1</v>
      </c>
      <c r="G122" s="83"/>
      <c r="H122" s="83">
        <v>1</v>
      </c>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55.2" x14ac:dyDescent="0.3">
      <c r="C123" s="43" t="s">
        <v>278</v>
      </c>
      <c r="D123" s="65" t="s">
        <v>279</v>
      </c>
      <c r="E123" s="43"/>
      <c r="F123" s="79"/>
      <c r="G123" s="83"/>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55.2" x14ac:dyDescent="0.3">
      <c r="C124" s="43" t="s">
        <v>280</v>
      </c>
      <c r="D124" s="65" t="s">
        <v>281</v>
      </c>
      <c r="E124" s="43" t="s">
        <v>205</v>
      </c>
      <c r="F124" s="79">
        <v>75</v>
      </c>
      <c r="G124" s="83">
        <v>75</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96.6" x14ac:dyDescent="0.3">
      <c r="C125" s="43" t="s">
        <v>327</v>
      </c>
      <c r="D125" s="17" t="s">
        <v>365</v>
      </c>
      <c r="E125" s="43" t="s">
        <v>205</v>
      </c>
      <c r="F125" s="79">
        <v>200</v>
      </c>
      <c r="G125" s="83">
        <v>200</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96.6" x14ac:dyDescent="0.3">
      <c r="C126" s="43" t="s">
        <v>311</v>
      </c>
      <c r="D126" s="17" t="s">
        <v>366</v>
      </c>
      <c r="E126" s="43" t="s">
        <v>205</v>
      </c>
      <c r="F126" s="79">
        <v>300</v>
      </c>
      <c r="G126" s="83">
        <v>300</v>
      </c>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69" x14ac:dyDescent="0.3">
      <c r="C127" s="43" t="s">
        <v>314</v>
      </c>
      <c r="D127" s="65" t="s">
        <v>367</v>
      </c>
      <c r="E127" s="43" t="s">
        <v>205</v>
      </c>
      <c r="F127" s="79">
        <v>175</v>
      </c>
      <c r="G127" s="83">
        <v>175</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x14ac:dyDescent="0.3">
      <c r="G128" s="52"/>
      <c r="H128" s="52"/>
      <c r="I128" s="52"/>
      <c r="J128" s="52"/>
      <c r="K128" s="52"/>
      <c r="L128" s="52"/>
      <c r="M128" s="52"/>
      <c r="N128"/>
      <c r="O128"/>
      <c r="P128"/>
      <c r="Q128"/>
      <c r="R128"/>
      <c r="S128"/>
      <c r="T128"/>
      <c r="U128"/>
      <c r="V128"/>
      <c r="W128"/>
      <c r="X128"/>
      <c r="Y128"/>
      <c r="Z128"/>
      <c r="AA128"/>
      <c r="AB128"/>
      <c r="AC128"/>
      <c r="AD128"/>
      <c r="AE128"/>
      <c r="AF128"/>
      <c r="AG128"/>
      <c r="AH128"/>
      <c r="AI128"/>
      <c r="AJ128"/>
      <c r="AK128"/>
      <c r="AL128"/>
      <c r="AM128"/>
      <c r="AN128"/>
    </row>
    <row r="129" spans="7:40" x14ac:dyDescent="0.3">
      <c r="G129" s="52"/>
      <c r="H129" s="52"/>
      <c r="I129" s="52"/>
      <c r="J129" s="52"/>
      <c r="K129" s="52"/>
      <c r="L129" s="52"/>
      <c r="M129" s="52"/>
      <c r="N129"/>
      <c r="O129"/>
      <c r="P129"/>
      <c r="Q129"/>
      <c r="R129"/>
      <c r="S129"/>
      <c r="T129"/>
      <c r="U129"/>
      <c r="V129"/>
      <c r="W129"/>
      <c r="X129"/>
      <c r="Y129"/>
      <c r="Z129"/>
      <c r="AA129"/>
      <c r="AB129"/>
      <c r="AC129"/>
      <c r="AD129"/>
      <c r="AE129"/>
      <c r="AF129"/>
      <c r="AG129"/>
      <c r="AH129"/>
      <c r="AI129"/>
      <c r="AJ129"/>
      <c r="AK129"/>
      <c r="AL129"/>
      <c r="AM129"/>
      <c r="AN129"/>
    </row>
    <row r="130" spans="7:40" x14ac:dyDescent="0.3">
      <c r="G130" s="52"/>
      <c r="H130" s="52"/>
      <c r="I130" s="52"/>
      <c r="J130" s="52"/>
      <c r="K130" s="52"/>
      <c r="L130" s="52"/>
      <c r="M130" s="52"/>
      <c r="N130"/>
      <c r="O130"/>
      <c r="P130"/>
      <c r="Q130"/>
      <c r="R130"/>
      <c r="S130"/>
      <c r="T130"/>
      <c r="U130"/>
      <c r="V130"/>
      <c r="W130"/>
      <c r="X130"/>
      <c r="Y130"/>
      <c r="Z130"/>
      <c r="AA130"/>
      <c r="AB130"/>
      <c r="AC130"/>
      <c r="AD130"/>
      <c r="AE130"/>
      <c r="AF130"/>
      <c r="AG130"/>
      <c r="AH130"/>
      <c r="AI130"/>
      <c r="AJ130"/>
      <c r="AK130"/>
      <c r="AL130"/>
      <c r="AM130"/>
      <c r="AN130"/>
    </row>
    <row r="131" spans="7:40" x14ac:dyDescent="0.3">
      <c r="G131" s="52"/>
      <c r="H131" s="52"/>
      <c r="I131" s="52"/>
      <c r="J131" s="52"/>
      <c r="K131" s="52"/>
      <c r="L131" s="52"/>
      <c r="M131" s="52"/>
      <c r="N131"/>
      <c r="O131"/>
      <c r="P131"/>
      <c r="Q131"/>
      <c r="R131"/>
      <c r="S131"/>
      <c r="T131"/>
      <c r="U131"/>
      <c r="V131"/>
      <c r="W131"/>
      <c r="X131"/>
      <c r="Y131"/>
      <c r="Z131"/>
      <c r="AA131"/>
      <c r="AB131"/>
      <c r="AC131"/>
      <c r="AD131"/>
      <c r="AE131"/>
      <c r="AF131"/>
      <c r="AG131"/>
      <c r="AH131"/>
      <c r="AI131"/>
      <c r="AJ131"/>
      <c r="AK131"/>
      <c r="AL131"/>
      <c r="AM131"/>
      <c r="AN131"/>
    </row>
    <row r="132" spans="7:40" x14ac:dyDescent="0.3">
      <c r="G132" s="52"/>
      <c r="H132" s="52"/>
      <c r="I132" s="52"/>
      <c r="J132" s="52"/>
      <c r="K132" s="52"/>
      <c r="L132" s="52"/>
      <c r="M132" s="52"/>
      <c r="N132"/>
      <c r="O132"/>
      <c r="P132"/>
      <c r="Q132"/>
      <c r="R132"/>
      <c r="S132"/>
      <c r="T132"/>
      <c r="U132"/>
      <c r="V132"/>
      <c r="W132"/>
      <c r="X132"/>
      <c r="Y132"/>
      <c r="Z132"/>
      <c r="AA132"/>
      <c r="AB132"/>
      <c r="AC132"/>
      <c r="AD132"/>
      <c r="AE132"/>
      <c r="AF132"/>
      <c r="AG132"/>
      <c r="AH132"/>
      <c r="AI132"/>
      <c r="AJ132"/>
      <c r="AK132"/>
      <c r="AL132"/>
      <c r="AM132"/>
      <c r="AN132"/>
    </row>
    <row r="133" spans="7:40" x14ac:dyDescent="0.3">
      <c r="G133" s="52"/>
      <c r="H133" s="52"/>
      <c r="I133" s="52"/>
      <c r="J133" s="52"/>
      <c r="K133" s="52"/>
      <c r="L133" s="52"/>
      <c r="M133" s="52"/>
      <c r="N133"/>
      <c r="O133"/>
      <c r="P133"/>
      <c r="Q133"/>
      <c r="R133"/>
      <c r="S133"/>
      <c r="T133"/>
      <c r="U133"/>
      <c r="V133"/>
      <c r="W133"/>
      <c r="X133"/>
      <c r="Y133"/>
      <c r="Z133"/>
      <c r="AA133"/>
      <c r="AB133"/>
      <c r="AC133"/>
      <c r="AD133"/>
      <c r="AE133"/>
      <c r="AF133"/>
      <c r="AG133"/>
      <c r="AH133"/>
      <c r="AI133"/>
      <c r="AJ133"/>
      <c r="AK133"/>
      <c r="AL133"/>
      <c r="AM133"/>
      <c r="AN133"/>
    </row>
    <row r="134" spans="7:40" x14ac:dyDescent="0.3">
      <c r="G134" s="52"/>
      <c r="H134" s="52"/>
      <c r="I134" s="52"/>
      <c r="J134" s="52"/>
      <c r="K134" s="52"/>
      <c r="L134" s="52"/>
      <c r="M134" s="52"/>
      <c r="N134"/>
      <c r="O134"/>
      <c r="P134"/>
      <c r="Q134"/>
      <c r="R134"/>
      <c r="S134"/>
      <c r="T134"/>
      <c r="U134"/>
      <c r="V134"/>
      <c r="W134"/>
      <c r="X134"/>
      <c r="Y134"/>
      <c r="Z134"/>
      <c r="AA134"/>
      <c r="AB134"/>
      <c r="AC134"/>
      <c r="AD134"/>
      <c r="AE134"/>
      <c r="AF134"/>
      <c r="AG134"/>
      <c r="AH134"/>
      <c r="AI134"/>
      <c r="AJ134"/>
      <c r="AK134"/>
      <c r="AL134"/>
      <c r="AM134"/>
      <c r="AN134"/>
    </row>
    <row r="135" spans="7:40" x14ac:dyDescent="0.3">
      <c r="G135" s="52"/>
      <c r="H135" s="52"/>
      <c r="I135" s="52"/>
      <c r="J135" s="52"/>
      <c r="K135" s="52"/>
      <c r="L135" s="52"/>
      <c r="M135" s="52"/>
      <c r="N135"/>
      <c r="O135"/>
      <c r="P135"/>
      <c r="Q135"/>
      <c r="R135"/>
      <c r="S135"/>
      <c r="T135"/>
      <c r="U135"/>
      <c r="V135"/>
      <c r="W135"/>
      <c r="X135"/>
      <c r="Y135"/>
      <c r="Z135"/>
      <c r="AA135"/>
      <c r="AB135"/>
      <c r="AC135"/>
      <c r="AD135"/>
      <c r="AE135"/>
      <c r="AF135"/>
      <c r="AG135"/>
      <c r="AH135"/>
      <c r="AI135"/>
      <c r="AJ135"/>
      <c r="AK135"/>
      <c r="AL135"/>
      <c r="AM135"/>
      <c r="AN135"/>
    </row>
    <row r="136" spans="7:40" x14ac:dyDescent="0.3">
      <c r="G136" s="52"/>
      <c r="H136" s="52"/>
      <c r="I136" s="52"/>
      <c r="J136" s="52"/>
      <c r="K136" s="52"/>
      <c r="L136" s="52"/>
      <c r="M136" s="52"/>
      <c r="N136"/>
      <c r="O136"/>
      <c r="P136"/>
      <c r="Q136"/>
      <c r="R136"/>
      <c r="S136"/>
      <c r="T136"/>
      <c r="U136"/>
      <c r="V136"/>
      <c r="W136"/>
      <c r="X136"/>
      <c r="Y136"/>
      <c r="Z136"/>
      <c r="AA136"/>
      <c r="AB136"/>
      <c r="AC136"/>
      <c r="AD136"/>
      <c r="AE136"/>
      <c r="AF136"/>
      <c r="AG136"/>
      <c r="AH136"/>
      <c r="AI136"/>
      <c r="AJ136"/>
      <c r="AK136"/>
      <c r="AL136"/>
      <c r="AM136"/>
      <c r="AN136"/>
    </row>
    <row r="137" spans="7: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7: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7: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7: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7: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7: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7: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7: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sheetData>
  <mergeCells count="7">
    <mergeCell ref="C2:H2"/>
    <mergeCell ref="C1:H1"/>
    <mergeCell ref="C7:H7"/>
    <mergeCell ref="C6:H6"/>
    <mergeCell ref="C5:H5"/>
    <mergeCell ref="C4:H4"/>
    <mergeCell ref="C3:H3"/>
  </mergeCells>
  <phoneticPr fontId="6" type="noConversion"/>
  <conditionalFormatting sqref="C11:D534">
    <cfRule type="expression" dxfId="20"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56" min="2" max="8" man="1"/>
    <brk id="68" min="2" max="8" man="1"/>
    <brk id="93"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8" t="s">
        <v>17</v>
      </c>
      <c r="D1" s="98"/>
      <c r="E1" s="98"/>
      <c r="F1" s="98"/>
      <c r="G1" s="98"/>
      <c r="H1" s="98"/>
      <c r="I1" s="98"/>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7" t="s">
        <v>18</v>
      </c>
      <c r="D2" s="97"/>
      <c r="E2" s="97"/>
      <c r="F2" s="97"/>
      <c r="G2" s="97"/>
      <c r="H2" s="97"/>
      <c r="I2" s="97"/>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147</v>
      </c>
      <c r="I8" s="73" t="s">
        <v>148</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147</v>
      </c>
      <c r="I10" s="69" t="s">
        <v>148</v>
      </c>
      <c r="J10" t="s">
        <v>149</v>
      </c>
      <c r="K10" t="s">
        <v>150</v>
      </c>
      <c r="L10" t="s">
        <v>153</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227</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320</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321</v>
      </c>
      <c r="D13" s="70" t="s">
        <v>322</v>
      </c>
      <c r="E13" s="57" t="s">
        <v>221</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324</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325</v>
      </c>
      <c r="D15" s="70" t="s">
        <v>284</v>
      </c>
      <c r="E15" s="57" t="s">
        <v>221</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228</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278</v>
      </c>
      <c r="D17" s="70" t="s">
        <v>279</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280</v>
      </c>
      <c r="D18" s="70" t="s">
        <v>281</v>
      </c>
      <c r="E18" s="57" t="s">
        <v>205</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327</v>
      </c>
      <c r="D19" s="70" t="s">
        <v>328</v>
      </c>
      <c r="E19" s="57" t="s">
        <v>205</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311</v>
      </c>
      <c r="D20" s="70" t="s">
        <v>312</v>
      </c>
      <c r="E20" s="57" t="s">
        <v>205</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314</v>
      </c>
      <c r="D21" s="70" t="s">
        <v>315</v>
      </c>
      <c r="E21" s="57" t="s">
        <v>231</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2026-01-26T19:37:43Z</dcterms:modified>
</cp:coreProperties>
</file>