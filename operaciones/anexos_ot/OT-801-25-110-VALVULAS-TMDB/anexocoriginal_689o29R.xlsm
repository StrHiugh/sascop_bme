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jarpa\Downloads\"/>
    </mc:Choice>
  </mc:AlternateContent>
  <xr:revisionPtr revIDLastSave="0" documentId="13_ncr:1_{7D8AAACA-7E88-420F-AAB0-E77782FEE3CF}" xr6:coauthVersionLast="47" xr6:coauthVersionMax="47" xr10:uidLastSave="{00000000-0000-0000-0000-000000000000}"/>
  <bookViews>
    <workbookView xWindow="28680" yWindow="-120" windowWidth="29040" windowHeight="15720" firstSheet="1" activeTab="1" xr2:uid="{B453B0CC-F8A2-4017-A880-C2450DE4E48C}"/>
  </bookViews>
  <sheets>
    <sheet name="DATOS" sheetId="3" r:id="rId1"/>
    <sheet name="ANEXO C" sheetId="9" r:id="rId2"/>
    <sheet name="ANEXO DE-MN" sheetId="4" r:id="rId3"/>
    <sheet name="ANEXO DE-ME" sheetId="5" r:id="rId4"/>
    <sheet name="ANEXO DT-6" sheetId="7" r:id="rId5"/>
    <sheet name="ANEXO DT-6-3" sheetId="8" r:id="rId6"/>
  </sheets>
  <definedNames>
    <definedName name="_bob" hidden="1">#REF!</definedName>
    <definedName name="_Fill" hidden="1">#REF!</definedName>
    <definedName name="_xlnm._FilterDatabase" localSheetId="4" hidden="1">'ANEXO DT-6'!#REF!</definedName>
    <definedName name="_xlnm._FilterDatabase" hidden="1">#REF!</definedName>
    <definedName name="_Key1" hidden="1">#REF!</definedName>
    <definedName name="_Key2" hidden="1">#REF!</definedName>
    <definedName name="_oct06" hidden="1">{#N/A,#N/A,FALSE,"Sheet1"}</definedName>
    <definedName name="_Order1" hidden="1">255</definedName>
    <definedName name="_Order2" hidden="1">255</definedName>
    <definedName name="_Sort" hidden="1">#REF!</definedName>
    <definedName name="a" hidden="1">#REF!</definedName>
    <definedName name="A0" hidden="1">#REF!</definedName>
    <definedName name="AA" hidden="1">{#N/A,#N/A,FALSE,"Sheet1"}</definedName>
    <definedName name="AAAA" hidden="1">{#N/A,#N/A,FALSE,"Aging Summary";#N/A,#N/A,FALSE,"Ratio Analysis";#N/A,#N/A,FALSE,"Test 120 Day Accts";#N/A,#N/A,FALSE,"Tickmarks"}</definedName>
    <definedName name="AAAAAAAA" hidden="1">{#N/A,#N/A,FALSE,"Sheet1"}</definedName>
    <definedName name="AAAAAAAAAAAA" hidden="1">{#N/A,#N/A,FALSE,"Sheet1"}</definedName>
    <definedName name="AAAAAAAAAAAAAA" hidden="1">{#N/A,#N/A,FALSE,"Sheet1"}</definedName>
    <definedName name="aaaaaaaaaaaaaaaaa" hidden="1">{#N/A,#N/A,FALSE,"Sheet1"}</definedName>
    <definedName name="aaddd" hidden="1">{#N/A,#N/A,FALSE,"Sheet1"}</definedName>
    <definedName name="ABC" hidden="1">#REF!</definedName>
    <definedName name="abcd" hidden="1">#REF!</definedName>
    <definedName name="acbd" hidden="1">#REF!</definedName>
    <definedName name="Acrued" hidden="1">#REF!</definedName>
    <definedName name="ACSEM3" hidden="1">{#N/A,#N/A,FALSE,"Sheet1"}</definedName>
    <definedName name="ADRIANA" hidden="1">{#N/A,#N/A,FALSE,"Sheet1"}</definedName>
    <definedName name="ANEXO_C5_20181019" hidden="1">#REF!</definedName>
    <definedName name="_xlnm.Print_Area" localSheetId="1">'ANEXO C'!$C$1:$K$565</definedName>
    <definedName name="_xlnm.Print_Area" localSheetId="3">'ANEXO DE-ME'!$C$1:$N$148</definedName>
    <definedName name="_xlnm.Print_Area" localSheetId="2">'ANEXO DE-MN'!$C$1:$N$546</definedName>
    <definedName name="_xlnm.Print_Area" localSheetId="4">'ANEXO DT-6'!$C$1:$L$551</definedName>
    <definedName name="_xlnm.Print_Area" localSheetId="5">'ANEXO DT-6-3'!$C$1:$L$358</definedName>
    <definedName name="AS" hidden="1">#REF!</definedName>
    <definedName name="AS2DocOpenMode" hidden="1">"AS2DocumentEdit"</definedName>
    <definedName name="AS2NamedRange" hidden="1">39</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SDASDASD" hidden="1">#REF!</definedName>
    <definedName name="av" hidden="1">{#N/A,#N/A,FALSE,"Sheet1"}</definedName>
    <definedName name="AVSEM3" hidden="1">{#N/A,#N/A,FALSE,"Sheet1"}</definedName>
    <definedName name="AVSEM4" hidden="1">{#N/A,#N/A,FALSE,"Sheet1"}</definedName>
    <definedName name="bbb" hidden="1">#REF!</definedName>
    <definedName name="BG_Del" hidden="1">15</definedName>
    <definedName name="BG_Ins" hidden="1">4</definedName>
    <definedName name="BG_Mod" hidden="1">6</definedName>
    <definedName name="CBH" hidden="1">#REF!</definedName>
    <definedName name="DatosExternos_2" localSheetId="2" hidden="1">'ANEXO DE-MN'!$C$10:$Q$546</definedName>
    <definedName name="DatosExternos_3" localSheetId="3" hidden="1">'ANEXO DE-ME'!$C$10:$Q$148</definedName>
    <definedName name="DatosExternos_4" localSheetId="4" hidden="1">'ANEXO DT-6'!$C$10:$O$551</definedName>
    <definedName name="DatosExternos_5" localSheetId="5" hidden="1">'ANEXO DT-6-3'!$C$10:$O$358</definedName>
    <definedName name="ddddddd" hidden="1">{#N/A,#N/A,FALSE,"Sheet1"}</definedName>
    <definedName name="DDDDDDDDDDDDD" hidden="1">{#N/A,#N/A,FALSE,"Sheet1"}</definedName>
    <definedName name="ddddddddddddddd" hidden="1">{#N/A,#N/A,FALSE,"Aging Summary";#N/A,#N/A,FALSE,"Ratio Analysis";#N/A,#N/A,FALSE,"Test 120 Day Accts";#N/A,#N/A,FALSE,"Tickmarks"}</definedName>
    <definedName name="ddddddddddddddddddd" hidden="1">{#N/A,#N/A,FALSE,"Sheet1"}</definedName>
    <definedName name="DFE" hidden="1">#REF!</definedName>
    <definedName name="eeeeeeeeeeee" hidden="1">{#N/A,#N/A,FALSE,"Sheet1"}</definedName>
    <definedName name="eeeeeeeeeeeeee" hidden="1">{#N/A,#N/A,FALSE,"Sheet1"}</definedName>
    <definedName name="eeeeeeeeeeeeeeee" hidden="1">{#N/A,#N/A,FALSE,"Sheet1"}</definedName>
    <definedName name="eeeeeeeeeeeeeeeeee" hidden="1">{#N/A,#N/A,FALSE,"Sheet1"}</definedName>
    <definedName name="ewds" hidden="1">#REF!</definedName>
    <definedName name="eyder" hidden="1">{#N/A,#N/A,FALSE,"Sheet1"}</definedName>
    <definedName name="FDD" hidden="1">{#N/A,#N/A,FALSE,"Sheet1"}</definedName>
    <definedName name="fffffffffffffffffffffffffff" hidden="1">{#N/A,#N/A,FALSE,"Sheet1"}</definedName>
    <definedName name="gf" hidden="1">{#N/A,#N/A,FALSE,"Sheet1"}</definedName>
    <definedName name="gggggggg" hidden="1">{#N/A,#N/A,FALSE,"Sheet1"}</definedName>
    <definedName name="ggggggggg" hidden="1">{#N/A,#N/A,FALSE,"Sheet1"}</definedName>
    <definedName name="gggggggggggg" hidden="1">{#N/A,#N/A,FALSE,"Sheet1"}</definedName>
    <definedName name="gggggggggggggggg" hidden="1">{#N/A,#N/A,FALSE,"Aging Summary";#N/A,#N/A,FALSE,"Ratio Analysis";#N/A,#N/A,FALSE,"Test 120 Day Accts";#N/A,#N/A,FALSE,"Tickmarks"}</definedName>
    <definedName name="gggggggggggggggggggg" hidden="1">{#N/A,#N/A,FALSE,"Sheet1"}</definedName>
    <definedName name="gggggggggggggggggggggg" hidden="1">{#N/A,#N/A,FALSE,"Sheet1"}</definedName>
    <definedName name="gggggggggggggggggggggggg" hidden="1">{#N/A,#N/A,FALSE,"Sheet1"}</definedName>
    <definedName name="h" hidden="1">{#N/A,#N/A,FALSE,"Sheet1"}</definedName>
    <definedName name="HAR" hidden="1">{#N/A,#N/A,FALSE,"Sheet1"}</definedName>
    <definedName name="huhuhuhuh" hidden="1">7</definedName>
    <definedName name="index1" hidden="1">#REF!</definedName>
    <definedName name="Law_Account" hidden="1">#REF!</definedName>
    <definedName name="Law_Accounting_Unit" hidden="1">#REF!</definedName>
    <definedName name="Law_Company" hidden="1">#REF!</definedName>
    <definedName name="LC" hidden="1">#REF!</definedName>
    <definedName name="LIBRO1" hidden="1">#REF!</definedName>
    <definedName name="Lws_FormVersion_7.0" hidden="1">#REF!</definedName>
    <definedName name="Lws_SSType_Columns" hidden="1">#REF!</definedName>
    <definedName name="mnsc" hidden="1">#REF!</definedName>
    <definedName name="muestreo" hidden="1">{#N/A,#N/A,FALSE,"Aging Summary";#N/A,#N/A,FALSE,"Ratio Analysis";#N/A,#N/A,FALSE,"Test 120 Day Accts";#N/A,#N/A,FALSE,"Tickmarks"}</definedName>
    <definedName name="NUEVO" hidden="1">{#N/A,#N/A,FALSE,"Sheet1"}</definedName>
    <definedName name="QQQQQQQQQQQQQQQ" hidden="1">{#N/A,#N/A,FALSE,"Sheet1"}</definedName>
    <definedName name="RECON" hidden="1">#REF!</definedName>
    <definedName name="REP" hidden="1">{#N/A,#N/A,FALSE,"Sheet1"}</definedName>
    <definedName name="RESUMAN" hidden="1">#REF!</definedName>
    <definedName name="sadsf" hidden="1">#REF!</definedName>
    <definedName name="sda" hidden="1">#REF!</definedName>
    <definedName name="sdssad" hidden="1">#REF!</definedName>
    <definedName name="sdwe" hidden="1">#REF!</definedName>
    <definedName name="sss" hidden="1">{#N/A,#N/A,FALSE,"Sheet1"}</definedName>
    <definedName name="SSSSSSSSSSSSSS" hidden="1">{#N/A,#N/A,FALSE,"Sheet1"}</definedName>
    <definedName name="subieron" hidden="1">#REF!</definedName>
    <definedName name="suficiencia" hidden="1">{#N/A,#N/A,FALSE,"Aging Summary";#N/A,#N/A,FALSE,"Ratio Analysis";#N/A,#N/A,FALSE,"Test 120 Day Accts";#N/A,#N/A,FALSE,"Tickmarks"}</definedName>
    <definedName name="sufucuencia1" hidden="1">{#N/A,#N/A,FALSE,"Aging Summary";#N/A,#N/A,FALSE,"Ratio Analysis";#N/A,#N/A,FALSE,"Test 120 Day Accts";#N/A,#N/A,FALSE,"Tickmarks"}</definedName>
    <definedName name="TextRefCopyRangeCount" hidden="1">6</definedName>
    <definedName name="_xlnm.Print_Titles" localSheetId="1">'ANEXO C'!$1:$9</definedName>
    <definedName name="_xlnm.Print_Titles" localSheetId="3">'ANEXO DE-ME'!$1:$8</definedName>
    <definedName name="_xlnm.Print_Titles" localSheetId="2">'ANEXO DE-MN'!$1:$8</definedName>
    <definedName name="_xlnm.Print_Titles" localSheetId="4">'ANEXO DT-6'!$1:$8</definedName>
    <definedName name="_xlnm.Print_Titles" localSheetId="5">'ANEXO DT-6-3'!$1:$8</definedName>
    <definedName name="wewe" hidden="1">#REF!</definedName>
    <definedName name="weweew" hidden="1">#REF!</definedName>
    <definedName name="wrn.Aging._.and._.Trend._.Analysis." hidden="1">{#N/A,#N/A,FALSE,"Aging Summary";#N/A,#N/A,FALSE,"Ratio Analysis";#N/A,#N/A,FALSE,"Test 120 Day Accts";#N/A,#N/A,FALSE,"Tickmarks"}</definedName>
    <definedName name="wrn.TYUT." hidden="1">{#N/A,#N/A,FALSE,"Sheet1"}</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22" hidden="1">#REF!</definedName>
    <definedName name="XREF_COLUMN_23" hidden="1">#REF!</definedName>
    <definedName name="XREF_COLUMN_24" hidden="1">#REF!</definedName>
    <definedName name="XREF_COLUMN_25" hidden="1">#REF!</definedName>
    <definedName name="XREF_COLUMN_26" hidden="1">#REF!</definedName>
    <definedName name="XREF_COLUMN_27" hidden="1">#REF!</definedName>
    <definedName name="XREF_COLUMN_28" hidden="1">#REF!</definedName>
    <definedName name="XREF_COLUMN_29" hidden="1">#REF!</definedName>
    <definedName name="XREF_COLUMN_3" hidden="1">#REF!</definedName>
    <definedName name="XREF_COLUMN_30" hidden="1">#REF!</definedName>
    <definedName name="XREF_COLUMN_31" hidden="1">#REF!</definedName>
    <definedName name="XREF_COLUMN_32" hidden="1">#REF!</definedName>
    <definedName name="XREF_COLUMN_33" hidden="1">#REF!</definedName>
    <definedName name="XREF_COLUMN_34" hidden="1">#REF!</definedName>
    <definedName name="XREF_COLUMN_35" hidden="1">#REF!</definedName>
    <definedName name="XREF_COLUMN_36" hidden="1">#REF!</definedName>
    <definedName name="XREF_COLUMN_37" hidden="1">#REF!</definedName>
    <definedName name="XREF_COLUMN_38" hidden="1">#REF!</definedName>
    <definedName name="XREF_COLUMN_39" hidden="1">#REF!</definedName>
    <definedName name="XREF_COLUMN_4" hidden="1">#REF!</definedName>
    <definedName name="XREF_COLUMN_40" hidden="1">#REF!</definedName>
    <definedName name="XREF_COLUMN_41" hidden="1">#REF!</definedName>
    <definedName name="XREF_COLUMN_42" hidden="1">#REF!</definedName>
    <definedName name="XREF_COLUMN_43" hidden="1">#REF!</definedName>
    <definedName name="XREF_COLUMN_44" hidden="1">#REF!</definedName>
    <definedName name="XREF_COLUMN_45" hidden="1">#REF!</definedName>
    <definedName name="XREF_COLUMN_46" hidden="1">#REF!</definedName>
    <definedName name="XREF_COLUMN_47" hidden="1">#REF!</definedName>
    <definedName name="XREF_COLUMN_48" hidden="1">#REF!</definedName>
    <definedName name="XREF_COLUMN_49" hidden="1">#REF!</definedName>
    <definedName name="XREF_COLUMN_5" hidden="1">#REF!</definedName>
    <definedName name="XREF_COLUMN_6" hidden="1">#REF!</definedName>
    <definedName name="XREF_COLUMN_7" hidden="1">#REF!</definedName>
    <definedName name="XREF_COLUMN_8" hidden="1">#REF!</definedName>
    <definedName name="XRefActiveRow" hidden="1">#REF!</definedName>
    <definedName name="XRefColumnsCount" hidden="1">3</definedName>
    <definedName name="XRefCopy1" hidden="1">#REF!</definedName>
    <definedName name="XRefCopy10" hidden="1">#REF!</definedName>
    <definedName name="XRefCopy100Row" hidden="1">#REF!</definedName>
    <definedName name="XRefCopy101Row" hidden="1">#REF!</definedName>
    <definedName name="XRefCopy102Row" hidden="1">#REF!</definedName>
    <definedName name="XRefCopy103Row"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Row" hidden="1">#REF!</definedName>
    <definedName name="XRefCopy108" hidden="1">#REF!</definedName>
    <definedName name="XRefCopy108Row" hidden="1">#REF!</definedName>
    <definedName name="XRefCopy109" hidden="1">#REF!</definedName>
    <definedName name="XRefCopy10Row" hidden="1">#REF!</definedName>
    <definedName name="XRefCopy11" hidden="1">#REF!</definedName>
    <definedName name="XRefCopy110" hidden="1">#REF!</definedName>
    <definedName name="XRefCopy110Row"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8" hidden="1">#REF!</definedName>
    <definedName name="XRefCopy118Row" hidden="1">#REF!</definedName>
    <definedName name="XRefCopy119" hidden="1">#REF!</definedName>
    <definedName name="XRefCopy119Row" hidden="1">#REF!</definedName>
    <definedName name="XRefCopy11Row" hidden="1">#REF!</definedName>
    <definedName name="XRefCopy12"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5" hidden="1">#REF!</definedName>
    <definedName name="XRefCopy125Row" hidden="1">#REF!</definedName>
    <definedName name="XRefCopy126" hidden="1">#REF!</definedName>
    <definedName name="XRefCopy126Row" hidden="1">#REF!</definedName>
    <definedName name="XRefCopy127" hidden="1">#REF!</definedName>
    <definedName name="XRefCopy127Row" hidden="1">#REF!</definedName>
    <definedName name="XRefCopy128" hidden="1">#REF!</definedName>
    <definedName name="XRefCopy128Row"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_"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0" hidden="1">#REF!</definedName>
    <definedName name="XRefCopy40Row" hidden="1">#REF!</definedName>
    <definedName name="XRefCopy41" hidden="1">#REF!</definedName>
    <definedName name="XRefCopy41Row"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7Row" hidden="1">#REF!</definedName>
    <definedName name="XRefCopy48" hidden="1">#REF!</definedName>
    <definedName name="XRefCopy48Row" hidden="1">#REF!</definedName>
    <definedName name="XRefCopy49" hidden="1">#REF!</definedName>
    <definedName name="XRefCopy49Row" hidden="1">#REF!</definedName>
    <definedName name="XRefCopy4Row" hidden="1">#REF!</definedName>
    <definedName name="XRefCopy5" hidden="1">#REF!</definedName>
    <definedName name="XRefCopy50" hidden="1">#REF!</definedName>
    <definedName name="XRefCopy51" hidden="1">#REF!</definedName>
    <definedName name="XRefCopy52" hidden="1">#REF!</definedName>
    <definedName name="XRefCopy52Row"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6" hidden="1">#REF!</definedName>
    <definedName name="XRefCopy56Row" hidden="1">#REF!</definedName>
    <definedName name="XRefCopy57" hidden="1">#REF!</definedName>
    <definedName name="XRefCopy57Row" hidden="1">#REF!</definedName>
    <definedName name="XRefCopy58" hidden="1">#REF!</definedName>
    <definedName name="XRefCopy58Row" hidden="1">#REF!</definedName>
    <definedName name="XRefCopy59" hidden="1">#REF!</definedName>
    <definedName name="XRefCopy5Row" hidden="1">#REF!</definedName>
    <definedName name="XRefCopy6" hidden="1">#REF!</definedName>
    <definedName name="XRefCopy60" hidden="1">#REF!</definedName>
    <definedName name="XRefCopy60Row" hidden="1">#REF!</definedName>
    <definedName name="XRefCopy61" hidden="1">#REF!</definedName>
    <definedName name="XRefCopy61Row" hidden="1">#REF!</definedName>
    <definedName name="XRefCopy62" hidden="1">#REF!</definedName>
    <definedName name="XRefCopy63" hidden="1">#REF!</definedName>
    <definedName name="XRefCopy63Row" hidden="1">#REF!</definedName>
    <definedName name="XRefCopy65Row" hidden="1">#REF!</definedName>
    <definedName name="XRefCopy66" hidden="1">#REF!</definedName>
    <definedName name="XRefCopy66Row" hidden="1">#REF!</definedName>
    <definedName name="XRefCopy67" hidden="1">#REF!</definedName>
    <definedName name="XRefCopy67Row" hidden="1">#REF!</definedName>
    <definedName name="XRefCopy68" hidden="1">#REF!</definedName>
    <definedName name="XRefCopy68Row" hidden="1">#REF!</definedName>
    <definedName name="XRefCopy69" hidden="1">#REF!</definedName>
    <definedName name="XRefCopy69Row" hidden="1">#REF!</definedName>
    <definedName name="XRefCopy6Row" hidden="1">#REF!</definedName>
    <definedName name="XRefCopy7" hidden="1">#REF!</definedName>
    <definedName name="XRefCopy70" hidden="1">#REF!</definedName>
    <definedName name="XRefCopy70Row" hidden="1">#REF!</definedName>
    <definedName name="XRefCopy71" hidden="1">#REF!</definedName>
    <definedName name="XRefCopy71Row" hidden="1">#REF!</definedName>
    <definedName name="XRefCopy72" hidden="1">#REF!</definedName>
    <definedName name="XRefCopy72Row" hidden="1">#REF!</definedName>
    <definedName name="XRefCopy73" hidden="1">#REF!</definedName>
    <definedName name="XRefCopy73Row" hidden="1">#REF!</definedName>
    <definedName name="XRefCopy74" hidden="1">#REF!</definedName>
    <definedName name="XRefCopy74Row" hidden="1">#REF!</definedName>
    <definedName name="XRefCopy75" hidden="1">#REF!</definedName>
    <definedName name="XRefCopy75Row" hidden="1">#REF!</definedName>
    <definedName name="XRefCopy76" hidden="1">#REF!</definedName>
    <definedName name="XRefCopy76Row" hidden="1">#REF!</definedName>
    <definedName name="XRefCopy77" hidden="1">#REF!</definedName>
    <definedName name="XRefCopy77Row" hidden="1">#REF!</definedName>
    <definedName name="XRefCopy78" hidden="1">#REF!</definedName>
    <definedName name="XRefCopy78Row" hidden="1">#REF!</definedName>
    <definedName name="XRefCopy79" hidden="1">#REF!</definedName>
    <definedName name="XRefCopy79Row" hidden="1">#REF!</definedName>
    <definedName name="XRefCopy7Row" hidden="1">#REF!</definedName>
    <definedName name="XRefCopy8" hidden="1">#REF!</definedName>
    <definedName name="XRefCopy80" hidden="1">#REF!</definedName>
    <definedName name="XRefCopy80Row" hidden="1">#REF!</definedName>
    <definedName name="XRefCopy81" hidden="1">#REF!</definedName>
    <definedName name="XRefCopy81Row" hidden="1">#REF!</definedName>
    <definedName name="XRefCopy82" hidden="1">#REF!</definedName>
    <definedName name="XRefCopy82Row" hidden="1">#REF!</definedName>
    <definedName name="XRefCopy83" hidden="1">#REF!</definedName>
    <definedName name="XRefCopy83Row" hidden="1">#REF!</definedName>
    <definedName name="XRefCopy84" hidden="1">#REF!</definedName>
    <definedName name="XRefCopy84Row" hidden="1">#REF!</definedName>
    <definedName name="XRefCopy85" hidden="1">#REF!</definedName>
    <definedName name="XRefCopy85Row" hidden="1">#REF!</definedName>
    <definedName name="XRefCopy86" hidden="1">#REF!</definedName>
    <definedName name="XRefCopy86Row" hidden="1">#REF!</definedName>
    <definedName name="XRefCopy87" hidden="1">#REF!</definedName>
    <definedName name="XRefCopy87Row" hidden="1">#REF!</definedName>
    <definedName name="XRefCopy88" hidden="1">#REF!</definedName>
    <definedName name="XRefCopy88Row" hidden="1">#REF!</definedName>
    <definedName name="XRefCopy89" hidden="1">#REF!</definedName>
    <definedName name="XRefCopy89Row" hidden="1">#REF!</definedName>
    <definedName name="XRefCopy8Row" hidden="1">#REF!</definedName>
    <definedName name="XRefCopy9" hidden="1">#REF!</definedName>
    <definedName name="XRefCopy91" hidden="1">#REF!</definedName>
    <definedName name="XRefCopy91Row"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9Row" hidden="1">#REF!</definedName>
    <definedName name="XRefCopy9Row" hidden="1">#REF!</definedName>
    <definedName name="XRefCopyRangeCount" hidden="1">4</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2" hidden="1">#REF!</definedName>
    <definedName name="XRefPaste112Row" hidden="1">#REF!</definedName>
    <definedName name="XRefPaste113" hidden="1">#REF!</definedName>
    <definedName name="XRefPaste113Row" hidden="1">#REF!</definedName>
    <definedName name="XRefPaste114" hidden="1">#REF!</definedName>
    <definedName name="XRefPaste114Row" hidden="1">#REF!</definedName>
    <definedName name="XRefPaste115" hidden="1">#REF!</definedName>
    <definedName name="XRefPaste115Row" hidden="1">#REF!</definedName>
    <definedName name="XRefPaste116" hidden="1">#REF!</definedName>
    <definedName name="XRefPaste116Row" hidden="1">#REF!</definedName>
    <definedName name="XRefPaste117" hidden="1">#REF!</definedName>
    <definedName name="XRefPaste117Row" hidden="1">#REF!</definedName>
    <definedName name="XRefPaste118" hidden="1">#REF!</definedName>
    <definedName name="XRefPaste118Row" hidden="1">#REF!</definedName>
    <definedName name="XRefPaste119" hidden="1">#REF!</definedName>
    <definedName name="XRefPaste119Row" hidden="1">#REF!</definedName>
    <definedName name="XRefPaste11Row" hidden="1">#REF!</definedName>
    <definedName name="XRefPaste12" hidden="1">#REF!</definedName>
    <definedName name="XRefPaste12_" hidden="1">#REF!</definedName>
    <definedName name="XRefPaste120" hidden="1">#REF!</definedName>
    <definedName name="XRefPaste120Row" hidden="1">#REF!</definedName>
    <definedName name="XRefPaste121" hidden="1">#REF!</definedName>
    <definedName name="XRefPaste121Row" hidden="1">#REF!</definedName>
    <definedName name="XRefPaste122" hidden="1">#REF!</definedName>
    <definedName name="XRefPaste122Row" hidden="1">#REF!</definedName>
    <definedName name="XRefPaste123" hidden="1">#REF!</definedName>
    <definedName name="XRefPaste123Row" hidden="1">#REF!</definedName>
    <definedName name="XRefPaste124" hidden="1">#REF!</definedName>
    <definedName name="XRefPaste124Row" hidden="1">#REF!</definedName>
    <definedName name="XRefPaste125" hidden="1">#REF!</definedName>
    <definedName name="XRefPaste125Row" hidden="1">#REF!</definedName>
    <definedName name="XRefPaste126" hidden="1">#REF!</definedName>
    <definedName name="XRefPaste126Row" hidden="1">#REF!</definedName>
    <definedName name="XRefPaste127" hidden="1">#REF!</definedName>
    <definedName name="XRefPaste127Row" hidden="1">#REF!</definedName>
    <definedName name="XRefPaste128" hidden="1">#REF!</definedName>
    <definedName name="XRefPaste128Row" hidden="1">#REF!</definedName>
    <definedName name="XRefPaste129" hidden="1">#REF!</definedName>
    <definedName name="XRefPaste129Row" hidden="1">#REF!</definedName>
    <definedName name="XRefPaste12Row" hidden="1">#REF!</definedName>
    <definedName name="XRefPaste13" hidden="1">#REF!</definedName>
    <definedName name="XRefPaste130" hidden="1">#REF!</definedName>
    <definedName name="XRefPaste130Row" hidden="1">#REF!</definedName>
    <definedName name="XRefPaste131" hidden="1">#REF!</definedName>
    <definedName name="XRefPaste131Row" hidden="1">#REF!</definedName>
    <definedName name="XRefPaste132" hidden="1">#REF!</definedName>
    <definedName name="XRefPaste132Row" hidden="1">#REF!</definedName>
    <definedName name="XRefPaste133" hidden="1">#REF!</definedName>
    <definedName name="XRefPaste133Row" hidden="1">#REF!</definedName>
    <definedName name="XRefPaste134" hidden="1">#REF!</definedName>
    <definedName name="XRefPaste134Row" hidden="1">#REF!</definedName>
    <definedName name="XRefPaste135" hidden="1">#REF!</definedName>
    <definedName name="XRefPaste135Row" hidden="1">#REF!</definedName>
    <definedName name="XRefPaste136" hidden="1">#REF!</definedName>
    <definedName name="XRefPaste136Row" hidden="1">#REF!</definedName>
    <definedName name="XRefPaste137" hidden="1">#REF!</definedName>
    <definedName name="XRefPaste137Row" hidden="1">#REF!</definedName>
    <definedName name="XRefPaste138" hidden="1">#REF!</definedName>
    <definedName name="XRefPaste138Row" hidden="1">#REF!</definedName>
    <definedName name="XRefPaste139" hidden="1">#REF!</definedName>
    <definedName name="XRefPaste139Row" hidden="1">#REF!</definedName>
    <definedName name="XRefPaste13Row" hidden="1">#REF!</definedName>
    <definedName name="XRefPaste14" hidden="1">#REF!</definedName>
    <definedName name="XRefPaste140" hidden="1">#REF!</definedName>
    <definedName name="XRefPaste140Row" hidden="1">#REF!</definedName>
    <definedName name="XRefPaste141" hidden="1">#REF!</definedName>
    <definedName name="XRefPaste141Row" hidden="1">#REF!</definedName>
    <definedName name="XRefPaste142Row" hidden="1">#REF!</definedName>
    <definedName name="XRefPaste143Row" hidden="1">#REF!</definedName>
    <definedName name="XRefPaste144" hidden="1">#REF!</definedName>
    <definedName name="XRefPaste144Row" hidden="1">#REF!</definedName>
    <definedName name="XRefPaste145" hidden="1">#REF!</definedName>
    <definedName name="XRefPaste145Row"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0Row" hidden="1">#REF!</definedName>
    <definedName name="XRefPaste51" hidden="1">#REF!</definedName>
    <definedName name="XRefPaste51Row" hidden="1">#REF!</definedName>
    <definedName name="XRefPaste52" hidden="1">#REF!</definedName>
    <definedName name="XRefPaste52Row" hidden="1">#REF!</definedName>
    <definedName name="XRefPaste53Row" hidden="1">#REF!</definedName>
    <definedName name="XRefPaste54Row" hidden="1">#REF!</definedName>
    <definedName name="XRefPaste55Row" hidden="1">#REF!</definedName>
    <definedName name="XRefPaste56Row" hidden="1">#REF!</definedName>
    <definedName name="XRefPaste57" hidden="1">#REF!</definedName>
    <definedName name="XRefPaste57Row" hidden="1">#REF!</definedName>
    <definedName name="XRefPaste58" hidden="1">#REF!</definedName>
    <definedName name="XRefPaste58Row" hidden="1">#REF!</definedName>
    <definedName name="XRefPaste59" hidden="1">#REF!</definedName>
    <definedName name="XRefPaste59Row" hidden="1">#REF!</definedName>
    <definedName name="XRefPaste5Row" hidden="1">#REF!</definedName>
    <definedName name="XRefPaste6" hidden="1">#REF!</definedName>
    <definedName name="XRefPaste60Row" hidden="1">#REF!</definedName>
    <definedName name="XRefPaste61" hidden="1">#REF!</definedName>
    <definedName name="XRefPaste61Row" hidden="1">#REF!</definedName>
    <definedName name="XRefPaste62" hidden="1">#REF!</definedName>
    <definedName name="XRefPaste62Row" hidden="1">#REF!</definedName>
    <definedName name="XRefPaste63" hidden="1">#REF!</definedName>
    <definedName name="XRefPaste63Row" hidden="1">#REF!</definedName>
    <definedName name="XRefPaste64" hidden="1">#REF!</definedName>
    <definedName name="XRefPaste64Row" hidden="1">#REF!</definedName>
    <definedName name="XRefPaste65" hidden="1">#REF!</definedName>
    <definedName name="XRefPaste65Row" hidden="1">#REF!</definedName>
    <definedName name="XRefPaste66" hidden="1">#REF!</definedName>
    <definedName name="XRefPaste66Row" hidden="1">#REF!</definedName>
    <definedName name="XRefPaste67" hidden="1">#REF!</definedName>
    <definedName name="XRefPaste67Row" hidden="1">#REF!</definedName>
    <definedName name="XRefPaste68" hidden="1">#REF!</definedName>
    <definedName name="XRefPaste68Row" hidden="1">#REF!</definedName>
    <definedName name="XRefPaste69" hidden="1">#REF!</definedName>
    <definedName name="XRefPaste69Row" hidden="1">#REF!</definedName>
    <definedName name="XRefPaste6Row" hidden="1">#REF!</definedName>
    <definedName name="XRefPaste7" hidden="1">#REF!</definedName>
    <definedName name="XRefPaste70" hidden="1">#REF!</definedName>
    <definedName name="XRefPaste70Row" hidden="1">#REF!</definedName>
    <definedName name="XRefPaste71" hidden="1">#REF!</definedName>
    <definedName name="XRefPaste71Row" hidden="1">#REF!</definedName>
    <definedName name="XRefPaste72" hidden="1">#REF!</definedName>
    <definedName name="XRefPaste72Row" hidden="1">#REF!</definedName>
    <definedName name="XRefPaste73" hidden="1">#REF!</definedName>
    <definedName name="XRefPaste73Row" hidden="1">#REF!</definedName>
    <definedName name="XRefPaste74Row" hidden="1">#REF!</definedName>
    <definedName name="XRefPaste75Row" hidden="1">#REF!</definedName>
    <definedName name="XRefPaste76Row" hidden="1">#REF!</definedName>
    <definedName name="XRefPaste77" hidden="1">#REF!</definedName>
    <definedName name="XRefPaste77Row" hidden="1">#REF!</definedName>
    <definedName name="XRefPaste78" hidden="1">#REF!</definedName>
    <definedName name="XRefPaste78Row" hidden="1">#REF!</definedName>
    <definedName name="XRefPaste79" hidden="1">#REF!</definedName>
    <definedName name="XRefPaste79Row" hidden="1">#REF!</definedName>
    <definedName name="XRefPaste7Row" hidden="1">#REF!</definedName>
    <definedName name="XRefPaste8" hidden="1">#REF!</definedName>
    <definedName name="XRefPaste80" hidden="1">#REF!</definedName>
    <definedName name="XRefPaste80Row" hidden="1">#REF!</definedName>
    <definedName name="XRefPaste81" hidden="1">#REF!</definedName>
    <definedName name="XRefPaste81Row" hidden="1">#REF!</definedName>
    <definedName name="XRefPaste82" hidden="1">#REF!</definedName>
    <definedName name="XRefPaste82Row" hidden="1">#REF!</definedName>
    <definedName name="XRefPaste83Row" hidden="1">#REF!</definedName>
    <definedName name="XRefPaste84Row" hidden="1">#REF!</definedName>
    <definedName name="XRefPaste85" hidden="1">#REF!</definedName>
    <definedName name="XRefPaste85Row"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Row" hidden="1">#REF!</definedName>
    <definedName name="XRefPaste8Row" hidden="1">#REF!</definedName>
    <definedName name="XRefPaste9"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8</definedName>
    <definedName name="xx" hidden="1">{#N/A,#N/A,FALSE,"Sheet1"}</definedName>
    <definedName name="xxxxx" hidden="1">{#N/A,#N/A,FALSE,"Sheet1"}</definedName>
    <definedName name="ZZ" hidden="1">{#N/A,#N/A,FALSE,"Sheet1"}</definedName>
    <definedName name="ZZZZZ" hidden="1">{#N/A,#N/A,FALSE,"Sheet1"}</definedName>
  </definedNames>
  <calcPr calcId="191028"/>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9" l="1"/>
  <c r="C2" i="9"/>
  <c r="C3" i="9"/>
  <c r="C4" i="9"/>
  <c r="C5" i="9"/>
  <c r="C6" i="9"/>
  <c r="C7" i="9"/>
  <c r="D564" i="9" a="1"/>
  <c r="D565" i="9" a="1"/>
  <c r="D564" i="9" l="1"/>
  <c r="D565"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<sst xmlns="http://schemas.openxmlformats.org/spreadsheetml/2006/main" count="6257" uniqueCount="1426">
  <si>
    <t xml:space="preserve">PEMEX EXPLORACIÓN Y PRODUCCIÓN.
</t>
  </si>
  <si>
    <t>DIRECCIÓN GENERAL.</t>
  </si>
  <si>
    <t xml:space="preserve">SUBDIRECCIÓN DE MANTENIMIENTO, LOGÍSTICA E INFRAESTRUCTURA COMPLEMENTARIA
 GERENCIA DE MANTENIMIENTO E INFRAESTRUCTURA COMPLEMENTARIA MARINA </t>
  </si>
  <si>
    <t>SUBGERENCIA DE SERVICIOS DE CONSTRUCCIÓN DE INFRAESTRUCTURA MARINA</t>
  </si>
  <si>
    <t xml:space="preserve">PROYECTOS ESPÉCIALES DE MANTENIMIENTO Y PERFORACIÓN
</t>
  </si>
  <si>
    <t>CONTRATO: 648233801</t>
  </si>
  <si>
    <t>DESCRIPCIÓN DE LOS TRABAJOS: “DESARROLLO DE TRABAJOS DE INSTALACIÓN DE INFRAESTRUCTURA, MONTAJE DE EQUIPOS, REHABILITACIÓN Y MANTENIMIENTO DE ESTRUCTURAS,
 INTERCONEXIÓN DE LÍNEAS DE PROCESO, BRA ELECTROMECÁNICA Y DE SEGURIDAD EN LOS CENTROS DE PROCESO Y PLATAFORMAS SATÉLITES EN AGUAS DE LAS ZONAS MARINAS MEXICANAS)”</t>
  </si>
  <si>
    <t>DESCRIPCIÓN DE LOS TRABAJOS: "ADECUACIONES ESTRUCTURALES Y OBRA ELECTROMECÁNICA PARA LA INSTALACIÓN DE 03 CONDUCTORES ADICIONALES EN LA PLATAFORMA YAXCHE-C, DEL ACTIVO DE PRODUCCIÓN LITORAL DE TABASCO"</t>
  </si>
  <si>
    <t>PROPUESTA TÉCNICA Y ECONÓMICA NO. BME-3801-020-2023</t>
  </si>
  <si>
    <t>PLAZO DE EJECUCIÓN: 167 DÍAS NATURALES.</t>
  </si>
  <si>
    <t>ANEXO "C"</t>
  </si>
  <si>
    <t>CATALOGO DE CONCEPTOS</t>
  </si>
  <si>
    <t>ANEXO "DE-MN"</t>
  </si>
  <si>
    <t>PROGRAMA DE EROGACIONES DE LA EJECUCIÓN GENERAL DE LOS TRABAJOS CANDELARIZADO Y CUANTIFICADO MENSUALMENTE</t>
  </si>
  <si>
    <t>ANEXO "DE-ME"</t>
  </si>
  <si>
    <t>ANEXO "DT-6"</t>
  </si>
  <si>
    <t xml:space="preserve">PROGRAMA CALENDARIZADO DE EJECUCIÓN GENERAL DE LOS TRABAJOS </t>
  </si>
  <si>
    <t>ANEXO "DT-6.3"</t>
  </si>
  <si>
    <t xml:space="preserve">PROGRAMA CUANTIFICADO Y CALENDARIZADO MENSUAL DE LOS MATERIALES MAS SIGNIFICATIVOS Y DE LOS EQUIPOS DE INSTALACIÓN PERMANENTE </t>
  </si>
  <si>
    <t>C. EMILIO JOSÉ SEGURA
REPRESENTANTE TÉCNICO-ADMINISTRATIVO 
BME SUBTEC S.A. de C.V.</t>
  </si>
  <si>
    <t>PARTIDA</t>
  </si>
  <si>
    <t>CONCEPTO</t>
  </si>
  <si>
    <t>UNIDAD</t>
  </si>
  <si>
    <t>CANTIDAD 
TOTAL</t>
  </si>
  <si>
    <t>PRECIO UNITARIO</t>
  </si>
  <si>
    <t>PRECIO UNITARIO CON LETRA</t>
  </si>
  <si>
    <t xml:space="preserve">IMPORTE </t>
  </si>
  <si>
    <t>M.N.</t>
  </si>
  <si>
    <t>USD.</t>
  </si>
  <si>
    <t>VOLUMEN PTE</t>
  </si>
  <si>
    <t>P.U. M.N.</t>
  </si>
  <si>
    <t>P.U. USD</t>
  </si>
  <si>
    <t>IMPORTE PTE M.N.</t>
  </si>
  <si>
    <t>IMPORTE PTE USD</t>
  </si>
  <si>
    <t>Column62</t>
  </si>
  <si>
    <t>Column63</t>
  </si>
  <si>
    <t>Column64</t>
  </si>
  <si>
    <t>1</t>
  </si>
  <si>
    <t xml:space="preserve">
BARCO GRÚA CON POSICIONAMIENTO DE ACUERDO CON LAS CARACTERÍSTICAS DE LOS ANEXOS "DT-4"
</t>
  </si>
  <si>
    <t>1.1.</t>
  </si>
  <si>
    <t xml:space="preserve">
BARCO GRÚA CON POSICIONAMIENTO DINÁMICO CLASE 2 OMI DE ACUERDO N LAS CARACTERÍSTICAS DE LOS ANEXOS "B" Y "DT-4"
</t>
  </si>
  <si>
    <t>DÍA</t>
  </si>
  <si>
    <t>( CERO PESOS 00/100 M.N. )
( NOVENTA MIL  DÓLARES 00/100 USD )</t>
  </si>
  <si>
    <t xml:space="preserve">
SUBTOTAL ANEXO C
</t>
  </si>
  <si>
    <t>2</t>
  </si>
  <si>
    <t xml:space="preserve">
CATALOGO DE CONCEPTOS DE SUMINISTRO Y PREFABRICACIÓN DE ESTRUCTURA Y TUBOS PARA TRABAJOS DE REHABILITACIÓN Y ADECUACIÓN EN TIERRA
</t>
  </si>
  <si>
    <t xml:space="preserve">
TUBOS
</t>
  </si>
  <si>
    <t xml:space="preserve">
SUMINISTRO, HABILITACIÓN E INSTALACIÓN DE TUBO METÁLICO DE ACERO AL CARBÓN API-5L GR. B, EXTREMOS BISELADOS, INCLUYE: ACARREO, CARGA, DESCARGA, MANIOBRAS EN EL PATIO DE PREFABRICADOS, ASÍ COMO EMBALADO Y ACARREO DE PATIO DE PREFABRICADOS AL MUELLE DE EMBARQUE
</t>
  </si>
  <si>
    <t>2.3.</t>
  </si>
  <si>
    <t xml:space="preserve">
TUBO DE ACERO AL CARBÓN DE 12"Ø, XS, ESPESOR DE PARED 0.500
</t>
  </si>
  <si>
    <t>TON</t>
  </si>
  <si>
    <t>( CIENTO TREINTA Y OCHO MIL SETECIENTOS SETENTA Y CINCO  PESOS 26/100 M.N. )
( CERO DÓLARES 00/100 USD )</t>
  </si>
  <si>
    <t>2.5.</t>
  </si>
  <si>
    <t xml:space="preserve">
TUBO DE ACERO AL CARBÓN DE 14"Ø, CÉDULA 80, ESPESOR DE PARED 0.750
</t>
  </si>
  <si>
    <t>( CIENTO OCHENTA Y CINCO MIL OCHOCIENTOS DIECIOCHO  PESOS 24/100 M.N. )
( CERO DÓLARES 00/100 USD )</t>
  </si>
  <si>
    <t xml:space="preserve">
SUMINISTRO, HABILITACIÓN E INSTALACIÓN DE TUBO METÁLICO DE ACERO AL CARBÓN ASTM A-106, EXTREMOS PLANOS, INCLUYE: ACARREO, CARGA, DESCARGA, MANIOBRAS EN EL PATIO DE PREFABRICADOS, ASÍ COMO EMBALADO Y ACARREO DEL PATIO DE PREFABRICADO AL MUELLE DE EMBARQUE
</t>
  </si>
  <si>
    <t>2.24.</t>
  </si>
  <si>
    <t xml:space="preserve">
TUBO DE ACERO AL CARBÓN DE 1"Ø, XS, CÉDULA 80, ESPESOR DE PARED 0.179
</t>
  </si>
  <si>
    <t>M</t>
  </si>
  <si>
    <t>( UN MIL CUARENTA Y UN  PESOS 30/100 M.N. )
( CERO DÓLARES 00/100 USD )</t>
  </si>
  <si>
    <t>2.36.</t>
  </si>
  <si>
    <t xml:space="preserve">
TUBO DE ACERO AL CARBÓN DE 6"Ø, XS, CÉDULA 80, ESPESOR DE PARED 0.432
</t>
  </si>
  <si>
    <t>( OCHO MIL CUATROCIENTOS NOVENTA Y CINCO  PESOS 05/100 M.N. )
( CERO DÓLARES 00/100 USD )</t>
  </si>
  <si>
    <t xml:space="preserve">
CONEXIONES DE FABRICA
</t>
  </si>
  <si>
    <t xml:space="preserve">
SUMINISTRO, HABILITACIÓN E INSTALACIÓN DE CONEXIONES METÁLICAS DE ACERO AL CARBÓN, INCLUYE: ACARREO, CARGA, DESCARGA, MANIOBRAS EN EL PATIO DE PREFABRICADOS, ASÍ COMO EMBALADO Y ACARREO DEL PATIO DE PREFABRICADO AL MUELLE DE EMBARQUE
</t>
  </si>
  <si>
    <t xml:space="preserve">
SUMINISTRO E INSTALACIÓN DE CODOS CAJA SOLDABLE DE ACERO AL CARBÓN, ASTM A-105, FABRICADOS DE ACUERDO AL ASME B16.11 (DEBE CUMPLIR CON EL ESTÁNDAR NACE MR0175).
</t>
  </si>
  <si>
    <t>2.48.</t>
  </si>
  <si>
    <t xml:space="preserve">
CODO DE ACERO AL CARBÓN DE 1"Ø, 90° GRADOS 3,000#
</t>
  </si>
  <si>
    <t>PIEZA</t>
  </si>
  <si>
    <t>( UN MIL CUATROCIENTOS SEIS  PESOS 18/100 M.N. )
( SEIS  DÓLARES 75/100 USD )</t>
  </si>
  <si>
    <t xml:space="preserve">
SUMINISTRO E INSTALACIÓN DE CODOS R.L. DE ACERO AL CARBÓN, ASTM-A 234 GR. WPB, FABRICADOS DE ACUERDO AL ASME B16.9 SIN COSTURA, EXTREMOS BISELADOS (DEBE CUMPLIR CON EL ESTÁNDAR NACE MR0175).
</t>
  </si>
  <si>
    <t>2.67.</t>
  </si>
  <si>
    <t xml:space="preserve">
CODO R.L. DE ACERO AL CARBÓN DE 6"Ø, 90° GRADOS PARA TUBO DE ACERO AL CARBÓN DE 6"Ø, XS, CÉDULA 80, ESPESOR DE PARED 0.432.
</t>
  </si>
  <si>
    <t>( OCHO MIL TRESCIENTOS TREINTA Y CINCO  PESOS 35/100 M.N. )
( NOVENTA Y TRES  DÓLARES 03/100 USD )</t>
  </si>
  <si>
    <t>2.76.</t>
  </si>
  <si>
    <t xml:space="preserve">
CODO R.L. DE ACERO AL CARBÓN DE 16"Ø, 90° GRADOS PARA TUBO DE ACERO AL CARBÓN DE 16"Ø, CÉDULA 80, ESPESOR DE PARED 0.844.
</t>
  </si>
  <si>
    <t>( CINCUENTA Y SIETE MIL QUINIENTOS SETENTA Y CUATRO  PESOS 73/100 M.N. )
( UN MIL DOSCIENTOS TRES  DÓLARES 48/100 USD )</t>
  </si>
  <si>
    <t xml:space="preserve">
SUMINISTRO, HABILITACIÓN E INSTALACIÓN DE BRIDAS ACERO AL CARBÓN ASTM A-105 CAJA SOLDABLE 150# Y 1500#, ANSI B16.5
</t>
  </si>
  <si>
    <t>2.88.</t>
  </si>
  <si>
    <t xml:space="preserve">
SUMINISTRO, CARGA, ACARREO E INSTALACIÓN DE BRIDA CAJA SOLDAR DE ACERO AL CARBÓN FORJADO, ASTM A105 ASME B16.5 CLASE 1500#, R.J. EXTREMO CAJA SOLDABLE. (PARA SERVICIO AMARGO Y DEBE CUMPLIR CON LOS REQUERIMIENTOS DEL ESTÁNDAR ISO 15156-2.) 2" DE DIÁMETRO.
</t>
  </si>
  <si>
    <t>( SESENTA Y DOS MIL DOSCIENTOS DIECISEIS  PESOS 64/100 M.N. )
( CERO DÓLARES 00/100 USD )</t>
  </si>
  <si>
    <t xml:space="preserve">
SUMINISTRO, HABILITACIÓN E INSTALACIÓN DE BRIDAS ACERO AL CARBÓN ASTM A-105 CUELLO SOLDABLE 600#, ANSI B16.5
</t>
  </si>
  <si>
    <t>2.109.</t>
  </si>
  <si>
    <t xml:space="preserve">
BRIDA DE 6"Ø BORE 5.761"
</t>
  </si>
  <si>
    <t>( CUATRO MIL TRESCIENTOS VEINTICUATRO  PESOS 79/100 M.N. )
( TRESCIENTOS SETENTA Y UN  DÓLARES 20/100 USD )</t>
  </si>
  <si>
    <t>2.112.</t>
  </si>
  <si>
    <t xml:space="preserve">
BRIDA DE 16"Ø BORE 14.312"
</t>
  </si>
  <si>
    <t>( VEINTE MIL OCHOCIENTOS TREINTA Y DOS  PESOS 26/100 M.N. )
( UN MIL NOVECIENTOS CINCUENTA Y UN  DÓLARES 94/100 USD )</t>
  </si>
  <si>
    <t xml:space="preserve">
SUMINISTRO E INSTALACIÓN DE TE RECTA DE ACERO AL CARBÓN ASTM A 234 GR. WPB, SIN COSTURA EXTREMOS BISELADOS (DEBE CUMPLIR CON EL ESTÁNDAR NACE-MR0175, ULTIMA EDICIÓN)
</t>
  </si>
  <si>
    <t>2.128.</t>
  </si>
  <si>
    <t xml:space="preserve">
TE DE ACERO AL CARBÓN DE 6"Ø, XS, CÉDULA 80, ESPESOR DE PARED 0.432
</t>
  </si>
  <si>
    <t>( DOCE MIL QUINIENTOS UN  PESOS 98/100 M.N. )
( CIENTO QUINCE  DÓLARES 31/100 USD )</t>
  </si>
  <si>
    <t xml:space="preserve">
SUMINISTRO E INSTALACIÓN DE REDUCCIÓN CONCÉNTRICA DE ACERO AL CARBÓN ASTM-A234 GR. WPB
</t>
  </si>
  <si>
    <t>2.165.</t>
  </si>
  <si>
    <t xml:space="preserve">
REDUCCIÓN CONCÉNTRICA DE ACERO AL CARBÓN DE 6"Ø, XS, CÉDULA 80, ESPESOR DE PARED 0.432 X 4"Ø, XS, CÉDULA 80, ESPESOR DE PARED 0.337
</t>
  </si>
  <si>
    <t>( SIETE MIL CUATROCIENTOS SESENTA Y OCHO  PESOS 94/100 M.N. )
( SETENTA Y TRES  DÓLARES 38/100 USD )</t>
  </si>
  <si>
    <t xml:space="preserve">
SUMINISTRO E INSTALACIÓN DE NIPLE DE ACERO AL CARBONO, ASTM A106 GR. B ASME B36.10M CÉDULA XXS
</t>
  </si>
  <si>
    <t>2.226.</t>
  </si>
  <si>
    <t xml:space="preserve">
SUMINISTRO E INSTALACIÓN EN PATIO DE CONSTRUCCIÓN DE NIPLE DE ACERO AL CARBÓN, ASTM A106 GR. B ASME B36.10M, DE ¾" DE DIÁMETRO X 3.5" LONGITUD. CÉDULA XXS, EXTREMOS PLANO/ROSCADO.
</t>
  </si>
  <si>
    <t>( OCHOCIENTOS CINCUENTA Y DOS  PESOS 04/100 M.N. )
( CERO DÓLARES 00/100 USD )</t>
  </si>
  <si>
    <t>2.227.</t>
  </si>
  <si>
    <t xml:space="preserve">
SUMINISTRO E INSTALACIÓN DE NIPLE DE ACERO AL CARBÓN, ASTM A106 GR. B ASME B36.10M, DE ¾" DE DIÁMETRO X 3.5" LONGITUD. CÉDULA XXS, EXTREMOS PLANOS, EN PATIO DE CONSTRUCCIÓN.
</t>
  </si>
  <si>
    <t>( UN MIL CUATROCIENTOS SESENTA Y CUATRO  PESOS 36/100 M.N. )
( CERO DÓLARES 00/100 USD )</t>
  </si>
  <si>
    <t xml:space="preserve">
SUMINISTRO E INSTALACIÓN DE NIPOLET DE ACERO AL CARBONO FORJADO, ASTM A105, CLASE 6000#, 3.5" LONGITUD EXTREMOS BISELADO/PLANO ASME B31.3 (302.2, 304.3, 326, 328.5.4)
</t>
  </si>
  <si>
    <t>2.230.</t>
  </si>
  <si>
    <t xml:space="preserve">
SUMINISTRO E INSTALACIÓN EN PATIO DE CONSTRUCCIÓN DE LA CONTRATISTA DE NIPOLET DE ACERO AL CARBONO FORJADO, ASTM A105, CLASE 6000#, 3.5" LONGITUD EXTREMOS BISELADO/PLANO ASME B31.3 (302.2, 304.3, 326, 328.5.4) DE 10-3 X ¾"DE DIÁMETRO.
</t>
  </si>
  <si>
    <t>( CINCO MIL TRESCIENTOS VEINTE  PESOS 09/100 M.N. )
( SESENTA Y DOS  DÓLARES 19/100 USD )</t>
  </si>
  <si>
    <t xml:space="preserve">
SUMINISTRO, HABILITADO, PREFABRICADO E INSTALACIÓN DE TUBO METÁLICO ESTRUCTURAL TIPO OC DE ACERO AL CARBÓN API 5L GR.B. INCLUYE: ACARREO, CARGA, DESCARGA, MANIOBRAS
</t>
  </si>
  <si>
    <t>2.283.</t>
  </si>
  <si>
    <t xml:space="preserve">
TUBO CIRCULAR (OC) 219 MM X 8.18 MM (8.63 IN. X 0.322 IN.) 42.55 KG/M
</t>
  </si>
  <si>
    <t>( CIENTO VEINTIOCHO MIL VEINTICINCO  PESOS 00/100 M.N. )
( CERO DÓLARES 00/100 USD )</t>
  </si>
  <si>
    <t>2.285.</t>
  </si>
  <si>
    <t xml:space="preserve">
TUBO CIRCULAR (OC) 356 MM X 12.7 MM (14 IN. X 0.500 IN.) 107.40 KG/M
</t>
  </si>
  <si>
    <t>( CIENTO CINCUENTA Y DOS MIL NOVECIENTOS NOVENTA Y SEIS  PESOS 70/100 M.N. )
( CERO DÓLARES 00/100 USD )</t>
  </si>
  <si>
    <t xml:space="preserve">
SUMINISTRO, HABILITACIÓN E INSTALACIÓN DE TUBULARES METÁLICOS ESTRUCTURALES DE ACERO AL CARBÓN ASTM A-53
</t>
  </si>
  <si>
    <t>2.289.</t>
  </si>
  <si>
    <t xml:space="preserve">
TUBO CIRCULAR (OC) 48 MM X 5.08 MM (1.9 IN. X 0.200 IN.) 5.41 KG/M
</t>
  </si>
  <si>
    <t>( CIENTO SESENTA Y NUEVE MIL CIENTO TREINTA Y SIETE  PESOS 19/100 M.N. )
( CERO DÓLARES 00/100 USD )</t>
  </si>
  <si>
    <t>2.290.</t>
  </si>
  <si>
    <t xml:space="preserve">
TUBO CIRCULAR (OC) 60 MM X 3.91 MM (2.375 IN. X 0.154 IN.) 5.44 KG/M
</t>
  </si>
  <si>
    <t>( CIENTO CINCUENTA Y SIETE MIL NOVECIENTOS CUARENTA Y TRES  PESOS 45/100 M.N. )
( CERO DÓLARES 00/100 USD )</t>
  </si>
  <si>
    <t>2.291.</t>
  </si>
  <si>
    <t xml:space="preserve">
TUBO CIRCULAR (OC) 60 MM X 5.54 MM (2.375 IN. X 0.218 IN.) 7.48 KG/M
</t>
  </si>
  <si>
    <t>( CIENTO VEINTISIETE MIL NOVECIENTOS OCHO  PESOS 76/100 M.N. )
( CERO DÓLARES 00/100 USD )</t>
  </si>
  <si>
    <t>2.293.</t>
  </si>
  <si>
    <t xml:space="preserve">
TUBO CIRCULAR (OC) 89 MM X 5.49 MM (3.5 IN. X 0.216 IN.) 11.29 KG/M
</t>
  </si>
  <si>
    <t>( CIENTO TREINTA Y CINCO MIL TREINTA Y CINCO  PESOS 84/100 M.N. )
( CERO DÓLARES 00/100 USD )</t>
  </si>
  <si>
    <t>2.295.</t>
  </si>
  <si>
    <t xml:space="preserve">
TUBO CIRCULAR (OC) 114 MM X 6.02 MM (4.5 IN. X 0.237 IN.) 16.08 KG/M
</t>
  </si>
  <si>
    <t>( CIENTO TREINTA Y CINCO MIL QUINIENTOS SETENTA Y DOS  PESOS 14/100 M.N. )
( CERO DÓLARES 00/100 USD )</t>
  </si>
  <si>
    <t>2.298.</t>
  </si>
  <si>
    <t xml:space="preserve">
TUBO CIRCULAR (OC) 219 MM X 6.35 MM (8.63 IN. X 0.250 IN.) 33.32 KG/M
</t>
  </si>
  <si>
    <t>( CIENTO VEINTITRES MIL CUARENTA Y OCHO  PESOS 23/100 M.N. )
( CERO DÓLARES 00/100 USD )</t>
  </si>
  <si>
    <t>2.299.</t>
  </si>
  <si>
    <t>( CIENTO DIECIOCHO MIL OCHOCIENTOS DIEZ  PESOS 34/100 M.N. )
( CERO DÓLARES 00/100 USD )</t>
  </si>
  <si>
    <t>2.301.</t>
  </si>
  <si>
    <t xml:space="preserve">
TUBO CIRCULAR (OC) 273 MM X 9.27 MM (10.75 IN. X 0.365 IN.) 60.31 KG/M
</t>
  </si>
  <si>
    <t>( CIENTO SIETE MIL OCHOCIENTOS OCHO  PESOS 48/100 M.N. )
( CERO DÓLARES 00/100 USD )</t>
  </si>
  <si>
    <t>2.306.</t>
  </si>
  <si>
    <t xml:space="preserve">
TUBO CIRCULAR (OC) 324 MM X 12.7 MM (12.75 IN. X 0.500 IN.) 97.47 KG/M
</t>
  </si>
  <si>
    <t>( CIENTO TREINTA Y NUEVE MIL TRESCIENTOS SESENTA  PESOS 56/100 M.N. )
( CERO DÓLARES 00/100 USD )</t>
  </si>
  <si>
    <t xml:space="preserve">
SUMINISTRO, HABILITACIÓN E INSTALACIÓN DE ANGULO (TIPO LI) METÁLICOS ESTRUCTURALES DE ACERO AL CARBÓN ASTM A-36
</t>
  </si>
  <si>
    <t>2.331.</t>
  </si>
  <si>
    <t xml:space="preserve">
ANGULO DE LADOS IGUALES (LI) 25 MM X 6 MM (1 IN. X ¼ IN.) 2.22 KG/M
</t>
  </si>
  <si>
    <t>( SESENTA Y CUATRO MIL CUATROCIENTOS NOVENTA Y NUEVE  PESOS 89/100 M.N. )
( CERO DÓLARES 00/100 USD )</t>
  </si>
  <si>
    <t>2.333.</t>
  </si>
  <si>
    <t xml:space="preserve">
ANGULO DE LADOS IGUALES (LI) 51 MM X 6 MM (2 IN. X ¼ IN.) 4.75 KG/M
</t>
  </si>
  <si>
    <t>( SESENTA Y TRES MIL SEISCIENTOS CINCUENTA Y OCHO  PESOS 30/100 M.N. )
( CERO DÓLARES 00/100 USD )</t>
  </si>
  <si>
    <t>2.335.</t>
  </si>
  <si>
    <t xml:space="preserve">
ANGULO DE LADOS IGUALES (LI) 64 MM X 6 MM (2½ IN. X ¼ IN.) 6.10 KG/M
</t>
  </si>
  <si>
    <t>( SESENTA Y TRES MIL QUINIENTOS OCHENTA Y SIETE  PESOS 51/100 M.N. )
( CERO DÓLARES 00/100 USD )</t>
  </si>
  <si>
    <t>2.337.</t>
  </si>
  <si>
    <t xml:space="preserve">
ANGULO DE LADOS IGUALES (LI) 76 MM X 6 MM (3 IN. X ¼ IN.) 7.29 KG/M
</t>
  </si>
  <si>
    <t>( SETENTA MIL TRESCIENTOS VEINTISEIS  PESOS 23/100 M.N. )
( CERO DÓLARES 00/100 USD )</t>
  </si>
  <si>
    <t xml:space="preserve">
SUMINISTRO, HABILITACIÓN E INSTALACIÓN DE PLACA LISA METÁLICA ESTRUCTURAL DE ACERO AL CARBÓN ASTM A-36
</t>
  </si>
  <si>
    <t>2.350.</t>
  </si>
  <si>
    <t xml:space="preserve">
PLACA LISA DE ¼" ESP.
</t>
  </si>
  <si>
    <t>( CUARENTA Y CINCO MIL OCHOCIENTOS TREINTA  PESOS 69/100 M.N. )
( CERO DÓLARES 00/100 USD )</t>
  </si>
  <si>
    <t>2.351.</t>
  </si>
  <si>
    <t xml:space="preserve">
PLACA LISA DE ⅜" ESP.
</t>
  </si>
  <si>
    <t>( CUARENTA Y TRES MIL NOVENTA Y OCHO  PESOS 51/100 M.N. )
( CERO DÓLARES 00/100 USD )</t>
  </si>
  <si>
    <t>2.352.</t>
  </si>
  <si>
    <t xml:space="preserve">
PLACA LISA DE ½" ESP.
</t>
  </si>
  <si>
    <t>( CUARENTA Y OCHO MIL NOVECIENTOS SESENTA Y CINCO  PESOS 76/100 M.N. )
( CERO DÓLARES 00/100 USD )</t>
  </si>
  <si>
    <t>2.354.</t>
  </si>
  <si>
    <t xml:space="preserve">
PLACA LISA DE ¾" ESP.
</t>
  </si>
  <si>
    <t>( CINCUENTA Y NUEVE MIL CIENTO DIECINUEVE  PESOS 14/100 M.N. )
( CERO DÓLARES 00/100 USD )</t>
  </si>
  <si>
    <t>2.355.</t>
  </si>
  <si>
    <t xml:space="preserve">
PLACA LISA DE 1" ESP.
</t>
  </si>
  <si>
    <t>( SETENTA Y TRES MIL SESENTA Y TRES  PESOS 44/100 M.N. )
( CERO DÓLARES 00/100 USD )</t>
  </si>
  <si>
    <t>2.357.</t>
  </si>
  <si>
    <t xml:space="preserve">
PLACA LISA DE 1½" ESP.
</t>
  </si>
  <si>
    <t>( SETENTA Y UN MIL CUATROCIENTOS CUARENTA Y NUEVE  PESOS 56/100 M.N. )
( CERO DÓLARES 00/100 USD )</t>
  </si>
  <si>
    <t xml:space="preserve">
SUMINISTRO, HABILITACIÓN E INSTALACIÓN DE REDONDO SOLIDO METÁLICOS (TIPO OS) ESTRUCTURALES DE ACERO AL CARBÓN ASTM A-36, INCLUYE: ACARREO, CARGA DESCARGA, MANIOBRAS
</t>
  </si>
  <si>
    <t>2.361.</t>
  </si>
  <si>
    <t xml:space="preserve">
REDONDO SOLIDO LISO (OS) 9.5 MM (⅜ IN.) 0.559 KG/M
</t>
  </si>
  <si>
    <t>( OCHENTA MIL TRESCIENTOS SETENTA  PESOS 05/100 M.N. )
( CERO DÓLARES 00/100 USD )</t>
  </si>
  <si>
    <t>2.363.</t>
  </si>
  <si>
    <t xml:space="preserve">
REDONDO SOLIDO LISO (OS) 19.1 MM (¾ IN.) 2.235 KG/M
</t>
  </si>
  <si>
    <t>( CIENTO CUATRO MIL SETECIENTOS NOVENTA Y TRES  PESOS 53/100 M.N. )
( CERO DÓLARES 00/100 USD )</t>
  </si>
  <si>
    <t>2.365.</t>
  </si>
  <si>
    <t xml:space="preserve">
REDONDO SOLIDO LISO (OS) 31.8 MM (1¼ IN.) 6.208 KG/M
</t>
  </si>
  <si>
    <t>( SETENTA Y TRES MIL OCHOCIENTOS TREINTA Y TRES  PESOS 30/100 M.N. )
( CERO DÓLARES 00/100 USD )</t>
  </si>
  <si>
    <t xml:space="preserve">
SUMINISTRO, HABILITACIÓN E INSTALACIÓN DE REJILLA
</t>
  </si>
  <si>
    <t xml:space="preserve">
SUMINISTRO, HABILITACIÓN E INSTALACIÓN DE SOLERA METÁLICA DE ACERO AL CARBÓN ASTM A-36
</t>
  </si>
  <si>
    <t>2.372.</t>
  </si>
  <si>
    <t xml:space="preserve">
SOLERA DE ¼" ESPESOR X 2" DE ANCHO
</t>
  </si>
  <si>
    <t>( SETENTA Y NUEVE MIL DOSCIENTOS SESENTA Y SIETE  PESOS 15/100 M.N. )
( CERO DÓLARES 00/100 USD )</t>
  </si>
  <si>
    <t>2.373.</t>
  </si>
  <si>
    <t xml:space="preserve">
SOLERA DE ¼" ESPESOR X 4" DE ANCHO
</t>
  </si>
  <si>
    <t>( SESENTA Y NUEVE MIL CUATROCIENTOS TREINTA Y DOS  PESOS 26/100 M.N. )
( CERO DÓLARES 00/100 USD )</t>
  </si>
  <si>
    <t xml:space="preserve">
INSPECCIÓN DE SOLDADURAS
</t>
  </si>
  <si>
    <t>2.380.</t>
  </si>
  <si>
    <t xml:space="preserve">
INSPECCIÓN ULTRASÓNICA DE JUNTAS SOLDABLES EN PERFILES ESTRUCTURALES.
</t>
  </si>
  <si>
    <t>( SETECIENTOS CUARENTA Y SEIS  PESOS 25/100 M.N. )
( CERO DÓLARES 00/100 USD )</t>
  </si>
  <si>
    <t>2.381.</t>
  </si>
  <si>
    <t xml:space="preserve">
INSPECCIÓN ULTRASÓNICA DE JUNTAS SOLDABLES A TOPE EN CONEXIONES Y TUBERÍAS DE 1" A 4" DIAM.
</t>
  </si>
  <si>
    <t>JUNTA</t>
  </si>
  <si>
    <t>2.382.</t>
  </si>
  <si>
    <t xml:space="preserve">
JUNTAS DE 6" A 14" DIAM
</t>
  </si>
  <si>
    <t>2.383.</t>
  </si>
  <si>
    <t xml:space="preserve">
JUNTAS DE 16" A 22" DIAM
</t>
  </si>
  <si>
    <t xml:space="preserve">
SERVICIO DE PRUEBAS NO DESTRUCTIVAS
</t>
  </si>
  <si>
    <t>2.386.</t>
  </si>
  <si>
    <t xml:space="preserve">
INSPECCIÓN DE SOLDADURA MEDIANTE PRUEBAS NO DESTRUCTIVAS EN PERFILES ESTRUCTURALES.
</t>
  </si>
  <si>
    <t>( ONCE MIL CIENTO NOVENTA Y TRES  PESOS 75/100 M.N. )
( CERO DÓLARES 00/100 USD )</t>
  </si>
  <si>
    <t>2.387.</t>
  </si>
  <si>
    <t xml:space="preserve">
INSPECCIÓN DE SOLDADURA MEDIANTE PRUEBAS NO DESTRUCTIVAS DE ½" A 2" DE DIÁMETRO HASTA 20.00 M DE ALTURA.
</t>
  </si>
  <si>
    <t>2.388.</t>
  </si>
  <si>
    <t xml:space="preserve">
ÍDEM PERO DE 3" A 6" DE DIÁMETRO
</t>
  </si>
  <si>
    <t>( TRESCIENTOS DIEZ  PESOS 94/100 M.N. )
( CERO DÓLARES 00/100 USD )</t>
  </si>
  <si>
    <t>2.396.</t>
  </si>
  <si>
    <t xml:space="preserve">
INSPECCIÓN RADIOGRÁFICA DE JUNTAS SOLDABLES A TOPE EN CONEXIONES Y TUBERÍAS DE 1" A 4" DIAM
</t>
  </si>
  <si>
    <t>2.397.</t>
  </si>
  <si>
    <t>2.398.</t>
  </si>
  <si>
    <t>( TRESCIENTOS SETENTA Y TRES  PESOS 13/100 M.N. )
( CERO DÓLARES 00/100 USD )</t>
  </si>
  <si>
    <t xml:space="preserve">
PROTECCIÓN ANTICORROSIVA
</t>
  </si>
  <si>
    <t>2.401.</t>
  </si>
  <si>
    <t xml:space="preserve">
LIMPIEZA CON ARENA SILICA (MALLA) 16/35 O 8/35 INCLUYE MATERIALES DE CONSUMO, LIMPIEZA DEL ÁREA DE TRABAJO. DE ACUERDO A LA NORMA NRF-295-PEMEX-2013.
</t>
  </si>
  <si>
    <t>M²</t>
  </si>
  <si>
    <t>( CUATRO MIL CIENTO VEINTICINCO  PESOS 53/100 M.N. )
( CERO DÓLARES 00/100 USD )</t>
  </si>
  <si>
    <t>2.402.</t>
  </si>
  <si>
    <t xml:space="preserve">
APLICACIÓN DE RECUBRIMIENTO PRIMARIO POLÍMERO HIBRIDO DE DOS COMPONENTES NAPKO 4109 (UNA CAPA DE 4 MILÉSIMAS DE PULGADA POR ESPESOR), APLICACIÓN POR ASPERSIÓN, INCLUYE: LIMPIEZA DE LA SUPERFICIE MANUAL MECÁNICA, MATERIALES DE CONSUMO, PINTURA, SOLVENTES, LIMPIEZA DEL ÁREA DE TRABAJO. PARA APLICACIÓN EN TUBERÍAS, CODOS, TEES, REDUCCIONES ETC. DE DIFERENTES DIÁMETROS, ASÍ COMO EN VIGAS, ÁNGULOS, SOLERAS ETC.
</t>
  </si>
  <si>
    <t>( OCHO MIL CUATROCIENTOS CINCUENTA Y UN  PESOS 23/100 M.N. )
( CERO DÓLARES 00/100 USD )</t>
  </si>
  <si>
    <t>2.404.</t>
  </si>
  <si>
    <t xml:space="preserve">
APLICACIÓN EN PATIO DE PREFABRICADOS DE ACABADO POLISILOXANO EPÓXICO O ACRÍLICO DE DOS COMPONENTES ALTOS SÓLIDOS DE ALTA RESISTENCIA RA-35. A UNA CAPA DE 100 MICRAS DE ESPESOR DE ACUERDO A NORMA DE REFERENCIA NRF-295-PEMEX-2013, INCLUYE MATERIALES DE CONSUMO, PINTURA, SOLVENTES, LIMPIEZA DEL ÁREA DE TRABAJO, PARA APLICARLO EN TUBERÍA, CODOS, TEES, REDUCCIONES ETC. DE DIFERENTES DIÁMETROS, ASÍ COMO EN VIGAS, ÁNGULOS, SOLERAS ETC.
</t>
  </si>
  <si>
    <t>( DOS MIL SETECIENTOS CUATRO  PESOS 18/100 M.N. )
( CERO DÓLARES 00/100 USD )</t>
  </si>
  <si>
    <t>2.406.</t>
  </si>
  <si>
    <t xml:space="preserve">
RECUBRIMIENTO DE ENLACE EPÓXICO MODIFICADO AUTOIMPRIMANTE DE DOS COMPONENTES ALTOS SOLIDOS RI-41 MODIFICADO COLOR AMARILLO CATERPILAR (DOS CAPAS DE 2.5 MILÉSIMAS DE PULGADA ).
</t>
  </si>
  <si>
    <t>( DOS MIL SETECIENTOS CUATRO  PESOS 50/100 M.N. )
( CERO DÓLARES 00/100 USD )</t>
  </si>
  <si>
    <t xml:space="preserve">
PRUEBA HIDROSTÁTICA A VÁLVULAS INCLUYE: MANO DE OBRA Y EQUIPO.
</t>
  </si>
  <si>
    <t>2.411.</t>
  </si>
  <si>
    <t xml:space="preserve">
PRUEBA HIDROSTÁTICA A VÁLVULA DE 8"-12" DE DIÁMETRO EN PATIO DE CONSTRUCCIÓN DE LA CONTRATISTA, INCLUYE: MANO DE OBRA Y EQUIPO. A VÁLVULAS
</t>
  </si>
  <si>
    <t>( CATORCE MIL CIENTO SETENTA Y OCHO  PESOS 75/100 M.N. )
( CERO DÓLARES 00/100 USD )</t>
  </si>
  <si>
    <t xml:space="preserve">
CORTE Y BISELADO
</t>
  </si>
  <si>
    <t xml:space="preserve">
CORTE Y BISELADO EN TUBERÍAS DE ACERO AL CARBONO CON BISELADOR MECÁNICO Y CORTADOR OXIACETILENO Y/O CORTADOR MECÁNICO.
</t>
  </si>
  <si>
    <t>2.413.</t>
  </si>
  <si>
    <t xml:space="preserve">
1" Ø CED. 80. (GALV.)
</t>
  </si>
  <si>
    <t>( UN MIL TRESCIENTOS CINCUENTA Y SEIS  PESOS 71/100 M.N. )
( CERO DÓLARES 00/100 USD )</t>
  </si>
  <si>
    <t>2.415.</t>
  </si>
  <si>
    <t xml:space="preserve">
2" Ø CED. 80. (GALV.)
</t>
  </si>
  <si>
    <t>( TRES MIL VEINTIDOS  PESOS 09/100 M.N. )
( CERO DÓLARES 00/100 USD )</t>
  </si>
  <si>
    <t>2.418.</t>
  </si>
  <si>
    <t xml:space="preserve">
4" Ø CED. 40.
</t>
  </si>
  <si>
    <t>( CUATRO MIL CIENTO SESENTA Y CINCO  PESOS 10/100 M.N. )
( CERO DÓLARES 00/100 USD )</t>
  </si>
  <si>
    <t>2.419.</t>
  </si>
  <si>
    <t xml:space="preserve">
4" Ø CED. 80.
</t>
  </si>
  <si>
    <t>( CUATRO MIL SETECIENTOS TREINTA Y DOS  PESOS 78/100 M.N. )
( CERO DÓLARES 00/100 USD )</t>
  </si>
  <si>
    <t>2.421.</t>
  </si>
  <si>
    <t xml:space="preserve">
6" Ø CED. 80
</t>
  </si>
  <si>
    <t>( SEIS MIL SIETE  PESOS 81/100 M.N. )
( CERO DÓLARES 00/100 USD )</t>
  </si>
  <si>
    <t>2.426.</t>
  </si>
  <si>
    <t xml:space="preserve">
12" Ø CED. 80
</t>
  </si>
  <si>
    <t>( DOCE MIL DOSCIENTOS CINCUENTA Y DOS  PESOS 26/100 M.N. )
( CERO DÓLARES 00/100 USD )</t>
  </si>
  <si>
    <t>2.429.</t>
  </si>
  <si>
    <t xml:space="preserve">
16" Ø CED. 20
</t>
  </si>
  <si>
    <t>( DOCE MIL DOSCIENTOS DIECISIETE  PESOS 75/100 M.N. )
( CERO DÓLARES 00/100 USD )</t>
  </si>
  <si>
    <t xml:space="preserve">
SOLDADURA
</t>
  </si>
  <si>
    <t xml:space="preserve">
SUMINISTRO Y APLICACIÓN DE SOLDADURA DE FILETE EN LÍNEAS DE ACERO AL CARBONO Y EN UNIONES DE IGUAL DIÁMETRO QUE LA LÍNEA UTILIZANDO ELECTRODOS TIPO E-6010 Y/O E-7018.
</t>
  </si>
  <si>
    <t>2.455.</t>
  </si>
  <si>
    <t xml:space="preserve">
¾" Ø
</t>
  </si>
  <si>
    <t>( SEISCIENTOS SESENTA Y CINCO  PESOS 51/100 M.N. )
( CERO DÓLARES 00/100 USD )</t>
  </si>
  <si>
    <t>2.456.</t>
  </si>
  <si>
    <t xml:space="preserve">
1" Ø
</t>
  </si>
  <si>
    <t>( OCHOCIENTOS SESENTA Y UN  PESOS 36/100 M.N. )
( CERO DÓLARES 00/100 USD )</t>
  </si>
  <si>
    <t>2.457.</t>
  </si>
  <si>
    <t xml:space="preserve">
1½" Ø
</t>
  </si>
  <si>
    <t>( UN MIL SETECIENTOS CUARENTA Y CUATRO  PESOS 94/100 M.N. )
( CERO DÓLARES 00/100 USD )</t>
  </si>
  <si>
    <t>2.458.</t>
  </si>
  <si>
    <t xml:space="preserve">
2" Ø
</t>
  </si>
  <si>
    <t>( UN MIL CUATROCIENTOS CUARENTA Y SIETE  PESOS 50/100 M.N. )
( CERO DÓLARES 00/100 USD )</t>
  </si>
  <si>
    <t xml:space="preserve">
SUMINISTRO Y APLICACIÓN DE SOLDADURA A TOPE EN LÍNEAS DE ACERO AL CARBONO Y EN UNIONES DE IGUAL DIÁMETRO QUE LA LÍNEA UTILIZANDO ELECTRODOS TIPO E-6010 Y/O E-7018.
</t>
  </si>
  <si>
    <t>2.460.</t>
  </si>
  <si>
    <t>( TRES MIL SESENTA Y DOS  PESOS 01/100 M.N. )
( CERO DÓLARES 00/100 USD )</t>
  </si>
  <si>
    <t>2.461.</t>
  </si>
  <si>
    <t>( CUATRO MIL SETENTA Y UN  PESOS 25/100 M.N. )
( CERO DÓLARES 00/100 USD )</t>
  </si>
  <si>
    <t>2.463.</t>
  </si>
  <si>
    <t xml:space="preserve">
6" Ø CED. 80.
</t>
  </si>
  <si>
    <t>( CUATRO MIL CIENTO SESENTA Y UN  PESOS 03/100 M.N. )
( CERO DÓLARES 00/100 USD )</t>
  </si>
  <si>
    <t>2.465.</t>
  </si>
  <si>
    <t xml:space="preserve">
8" Ø CED. 80.
</t>
  </si>
  <si>
    <t>( CINCO MIL CIENTO NOVENTA Y CUATRO  PESOS 86/100 M.N. )
( CERO DÓLARES 00/100 USD )</t>
  </si>
  <si>
    <t>2.469.</t>
  </si>
  <si>
    <t>( OCHO MIL NOVECIENTOS OCHENTA  PESOS 08/100 M.N. )
( CERO DÓLARES 00/100 USD )</t>
  </si>
  <si>
    <t>2.472.</t>
  </si>
  <si>
    <t>( NUEVE MIL SESENTA Y CINCO  PESOS 16/100 M.N. )
( CERO DÓLARES 00/100 USD )</t>
  </si>
  <si>
    <t xml:space="preserve">
SUBTOTAL ANEXO C-2
</t>
  </si>
  <si>
    <t>3</t>
  </si>
  <si>
    <t xml:space="preserve">
CATÁLOGO DE CONCEPTOS DE SUMINISTRO E INSTALACIÓN DE ESTRUCTURAS Y TUBOS PARA TRABAJOS DE REHABILITACIÓN Y ADECUACIÓN COSTA AFUERA.
</t>
  </si>
  <si>
    <t xml:space="preserve">
SUMINISTRO E INSTALACIÓN DE ESPÁRRAGOS DE ACERO DE ALEACIÓN ASTM A 193, GR. B7 CON DOS TUERCAS HEXAGONALES CADA UNA DE ACERO DE ALEACIÓN ASTM 194, GR 2H AMBOS CADMINIZADOS CLASE 25 TIPO II, ASTM-B-766 PARA JUNTA BRIDADA
</t>
  </si>
  <si>
    <t>3.177.</t>
  </si>
  <si>
    <t xml:space="preserve">
ESPARRAGO DE ¾"Ø X 5½" LONG.
</t>
  </si>
  <si>
    <t>( SETENTA Y NUEVE  PESOS 23/100 M.N. )
( CINCO  DÓLARES 80/100 USD )</t>
  </si>
  <si>
    <t xml:space="preserve">
SUMINISTRO E INSTALACIÓN DE ESPÁRRAGOS ASTM A193 GR. B7, CON 2 TUERCAS HEXAGONALES, ASTM A194 GR. 2H , ROSCAS ASME B1.1 CLASE 2A, CON RECUBRIMIENTO RESISTENTE A LA CORROSIÓN A BASE CADMIO (25 M DE ESPESOR, ASTM-B 766)
</t>
  </si>
  <si>
    <t>3.180.</t>
  </si>
  <si>
    <t xml:space="preserve">
ESPÁRRAGO DE ½"Ø X 3" LONG.
</t>
  </si>
  <si>
    <t>( SETENTA Y NUEVE  PESOS 23/100 M.N. )
( UN DÓLAR 24/100 USD )</t>
  </si>
  <si>
    <t>3.181.</t>
  </si>
  <si>
    <t xml:space="preserve">
ESPARRAGO DE 5/8" Ø X 3¾"LONG.
</t>
  </si>
  <si>
    <t>( SETENTA Y NUEVE  PESOS 23/100 M.N. )
( DOS  DÓLARES 68/100 USD )</t>
  </si>
  <si>
    <t>3.268.</t>
  </si>
  <si>
    <t xml:space="preserve">
SUMINISTRO E INSTALACIÓN DE ANGULO MULTIPERFORADO DE 1½" X 1½" X 1/8" ESPESOR ACERO GALVANIZADO PARA PROTECCIÓN Y FIJACIÓN DE TUBING
</t>
  </si>
  <si>
    <t>( UN MIL TRESCIENTOS VEINTIOCHO  PESOS 45/100 M.N. )
( CERO DÓLARES 00/100 USD )</t>
  </si>
  <si>
    <t xml:space="preserve">
SUMINISTRO, HABILITACIÓN E INSTALACIÓN DE REJILLA METÁLICA ELECTROFORJADA DE ACERO AL CARBÓN ASTM A-36, INCLUYE: ACARREO, DESCARGA, MANIOBRAS.
</t>
  </si>
  <si>
    <t>3.290.</t>
  </si>
  <si>
    <t xml:space="preserve">
REJILLA METÁLICA ELECTROFORJADA DE ACERO AL CARBÓN TIPO 34N 5 X 32 CON SOLERA DE CARGA DE 3/16" DE ESPESOR POR 1¼" DE PERALTE.
</t>
  </si>
  <si>
    <t>( DOSCIENTOS TRES MIL OCHOCIENTOS OCHENTA Y TRES  PESOS 79/100 M.N. )
( CERO DÓLARES 00/100 USD )</t>
  </si>
  <si>
    <t xml:space="preserve">
ACCESORIOS DE ACERO INOXIDABLE
</t>
  </si>
  <si>
    <t xml:space="preserve">
SUMINISTRO E INSTALACIÓN DE VÁLVULA DE COMPUERTA EXTREMOS ROSCADA
</t>
  </si>
  <si>
    <t>3.336.</t>
  </si>
  <si>
    <t xml:space="preserve">
SUMINISTRO E INSTALACIÓN DE VÁLVULA DE AGUJA DE ACERO INOXIDABLE 316 DE ½" Ø N.P.T.F., 6000 #.
</t>
  </si>
  <si>
    <t>( CIENTO VEINTISIETE  PESOS 15/100 M.N. )
( CIENTO OCHENTA Y SEIS  DÓLARES 56/100 USD )</t>
  </si>
  <si>
    <t xml:space="preserve">
SUMINISTRO E INSTALACIÓN DE CONECTOR HEMBRA ACERO INOXIDABLE
</t>
  </si>
  <si>
    <t>3.340.</t>
  </si>
  <si>
    <t xml:space="preserve">
SUMINISTRO E INSTALACIÓN DE CONECTOR HEMBRA DE ½" Ø O.D. X ½" Ø NPT ACERO INOXIDABLE, ALTO SELLO.
</t>
  </si>
  <si>
    <t>( CIENTO VEINTISIETE  PESOS 15/100 M.N. )
( DIECISEIS  DÓLARES 00/100 USD )</t>
  </si>
  <si>
    <t>3.341.</t>
  </si>
  <si>
    <t xml:space="preserve">
SUMINISTRO E INSTALACIÓN COSTA FUERA DE CONECTOR HEMBRA DE ¾" DE DIÁMETRO NPT X ½" O.D. DE ACERO INOXIDABLE 316L, ALTO SELLO Y DOBLE FÉRULA.
</t>
  </si>
  <si>
    <t>( CIENTO VEINTISIETE  PESOS 15/100 M.N. )
( DIECISEIS  DÓLARES 16/100 USD )</t>
  </si>
  <si>
    <t>3.342.</t>
  </si>
  <si>
    <t xml:space="preserve">
SUMINISTRO E INSTALACIÓN COSTA FUERA DE CONECTOR HEMBRA DE ACERO INOXIDABLE 316, ALTO SELLO, DE 3/8" O.D. X 3/8" DE DIÁMETRO NPT.
</t>
  </si>
  <si>
    <t>( CIENTO VEINTISIETE  PESOS 15/100 M.N. )
( DIEZ  DÓLARES 65/100 USD )</t>
  </si>
  <si>
    <t xml:space="preserve">
SUMINISTRO E INSTALACIÓN DE CONECTOR RECTO MACHO ACERO INOXIDABLE
</t>
  </si>
  <si>
    <t>3.346.</t>
  </si>
  <si>
    <t xml:space="preserve">
SUMINISTRO E INSTALACIÓN DE CONECTOR RECTO MACHO DE ½" Ø O.D. X ½" Ø NPT ACERO INOXIDABLE 316, ALTO SELLO.
</t>
  </si>
  <si>
    <t>( CIENTO VEINTISIETE  PESOS 15/100 M.N. )
( ONCE  DÓLARES 94/100 USD )</t>
  </si>
  <si>
    <t>3.347.</t>
  </si>
  <si>
    <t xml:space="preserve">
SUMINISTRO E INSTALACIÓN DE CONECTOR RECTO MACHO DE ½" Ø O.D. X ¼" Ø NPT ACERO INOXIDABLE 316, ALTO SELLO.
</t>
  </si>
  <si>
    <t>( CIENTO VEINTISIETE  PESOS 15/100 M.N. )
( DIEZ  DÓLARES 75/100 USD )</t>
  </si>
  <si>
    <t>3.349.</t>
  </si>
  <si>
    <t xml:space="preserve">
SUMINISTRO E INSTALACIÓN DE CONECTOR RECTO MACHO DE ¼" Ø O.D. X ¼" Ø NPT ACERO INOXIDABLE 316, ALTO SELLO.
</t>
  </si>
  <si>
    <t>( CIENTO VEINTISIETE  PESOS 15/100 M.N. )
( CINCO  DÓLARES 46/100 USD )</t>
  </si>
  <si>
    <t>3.350.</t>
  </si>
  <si>
    <t xml:space="preserve">
SUMINISTRO E INSTALACIÓN DE CONECTOR RECTO MACHO DE 3/8" Ø O.D. X ½" Ø NPT ACERO INOXIDABLE 316, ALTO SELLO
</t>
  </si>
  <si>
    <t>( CIENTO VEINTISIETE  PESOS 15/100 M.N. )
( DIEZ  DÓLARES 06/100 USD )</t>
  </si>
  <si>
    <t>3.351.</t>
  </si>
  <si>
    <t xml:space="preserve">
SUMINISTRO E INSTALACIÓN DE CONECTOR RECTO MACHO DE 3/8" Ø O.D. X 3/8" Ø NPT ACERO INOXIDABLE 316, ALTO SELLO
</t>
  </si>
  <si>
    <t>( CIENTO VEINTISIETE  PESOS 15/100 M.N. )
( OCHO  DÓLARES 39/100 USD )</t>
  </si>
  <si>
    <t xml:space="preserve">
SUMINISTRO E INSTALACIÓN DE CONECTOR UNIÓN ACERO INOXIDABLE
</t>
  </si>
  <si>
    <t>3.355.</t>
  </si>
  <si>
    <t xml:space="preserve">
SUMINISTRO E INSTALACIÓN DE CONECTOR UNIÓN DE 3/8" Ø O.D. ACERO INOXIDABLE 316, ALTO SELLO
</t>
  </si>
  <si>
    <t>( CIENTO VEINTISIETE  PESOS 15/100 M.N. )
( ONCE  DÓLARES 59/100 USD )</t>
  </si>
  <si>
    <t>3.356.</t>
  </si>
  <si>
    <t xml:space="preserve">
SUMINISTRO E INSTALACIÓN DE TE CONECTOR UNIÓN DE ½" Ø O.D. ACERO INOXIDABLE 316, ALTO SELLO
</t>
  </si>
  <si>
    <t>( CIENTO VEINTISIETE  PESOS 15/100 M.N. )
( TREINTA  DÓLARES 94/100 USD )</t>
  </si>
  <si>
    <t>3.359.</t>
  </si>
  <si>
    <t xml:space="preserve">
SUMINISTRO E INSTALACIÓN COSTA FUERA DE TE CONECTOR DE 3/8" OD X 3/8" OD X 3/8" OD DE ACERO INOXIDABLE 316L, ALTO SELLO Y DOBLE FÉRULA.
</t>
  </si>
  <si>
    <t>( CIENTO VEINTISIETE  PESOS 15/100 M.N. )
( VEINTIUN  DÓLARES 14/100 USD )</t>
  </si>
  <si>
    <t xml:space="preserve">
SUMINISTRO E INSTALACIÓN DE TUBING SIN COSTURA DE ACERO INOXIDABLE T-316L
</t>
  </si>
  <si>
    <t>3.362.</t>
  </si>
  <si>
    <t xml:space="preserve">
SUMINISTRO E INSTALACIÓN DE TUBING SIN COSTURA DE ½" Ø X 0.049" ESPESOR ACERO INOXIDABLE 316 CON TERMO PLÁSTICO VULCANIZADO DE 0.065" ESPESOR
</t>
  </si>
  <si>
    <t>( DOS MIL QUINIENTOS SIETE  PESOS 51/100 M.N. )
( CERO DÓLARES 00/100 USD )</t>
  </si>
  <si>
    <t>3.363.</t>
  </si>
  <si>
    <t xml:space="preserve">
SUMINISTRO E INSTALACIÓN DE TUBING SIN COSTURA DE 3/8" Ø X 0.049" ESPESOR ACERO INOXIDABLE 316 CON TERMO PLÁSTICO VULCANIZADO DE 0.065" ESPESOR
</t>
  </si>
  <si>
    <t>( DOS MIL CUATROCIENTOS TREINTA Y UN  PESOS 64/100 M.N. )
( CERO DÓLARES 00/100 USD )</t>
  </si>
  <si>
    <t>3.366.</t>
  </si>
  <si>
    <t xml:space="preserve">
SUMINISTRO E INSTALACIÓN COSTA FUERA DE TUBING SIN COSTURA DE ACERO INOXIDABLE T-316L NORMA ASTM A-269 DE 3/8" DE DIÁMETRO, 0.049" DE ESPESOR DE PARED.
</t>
  </si>
  <si>
    <t xml:space="preserve">
SUMINISTRO E INSTALACIÓN DE DREN RESPIRADERO UNIVERSAL DE ACERO INOXIDABLE
</t>
  </si>
  <si>
    <t>3.378.</t>
  </si>
  <si>
    <t xml:space="preserve">
SUMINISTRO E INSTALACIÓN COSTA FUERA DE DREN RESPIRADERO UNIVERSAL DE ACERO INOXIDABLE DE 16 MM DE DIÁMETRO (½" ) A PRUEBA DE EXPLOSIÓN.
</t>
  </si>
  <si>
    <t xml:space="preserve">
SUMINISTRO E INSTALACIÓN COSTA FUERA DE CONECTOR UNIÓN PASAMUROS ACERO INOXIDABLE
</t>
  </si>
  <si>
    <t>3.380.</t>
  </si>
  <si>
    <t xml:space="preserve">
SUMINISTRO E INSTALACIÓN COSTA FUERA DE CONECTOR UNIÓN PASAMUROS DE ½"OD X ½"OD DE AC. INOX. 316L, ALTO SELLO DE DOBLE FÉRULA.
</t>
  </si>
  <si>
    <t>( CIENTO VEINTISIETE  PESOS 15/100 M.N. )
( TREINTA Y CINCO  DÓLARES 70/100 USD )</t>
  </si>
  <si>
    <t>3.382.</t>
  </si>
  <si>
    <t xml:space="preserve">
SUMINISTRO E INSTALACIÓN COSTA FUERA DE CONECTOR UNIÓN PASAMUROS PARAÁ20,000ÁPSI DE ¼" O.D. X ¼" O.D. DE ACERO INOXIDABLE 316SS PARA TUBING DE ¼"X0.95.
</t>
  </si>
  <si>
    <t>( CIENTO VEINTISIETE  PESOS 15/100 M.N. )
( VEINTISIETE  DÓLARES 36/100 USD )</t>
  </si>
  <si>
    <t xml:space="preserve">
MATERIAL ELÉCTRICO
</t>
  </si>
  <si>
    <t xml:space="preserve">
SUMINISTRO E INSTALACIÓN DE ABRAZADERA TIPO "U" BOLTS ACERO GALVANIZADO
</t>
  </si>
  <si>
    <t>3.393.</t>
  </si>
  <si>
    <t xml:space="preserve">
SUMINISTRO E INSTALACIÓN DE ABRAZADERA TIPO "U" BOLTS ACERO GALVANIZADO DE ¾" Ø CON RECUBRIMIENTO DE PVC DE 40 MILÉSIMAS DE PULGADA DE ESPESOR CON 02 TUERCAS ENCAPSULADAS EN PVC
</t>
  </si>
  <si>
    <t>( UN MIL CIENTO OCHENTA Y DOS  PESOS 58/100 M.N. )
( CERO DÓLARES 00/100 USD )</t>
  </si>
  <si>
    <t xml:space="preserve">
SUMINISTRO E INSTALACIÓN DE CONDUCTOR DE COBRE SUAVE CON AISLAMIENTO TERMOPLÁSTICO THW-LS/THHW-LS PARA 600 V, 75°C DE TEMPERATURA DE OPERACIÓN
</t>
  </si>
  <si>
    <t>3.401.</t>
  </si>
  <si>
    <t xml:space="preserve">
SUMINISTRO E INSTALACIÓN DE CONDUCTOR DE COBRE SUAVE CON AISLAMIENTO TERMOPLÁSTICO THW-LS/THHW-LS PARA 600 V, 75°C DE TEMPERATURA DE OPERACIÓN: CALIBRE 10 AWG, COLOR NEGRO
</t>
  </si>
  <si>
    <t>( SESENTA Y SIETE  PESOS 28/100 M.N. )
( CERO DÓLARES 00/100 USD )</t>
  </si>
  <si>
    <t>3.402.</t>
  </si>
  <si>
    <t xml:space="preserve">
SUMINISTRO E INSTALACIÓN DE CONDUCTOR DE COBRE SUAVE CON AISLAMIENTO TERMOPLÁSTICO THW-LS/THHW-LS PARA 600 V, 75°C DE TEMPERATURA DE OPERACIÓN: CALIBRE 10 AWG, COLOR ROJO
</t>
  </si>
  <si>
    <t>3.405.</t>
  </si>
  <si>
    <t xml:space="preserve">
SUMINISTRO E INSTALACIÓN DE CONDUCTOR DE COBRE SUAVE CON AISLAMIENTO TERMOPLÁSTICO THW-LS/THHW-LS PARA 600 V, 75°C DE TEMPERATURA DE OPERACIÓN: CALIBRE 2 AWG, COLOR VERDE
</t>
  </si>
  <si>
    <t>( CIENTO OCHENTA Y CUATRO  PESOS 80/100 M.N. )
( CERO DÓLARES 00/100 USD )</t>
  </si>
  <si>
    <t>3.406.</t>
  </si>
  <si>
    <t xml:space="preserve">
SUMINISTRO E INSTALACIÓN DE CONDUCTOR DE COBRE SUAVE CON AISLAMIENTO TERMOPLÁSTICO THW-LS/THHW-LS PARA 600 V, 75°C DE TEMPERATURA DE OPERACIÓN: CALIBRE 2/0 AWG, COLOR VERDE
</t>
  </si>
  <si>
    <t>( TRESCIENTOS DOS  PESOS 21/100 M.N. )
( CERO DÓLARES 00/100 USD )</t>
  </si>
  <si>
    <t xml:space="preserve">
SUMINISTRO E INSTALACIÓN DE CAJAS TIPO GUAC PARA ÁREAS PELIGROSAS, FABRICADA EN ALUMINIO LIBRE DE COBRE CON RECUBRIMIENTO EXTERIOR DE PVC E INTERIOR DE URETANO
</t>
  </si>
  <si>
    <t>3.409.</t>
  </si>
  <si>
    <t xml:space="preserve">
SUMINISTRO E INSTALACIÓN DE CAJAS TIPO GUAL PARA ÁREAS PELIGROSAS FABRICADA EN ALUMINIO LIBRE DE COBRE CON RECUBRIMIENTO EXTERIOR DE PVC DE 40 MILÉSIMAS DE PULG. E INTERIOR DE URETANO DE 2 MILÉSIMAS DE PULG: CAJA DE REGISTRO TIPO GUAL DE ¾"Ø
</t>
  </si>
  <si>
    <t>( TRES MIL NOVENTA Y SEIS  PESOS 76/100 M.N. )
( CERO DÓLARES 00/100 USD )</t>
  </si>
  <si>
    <t>3.410.</t>
  </si>
  <si>
    <t xml:space="preserve">
SUMINISTRO E INSTALACIÓN DE CAJAS TIPO GUAC PARA ÁREAS PELIGROSAS, FABRICADA EN ALUMINIO LIBRE DE COBRE CON RECUBRIMIENTO EXTERIOR DE PVC E INTERIOR DE URETANO: CAJA DE REGISTRO TIPO GUAC DE ¾"Ø
</t>
  </si>
  <si>
    <t>3.413.</t>
  </si>
  <si>
    <t xml:space="preserve">
SUMINISTRO E INSTALACIÓN DE CAJAS TIPO GUAT PARA ÁREAS PELIGROSAS, FABRICADA EN ALUMINIO LIBRE DE COBRE CON RECUBRIMIENTO EXTERIOR DE PVC E INTERIOR DE URETANO: CAJA DE REGISTRO TIPO GUAT DE ¾"Ø
</t>
  </si>
  <si>
    <t>( TRES MIL TRESCIENTOS OCHENTA Y TRES  PESOS 95/100 M.N. )
( CERO DÓLARES 00/100 USD )</t>
  </si>
  <si>
    <t xml:space="preserve">
SUMINISTRO E INSTALACIÓN DE CONECTOR GLÁNDULA DE ALUMINIO LIBRE DE COBRE TIPO MACHO
</t>
  </si>
  <si>
    <t>3.418.</t>
  </si>
  <si>
    <t xml:space="preserve">
SUMINISTRO E INSTALACIÓN DE CONECTOR GLÁNDULA DE ALUMINIO LIBRE DE COBRE TIPO MACHO: DE 21 MM Ø (¾")
</t>
  </si>
  <si>
    <t>( UN MIL TRESCIENTOS ONCE  PESOS 53/100 M.N. )
( VEINTIUN  DÓLARES 14/100 USD )</t>
  </si>
  <si>
    <t xml:space="preserve">
SUMINISTRO E INSTALACIÓN COSTA FUERA DE CONECTOR MECÁNICO
</t>
  </si>
  <si>
    <t>3.420.</t>
  </si>
  <si>
    <t xml:space="preserve">
SUMINISTRO E INSTALACIÓN COSTA FUERA DE CONECTOR MECÁNICO A COMPRESIÓN EN FORMA DE "C" TIPO YGHC PARA LÍNEA DE COBRE PRINCIPAL, CALIBRE 2/0 AWG Y DERIVACIÓN CALIBRE 2 AWG.
</t>
  </si>
  <si>
    <t>( UN MIL SEISCIENTOS VEINTINUEVE  PESOS 74/100 M.N. )
( CERO DÓLARES 00/100 USD )</t>
  </si>
  <si>
    <t>3.421.</t>
  </si>
  <si>
    <t xml:space="preserve">
SUMINISTRO E INSTALACIÓN COSTA FUERA DE CONECTOR MECÁNICO A COMPRESIÓN EN FORMA DE "C" TIPO YGHC PARA LÍNEA DE COBRE PRINCIPAL, CALIBRE 2/0 AWG Y DERIVACIÓN CALIBRE 2/0 AWG.
</t>
  </si>
  <si>
    <t xml:space="preserve">
SUMINISTRO E INSTALACIÓN DE SELLO DE ALUMINIO LIBRE DE COBRE CON RECUBRIMIENTO EXTERIOR DE PVC Y RECUBRIMIENTO INTERIOR DE URETANO, MACHO-HEMBRA TIPO EYS, PARA SELLAR TUBERÍA A CUALQUIER POSICIÓN CLASE I, DIVISIÓN 1 Y 2 GRUPOS A, B, C Y D. A PRUEBA DE EXPLOSIÓN.
</t>
  </si>
  <si>
    <t>3.443.</t>
  </si>
  <si>
    <t xml:space="preserve">
SUMINISTRO E INSTALACIÓN DE SELLO DE ALUMINIO LIBRE DE COBRE CON RECUBRIMIENTO EXTERIOR DE PVC Y RECUBRIMIENTO INTERIOR DE URETANO, MACHO-HEMBRA TIPO EYS, A PRUEBA DE EXPLOSIÓN: DE 21 MM. (¾") Ø
</t>
  </si>
  <si>
    <t>( DOS MIL OCHOCIENTOS CUARENTA Y CINCO  PESOS 76/100 M.N. )
( CERO DÓLARES 00/100 USD )</t>
  </si>
  <si>
    <t xml:space="preserve">
SUMINISTRO E INSTALACIÓN DE TUERCA UNIÓN MACHO-HEMBRA A PRUEBA DE EXPLOSIÓN, DE ALUMINIO LIBRE DE COBRE CON RECUBRIMIENTO EXTERNO DE PVC E INTERNO DE URETANO.
</t>
  </si>
  <si>
    <t>3.446.</t>
  </si>
  <si>
    <t xml:space="preserve">
SUMINISTRO E INSTALACIÓN DE TUERCA UNIÓN MACHO-HEMBRA A PRUEBA DE EXPLOSIÓN, DE ALUMINIO LIBRE DE COBRE CON RECUBRIMIENTO EXTERNO DE PVC E INTERNO DE URETANO: DE 21 MM. (¾") Ø
</t>
  </si>
  <si>
    <t>( DOS MIL QUINIENTOS NOVENTA Y OCHO  PESOS 65/100 M.N. )
( CERO DÓLARES 00/100 USD )</t>
  </si>
  <si>
    <t xml:space="preserve">
SUMINISTRO E INSTALACIÓN DE CONECTOR A COMPRESIÓN TIPO ZAPATA DE COBRE ELECTROLÍTICO
</t>
  </si>
  <si>
    <t>3.449.</t>
  </si>
  <si>
    <t xml:space="preserve">
SUMINISTRO E INSTALACIÓN COSTA FUERA DE CONECTOR A COMPRESIÓN TIPO ZAPATA DE COBRE ELECTROLÍTICO ESTAÑADO DE CAÑÓN CORTO PARA UNA IDENTACIÓN CON UN BARRENO PARA CABLE 33.6MM (2 AWG), INCLUYE: TORNILLO DE CABEZA HEXAGONAL EN MATERIAL DE BRONCE AL SILICIO DE 7.9 MM (5/16") DE DIÁMETRO POR 25MM (1") DE LONGITUD, TUERCA Y ROLDANAS PLANA Y DE PRESIÓN
</t>
  </si>
  <si>
    <t>( QUINIENTOS SETENTA  PESOS 58/100 M.N. )
( CUARENTA Y DOS  DÓLARES 29/100 USD )</t>
  </si>
  <si>
    <t xml:space="preserve">
SUMINISTRO E INSTALACIÓN DE TAPÓN FUSIBLE DE 75°C DE FUNDICIÓN DE AC. INOX. 316
</t>
  </si>
  <si>
    <t>3.451.</t>
  </si>
  <si>
    <t xml:space="preserve">
SUMINISTRO E INSTALACIÓN DE TAPÓN FUSIBLE DE 3/8"OD. DE 75°C DE FUNDICIÓN DE AC. INOX. 316 CON CONEXIÓN A TUBING. NO INCLUYE TRANSPORTE COSTA AFUERA
</t>
  </si>
  <si>
    <t>( TRES MIL CUATROCIENTOS SETENTA Y NUEVE  PESOS 35/100 M.N. )
( CERO DÓLARES 00/100 USD )</t>
  </si>
  <si>
    <t xml:space="preserve">
SUMINISTRO E INSTALACIÓN DE TUBERÍA CONDUIT DE ALUMINIO CEDULA 40 CON RECUBRIMIENTO EXTERIOR DE PVC DE 40 MILÉSIMAS DE PULG. E INTERIOR DE URETANO DE 2 MILÉSIMAS DE PULG.
</t>
  </si>
  <si>
    <t>3.454.</t>
  </si>
  <si>
    <t xml:space="preserve">
SUMINISTRO E INSTALACIÓN DE TUBERÍA CONDUIT DE ALUMINIO CEDULA 40 CON RECUBRIMIENTO EXTERIOR DE PVC E INTERIOR DE URETANO: TUBERÍA CONDUIT DE ¾"Ø
</t>
  </si>
  <si>
    <t>( UN MIL DOSCIENTOS SETENTA Y UN  PESOS 08/100 M.N. )
( CERO DÓLARES 00/100 USD )</t>
  </si>
  <si>
    <t xml:space="preserve">
SUMINISTRO E INSTALACIÓN COSTA FUERA DE NEOPRENO
</t>
  </si>
  <si>
    <t>3.459.</t>
  </si>
  <si>
    <t xml:space="preserve">
SUMINISTRO E INSTALACIÓN COSTA FUERA DE NEOPRENO DE ¼" DE ESPESOR.
</t>
  </si>
  <si>
    <t>( UN MIL DOSCIENTOS VEINTITRES  PESOS 30/100 M.N. )
( CERO DÓLARES 00/100 USD )</t>
  </si>
  <si>
    <t xml:space="preserve">
APLICACIÓN DE RECUBRIMIENTO PRIMARIO EPÓXICO-POLIAMIDA DE DOS COMPONENTES RP-6 MODIFICADO (UNA CAPA DE 2 A 3 MILÉSIMAS DE PULGADA DE ESPESOR) , APLICACIÓN POR ASPERSIÓN, INCLUYE: LIMPIEZA DE LA SUPERFICIE MANUAL MECÁNICA, MATERIALES DE CONSUMO, PINTURA, SOLVENTES, LIMPIEZA DEL ÁREA DE TRABAJO. PARA APLICARLO EN RESANES DE TUBERÍA, CODOS, TEES, REDUCCIONES ETC. DE DIFERENTES DIÁMETROS, ASÍ COMO EN VIGAS, ÁNGULOS, SOLERAS ETC.
</t>
  </si>
  <si>
    <t>3.465.</t>
  </si>
  <si>
    <t>( OCHOCIENTOS TREINTA  PESOS 63/100 M.N. )
( CERO DÓLARES 00/100 USD )</t>
  </si>
  <si>
    <t>3.466.</t>
  </si>
  <si>
    <t xml:space="preserve">
APLICACIÓN DE ACABADO POLISILOXANO EPÓXICO O ACRÍLICO DE DOS COMPONENTES ALTOS SÓLIDOS DE ALTA RESISTENCIA RA-35. A UNA CAPA DE 100 MICRAS DE ESPESOR DE ACUERDO A NORMA DE REFERENCIA NRF-295-PEMEX-2013, INCLUYE MATERIALES DE CONSUMO, PINTURA, SOLVENTES, LIMPIEZA DEL ÁREA DE TRABAJO, PARA APLICARLO EN TUBERÍA, CODOS, TEES, REDUCCIONES ETC. DE DIFERENTES DIÁMETROS, ASÍ COMO EN VIGAS, ÁNGULOS, SOLERAS ETC.
</t>
  </si>
  <si>
    <t>( OCHOCIENTOS NOVENTA Y SEIS  PESOS 48/100 M.N. )
( CERO DÓLARES 00/100 USD )</t>
  </si>
  <si>
    <t>3.467.</t>
  </si>
  <si>
    <t xml:space="preserve">
APLICACIÓN COSTA FUERA DE RECUBRIMIENTO ESPECIFICACIÓN PEMEX RA-35 ACABADO POLISILOXANO O ACRÍLICO DE DOS COMPONENTES ALTOS SÓLIDOS DE ALTA RESISTENCIA DOS CAPAS DE 75-100 MICRÓMETROS POR CAPA SECA. PARA ROTULACIÓN POR ASPERSIÓN
</t>
  </si>
  <si>
    <t>( DOS MIL DOSCIENTOS NOVENTA Y CINCO  PESOS 75/100 M.N. )
( CERO DÓLARES 00/100 USD )</t>
  </si>
  <si>
    <t>3.474.</t>
  </si>
  <si>
    <t>( DIEZ MIL CINCUENTA Y NUEVE  PESOS 26/100 M.N. )
( CERO DÓLARES 00/100 USD )</t>
  </si>
  <si>
    <t>3.475.</t>
  </si>
  <si>
    <t xml:space="preserve">
2" Ø CED. 40.
</t>
  </si>
  <si>
    <t>3.480.</t>
  </si>
  <si>
    <t>3.485.</t>
  </si>
  <si>
    <t xml:space="preserve">
10" Ø CED. 40
</t>
  </si>
  <si>
    <t>( ONCE MIL NOVECIENTOS SESENTA Y CUATRO  PESOS 73/100 M.N. )
( CERO DÓLARES 00/100 USD )</t>
  </si>
  <si>
    <t>3.487.</t>
  </si>
  <si>
    <t>3.490.</t>
  </si>
  <si>
    <t>3.560.</t>
  </si>
  <si>
    <t>( UN MIL DOSCIENTOS CUARENTA Y SIETE  PESOS 76/100 M.N. )
( CERO DÓLARES 00/100 USD )</t>
  </si>
  <si>
    <t>3.561.</t>
  </si>
  <si>
    <t>( UN MIL CUATROCIENTOS CUARENTA Y SEIS  PESOS 55/100 M.N. )
( CERO DÓLARES 00/100 USD )</t>
  </si>
  <si>
    <t>3.564.</t>
  </si>
  <si>
    <t>( TRES MIL DOSCIENTOS VEINTIOCHO  PESOS 86/100 M.N. )
( CERO DÓLARES 00/100 USD )</t>
  </si>
  <si>
    <t>3.566.</t>
  </si>
  <si>
    <t>( CUATRO MIL SETENTA Y UN  PESOS 16/100 M.N. )
( CERO DÓLARES 00/100 USD )</t>
  </si>
  <si>
    <t>3.567.</t>
  </si>
  <si>
    <t xml:space="preserve">
8" Ø CED. 40
</t>
  </si>
  <si>
    <t>( CUATRO MIL CIENTO CUARENTA  PESOS 74/100 M.N. )
( CERO DÓLARES 00/100 USD )</t>
  </si>
  <si>
    <t>3.569.</t>
  </si>
  <si>
    <t>( UN MIL QUINIENTOS SESENTA Y DOS  PESOS 76/100 M.N. )
( CERO DÓLARES 00/100 USD )</t>
  </si>
  <si>
    <t>3.571.</t>
  </si>
  <si>
    <t>( OCHO MIL SETECIENTOS TREINTA Y DOS  PESOS 51/100 M.N. )
( CERO DÓLARES 00/100 USD )</t>
  </si>
  <si>
    <t>3.574.</t>
  </si>
  <si>
    <t>( OCHO MIL OCHOCIENTOS VEINTIUN  PESOS 48/100 M.N. )
( CERO DÓLARES 00/100 USD )</t>
  </si>
  <si>
    <t xml:space="preserve">
LÍQUIDOS PENETRANTES
</t>
  </si>
  <si>
    <t xml:space="preserve">
INSPECCIÓN DE SOLDADURA MEDIANTE PRUEBAS NO DESTRUCTIVAS
</t>
  </si>
  <si>
    <t>3.600.</t>
  </si>
  <si>
    <t xml:space="preserve">
INSPECCIÓN DE SOLDADURA MEDIANTE PRUEBAS NO DESTRUCTIVAS DE ½" A 2" DE DIÁMETRO
</t>
  </si>
  <si>
    <t xml:space="preserve">
RADIOGRAFIADO DE JUNTAS SOLDADAS
</t>
  </si>
  <si>
    <t xml:space="preserve">
INSPECCIÓN RADIOGRÁFICA DE JUNTAS SOLDABLES A TOPE EN CONEXIONES Y TUBERÍAS
</t>
  </si>
  <si>
    <t>3.606.</t>
  </si>
  <si>
    <t xml:space="preserve">
INSPECCIÓN RADIOGRÁFICA DE JUNTAS SOLDABLES A TOPE DE 1" A 4" DIAM
</t>
  </si>
  <si>
    <t>( DOSCIENTOS VEINTITRES  PESOS 88/100 M.N. )
( CERO DÓLARES 00/100 USD )</t>
  </si>
  <si>
    <t>3.607.</t>
  </si>
  <si>
    <t>3.619.</t>
  </si>
  <si>
    <t xml:space="preserve">
INSPECCIÓN DE SOLDADURA MEDIANTE PRUEBAS NO DESTRUCTIVAS (LÍQUIDOS PENETRANTES) EN PERFILES ESTRUCTURALES COSTA FUERA.
</t>
  </si>
  <si>
    <t>ML</t>
  </si>
  <si>
    <t>( DOSCIENTOS CUARENTA Y OCHO  PESOS 75/100 M.N. )
( CERO DÓLARES 00/100 USD )</t>
  </si>
  <si>
    <t xml:space="preserve">
BUCEO DE SUPERFICIE Y UNA CÁMARA DE DESCOMPRESIÓN
</t>
  </si>
  <si>
    <t>3.647.</t>
  </si>
  <si>
    <t xml:space="preserve">
BUCEO DE SUPERFICIE DE 8 BUZOS Y DOS CÁMARA DE DESCOMPRESIÓN
</t>
  </si>
  <si>
    <t>( CERO PESOS 00/100 M.N. )
( CUATRO MIL SEISCIENTOS CUARENTA Y UN  DÓLARES 68/100 USD )</t>
  </si>
  <si>
    <t>3.648.</t>
  </si>
  <si>
    <t xml:space="preserve">
BUCEO DE SUPERFICIE DE 4 BUZOS, 1 SUPERVISOR DE BUCEO Y 1 SUPERINTENDENTE DE BUCEO
</t>
  </si>
  <si>
    <t>( CERO PESOS 00/100 M.N. )
( CUATRO MIL VEINTITRES  DÓLARES 53/100 USD )</t>
  </si>
  <si>
    <t xml:space="preserve">
SUBTOTAL ANEXO C-3
</t>
  </si>
  <si>
    <t>4</t>
  </si>
  <si>
    <t xml:space="preserve">
CATALOGO DE CONCEPTOS DE PERSONAL OPTATIVO PARA TRABAJOS DE REHABILITACIÓN Y ADECUACIÓN EN TIERRA, MAR Y SEGURIDAD
</t>
  </si>
  <si>
    <t xml:space="preserve">
PERSONAL TÉCNICO Y DE INGENIERÍA
</t>
  </si>
  <si>
    <t>4.2.</t>
  </si>
  <si>
    <t xml:space="preserve">
ELABORACIÓN DE INGENIERÍA BÁSICA Y DE DETALLE
</t>
  </si>
  <si>
    <t>H-H</t>
  </si>
  <si>
    <t>( SEISCIENTOS VEINTICINCO  PESOS 00/100 M.N. )
( CERO DÓLARES 00/100 USD )</t>
  </si>
  <si>
    <t xml:space="preserve">
PERSONAL (MAR)
</t>
  </si>
  <si>
    <t>4.4.</t>
  </si>
  <si>
    <t xml:space="preserve">
AYUDANTE DE OPERARIO ESPTA.
</t>
  </si>
  <si>
    <t>JORNADA</t>
  </si>
  <si>
    <t>( UN MIL CUATROCIENTOS SESENTA Y TRES  PESOS 99/100 M.N. )
( CERO DÓLARES 00/100 USD )</t>
  </si>
  <si>
    <t>4.5.</t>
  </si>
  <si>
    <t xml:space="preserve">
MANIOBRISTA
</t>
  </si>
  <si>
    <t>( DOS MIL TRESCIENTOS SESENTA Y NUEVE  PESOS 01/100 M.N. )
( CERO DÓLARES 00/100 USD )</t>
  </si>
  <si>
    <t>4.7.</t>
  </si>
  <si>
    <t xml:space="preserve">
OPERARIO ESPECIALISTA. (SOLDADOR)
</t>
  </si>
  <si>
    <t>( TRES MIL SEISCIENTOS SESENTA  PESOS 18/100 M.N. )
( CERO DÓLARES 00/100 USD )</t>
  </si>
  <si>
    <t xml:space="preserve">4.7. </t>
  </si>
  <si>
    <t xml:space="preserve">
OPERARIO ESPECIALISTA. (TUBERO)
</t>
  </si>
  <si>
    <t xml:space="preserve">4.7.  </t>
  </si>
  <si>
    <t xml:space="preserve">
OPERARIO ESPECIALISTA. (SOPLETERO PINTOR)
</t>
  </si>
  <si>
    <t xml:space="preserve">
OPERARIO ESPECIALISTA. (ELECTRICO)
</t>
  </si>
  <si>
    <t xml:space="preserve">
OPERARIO ESPECIALISTA. (INSTRUMENTISTA)
</t>
  </si>
  <si>
    <t>4.9.</t>
  </si>
  <si>
    <t xml:space="preserve">
CABO DE OFICIOS (TUBERO - SOLDADOR)
</t>
  </si>
  <si>
    <t>( TRES MIL NOVECIENTOS CUARENTA Y SIETE  PESOS 93/100 M.N. )
( CERO DÓLARES 00/100 USD )</t>
  </si>
  <si>
    <t xml:space="preserve">
CABO DE OFICIOS (SOPLETERO - PINTOR)
</t>
  </si>
  <si>
    <t xml:space="preserve">
CABO DE OFICIOS (ELECTRICO)
</t>
  </si>
  <si>
    <t>4.10.</t>
  </si>
  <si>
    <t xml:space="preserve">
CABO DE MANIOBRAS
</t>
  </si>
  <si>
    <t>( TRES MIL TRECE  PESOS 83/100 M.N. )
( CERO DÓLARES 00/100 USD )</t>
  </si>
  <si>
    <t>4.11.</t>
  </si>
  <si>
    <t xml:space="preserve">
SOBRESTANTE (TUBERO - SOLDADOR)
</t>
  </si>
  <si>
    <t>( CUATRO MIL NOVECIENTOS SESENTA Y DOS  PESOS 23/100 M.N. )
( CERO DÓLARES 00/100 USD )</t>
  </si>
  <si>
    <t xml:space="preserve">
SOBRESTANTE(MANIOBRAS)
</t>
  </si>
  <si>
    <t>4.12.</t>
  </si>
  <si>
    <t xml:space="preserve">
TECNICO ESPECIALISTA SISTEMA AUTOCAD
</t>
  </si>
  <si>
    <t>( DOS MIL QUINIENTOS CINCUENTA Y TRES  PESOS 58/100 M.N. )
( CERO DÓLARES 00/100 USD )</t>
  </si>
  <si>
    <t>4.13.</t>
  </si>
  <si>
    <t xml:space="preserve">
INGENIERO ESPECIALISTA DE CAMPO (MAR)
</t>
  </si>
  <si>
    <t>( CINCO MIL TRESCIENTOS NOVENTA Y SIETE  PESOS 20/100 M.N. )
( CERO DÓLARES 00/100 USD )</t>
  </si>
  <si>
    <t>4.14.</t>
  </si>
  <si>
    <t xml:space="preserve">
SUPERVISOR ESPECIALISTA TIPO (A- MAR)
</t>
  </si>
  <si>
    <t>4.15.</t>
  </si>
  <si>
    <t xml:space="preserve">
SUPERVISOR ESPECIALISTA TIPO (B- MAR)
</t>
  </si>
  <si>
    <t xml:space="preserve">
PERSONAL DE SEGURIDAD
</t>
  </si>
  <si>
    <t>4.16.</t>
  </si>
  <si>
    <t xml:space="preserve">
ENCARGADO DE SEGURIDAD Y PROTECCIÓN AMBIENTAL
</t>
  </si>
  <si>
    <t>( CUATRO MIL DOSCIENTOS OCHENTA Y TRES  PESOS 63/100 M.N. )
( CERO DÓLARES 00/100 USD )</t>
  </si>
  <si>
    <t>4.17.</t>
  </si>
  <si>
    <t xml:space="preserve">
AYUDANTE DE SEGURIDAD INDUSTRIAL Y CONTRA INCENDIO
</t>
  </si>
  <si>
    <t>( DOS MIL QUINIENTOS SETENTA  PESOS 18/100 M.N. )
( CERO DÓLARES 00/100 USD )</t>
  </si>
  <si>
    <t xml:space="preserve">
PERSONAL (TIERRA)
</t>
  </si>
  <si>
    <t>4.20.</t>
  </si>
  <si>
    <t xml:space="preserve">
OPERARIO ESPECIALISTA (SOLDADOR)
</t>
  </si>
  <si>
    <t>( TRES MIL CIENTO SESENTA Y DOS  PESOS 35/100 M.N. )
( CERO DÓLARES 00/100 USD )</t>
  </si>
  <si>
    <t xml:space="preserve">
OPERARIO ESPECIALISTA (TUBERO)
</t>
  </si>
  <si>
    <t>4.22.</t>
  </si>
  <si>
    <t xml:space="preserve">
AYUDANTE DE OPERARIO ESPECIALISTA
</t>
  </si>
  <si>
    <t>( NOVECIENTOS OCHO  PESOS 45/100 M.N. )
( CERO DÓLARES 00/100 USD )</t>
  </si>
  <si>
    <t>4.24.</t>
  </si>
  <si>
    <t xml:space="preserve">
CABO DE OFICIOS.
</t>
  </si>
  <si>
    <t>( DOS MIL OCHOCIENTOS CINCUENTA Y SEIS  PESOS 73/100 M.N. )
( CERO DÓLARES 00/100 USD )</t>
  </si>
  <si>
    <t>4.26.</t>
  </si>
  <si>
    <t xml:space="preserve">
INGENIERO ESPECIALISTA DE CAMPO (TIERRA)
</t>
  </si>
  <si>
    <t>( TRES MIL OCHOCIENTOS DOCE  PESOS 78/100 M.N. )
( CERO DÓLARES 00/100 USD )</t>
  </si>
  <si>
    <t>4.28.</t>
  </si>
  <si>
    <t>4.30.</t>
  </si>
  <si>
    <t>( UN MIL SETECIENTOS NOVENTA Y UN  PESOS 26/100 M.N. )
( CERO DÓLARES 00/100 USD )</t>
  </si>
  <si>
    <t>4.32.</t>
  </si>
  <si>
    <t xml:space="preserve">
OPERARIO DE PRIMERA.
</t>
  </si>
  <si>
    <t>( DOS MIL CUATROCIENTOS SESENTA Y SEIS  PESOS 63/100 M.N. )
( CERO DÓLARES 00/100 USD )</t>
  </si>
  <si>
    <t>4.34.</t>
  </si>
  <si>
    <t xml:space="preserve">
COORDINADOR TÉCNICO-ADMINISTRATIVO (TIERRA)
</t>
  </si>
  <si>
    <t>4.36.</t>
  </si>
  <si>
    <t xml:space="preserve">
SUPERVISOR ESPECIALISTA TIPO (A- TIERRA)
</t>
  </si>
  <si>
    <t>( CUATRO MIL DOSCIENTOS NUEVE  PESOS 81/100 M.N. )
( CERO DÓLARES 00/100 USD )</t>
  </si>
  <si>
    <t>4.38.</t>
  </si>
  <si>
    <t xml:space="preserve">
SUPERVISOR ESPECIALISTA TIPO (B- TIERRA)
</t>
  </si>
  <si>
    <t>( CUATRO MIL SEISCIENTOS NOVENTA Y CINCO  PESOS 55/100 M.N. )
( CERO DÓLARES 00/100 USD )</t>
  </si>
  <si>
    <t xml:space="preserve">
SUBTOTAL ANEXO C-4
</t>
  </si>
  <si>
    <t>4.1.</t>
  </si>
  <si>
    <t xml:space="preserve">
PLANTILLA BASE DE PERSONAL (ANEXO C-4-1)
</t>
  </si>
  <si>
    <t xml:space="preserve">4.7.   </t>
  </si>
  <si>
    <t xml:space="preserve">
OPERARIO ESPECIALISTA
</t>
  </si>
  <si>
    <t xml:space="preserve">
SOBRESTANTE
</t>
  </si>
  <si>
    <t xml:space="preserve">
PERSONAL DE SEGURIDAD (MAR)
</t>
  </si>
  <si>
    <t xml:space="preserve">
SUBTOTAL ANEXO C-4-1
</t>
  </si>
  <si>
    <t>5</t>
  </si>
  <si>
    <t xml:space="preserve">
CATALOGO DE CONCEPTOS DE EQUIPO OPTATIVOS PARA TRABAJOS DE REHABILITACIÓN Y ADECUACIÓN DE MAR Y DE SEGURIDAD
</t>
  </si>
  <si>
    <t xml:space="preserve">
EQUIPO OPTATIVO PARA TRABAJOS DE REHABILITACIÓN Y ADECUACIÓN COSTA FUERA
</t>
  </si>
  <si>
    <t>5.1.</t>
  </si>
  <si>
    <t xml:space="preserve">
MÁQUINAS DE SOLDAR DIESEL RANGO DE SALIDA DE 30 A 550 AMPS. DE REGULACIÓN MANUAL, EQUIPADA CON AMPERÍMETROS Y VOLTÍMETROS VISIBLES, CABLES PORTA ELECTRODO, TOMA CORRIENTE DE 110 Y 220 VOLTS.
</t>
  </si>
  <si>
    <t>( UN MIL CIENTO VEINTICINCO  PESOS 00/100 M.N. )
( CERO DÓLARES 00/100 USD )</t>
  </si>
  <si>
    <t>5.3.</t>
  </si>
  <si>
    <t xml:space="preserve">
HORNOS ELÉCTRICOS CON CONTROL DE TEMPERATURA PARA LA CONSERVACIÓN DE LA SOLDADURA.
</t>
  </si>
  <si>
    <t>( CIENTO VEINTICUATRO  PESOS 95/100 M.N. )
( CERO DÓLARES 00/100 USD )</t>
  </si>
  <si>
    <t>5.4.</t>
  </si>
  <si>
    <t xml:space="preserve">
EQUIPO COMPLETO DE OXIACETILENO PARA CALENTAMIENTO Y CORTE.
</t>
  </si>
  <si>
    <t>( OCHENTA Y CUATRO  PESOS 90/100 M.N. )
( CERO DÓLARES 00/100 USD )</t>
  </si>
  <si>
    <t>5.7.</t>
  </si>
  <si>
    <t xml:space="preserve">
LOTES DE LLAVES DE GOLPE. DE ESTRÍAS, EN PULGADAS, MEDIDAS DE BOCA DE 1 1/6'', 1 ¼'' , 1 7/16'', 1 ½'', 1⅝'', 1 13/16'', 2'', 2 3/16'', 2⅜'', 2½'', 2 9/16'', 2¾'', 2 15/16'', 3'', 3⅛'', 3⅝'', Y 3⅞''. MARROS ANTICHISPAS DE BRONCE DE 12LB, 14LB, 16LB Y 18LB; (DOS DE CADA UNA DE LAS MEDIDAS DE LAS LLAVES Y DOS MARROS DE CADA LIBRAJE.)
</t>
  </si>
  <si>
    <t>( SEISCIENTOS OCHENTA Y CINCO  PESOS 05/100 M.N. )
( CERO DÓLARES 00/100 USD )</t>
  </si>
  <si>
    <t xml:space="preserve">
LEVANTADORA MONTACARGA DE CADENA
</t>
  </si>
  <si>
    <t>5.13.</t>
  </si>
  <si>
    <t xml:space="preserve">
LEVANTADORA MONTACARGA DE CADENA DE 1 ½ TONELADAS.
</t>
  </si>
  <si>
    <t>( TREINTA Y CUATRO  PESOS 95/100 M.N. )
( CERO DÓLARES 00/100 USD )</t>
  </si>
  <si>
    <t>5.14.</t>
  </si>
  <si>
    <t xml:space="preserve">
LEVANTADORA MONTACARGA DE CADENA DE 3 TONELADAS.
</t>
  </si>
  <si>
    <t>( CINCUENTA Y CUATRO  PESOS 90/100 M.N. )
( CERO DÓLARES 00/100 USD )</t>
  </si>
  <si>
    <t>5.15.</t>
  </si>
  <si>
    <t xml:space="preserve">
LEVANTADORA MONTACARGA DE CADENA DE 6 TONELADAS.
</t>
  </si>
  <si>
    <t>( CIENTO SESENTA Y DOS  PESOS 90/100 M.N. )
( CERO DÓLARES 00/100 USD )</t>
  </si>
  <si>
    <t xml:space="preserve">
DIFERENCIAL DE CADENA
</t>
  </si>
  <si>
    <t>5.16.</t>
  </si>
  <si>
    <t xml:space="preserve">
DIFERENCIAL DE CADENA DE 1½ TONELADAS.
</t>
  </si>
  <si>
    <t>( CIENTO SETENTA Y CINCO  PESOS 35/100 M.N. )
( CERO DÓLARES 00/100 USD )</t>
  </si>
  <si>
    <t>5.17.</t>
  </si>
  <si>
    <t xml:space="preserve">
DIFERENCIAL DE CADENA DE 3 TONELADAS.
</t>
  </si>
  <si>
    <t>( DOSCIENTOS CINCO  PESOS 50/100 M.N. )
( CERO DÓLARES 00/100 USD )</t>
  </si>
  <si>
    <t>5.18.</t>
  </si>
  <si>
    <t xml:space="preserve">
DIFERENCIAL DE CADENA DE 5 TONELADAS.
</t>
  </si>
  <si>
    <t>( TRESCIENTOS CUARENTA Y NUEVE  PESOS 95/100 M.N. )
( CERO DÓLARES 00/100 USD )</t>
  </si>
  <si>
    <t xml:space="preserve">
GRILLETES DE ACERO PARA
</t>
  </si>
  <si>
    <t>5.22.</t>
  </si>
  <si>
    <t xml:space="preserve">
GRILLETES DE ACERO PARA 10 TON.
</t>
  </si>
  <si>
    <t>( TREINTA Y UN  PESOS 65/100 M.N. )
( CERO DÓLARES 00/100 USD )</t>
  </si>
  <si>
    <t>5.23.</t>
  </si>
  <si>
    <t xml:space="preserve">
GRILLETES DE ACERO PARA 15 TON.
</t>
  </si>
  <si>
    <t>( CUARENTA Y NUEVE  PESOS 05/100 M.N. )
( CERO DÓLARES 00/100 USD )</t>
  </si>
  <si>
    <t xml:space="preserve">
MALACATE DE AIRE (INCLUYE POLEAS, CABLES GRILLETES Y MANGUERAS)
</t>
  </si>
  <si>
    <t>5.27.</t>
  </si>
  <si>
    <t xml:space="preserve">
MALACATE DE AIRE DE 12 TONELADAS.
</t>
  </si>
  <si>
    <t>( DOS MIL OCHOCIENTOS CINCUENTA  PESOS 00/100 M.N. )
( CERO DÓLARES 00/100 USD )</t>
  </si>
  <si>
    <t>5.28.</t>
  </si>
  <si>
    <t xml:space="preserve">
UNIDAD DE ARCO AIRE (ARC-AIR). CON MANGUERA Y ACCESORIOS. INCLUYE CARBONES.
</t>
  </si>
  <si>
    <t>5.31.</t>
  </si>
  <si>
    <t xml:space="preserve">
EQUIPO PARA PRUEBAS HIDROSTÁTICAS CON BOMBA NEUMÁTICA MCA. HASKEL DE 5000 PSI Y MAMÓGRAFO MCA. BARTON CON RANGOS DE 0-1500 PSI Y 0°-150° C O EQUIVALENTE.
</t>
  </si>
  <si>
    <t>( TRECE MIL TRESCIENTOS NOVENTA Y NUEVE  PESOS 95/100 M.N. )
( CERO DÓLARES 00/100 USD )</t>
  </si>
  <si>
    <t>5.32.</t>
  </si>
  <si>
    <t xml:space="preserve">
COMPRESORES DE AIRE DE 600 PCM. MÍNIMO:
</t>
  </si>
  <si>
    <t>( DOS MIL SEISCIENTOS OCHENTA Y SIETE  PESOS 40/100 M.N. )
( CERO DÓLARES 00/100 USD )</t>
  </si>
  <si>
    <t>5.36.</t>
  </si>
  <si>
    <t xml:space="preserve">
EQUIPO PINTURA CONVENCIONAL (INCLUYE MANGUERAS DE ½''Ø PARA AIRE DE ALTA PRESIÓN 50 MTS. Y DE ⅜''Ø ALTA PRESIÓN PARA RECUBRIMIENTOS 50 MTS., OLLAS PARA PINTURA CON CAPACIDAD DE 20 Y 4 LITROS, PISTOLAS DE VILBISS CON AGUJAS EX Y FX PARA APLICACIÓN DE RECUBRIMIENTOS PRIMARIO Y ACABADOS ETC.)
</t>
  </si>
  <si>
    <t>( DOSCIENTOS CUARENTA Y NUEVE  PESOS 90/100 M.N. )
( CERO DÓLARES 00/100 USD )</t>
  </si>
  <si>
    <t xml:space="preserve">
EQUIPO DE TORQUE CONTROLADO SIMULTANEO PARA BRIDAS DE 2", 2 1/2", 3", 4", 6" 8", 10", 12", 14", 16", 18", 20",22", 24", 26", 30", 24", 36", Y 48", CON CAPACIDADE DE 150, 300, 400, 600, Y 900 LBS EQUIVALENTE CON MANIFULL PARA 04 LLAVES SIMULTANEAS
</t>
  </si>
  <si>
    <t>5.57.</t>
  </si>
  <si>
    <t xml:space="preserve">
EQUIPO DE TORQUE CONTROLADO SIMULTÁNEO PARA ESPÁRRAGOS DE 1" A 1⅞''Ø.
</t>
  </si>
  <si>
    <t>( DIECISIETE MIL CUATROCIENTOS TREINTA Y SIETE  PESOS 50/100 M.N. )
( CERO DÓLARES 00/100 USD )</t>
  </si>
  <si>
    <t>5.61.</t>
  </si>
  <si>
    <t xml:space="preserve">
SEPARADOR DE BRIDAS HIDRÁULICO MODELO 10 T (E) MAXI - KIT TIPO AM MCA. THE EQUALIZER O EQUIVALENTE, CON CAPACIDAD DE APERTURA DE 12 TONS. A 10,000 PSI. O EQUIVALENTE.
</t>
  </si>
  <si>
    <t>( UN MIL SETECIENTOS TRECE  PESOS 45/100 M.N. )
( CERO DÓLARES 00/100 USD )</t>
  </si>
  <si>
    <t>5.79.</t>
  </si>
  <si>
    <t xml:space="preserve">
LUMINARIO INDUSTRIAL PARA ALUMBRADO EXTERIOR A PRUEBA DE EXPLOSIÓN.
</t>
  </si>
  <si>
    <t>( TRESCIENTOS OCHENTA Y OCHO  PESOS 50/100 M.N. )
( CERO DÓLARES 00/100 USD )</t>
  </si>
  <si>
    <t xml:space="preserve">
EQUIPO DE SALVAMENTO
</t>
  </si>
  <si>
    <t>5.93.</t>
  </si>
  <si>
    <t xml:space="preserve">
UNIDAD COMPLETA DE BOMBEO PARA AGUA DE MAR (SIST. CONTRA INCENDIO) TIPO HIDROSUB O HIDROPUMP O EQUIVALENTE, INCLUYE ACCESORIOS.
</t>
  </si>
  <si>
    <t>( QUINCE MIL SETECIENTOS DOS  PESOS 30/100 M.N. )
( CERO DÓLARES 00/100 USD )</t>
  </si>
  <si>
    <t>5.94.</t>
  </si>
  <si>
    <t xml:space="preserve">
COMPRESOR Y EQUIPO DE CASCADA GRADO "D" 'O "E' MAYOR DE 10 PIES CÚBICOS POR MINUTO Y UNA PRESIÓN DE 5000 PSI.
</t>
  </si>
  <si>
    <t>( UN MIL QUINIENTOS  PESOS 00/100 M.N. )
( CERO DÓLARES 00/100 USD )</t>
  </si>
  <si>
    <t xml:space="preserve">
EQUIPO TRANSPORTE MARÍTIMO
</t>
  </si>
  <si>
    <t>5.106.</t>
  </si>
  <si>
    <t xml:space="preserve">
ABASTECEDOR PARA TRANSPORTE DE MATERIALES Y EQUIPOS.
</t>
  </si>
  <si>
    <t>( CERO PESOS 00/100 M.N. )
( ONCE MIL SETECIENTOS DIECIOCHO  DÓLARES 75/100 USD )</t>
  </si>
  <si>
    <t xml:space="preserve">
EQUIPO OPTATIVO PARA TRABAJOS DE REHABILITACIÓN Y ADECUACIÓN EN TIERRA
</t>
  </si>
  <si>
    <t xml:space="preserve">
EQUIPOS DE TRANSPORTE EN TIERRA
</t>
  </si>
  <si>
    <t>5.110.</t>
  </si>
  <si>
    <t xml:space="preserve">
CAMIÓN CON PLATAFORMA DE 30 TON Y GRÚA ARTICULADA CAP. 10 TON. (INCLUYE OPERADOR, ESTROBOS, GRILLETES Y GROMET´S).
</t>
  </si>
  <si>
    <t>HORA</t>
  </si>
  <si>
    <t>( DOS MIL QUINIENTOS  PESOS 00/100 M.N. )
( CERO DÓLARES 00/100 USD )</t>
  </si>
  <si>
    <t>5.112.</t>
  </si>
  <si>
    <t xml:space="preserve">
CAMIÓN CON PLATAFORMA DE 60 TON TIPO PLANA ( INCLUYE OPERADOR, ESTROBOS, GRILLETES Y GROMET´S).
</t>
  </si>
  <si>
    <t>( CUATRO MIL SEISCIENTOS OCHENTA Y SIETE  PESOS 50/100 M.N. )
( CERO DÓLARES 00/100 USD )</t>
  </si>
  <si>
    <t xml:space="preserve">
GRÚAS
</t>
  </si>
  <si>
    <t>5.115.</t>
  </si>
  <si>
    <t xml:space="preserve">
GRÚA DE 60 TON. (INCLUYE OPERADOR, ESTROBOS, GRILLETES Y GROMET´S).
</t>
  </si>
  <si>
    <t>( VEINTICINCO MIL  PESOS 00/100 M.N. )
( CERO DÓLARES 00/100 USD )</t>
  </si>
  <si>
    <t>5.116.</t>
  </si>
  <si>
    <t xml:space="preserve">
GRÚA DE 150 TONELADAS (INCLUYE OPERADOR, ESTROBOS, GRILLETES) ( EN TIERRA).
</t>
  </si>
  <si>
    <t>( SESENTA Y OCHO MIL SETECIENTOS CINCUENTA  PESOS 00/100 M.N. )
( CERO DÓLARES 00/100 USD )</t>
  </si>
  <si>
    <t xml:space="preserve">
EQUIPOS OPTATIVO PARA TRABAJOS DE REHABILITACIÓN Y ADECUACIÓN 
</t>
  </si>
  <si>
    <t>5.119.</t>
  </si>
  <si>
    <t xml:space="preserve">
ESTROBOS, GRILLETES Y GROMET´S.
</t>
  </si>
  <si>
    <t>( TRESCIENTOS DOCE  PESOS 50/100 M.N. )
( CERO DÓLARES 00/100 USD )</t>
  </si>
  <si>
    <t>5.170.</t>
  </si>
  <si>
    <t xml:space="preserve">
EQUIPO ESPECIALIZADO PARA RELEVADO DE ESFUERZO INCLUYE EQUIPO DE GENERACIÓN ELÉCTRICA A BASE DE MOTOR DE COMBUSTIÓN INTERNA CON RANGO DE 120 A 150 KVA CON SALIDA DE 220/440 VOLTS EQUIPADO CON AMPERÍMETROS Y VOLTÍMETROS VISIBLES Y CABLES. (INCLUYE PERSONAL TÉCNICO).
</t>
  </si>
  <si>
    <t>( DOCE MIL NOVECIENTOS SESENTA  PESOS 00/100 M.N. )
( CERO DÓLARES 00/100 USD )</t>
  </si>
  <si>
    <t>5.175.</t>
  </si>
  <si>
    <t xml:space="preserve">
EQUIPO COMPLETO DE CORTE SUBMARINO (INCLUYE PERSONAL TÉCNICO).
</t>
  </si>
  <si>
    <t>( DOS MIL DOSCIENTOS OCHENTA  PESOS 00/100 M.N. )
( CERO DÓLARES 00/100 USD )</t>
  </si>
  <si>
    <t>5.176.</t>
  </si>
  <si>
    <t xml:space="preserve">
LLAVES DE IMPACTO HIDRÁULICAS CON LLAVE DE CUBO DE DIFERENTES MEDIDAS, IW-24 DE 1300-2000 PSI DE 15GPM (INCLUYE PERSONAL TÉCNICO).
</t>
  </si>
  <si>
    <t>( DOS MIL SETECIENTOS SETENTA Y CINCO  PESOS 00/100 M.N. )
( CERO DÓLARES 00/100 USD )</t>
  </si>
  <si>
    <t>5.177.</t>
  </si>
  <si>
    <t xml:space="preserve">
LLAVES DE IMPACTO HIDRÁULICAS CON LLAVE DE CUBO DE DIFERENTES MEDIDAS, IW-16 DE 500-2500 PSI DE 12GPM (INCLUYE PERSONAL TÉCNICO).
</t>
  </si>
  <si>
    <t>( DOS MIL VEINTICINCO  PESOS 00/100 M.N. )
( CERO DÓLARES 00/100 USD )</t>
  </si>
  <si>
    <t xml:space="preserve">
SUBTOTAL ANEXO C-5
</t>
  </si>
  <si>
    <t xml:space="preserve">
PLANTILLA BASE DE EQUIPO (ANEXO C-5-1)
</t>
  </si>
  <si>
    <t xml:space="preserve">
SUBTOTAL ANEXO C-5-1
</t>
  </si>
  <si>
    <t>6</t>
  </si>
  <si>
    <t xml:space="preserve">
CATALOGO DE CONCEPTOS DE HOSPEDAJE Y ALIMENTACIÓN OPTATIVOS
</t>
  </si>
  <si>
    <t>6.1.</t>
  </si>
  <si>
    <t xml:space="preserve">
SERVICIO DE HOSPEDAJE, ALIMENTACIÓN DE TRES COMIDAS Y SERVICIO DE CAFÉ.
</t>
  </si>
  <si>
    <t>HOM/DIA</t>
  </si>
  <si>
    <t>( CUATROCIENTOS SETENTA Y CINCO  PESOS 00/100 M.N. )
( CERO DÓLARES 00/100 USD )</t>
  </si>
  <si>
    <t xml:space="preserve">
SUBTOTAL ANEXO C-6
</t>
  </si>
  <si>
    <t xml:space="preserve">
CATALOGO DE CONCEPTOS NO PREVISTOS DE SUMINISTRO Y PREFABRICACIÓN DE ESTUCTURA Y TUBOS PARA TRABAJOS DE REHABILITACIÓN Y ADECUACIÓN EN TIERRA
</t>
  </si>
  <si>
    <t>ACUM PTE</t>
  </si>
  <si>
    <t>ACUM ACT</t>
  </si>
  <si>
    <t>C2EXT-0018</t>
  </si>
  <si>
    <t xml:space="preserve">
SUMINISTRO Y APLICACIÓN EN PATIO DE PREFABRICADOS DE RECUBRIMIENTO EPOXICO DE DOS COMPONENTES, DE ALTO ESPESOR, CURADO POR ADUCTO DE POLIAMINA SIGMASHIELD 880 / AMERLOCK 880, PARA ZONA DE MAREA Y OLEAJES, APLICABLE EN ABRAZADERAS, DEFENSAS DE PIERNAS, PIERNAS DE PLATAFORMAS, DUCTOS ASCENDENTES Y ESTRUCTURA EN LA ZONA DE SPLASH, DE ACUERDO CON LA ISO 12944-9:2018, ACARREO, CARGA, DESCARGA, MANIOBRAS EN EL PATIO DE PREFABRICADOS.
</t>
  </si>
  <si>
    <t>M2</t>
  </si>
  <si>
    <t>( ONCE MIL NOVECIENTOS TRES  PESOS 21/100 M.N. )
( CERO DÓLARES 00/100 USD )</t>
  </si>
  <si>
    <t>C2EXT-0029</t>
  </si>
  <si>
    <t xml:space="preserve">
SUMINISTRO, HABILITADO E INSTALACIÓN EN PATIO DE PREFABRICADOS DE TUBO CIRCULAR (OC) 114.3 mm x 6.02 mm, 16.08 kg/m, DE ACERO AL CARBÓN API-5L-GR. B, INCLUYE: ACARREO, CARGA, DESCARGA, MANIOBRAS.
</t>
  </si>
  <si>
    <t>( TRESCIENTOS NOVENTA Y UN MIL CINCUENTA  PESOS 80/100 M.N. )
( OCHOCIENTOS SESENTA Y SIETE  DÓLARES 83/100 USD )</t>
  </si>
  <si>
    <t>C2EXT-0033</t>
  </si>
  <si>
    <t xml:space="preserve">
SUMINISTRO, HABILITADO E INSTALACIÓN EN PATIO DE PREFABRICADOS DE TUBO CIRCULAR (OC) 406 mm x 12.7 mm (16 in. x 0.500 in.) 123.31 kg/m, DE ACERO AL CARBÓN API-5L-GR. B, INCLUYE: ACARREO, CARGA, DESCARGA, MANIOBRAS.
</t>
  </si>
  <si>
    <t>( TRESCIENTOS TREINTA Y NUEVE MIL TRESCIENTOS CINCUENTA Y SEIS  PESOS 21/100 M.N. )
( SEISCIENTOS VEINTICUATRO  DÓLARES 83/100 USD )</t>
  </si>
  <si>
    <t>C2EXT-0037</t>
  </si>
  <si>
    <t xml:space="preserve">
SUMINISTRO, HABILITADO E INSTALACIÓN EN PATIO DE PREFABRICADOS DE PLACA LISA  ROLADA DE 3/4" DE ESPESOR DE ACERO AL CARBÓN ASTM A-36, INCLUYE: ACARREO, CARGA, DESCARGA, MANIOBRAS.
</t>
  </si>
  <si>
    <t>( TRESCIENTOS SETENTA Y CUATRO MIL OCHOCIENTOS VEINTIUN  PESOS 36/100 M.N. )
( CERO DÓLARES 00/100 USD )</t>
  </si>
  <si>
    <t>C2EXT-0038</t>
  </si>
  <si>
    <t xml:space="preserve">
SUMINISTRO, ELABORACION Y VACIADO EN PATIO DE PREFABRICADOS DE CONCRETO HIDRÁULICO CON RESISTENCIA A LA COMPRESION DE f'c=100 Kg/cm2, INCLUYE: ACARREO, CARGA, DESCARGA, MANIOBRAS.
</t>
  </si>
  <si>
    <t>M3</t>
  </si>
  <si>
    <t>( NUEVE MIL TRESCIENTOS OCHENTA Y CINCO  PESOS 77/100 M.N. )
( CERO DÓLARES 00/100 USD )</t>
  </si>
  <si>
    <t>C2EXT-0040</t>
  </si>
  <si>
    <t xml:space="preserve">
SUMINISTRO, HABILITADO Y COLOCACION EN PATIO DE PREFABRICADOS DE CAUCHO MARINER RUBBER, PARA DEFENSA, INCLUYE: ACARREO, CARGA, DESCARGA, MANIOBRAS.
</t>
  </si>
  <si>
    <t>( DOS MIL NOVECIENTOS NOVENTA  PESOS 74/100 M.N. )
( TRES MIL OCHOCIENTOS NOVENTA Y NUEVE  DÓLARES 01/100 USD )</t>
  </si>
  <si>
    <t>C2EXT-0041</t>
  </si>
  <si>
    <t xml:space="preserve">
SUMINISTRO, HABILITADO E INSTALACIÓN EN PATIO DE PREFABRICADOS DE TUBERÍA DE ACERO AL CARBONO DE 12” DE DIÁMETRO NOMINAL, CEDULA 80 ASTM A106 GR. B, S/C, ASME B36.10M, PARA SERVICIO AMARGO, INCLUYE: ACARREO, CARGA, DESCARGA, MANIOBRAS.
</t>
  </si>
  <si>
    <t>( TRECE MIL DOSCIENTOS VEINTIOCHO  PESOS 53/100 M.N. )
( CINCO MIL OCHOCIENTOS SETENTA  DÓLARES 23/100 USD )</t>
  </si>
  <si>
    <t>C2EXT-0044</t>
  </si>
  <si>
    <t xml:space="preserve">
SUMINISTRO E INSTALACIÓN EN PATIO DE PREFABRICADOS DE BRIDA CUELLO SOLDABLE DE 12” DE DIAMETRO NOMINAL, DE ACERO AL CARBONO CED. 80. CLASE 600# R.F. BORE=11.375” ASTM A105, DIMENSIONES DE ACUERDO CON ASME B16.5. PARA SERVICIO AMARGO, INCLUYE: ACARREO, CARGA, DESCARGA, MANIOBRAS.
</t>
  </si>
  <si>
    <t>( CINCUENTA Y SIETE MIL SETECIENTOS OCHENTA Y TRES  PESOS 43/100 M.N. )
( SETENTA Y OCHO  DÓLARES 10/100 USD )</t>
  </si>
  <si>
    <t>C2EXT-0046</t>
  </si>
  <si>
    <t xml:space="preserve">
SUMINISTRO E INSTALACIÓN EN PATIO DE PREFABRICADOS DE TEE REDUCCIÓN DE 12" X 6" DE DIAMETRO ACERO AL CARBONO ASTM A234 GR. WPB, CEDULA 80 S/C, EXTREMOS BISELADOS, PARA SERVICIO AMARGO, DIMENSIONES DE ACUERDO CON ASME B16.9, INCLUYE: ACARREO, CARGA, DESCARGA, MANIOBRAS.
</t>
  </si>
  <si>
    <t>( SESENTA Y SIETE MIL SEISCIENTOS UN  PESOS 82/100 M.N. )
( CIENTO SETENTA Y TRES  DÓLARES 56/100 USD )</t>
  </si>
  <si>
    <t>C2EXT-0059</t>
  </si>
  <si>
    <t xml:space="preserve">
SUMINISTRO, HABILITADO E INSTALACIÓN EN PATIO DE PREFABRICADOS DE VIGA METÁLICA PERFIL I RECTANGULAR (IR) 203 MM x 31.2 KG/M ( 8 IN. x 21 LB./FT.), DE ACERO AL CARBÓN ASTM A-36, INCLUYE: ACARREO, CARGA, DESCARGA, MANIOBRAS.
</t>
  </si>
  <si>
    <t>( DOSCIENTOS TREINTA Y OCHO MIL NOVECIENTOS SESENTA Y UN  PESOS 43/100 M.N. )
( CERO DÓLARES 00/100 USD )</t>
  </si>
  <si>
    <t>C2EXT-0062</t>
  </si>
  <si>
    <t xml:space="preserve">
SUMINISTRO, HABILITADO E INSTALACIÓN EN PATIO DE PREFABRICADOS DE VIGA IS-356 MM X 19 MM / 800 MM X 13 MM (186.12 KG/M) DE ACERO AL CARBON ASTM A-36 , INCLUYE: ACARREO, CARGA, DESCARGA, MANIOBRAS.
</t>
  </si>
  <si>
    <t>( CUATROCIENTOS OCHENTA Y DOS MIL NOVECIENTOS SESENTA Y CINCO  PESOS 02/100 M.N. )
( CERO DÓLARES 00/100 USD )</t>
  </si>
  <si>
    <t>C2EXT-0063</t>
  </si>
  <si>
    <t xml:space="preserve">
SUMINISTRO, HABILITADO E INSTALACIÓN EN PATIO DE PREFABRICADOS DE VIGA IR-203 MM X 26.6 KG/M DE ACERO AL CARBON ASTM A-572, INCLUYE: ACARREO, CARGA, DESCARGA, MANIOBRAS.
</t>
  </si>
  <si>
    <t>( DOSCIENTOS VEINTIDOS MIL DOS  PESOS 05/100 M.N. )
( CERO DÓLARES 00/100 USD )</t>
  </si>
  <si>
    <t>C2EXT-0064</t>
  </si>
  <si>
    <t xml:space="preserve">
SUMINISTRO, HABILITADO E INSTALACIÓN EN PATIO DE PREFABRICADOS DE VIGA IR-254 MM X 28.5 KG/M DE ACERO AL CARBON ASTM A-572, INCLUYE: ACARREO, CARGA, DESCARGA, MANIOBRAS.
</t>
  </si>
  <si>
    <t>( DOSCIENTOS SESENTA Y TRES MIL TRESCIENTOS OCHENTA Y OCHO  PESOS 51/100 M.N. )
( CERO DÓLARES 00/100 USD )</t>
  </si>
  <si>
    <t>C2EXT-0065</t>
  </si>
  <si>
    <t xml:space="preserve">
SUMINISTRO, HABILITADO E INSTALACIÓN EN PATIO DE PREFABRICADOS DE VIGA IR-305 MM X 74.4 KG/M DE ACERO AL CARBON ASTM A-572, INCLUYE: ACARREO, CARGA, DESCARGA, MANIOBRAS.
</t>
  </si>
  <si>
    <t>( DOSCIENTOS SETENTA Y CINCO MIL TRESCIENTOS NOVENTA Y CINCO  PESOS 38/100 M.N. )
( CERO DÓLARES 00/100 USD )</t>
  </si>
  <si>
    <t>C2EXT-0066</t>
  </si>
  <si>
    <t xml:space="preserve">
SUMINISTRO, HABILITADO E INSTALACIÓN EN PATIO DE PREFABRICADOS DE VIGA IR-102 MM X 19.40 KG/M (4” X 13 LB/FT). ACERO AL CARBON ASTM A-36, INCLUYE: ACARREO, CARGA, DESCARGA, MANIOBRAS.
</t>
  </si>
  <si>
    <t>( CIENTO SETENTA Y SEIS MIL QUINIENTOS VEINTISIETE  PESOS 34/100 M.N. )
( CERO DÓLARES 00/100 USD )</t>
  </si>
  <si>
    <t>C2EXT-0067</t>
  </si>
  <si>
    <t xml:space="preserve">
SUMINISTRO, HABILITADO E INSTALACIÓN EN PATIO DE PREFABRICADOS DE CANAL METALICO CE-152 MM X 12.20 KG/M DE ACERO AL CARBON ASTM A-572, INCLUYE: ACARREO, CARGA, DESCARGA, MANIOBRAS.
</t>
  </si>
  <si>
    <t>( DOSCIENTOS NOVENTA Y UN MIL QUINIENTOS SESENTA Y TRES  PESOS 09/100 M.N. )
( CERO DÓLARES 00/100 USD )</t>
  </si>
  <si>
    <t>C2EXT-0068</t>
  </si>
  <si>
    <t xml:space="preserve">
SUMINISTRO, HABILITADO E INSTALACIÓN EN PATIO DE PREFABRICADOS DE CANAL METALICO CE-254 MM X 22.76 KG/M DE ACERO AL CARBON ASTM A-572, INCLUYE: ACARREO, CARGA, DESCARGA, MANIOBRAS.
</t>
  </si>
  <si>
    <t>( DOSCIENTOS SETENTA Y CUATRO MIL SIETE  PESOS 91/100 M.N. )
( CERO DÓLARES 00/100 USD )</t>
  </si>
  <si>
    <t>C2EXT-0069</t>
  </si>
  <si>
    <t xml:space="preserve">
SUMINISTRO, HABILITADO E INSTALACIÓN EN PATIO DE PREFABRICADOS DE ANGULO LI-64 MM X 6 MM DE ACERO AL CARBON ASTM A-572 (6.10 KG/M), INCLUYE: ACARREO, CARGA, DESCARGA, MANIOBRAS.
</t>
  </si>
  <si>
    <t>( DOSCIENTOS NOVENTA Y UN MIL SEISCIENTOS SIETE  PESOS 13/100 M.N. )
( CERO DÓLARES 00/100 USD )</t>
  </si>
  <si>
    <t>C2EXT-0070</t>
  </si>
  <si>
    <t xml:space="preserve">
SUMINISTRO, HABILITADO E INSTALACIÓN EN PATIO DE PREFABRICADOS DE ANGULO LI-102 MM X 6 MM (9.82 KG/M) DE ACERO AL CARBON ASTM A-572 , INCLUYE: ACARREO, CARGA, DESCARGA, MANIOBRAS.
</t>
  </si>
  <si>
    <t>( DOSCIENTOS NOVENTA Y UN MIL CUATROCIENTOS SESENTA Y CUATRO  PESOS 22/100 M.N. )
( CERO DÓLARES 00/100 USD )</t>
  </si>
  <si>
    <t>C2EXT-0071</t>
  </si>
  <si>
    <t xml:space="preserve">
SUMINISTRO, HABILITADO E INSTALACIÓN EN PATIO DE PREFABRICADOS DE SOLERA DE 51 MM X 13 MM (2” X 1/2") (5.07 KG/M)  DE ACERO AL CARBON ASTM A-36 , INCLUYE: ACARREO, CARGA, DESCARGA, MANIOBRAS.
</t>
  </si>
  <si>
    <t>( DOSCIENTOS DIECISIETE MIL CIENTO VEINTIOCHO  PESOS 13/100 M.N. )
( CERO DÓLARES 00/100 USD )</t>
  </si>
  <si>
    <t>C2EXT-0072</t>
  </si>
  <si>
    <t xml:space="preserve">
SUMINISTRO, HABILITADO E INSTALACIÓN EN PATIO DE PREFABRICADOS DE SOLERA DE 76 MM X 6 MM (3” X 1/4")  (3.80 KG/M) DE ACERO AL CARBON ASTM A-36 , INCLUYE: ACARREO, CARGA, DESCARGA, MANIOBRAS.
</t>
  </si>
  <si>
    <t>( TRESCIENTOS VEINTISIETE MIL OCHOCIENTOS OCHO  PESOS 15/100 M.N. )
( CERO DÓLARES 00/100 USD )</t>
  </si>
  <si>
    <t>C2EXT-0073</t>
  </si>
  <si>
    <t xml:space="preserve">
SUMINISTRO, HABILITADO E INSTALACIÓN EN PATIO DE PREFABRICADOS DE PLACA DE 1/8" DE ESPESOR ACERO AL CARBON ASTM-A-36 , INCLUYE: ACARREO, CARGA, DESCARGA, MANIOBRAS.
</t>
  </si>
  <si>
    <t>( TRESCIENTOS TREINTA Y SIETE MIL NOVENTA Y NUEVE  PESOS 85/100 M.N. )
( CERO DÓLARES 00/100 USD )</t>
  </si>
  <si>
    <t>C2EXT-0074</t>
  </si>
  <si>
    <t xml:space="preserve">
SUMINISTRO, HABILITADO E INSTALACIÓN EN PATIO DE PREFABRICADOS DE PLACA ROLADA DE 10 MM (3/8”) DE ESPESOR DE ACERO AL CARBON ASTM A-36 (74.77 KG/M²) , INCLUYE: ACARREO, CARGA, DESCARGA, MANIOBRAS.
</t>
  </si>
  <si>
    <t>( TRESCIENTOS SESENTA Y DOS MIL TRESCIENTOS VEINTIUN  PESOS 38/100 M.N. )
( CERO DÓLARES 00/100 USD )</t>
  </si>
  <si>
    <t>C2EXT-0075</t>
  </si>
  <si>
    <t xml:space="preserve">
SUMINISTRO, HABILITADO E INSTALACIÓN EN PATIO DE PREFABRICADOS DE PLACA ROLADA DE 25 MM (1”) DE ESPESOR (199.39 KG/M²) ACERO AL CARBON ASTM A-36, INCLUYE: ACARREO, CARGA, DESCARGA, MANIOBRAS.
</t>
  </si>
  <si>
    <t>C2EXT-0076</t>
  </si>
  <si>
    <t xml:space="preserve">
SUMINISTRO, HABILITADO E INSTALACIÓN EN PATIO DE PREFABRICADOS DE PLACA ANTIDERRAPANTE DE 6 MM (1/4") (56.034 KG/M²) DE ESPESOR DE ACERO AL CARBON ASTM A-36  , INCLUYE: ACARREO, CARGA, DESCARGA, MANIOBRAS.
</t>
  </si>
  <si>
    <t>( DOSCIENTOS TREINTA Y DOS MIL NOVECIENTOS CUARENTA Y SIETE  PESOS 62/100 M.N. )
( CERO DÓLARES 00/100 USD )</t>
  </si>
  <si>
    <t>C2EXT-0077</t>
  </si>
  <si>
    <t xml:space="preserve">
SUMINISTRO, HABILITADO E INSTALACIÓN EN PATIO DE PREFABRICADOS DE PLACA ANTIDERRAPANTE DE 10 MM (3/8") DE ESPESOR (79.82 KG/M²) DE ACERO AL CARBON  ASTM A-36  , INCLUYE: ACARREO, CARGA, DESCARGA, MANIOBRAS.
</t>
  </si>
  <si>
    <t>( CUATROCIENTOS VEINTIOCHO MIL CUATROCIENTOS SESENTA Y OCHO  PESOS 52/100 M.N. )
( CERO DÓLARES 00/100 USD )</t>
  </si>
  <si>
    <t>C2EXT-0078</t>
  </si>
  <si>
    <t xml:space="preserve">
SUMINISTRO, HABILITADO E INSTALACIÓN EN PATIO DE PREFABRICADOS DE TUBO CIRCULAR (OC) 356 MM X 19.05 MM ROLADO CON SUPLEMENTOS S-1, S3, S-4 Y S-5. API 2H GR. 50 (158.11 KG/M), INCLUYE: ACARREO, CARGA, DESCARGA, MANIOBRAS.
</t>
  </si>
  <si>
    <t>( TRESCIENTOS NOVENTA Y NUEVE MIL CUATROCIENTOS DOS  PESOS 84/100 M.N. )
( SEISCIENTOS VEINTICUATRO  DÓLARES 83/100 USD )</t>
  </si>
  <si>
    <t>C2EXT-0079</t>
  </si>
  <si>
    <t xml:space="preserve">
SUMINISTRO, HABILITADO E INSTALACIÓN EN PATIO DE PREFABRICADOS DE TUBO ASME B36.10, DE ACERO AL CARBONO ISO 3183 GR. L360NO (API 5L GR. X52NO) PSL2, SIN COSTURA, EXTREMOS BISELADOS, DE 4” DE DIAMETRO NPS (100 DN), 0.531” DE ESPESOR. LOS MATERIALES DEBEN CUMPLIR CON EL ESTÁNDAR PEMEX EST-TD-032-P1-2018, INCLUYE: ACARREO, CARGA, DESCARGA, MANIOBRAS.
</t>
  </si>
  <si>
    <t>( DOCE MIL OCHOCIENTOS DIECIOCHO  PESOS 98/100 M.N. )
( CERO DÓLARES 00/100 USD )</t>
  </si>
  <si>
    <t>C2EXT-0080</t>
  </si>
  <si>
    <t xml:space="preserve">
SUMINISTRO E INSTALACIÓN EN PATIO DE PREFABRICADOS DE BRIDA CUELLO SOLDABLE API SPEC 6A TIPO BX, DE ACERO AL CARBONO FORJADO ASTM A105, CARA JUNTA TIPO ANILLO (R.T.J.), LOS MATERIALES DEBEN CUMPLIR CON EL ESTÁNDAR PEMEX-EST-TD-032-P2-2019, DE 2 1/16" DE DIAMETRO NPS, CLASE 10,000, BORE = 2.094”. , INCLUYE: ACARREO, CARGA, DESCARGA, MANIOBRAS.
</t>
  </si>
  <si>
    <t>( DIECISEIS MIL SESENTA Y DOS  PESOS 53/100 M.N. )
( CERO DÓLARES 00/100 USD )</t>
  </si>
  <si>
    <t>C2EXT-0081</t>
  </si>
  <si>
    <t xml:space="preserve">
SUMINISTRO E INSTALACIÓN EN PATIO DE PREFABRICADOS DE BRIDA CUELLO SOLDABLE ASME B16.5, DE ACERO AL CARBONO MSS SP-44 GR. F52, CARA JUNTA TIPO ANILLO (R.T.J.), LOS MATERIALES DEBEN CUMPLIR CON EL ESTÁNDAR PEMEX-EST-TD032-P2-2019, DE 4" DE DIAMETRO NPS (100 DN), CLASE 1500, BORE = 3.152”. , INCLUYE: ACARREO, CARGA, DESCARGA, MANIOBRAS.
</t>
  </si>
  <si>
    <t>( CUARENTA Y NUEVE MIL NOVECIENTOS NOVENTA Y CUATRO  PESOS 60/100 M.N. )
( CERO DÓLARES 00/100 USD )</t>
  </si>
  <si>
    <t>C2EXT-0082</t>
  </si>
  <si>
    <t xml:space="preserve">
SUMINISTRO E INSTALACIÓN EN PATIO DE PREFABRICADOS DE BRIDA CUELLO SOLDABLE ASME B16.5, DE ACERO AL CARBONO MSS SP-44 GR. F52, CARA JUNTA TIPO ANILLO (R.T.J.), LOS MATERIALES DEBEN CUMPLIR CON Y EL ESTÁNDAR TÉCNICO PEMEX-EST-TD-032-P2-2019, DE 8" DE DIAMETRO NPS (200 DN), CLASE 1500, BORE = 6.875”. , INCLUYE: ACARREO, CARGA, DESCARGA, MANIOBRAS.
</t>
  </si>
  <si>
    <t>( CIENTO CINCUENTA Y CUATRO MIL SEISCIENTOS SETENTA Y CUATRO  PESOS 10/100 M.N. )
( TRECE  DÓLARES 01/100 USD )</t>
  </si>
  <si>
    <t>C2EXT-0083</t>
  </si>
  <si>
    <t xml:space="preserve">
SUMINISTRO E INSTALACIÓN EN PATIO DE PREFABRICADOS DE CODO 90° ASME B16.11, DE ACERO AL CARBONO FORJADO, ASTM A105, EXTREMOS CAJA SOLDABLE, LOS MATERIALES DEBEN CUMPLIR CON EL ESTÁNDAR PEMEX-EST-TD-032-P2-2019, DE 2” DE DIAMETRO NPS (50 DN), CLASE 9000, INCLUYE: ACARREO, CARGA, DESCARGA, MANIOBRAS.
</t>
  </si>
  <si>
    <t>( TRECE MIL QUINIENTOS DIECISIETE  PESOS 46/100 M.N. )
( CERO DÓLARES 00/100 USD )</t>
  </si>
  <si>
    <t>C2EXT-0084</t>
  </si>
  <si>
    <t xml:space="preserve">
SUMINISTRO E INSTALACIÓN EN PATIO DE PREFABRICADOS DE CODO 90° R. L. ASME B16.9, DE ACERO AL CARBONO MSS SP-75 GR. WPHY-52, SIN COSTURA, EXTREMOS BISELADOS, LOS MATERIALES DEBEN CUMPLIR CON Y EL ESTÁNDAR PEMEX-ESTTD-032-P2-2019, DE 4” DE DIAMETRO NPS (100 DN), 0.531 DE ESP., INCLUYE: ACARREO, CARGA, DESCARGA, MANIOBRAS.
</t>
  </si>
  <si>
    <t>( TREINTA Y CUATRO MIL QUINIENTOS DIECISEIS  PESOS 17/100 M.N. )
( TREINTA Y NUEVE  DÓLARES 05/100 USD )</t>
  </si>
  <si>
    <t>C2EXT-0085</t>
  </si>
  <si>
    <t xml:space="preserve">
SUMINISTRO E INSTALACIÓN EN PATIO DE PREFABRICADOS DE CODO 90° R. L. ASME B16.9, DE ACERO AL CARBONO ASTM A 234 GR. WPB, SIN COSTURA, EXTREMOS BISELADOS, LOS MATERIALES DEBEN CUMPLIR CON ANSI/NACE MR-0175, ISO 15156-1 Y 2, Y EL ESTÁNDAR PEMEX-EST-TD-032-P2-2019, DE 12” DE DIAMETRO NPS (300 DN), CÉD. 80, INCLUYE: ACARREO, CARGA, DESCARGA, MANIOBRAS.
</t>
  </si>
  <si>
    <t>( VEINTITRES MIL TRESCIENTOS SESENTA Y UN  PESOS 06/100 M.N. )
( CINCUENTA Y DOS  DÓLARES 07/100 USD )</t>
  </si>
  <si>
    <t>C2EXT-0086</t>
  </si>
  <si>
    <t xml:space="preserve">
SUMINISTRO E INSTALACIÓN EN PATIO DE PREFABRICADOS DE CODO 45° ASME B16.9, DE ACERO AL CARBONO MSS SP-75 GR. WPHY-52, SIN COSTURA, EXTREMOS BISELADOS, LOS MATERIALES DEBEN CUMPLIR CON EL ESTÁNDAR PEMEX-EST-TD032-P2-2019, DE 4” DE DIAMETRO NPS (100 DN), 0.531 DE ESP. , INCLUYE: ACARREO, CARGA, DESCARGA, MANIOBRAS.
</t>
  </si>
  <si>
    <t>( TREINTA Y TRES MIL OCHENTA  PESOS 22/100 M.N. )
( TREINTA Y NUEVE  DÓLARES 05/100 USD )</t>
  </si>
  <si>
    <t>C2EXT-0087</t>
  </si>
  <si>
    <t xml:space="preserve">
SUMINISTRO E INSTALACIÓN EN PATIO DE PREFABRICADOS DE TEE RECTA ASME B16.11, DE ACERO AL CARBONO FORJADO, ASTM A105, EXTREMOS CAJA SOLDABLE, LOS MATERIALES DEBEN CUMPLIR CON EL ESTÁNDAR PEMEX-EST-TD-032-P2-2019, DE 2” DE DIAMETRO NPS (50 DN), CLASE 9000., INCLUYE: ACARREO, CARGA, DESCARGA, MANIOBRAS.
</t>
  </si>
  <si>
    <t>( VEINTIDOS MIL NOVECIENTOS SETENTA Y CINCO  PESOS 73/100 M.N. )
( CERO DÓLARES 00/100 USD )</t>
  </si>
  <si>
    <t>C2EXT-0089</t>
  </si>
  <si>
    <t xml:space="preserve">
SUMINISTRO E INSTALACIÓN EN PATIO DE PREFABRICADOS DE TEE REDUCCIÓN ASME B16.11, DE ACERO AL CARBONO FORJADO, ASTM A105, EXTREMOS CAJA SOLDABLE, LOS MATERIALES DEBEN CUMPLIR CON EL ESTÁNDAR PEMEX-EST-TD-032-P2-2019, DE 2”Ø X 3/4” DE DIAMETRO NPS (50 DN X 20 DN), CLASE 9000. , INCLUYE: ACARREO, CARGA, DESCARGA, MANIOBRAS.
</t>
  </si>
  <si>
    <t>( DIECINUEVE MIL CIENTO OCHO  PESOS 37/100 M.N. )
( CERO DÓLARES 00/100 USD )</t>
  </si>
  <si>
    <t>C2EXT-0090</t>
  </si>
  <si>
    <t xml:space="preserve">
SUMINISTRO E INSTALACIÓN EN PATIO DE PREFABRICADOS DE TEE REDUCCIÓN ASME B16.9, DE ACERO AL CARBONO MSS SP-75 GR. WPHY-52, SIN COSTURA, EXTREMOS BISELADOS, LOS MATERIALES DEBEN CUMPLIR CON EL ESTÁNDAR PEMEX-EST-TD032-P2-2019, DE 4”Ø NPS X 2” DE DIAMETRO NPS (100 DN X 50 DN), 0.531 DE ESP. X CED. XXS, INCLUYE: ACARREO, CARGA, DESCARGA, MANIOBRAS.
</t>
  </si>
  <si>
    <t>( CUARENTA Y UN MIL SEISCIENTOS CINCUENTA Y SEIS  PESOS 76/100 M.N. )
( CINCUENTA Y DOS  DÓLARES 07/100 USD )</t>
  </si>
  <si>
    <t>C2EXT-0092</t>
  </si>
  <si>
    <t xml:space="preserve">
SUMINISTRO E INSTALACIÓN EN PATIO DE PREFABRICADOS DE REDUCCIÓN CONCÉNTRICA ASME B16.9, DE ACERO AL CARBONO ASTM A 234 GR. WPB, SIN COSTUR, EXTREMOS BISELADOS, LOS MATERIALES DEBEN CUMPLIR CON ANSI/NACE MR-0175, ISO 15156-1 Y 2, Y EL ESTÁNDAR PEMEX-EST-TD-032-P2-2019, DE 16”Ø X 12” DE DIAMETRO NPS (400 X 300 DN), CÉD. 80, INCLUYE: ACARREO, CARGA, DESCARGA, MANIOBRAS.
</t>
  </si>
  <si>
    <t>( VEINTE MIL CUATROCIENTOS OCHENTA Y TRES  PESOS 02/100 M.N. )
( CUATRO MIL SEISCIENTOS CUARENTA Y UN  DÓLARES 21/100 USD )</t>
  </si>
  <si>
    <t>C2EXT-0093</t>
  </si>
  <si>
    <t xml:space="preserve">
SUMINISTRO E INSTALACIÓN EN PATIO DE PREFABRICADOS DE TAPON CACHUCHA DE 2" DE DIAMETRO ROSCADO DE ACERO AL CARBONO FORJADO, CLASE 300 ASTM A105, INCLUYE: ACARREO, CARGA, DESCARGA, MANIOBRAS.
</t>
  </si>
  <si>
    <t>( UN MIL TRESCIENTOS VEINTIUN  PESOS 24/100 M.N. )
( CERO DÓLARES 00/100 USD )</t>
  </si>
  <si>
    <t>C2EXT-0094</t>
  </si>
  <si>
    <t xml:space="preserve">
SUMINISTRO E INSTALACIÓN EN PATIO DE PREFABRICADOS DE TAPÓN CACHUCHA ROSCADO ASME B16.11, DE ACERO AL CARBONO FORJADO, ASTM A105, LOS MATERIALES DEBEN CUMPLIR CON EL ESTÁNDAR PEMEX-EST-TD-032-P2-2019, DE 2” DE DIAMETRO NPS (50 DN), CLASE 9000, INCLUYE: ACARREO, CARGA, DESCARGA, MANIOBRAS.
</t>
  </si>
  <si>
    <t>( CUATRO MIL TREINTA Y SIETE  PESOS 24/100 M.N. )
( CERO DÓLARES 00/100 USD )</t>
  </si>
  <si>
    <t>C2EXT-0095</t>
  </si>
  <si>
    <t xml:space="preserve">
SUMINISTRO E INSTALACIÓN EN PATIO DE PREFABRICADOS DE COPLE REDUCCIÓN ASME B16.11, DE ACERO AL CARBONO FORJADO, ASTM A105, EXTREMOS CAJA SOLDABLE, LOS MATERIALES DEBEN CUMPLIR CON EL ESTÁNDAR PEMEX-EST-TD032-P2-2019, DE 2”Ø NPS X 1” DE DIAMETRO NPS (50 DN X 25 DN), CLASE 3000. , INCLUYE: ACARREO, CARGA, DESCARGA, MANIOBRAS.
</t>
  </si>
  <si>
    <t>( UN MIL OCHOCIENTOS CINCUENTA Y CUATRO  PESOS 00/100 M.N. )
( CERO DÓLARES 00/100 USD )</t>
  </si>
  <si>
    <t>C2EXT-0096</t>
  </si>
  <si>
    <t xml:space="preserve">
SUMINISTRO E INSTALACIÓN EN PATIO DE PREFABRICADOS DE NIPLE DE ACERO AL CARBON ASTM A106 GR. B, EXTREMOS PLANOS X ROSCADO ASME B36.10 SIN COSTURA, LOS MATERIALES DEBEN CUMPLIR CON EL ESTÁNDAR PEMEX-EST-TD032-P1-2018, DE 1” DE DIAMETRO NPS (25 DN) X 3.5” DE LONG., CÉD. 80, INCLUYE: ACARREO, CARGA, DESCARGA, MANIOBRAS.
</t>
  </si>
  <si>
    <t>( UN MIL NOVECIENTOS SETENTA Y SEIS  PESOS 66/100 M.N. )
( CERO DÓLARES 00/100 USD )</t>
  </si>
  <si>
    <t>C2EXT-0097</t>
  </si>
  <si>
    <t xml:space="preserve">
SUMINISTRO E INSTALACIÓN EN PATIO DE PREFABRICADOS DE NIPLE EN ACERO AL CARBON ASTM A-106 Ó ASTM A-53 GR. B, DE 2" DE DIAMETRO X 6" LONG. CEDULA 80, SIN COSTURA, EXTREMOS ROSCADOS, INCLUYE: ACARREO, CARGA, DESCARGA, MANIOBRAS.
</t>
  </si>
  <si>
    <t>( UN MIL DOSCIENTOS SETENTA  PESOS 42/100 M.N. )
( CERO DÓLARES 00/100 USD )</t>
  </si>
  <si>
    <t>C2EXT-0098</t>
  </si>
  <si>
    <t xml:space="preserve">
SUMINISTRO E INSTALACIÓN EN PATIO DE PREFABRICADOS DE NIPLE SWAGE REDUCTOR DE ACERO AL CARBONO FORJADO, ASTM A105, EXTREMOS PLANOS ASME B16.25, CONSTRUIDO CONFORME A MSS SP-95, LOS MATERIALES DEBEN CUMPLIR CON ANSI/NACE MR-0175, ISO 15156-1 Y 2, Y EL ESTÁNDAR TÉCNICO PEMEX-EST-TD-032-P2-2019, DE 2”Ø X 3/4” DE DIAMETRO NPS (50 DN X 20 DN), CED. XXS. R, INCLUYE: ACARREO, CARGA, DESCARGA, MANIOBRAS.
</t>
  </si>
  <si>
    <t>( OCHO MIL QUINIENTOS SETENTA Y SEIS  PESOS 50/100 M.N. )
( CERO DÓLARES 00/100 USD )</t>
  </si>
  <si>
    <t>C2EXT-0099</t>
  </si>
  <si>
    <t xml:space="preserve">
SUMINISTRO E INSTALACIÓN EN PATIO DE PREFABRICADOS DE ADAPTADOR CON CUERDA HEMBRA 2” DE DIAMETRO TIPO ENGER CRA, INCLUYE: ACARREO, CARGA, DESCARGA, MANIOBRAS.
</t>
  </si>
  <si>
    <t>( OCHOCIENTOS SEIS  PESOS 64/100 M.N. )
( DOSCIENTOS OCHENTA Y SEIS  DÓLARES 00/100 USD )</t>
  </si>
  <si>
    <t>C2EXT-0100</t>
  </si>
  <si>
    <t xml:space="preserve">
SUMINISTRO E INSTALACIÓN EN PATIO DE PREFABRICADOS DE TUBO ASME B36.10, DE ACERO AL CARBONO ASTM A106 GR. B, SIN COSTURA, GALVANIZADO ASTM A123, EXTREMOS ROSCADOS ASME B16.11, LOS MATERIALES DEBEN CUMPLIR CON EL ESTÁNDAR PEMEX-EST-TD-032-P1-2018, DE 1 1/2” DE DIAMETRO NPS (40 DN), CÉD. 80. , INCLUYE: ACARREO, CARGA, DESCARGA, MANIOBRAS.
</t>
  </si>
  <si>
    <t>( DOS MIL DOSCIENTOS NOVENTA Y SEIS  PESOS 86/100 M.N. )
( CERO DÓLARES 00/100 USD )</t>
  </si>
  <si>
    <t>C2EXT-0101</t>
  </si>
  <si>
    <t xml:space="preserve">
SUMINISTRO E INSTALACIÓN EN PATIO DE PREFABRICADOS DE TUBO ASME B36.10, DE ACERO AL CARBONO ASTM A106 GR. B, SIN COSTURA, GALVANIZADO ASTM A123, EXTREMOS ROSCADOS ASME B16.11, LOS MATERIALES DEBEN CUMPLIR CON EL ESTÁNDAR PEMEX-EST-TD-032-P1-2018, DE 2” DE DIAMETRO NPS (50 DN), CÉD. 80. , INCLUYE: ACARREO, CARGA, DESCARGA, MANIOBRAS.
</t>
  </si>
  <si>
    <t>( TRES MIL CINCUENTA Y SEIS  PESOS 12/100 M.N. )
( CERO DÓLARES 00/100 USD )</t>
  </si>
  <si>
    <t>C2EXT-0102</t>
  </si>
  <si>
    <t xml:space="preserve">
SUMINISTRO E INSTALACIÓN EN PATIO DE PREFABRICADOS DE TUBO ASME B36.10, DE ACERO AL CARBONO ASTM A106 GR. B, SIN COSTURA, GALVANIZADO ASTM A153 Y ASTM A385, EXTREMOS BISELADOS, LOS MATERIALES DEBEN CUMPLIR CON EL ESTÁNDAR PEMEX-EST-TD-032-P1-2018, DE 3” DE DIAMETRO NPS (90 DN), CÉD. 160. , INCLUYE: ACARREO, CARGA, DESCARGA, MANIOBRAS.
</t>
  </si>
  <si>
    <t>( DOCE MIL DOSCIENTOS VEINTE  PESOS 38/100 M.N. )
( CERO DÓLARES 00/100 USD )</t>
  </si>
  <si>
    <t>C2EXT-0103</t>
  </si>
  <si>
    <t xml:space="preserve">
SUMINISTRO E INSTALACIÓN EN PATIO DE PREFABRICADOS DE TUBO ASME B36.10, DE ACERO AL CARBONO ASTM A106 GR. B, SIN COSTURA, GALVANIZADO ASTM A153 Y ASTM A385, EXTREMOS BISELADOS, LOS MATERIALES DEBEN CUMPLIR CON EL ESTÁNDAR PEMEX-EST-TD-032-P1-2018, DE 4” DE DIAMETRO NPS (100 DN), CÉD. 80, INCLUYE: ACARREO, CARGA, DESCARGA, MANIOBRAS.
</t>
  </si>
  <si>
    <t>( DIEZ MIL TRESCIENTOS CINCUENTA Y TRES  PESOS 99/100 M.N. )
( CERO DÓLARES 00/100 USD )</t>
  </si>
  <si>
    <t>C2EXT-0104</t>
  </si>
  <si>
    <t xml:space="preserve">
SUMINISTRO E INSTALACIÓN EN PATIO DE PREFABRICADOS DE BRIDA CUELLO SOLDABLE ASME B16.5, DE ACERO AL CARBONO FORJADO ASTM A105, GALVANIZADO ASTM A153 Y ASTM A385, CARA REALZADA, LOS MATERIALES DEBEN CUMPLIR CON EL ESTÁNDAR PEMEX-EST-TD-032-P2-2019, DE 1 1/2" DE DIAMETRO NPS, (40 DN) CLASE 150, BORE: 1.500". , INCLUYE: ACARREO, CARGA, DESCARGA, MANIOBRAS.
</t>
  </si>
  <si>
    <t>( DOS MIL CIENTO VEINTE  PESOS 24/100 M.N. )
( CERO DÓLARES 00/100 USD )</t>
  </si>
  <si>
    <t>C2EXT-0105</t>
  </si>
  <si>
    <t xml:space="preserve">
SUMINISTRO E INSTALACIÓN EN PATIO DE PREFABRICADOS DE BRIDA CUELLO SOLDABLE ASME B16.5, DE ACERO AL CARBONO FORJADO ASTM A105, GALVANIZADO ASTM A153 Y ASTM A385, CARA REALZADA, LOS MATERIALES DEBEN CUMPLIR CON EL ESTÁNDAR PEMEX-EST-TD-032-P2-2019, DE 2" DE DIAMETRO NPS, (50 DN) CLASE 150, BORE = 1.939". , INCLUYE: ACARREO, CARGA, DESCARGA, MANIOBRAS.
</t>
  </si>
  <si>
    <t>( DOS MIL TRESCIENTOS TRECE  PESOS 14/100 M.N. )
( CERO DÓLARES 00/100 USD )</t>
  </si>
  <si>
    <t>C2EXT-0106</t>
  </si>
  <si>
    <t xml:space="preserve">
SUMINISTRO E INSTALACIÓN EN PATIO DE PREFABRICADOS DE BRIDA CUELLO SOLDABLE ASME B16.5, DE ACERO AL CARBONO FORJADO ASTM A105, GALVANIZADO ASTM A153 Y ASTM A385, CARA REALZADA, LOS MATERIALES DEBEN CUMPLIR CON EL ESTÁNDAR PEMEX-EST-TD-032-P2-2019, DE 3" DE DIAMETRO NPS, (80 DN) CLASE 150, BORE = 2.624". , INCLUYE: ACARREO, CARGA, DESCARGA, MANIOBRAS.
</t>
  </si>
  <si>
    <t>( CINCO MIL SETECIENTOS OCHENTA Y NUEVE  PESOS 27/100 M.N. )
( CERO DÓLARES 00/100 USD )</t>
  </si>
  <si>
    <t>C2EXT-0107</t>
  </si>
  <si>
    <t xml:space="preserve">
SUMINISTRO E INSTALACIÓN EN PATIO DE PREFABRICADOS DE BRIDA CUELLO SOLDABLE ASME B16.5, DE ACERO AL CARBONO FORJADO ASTM A105, GALVANIZADO ASTM A153 Y ASTM A385, CARA REALZADA, LOS MATERIALES DEBEN CUMPLIR CON EL ESTÁNDAR PEMEX-EST-TD-032-P2-2019, DE 4" DE DIAMETRO NPS, (100 DN) CLASE 150, BORE= 3.826", INCLUYE: ACARREO, CARGA, DESCARGA, MANIOBRAS.
</t>
  </si>
  <si>
    <t>( CUATRO MIL TREINTA Y OCHO  PESOS 55/100 M.N. )
( CERO DÓLARES 00/100 USD )</t>
  </si>
  <si>
    <t>C2EXT-0108</t>
  </si>
  <si>
    <t xml:space="preserve">
SUMINISTRO E INSTALACIÓN EN PATIO DE PREFABRICADOS DE CODO 90° ASME B16.11, DE ACERO AL CARBONO FORJADO ASTM A105, GALVANIZADO ASTM A123, EXTREMOS ROSCADOS, LOS MATERIALES DEBEN CUMPLIR CON EL ESTÁNDAR PEMEX-EST-TD032-P2-2019, DE 1 1/2” DE DIAMETRO NPS (40 DN), CLASE 3000. , INCLUYE: ACARREO, CARGA, DESCARGA, MANIOBRAS.
</t>
  </si>
  <si>
    <t>( DOS MIL DOSCIENTOS DIEZ  PESOS 46/100 M.N. )
( CERO DÓLARES 00/100 USD )</t>
  </si>
  <si>
    <t>C2EXT-0109</t>
  </si>
  <si>
    <t xml:space="preserve">
SUMINISTRO E INSTALACIÓN EN PATIO DE PREFABRICADOS DE CODO 45° ASME B16.11, DE ACERO AL CARBONO FORJADO ASTM A105, GALVANIZADO ASTM A123, EXTREMOS ROSCADO B16.11, LOS MATERIALES DEBEN CUMPLIR CON EL ESTÁNDAR PEMEXEST-TD-032-P2-2019, DE 1 1/2” DE DIAMETRO NPS (40 DN), CLASE 3000. , INCLUYE: ACARREO, CARGA, DESCARGA, MANIOBRAS.
</t>
  </si>
  <si>
    <t>( DOS MIL TRESCIENTOS NOVENTA Y SIETE  PESOS 09/100 M.N. )
( CERO DÓLARES 00/100 USD )</t>
  </si>
  <si>
    <t>C2EXT-0110</t>
  </si>
  <si>
    <t xml:space="preserve">
SUMINISTRO E INSTALACIÓN EN PATIO DE PREFABRICADOS DE CODO 90° R. L. ASME B16.9, DE ACERO AL CARBONO ASTM A234 GR. WPB, GALVANIZADO ASTM A153 Y ASTM A385, EXTREMOS BISELADOS, LOS MATERIALES DEBEN CUMPLIR CON EL ESTÁNDAR PEMEX-EST-TD-032-P2-2019, DE 4” DE DIAMETRO NPS (100 DN), CED. 80. , INCLUYE: ACARREO, CARGA, DESCARGA, MANIOBRAS.
</t>
  </si>
  <si>
    <t>( TRES MIL QUINIENTOS SETENTA Y OCHO  PESOS 07/100 M.N. )
( CERO DÓLARES 00/100 USD )</t>
  </si>
  <si>
    <t>C2EXT-0111</t>
  </si>
  <si>
    <t xml:space="preserve">
SUMINISTRO E INSTALACIÓN EN PATIO DE PREFABRICADOS DE TEE RECTA ASME B16.11, DE ACERO AL CARBONO FORJADO ASTM A105, GALVANIZADO ASTM A123, EXTREMOS ROSCADOS, LOS MATERIALES DEBEN CUMPLIR CON EL ESTÁNDAR PEMEX-EST-TD032-P2-2019, DE 1 1/2” DE DIAMETRO NPS (40 DN), CLASE 3000, INCLUYE: ACARREO, CARGA, DESCARGA, MANIOBRAS.
</t>
  </si>
  <si>
    <t>( DOS MIL SEISCIENTOS CUARENTA Y DOS  PESOS 27/100 M.N. )
( CERO DÓLARES 00/100 USD )</t>
  </si>
  <si>
    <t>C2EXT-0112</t>
  </si>
  <si>
    <t xml:space="preserve">
SUMINISTRO E INSTALACIÓN EN PATIO DE PREFABRICADOS DE TEE REDUCCIÓN ASME B16.11, DE ACERO AL CARBONO FORJADO ASTM A105, GALVANIZADO ASTM A123, EXTREMOS ROSCADOS , LOS MATERIALES DEBEN CUMPLIR CON EL ESTÁNDAR PEMEXEST-TD-032-P2-2019, DE 2”Ø NPS X 1 1/2” DE DIAMETRO NPS (50 DN X 40 DN), CLASE 3000. , INCLUYE: ACARREO, CARGA, DESCARGA, MANIOBRAS.
</t>
  </si>
  <si>
    <t>( DOS MIL OCHOCIENTOS CINCUENTA Y CUATRO  PESOS 68/100 M.N. )
( CERO DÓLARES 00/100 USD )</t>
  </si>
  <si>
    <t>C2EXT-0113</t>
  </si>
  <si>
    <t xml:space="preserve">
SUMINISTRO E INSTALACIÓN EN PATIO DE PREFABRICADOS DE TEE REDUCCIÓN ASME B16.9, DE ACERO AL CARBONO ASTM A234 GR. WPB, GALVANIZADO ASTM A153 Y ASTM A385, EXTREMOS BISELADO, LOS MATERIALES DEBEN CUMPLIR CON EL ESTÁNDAR PEMEX-EST-TD-032-P2-2019, DE 3”Ø NPS X 1 1/2” DE DIAMETRO NPS (90 DN X 40 DN), CED. 160 X CED. 80. , INCLUYE: ACARREO, CARGA, DESCARGA, MANIOBRAS.
</t>
  </si>
  <si>
    <t>( CATORCE MIL OCHOCIENTOS OCHENTA Y UN  PESOS 67/100 M.N. )
( CERO DÓLARES 00/100 USD )</t>
  </si>
  <si>
    <t>C2EXT-0114</t>
  </si>
  <si>
    <t xml:space="preserve">
SUMINISTRO E INSTALACIÓN EN PATIO DE PREFABRICADOS DE TEE REDUCCIÓN ASME B16.9, DE ACERO AL CARBONO ASTM A234 GR. WPB, GALVANIZADO ASTM A153 Y ASTM A385, EXTREMOS BISELADO, LOS MATERIALES DEBEN CUMPLIR CON EL ESTÁNDAR PEMEX-EST-TD-032-P2-2019, DE 3”Ø NPS X 2” DE DIAMETRO NPS (90 DN X 50 DN), CED. 160 X CED. 80., INCLUYE: ACARREO, CARGA, DESCARGA, MANIOBRAS.
</t>
  </si>
  <si>
    <t>( CATORCE MIL OCHOCIENTOS OCHENTA Y UN  PESOS 70/100 M.N. )
( CERO DÓLARES 00/100 USD )</t>
  </si>
  <si>
    <t>C2EXT-0115</t>
  </si>
  <si>
    <t xml:space="preserve">
SUMINISTRO E INSTALACIÓN EN PATIO DE PREFABRICADOS DE TEE REDUCCIÓN ASME B16.9, DE ACERO AL CARBONO ASTM A234 GR. WPB, GALVANIZADO ASTM A153 Y ASTM A385, EXTREMOS BISELADOS, LOS MATERIALES DEBEN CUMPLIR CON EL ESTÁNDAR PEMEX-EST-TD-032-P2-2019, DE 4”Ø NPS X 1 1/2” DE DIAMETRO NPS (100 DN X 40 DN), CED. 80 X CED. 80. , INCLUYE: ACARREO, CARGA, DESCARGA, MANIOBRAS.
</t>
  </si>
  <si>
    <t>( OCHO MIL CIENTO OCHO  PESOS 15/100 M.N. )
( CERO DÓLARES 00/100 USD )</t>
  </si>
  <si>
    <t>C2EXT-0116</t>
  </si>
  <si>
    <t xml:space="preserve">
SUMINISTRO E INSTALACIÓN EN PATIO DE PREFABRICADOS DE TEE REDUCCIÓN ASME B16.9, DE ACERO AL CARBONO ASTM A234 GR. WPB, GALVANIZADO ASTM A153 Y ASTM A385, EXTREMOS BISELADOS, LOS MATERIALES DEBEN CUMPLIR CON EL ESTÁNDAR PEMEX-EST-TD-032-P2-2019, DE 4”Ø NPS X 2” DE DIAMETRO NPS (100 DN X 50 DN), CED. 80 X CED. 80., INCLUYE: ACARREO, CARGA, DESCARGA, MANIOBRAS.
</t>
  </si>
  <si>
    <t>( TRES MIL SEISCIENTOS SETENTA Y OCHO  PESOS 48/100 M.N. )
( CERO DÓLARES 00/100 USD )</t>
  </si>
  <si>
    <t>C2EXT-0117</t>
  </si>
  <si>
    <t xml:space="preserve">
SUMINISTRO E INSTALACIÓN EN PATIO DE PREFABRICADOS DE TEE REDUCCIÓN ASME B16.9, DE ACERO AL CARBONO ASTM A234 GR. WPB, GALVANIZADO ASTM A153 Y ASTM A385, EXTREMOS BISELADOS, LOS MATERIALES DEBEN CUMPLIR CON EL ESTÁNDAR PEMEX-EST-TD-032-P2-2019, DE 6”Ø NPS X 4” DE DIAMETRO NPS (150 DN X 100 DN), CED. 80 X CED. 80, INCLUYE: ACARREO, CARGA, DESCARGA, MANIOBRAS.
</t>
  </si>
  <si>
    <t>( DIEZ MIL DOSCIENTOS CUARENTA Y NUEVE  PESOS 00/100 M.N. )
( CERO DÓLARES 00/100 USD )</t>
  </si>
  <si>
    <t>C2EXT-0118</t>
  </si>
  <si>
    <t xml:space="preserve">
SUMINISTRO E INSTALACIÓN EN PATIO DE PREFABRICADOS DE REDUCCIÓN CAMPANA DE 3" A 2" DE DIAMETRO DE ACERO AL CARBON ASTM A-53 CED 40 EXTREMOS BISELADOS, INCLUYE: ACARREO, CARGA, DESCARGA, MANIOBRAS.
</t>
  </si>
  <si>
    <t>( CINCO MIL NOVENTA Y TRES  PESOS 91/100 M.N. )
( CERO DÓLARES 00/100 USD )</t>
  </si>
  <si>
    <t>C2EXT-0119</t>
  </si>
  <si>
    <t xml:space="preserve">
SUMINISTRO E INSTALACIÓN EN PATIO DE PREFABRICADOS DE REDUCCIÓN CONCÉNTRICA ASME B16.9, DE ACERO AL CARBONO ASTM A234 GR. WPB, GALVANIZADO ASTM A153 Y ASTM A385, EXTREMOS BISELADO, LOS MATERIALES DEBEN CUMPLIR CON EL ESTÁNDAR PEMEX-EST-TD-032-P2-2019, DE 4”Ø NPS X 3” DE DIAMETRO NPS (100 DN X 90 DN), CED. 80 X CED. 160, INCLUYE: ACARREO, CARGA, DESCARGA, MANIOBRAS.
</t>
  </si>
  <si>
    <t>( SEIS MIL DOSCIENTOS SETENTA Y CUATRO  PESOS 71/100 M.N. )
( CERO DÓLARES 00/100 USD )</t>
  </si>
  <si>
    <t>C2EXT-0120</t>
  </si>
  <si>
    <t xml:space="preserve">
SUMINISTRO E INSTALACIÓN EN PATIO DE PREFABRICADOS DE TAPÓN CACHUCHA ASME B16.11, DE ACERO AL CARBONO FORJADO ASTM A105, GALVANIZADO ASTM A123, ROSCADOS, LOS MATERIALES DEBEN CUMPLIR CON EL ESTÁNDAR PEMEX-EST-TD032-P2-2019, DE 1 1/2”Ø DE DIAMETRO NPS (40 DN), CLASE 3000. , INCLUYE: ACARREO, CARGA, DESCARGA, MANIOBRAS.
</t>
  </si>
  <si>
    <t>( UN MIL TRESCIENTOS VEINTINUEVE  PESOS 12/100 M.N. )
( CERO DÓLARES 00/100 USD )</t>
  </si>
  <si>
    <t>C2EXT-0121</t>
  </si>
  <si>
    <t xml:space="preserve">
SUMINISTRO E INSTALACIÓN EN PATIO DE PREFABRICADOS DE TAPÓN CACHUCHA ASME B16.11, DE ACERO AL CARBONO FORJADO ASTM A105, GALVANIZADO ASTM A123, ROSCADOS, LOS MATERIALES DEBEN CUMPLIR CON EL ESTÁNDAR PEMEX-EST-TD032-P2-2019, DE 2” DE DIAMETRO NPS (50 DN), CLASE 3000., INCLUYE: ACARREO, CARGA, DESCARGA, MANIOBRAS.
</t>
  </si>
  <si>
    <t>( UN MIL CUATROCIENTOS VEINTIDOS  PESOS 27/100 M.N. )
( CERO DÓLARES 00/100 USD )</t>
  </si>
  <si>
    <t>C2EXT-0122</t>
  </si>
  <si>
    <t xml:space="preserve">
SUMINISTRO E INSTALACIÓN EN PATIO DE PREFABRICADOS DE TAPON CAPA ASME B16.9, DE ACERO AL CARBONO ASTM A234 GR. WPB, GALVANIZADO ASTM A153 Y ASTM A385, EXTREMOS BISELADOS, LOS MATERIALES DEBEN CUMPLIR CON EL ESTÁNDAR PEMEX-EST-TD-032-P2-2019, DE 3” DE DIAMETRO NPS (90 D), CED. 160. , INCLUYE: ACARREO, CARGA, DESCARGA, MANIOBRAS.
</t>
  </si>
  <si>
    <t>( SEIS MIL CINCUENTA Y CINCO  PESOS 13/100 M.N. )
( CERO DÓLARES 00/100 USD )</t>
  </si>
  <si>
    <t>C2EXT-0123</t>
  </si>
  <si>
    <t xml:space="preserve">
SUMINISTRO E INSTALACIÓN EN PATIO DE PREFABRICADOS DE NIPLE DE ACERO AL CARBONO ASTM A106 GR. B SIN COSTURA, GALVANIZADO ASTM A123, EXTREMOS ROSCADOS ASME B16.11, LOS MATERIALES DEBEN CUMPLIR CON EL ESTÁNDAR PEMEXEST-TD-032-P2-2019, DE 1 1/2” DE DIAMETRO NPS (40 DN) X 3 1/2” (89 MM) DE LONG., CED. 80. , INCLUYE: ACARREO, CARGA, DESCARGA, MANIOBRAS.
</t>
  </si>
  <si>
    <t>( OCHOCIENTOS VEINTISIETE  PESOS 28/100 M.N. )
( CERO DÓLARES 00/100 USD )</t>
  </si>
  <si>
    <t>C2EXT-0126</t>
  </si>
  <si>
    <t xml:space="preserve">
SUMINISTRO, HABILITADO E INSTALACIÓN EN PATIO DE PREFABRICADOS DE TUBO CIRCULAR (OC) 406 MM x 12.7 MM (16 IN. X 0.500 IN.) 123.31 KG/M, ASTM A53 INCLUYE: ACARREO, CARGA, DESCARGA, MANIOBRAS.
</t>
  </si>
  <si>
    <t>( TRESCIENTOS OCHENTA MIL CUATROCIENTOS SESENTA Y UN  PESOS 76/100 M.N. )
( SETECIENTOS DIEZ  DÓLARES 03/100 USD )</t>
  </si>
  <si>
    <t>C2EXT-0127</t>
  </si>
  <si>
    <t xml:space="preserve">
SUMINISTRO, HABILITADO E INSTALACIÓN EN PATIO DE PREFABRICADOS DE TUBO OC-508 MM X 25.4 MM ROLADO CON SUPLEMENTOS S-1, S3, S-4 Y S-5. API 2H GR. 50 (302.28 KG/M), INCLUYE: ACARREO, CARGA, DESCARGA, MANIOBRAS.
</t>
  </si>
  <si>
    <t>( CUATROCIENTOS DIECINUEVE MIL DOSCIENTOS CUARENTA Y SIETE  PESOS 84/100 M.N. )
( SEISCIENTOS VEINTICUATRO  DÓLARES 83/100 USD )</t>
  </si>
  <si>
    <t>C2EXT-0128</t>
  </si>
  <si>
    <t xml:space="preserve">
SUMINISTRO, HABILITADO E INSTALACIÓN EN PATIO DE PREFABRICADOS DE TUBO CIRCULAR (OC) 508 mm x 15.09 mm 183.43 kg/m, API-5L-GR. B, INCLUYE: ACARREO, CARGA, DESCARGA, MANIOBRAS.
</t>
  </si>
  <si>
    <t>( CUATROCIENTOS DIEZ MIL CUATROCIENTOS CINCUENTA Y NUEVE  PESOS 34/100 M.N. )
( SEISCIENTOS VEINTICUATRO  DÓLARES 83/100 USD )</t>
  </si>
  <si>
    <t>C2EXT-0129</t>
  </si>
  <si>
    <t xml:space="preserve">
SUMINISTRO E INSTALACIÓN EN PATIO DE PREFABRICADOS DE TAPÓN CACHUCHA ROSCADO ASME B16.11, DE ACERO AL CARBONO FORJADO, ASTM A105, LOS MATERIALES DEBEN CUMPLIR CON EL ESTÁNDAR PEMEX-EST-TD-032-P2-2019, DE 3/4” DE DIAMETRO NPS (20 DN), CLASE 9000, INCLUYE: ACARREO, CARGA, DESCARGA, MANIOBRAS.
</t>
  </si>
  <si>
    <t>( UN MIL DOSCIENTOS CINCUENTA Y SIETE  PESOS 08/100 M.N. )
( CERO DÓLARES 00/100 USD )</t>
  </si>
  <si>
    <t>C2EXT-0130</t>
  </si>
  <si>
    <t xml:space="preserve">
SUMINISTRO E INSTALACIÓN EN PATIO DE PREFABRICADOS DE REDUCCIÓN CONCÉNTRICA ASME B16.9, DE ACERO AL CARBONO MSS SP-75 GR. WPHY-52, SIN COSTURA, EXTREMOS BISELADOS, LOS MATERIALES DEBEN CUMPLIR CON EL ESTÁNDAR PEMEX EST-TD-032-P2-2019, DE 8”Ø NPS X 4” DE DIAMETRO NPS (200 DN X 100 DN), 0.875” DE ESP. X 0.531 DE ESP. , INCLUYE: ACARREO, CARGA, DESCARGA, MANIOBRAS.
</t>
  </si>
  <si>
    <t>( DOSCIENTOS VEINTISIETE MIL CIENTO VEINTISEIS  PESOS 02/100 M.N. )
( CIENTO CINCUENTA Y SEIS  DÓLARES 21/100 USD )</t>
  </si>
  <si>
    <t>C2EXT-0131</t>
  </si>
  <si>
    <t xml:space="preserve">
SUMINISTRO E INSTALACIÓN EN PATIO DE PREFABRICADOS DE NIPLE DE ACERO AL CARBONO ASTM A106 GR. B, EXTREMOS PLANOS X ROSCADO ASME B36.10 SIN COSTURA, LOS MATERIALES DEBEN CUMPLIR CON EL ESTÁNDAR PEMEX-EST-TD032-P1-2018, DE 2”Ø NPS (50 DN) X 3.5” DE LONG., CÉD. XXS , INCLUYE: ACARREO, CARGA, DESCARGA, MANIOBRAS.
</t>
  </si>
  <si>
    <t>( CUATRO MIL SESENTA Y SEIS  PESOS 31/100 M.N. )
( CERO DÓLARES 00/100 USD )</t>
  </si>
  <si>
    <t>C2EXT-0132</t>
  </si>
  <si>
    <t xml:space="preserve">
SUMINISTRO E INSTALACIÓN EN PATIO DE PREFABRICADOS DE NIPLE DE ACERO AL CARBONO ASTM A106 GR. B SIN COSTURA, GALVANIZADO ASTM A123, EXTREMOS ROSCADOS ASME B16.11, LOS MATERIALES DEBEN CUMPLIR CON EL ESTÁNDAR PEMEXEST-TD-032-P2-2019, DE 2”Ø NPS (50 DN) X 3 1/2” (89 mm) DE LONG., CED. 80. , INCLUYE: ACARREO, CARGA, DESCARGA, MANIOBRAS.
</t>
  </si>
  <si>
    <t>( CATORCE MIL CUATROCIENTOS CUARENTA Y SEIS  PESOS 15/100 M.N. )
( CERO DÓLARES 00/100 USD )</t>
  </si>
  <si>
    <t>C2EXT-0133</t>
  </si>
  <si>
    <t xml:space="preserve">
SUMINISTRO, MANEJO Y APLICACIÓN DE GALVANIZADO POR INMERSIÓN EN CALIENTE EN PATIO DE PREFABRICADOS, EL MÍNIMO ESPESOR DE GALVANIZADO ES DE 0.127 MM (0.005 IN), CON EL PROCESO DE GALVANIZADO POR INMERSIÓN DE ACUERDO AL ESTÁNDAR ASTM A 90 PARA TUBERIAS DE DIAM DE 4 Y MENORES.
</t>
  </si>
  <si>
    <t>( NUEVE MIL QUINIENTOS  PESOS 00/100 M.N. )
( CERO DÓLARES 00/100 USD )</t>
  </si>
  <si>
    <t>C2EXT-0140</t>
  </si>
  <si>
    <t xml:space="preserve">
PRUEBA HIDROSTATICA A VÁLVULA DE 14"-20" DE DIAMETRO EN PATIO DE CONSTRUCCIÓN DE LA CONTRATISTA, INCLUYE: MANO DE OBRA Y EQUIPO A VÁLVULAS.
</t>
  </si>
  <si>
    <t>( DIECISEIS MIL QUINIENTOS SETENTA Y CUATRO  PESOS 91/100 M.N. )
( TREINTA Y CINCO  DÓLARES 05/100 USD )</t>
  </si>
  <si>
    <t>C2EXT-0171</t>
  </si>
  <si>
    <t xml:space="preserve">
SUMINISTRO E INSTALACIÓN DE ÁNODO DE SACRIFICIO EN ALUMINIO TIPO GALVALUM III CON PESO NETO DE 725 LBS, TIPO "B"., INCLUYE: ACARREO, CARGA, DESCARGA, MANIOBRAS.
</t>
  </si>
  <si>
    <t>( CIENTO CUARENTA Y TRES MIL NOVECIENTOS TREINTA Y TRES  PESOS 61/100 M.N. )
( CERO DÓLARES 00/100 USD )</t>
  </si>
  <si>
    <t>C2EXT-0172</t>
  </si>
  <si>
    <t xml:space="preserve">
PRUEBA HIDROSTATICA A VÁLVULA DE 1/2"- 2 1/2" DE DIAMETRO EN PATIO DE CONSTRUCCIÓN DE LA CONTRATISTA, INCLUYE: MANO DE OBRA Y EQUIPO A VÁLVULAS.
</t>
  </si>
  <si>
    <t>PRUEBA</t>
  </si>
  <si>
    <t>( TRES MIL OCHOCIENTOS NOVENTA Y CUATRO  PESOS 41/100 M.N. )
( CINCO  DÓLARES 54/100 USD )</t>
  </si>
  <si>
    <t>C2EXT-0173</t>
  </si>
  <si>
    <t xml:space="preserve">
PRUEBA HIDROSTATICA A VÁLVULA DE 3"- 6" DE DIAMETRO EN PATIO DE CONSTRUCCIÓN DE LA CONTRATISTA, INCLUYE: MANO DE OBRA Y EQUIPO A VÁLVULAS.
</t>
  </si>
  <si>
    <t>( SEIS MIL TRESCIENTOS CUARENTA  PESOS 90/100 M.N. )
( DIECISEIS  DÓLARES 84/100 USD )</t>
  </si>
  <si>
    <t>C2EXT-0176</t>
  </si>
  <si>
    <t xml:space="preserve">
SUMINISTRO E INSTALACIÓN EN PATIO DE PREFABRICADOS DE TUBO ASME B36.10, DE ACERO AL CARBONO ASTM A-106 GR. B, EXTREMOS PLANOS, SIN COSTURA, LOS MATERIALES DEBEN CUMPLIR CON EL ESTÁNDAR PEMEX-EST-TD-032-P1-2018, DE 2”Ø NPS (50 DN), CÉD. XXS., INCLUYE: ACARREO, CARGA, DESCARGA, MANIOBRAS.
</t>
  </si>
  <si>
    <t>( DOCE MIL QUINIENTOS VEINTE  PESOS 74/100 M.N. )
( CERO DÓLARES 00/100 USD )</t>
  </si>
  <si>
    <t>C2EXT-0177</t>
  </si>
  <si>
    <t xml:space="preserve">
SUMINISTRO E INSTALACIÓN EN PATIO DE PREFABRICADOS DE BRIDA CUELLO SOLDABLE ASME B16.5, DE ACERO AL CARBONO FORJADO ASTM A-105, CARA JUNTA TIPO ANILLO (R. T. J.), LOS MATERIALES DEBEN CUMPLIR CON ANSI/NACE MR-0175, ISO 15156-1 Y 2, Y EL ESTÁNDAR PEMEX-EST-TD-032-P2-2019, DE 4"Ø NPS, (100 DN) CLASE 900, BORE: 3.826".  INCLUYE: ACARREO, CARGA, DESCARGA, MANIOBRAS.
</t>
  </si>
  <si>
    <t>( CINCUENTA MIL SETECIENTOS TREINTA Y SEIS  PESOS 43/100 M.N. )
( CERO DÓLARES 00/100 USD )</t>
  </si>
  <si>
    <t>C2EXT-0178</t>
  </si>
  <si>
    <t xml:space="preserve">
SUMINISTRO E INSTALACIÓN EN PATIO DE PREFABRICADOS DE BRIDA CAJA SOLDABLE (SW) DE ACERO AL CARBON FORJADO DE 2"DE DIAMETRO NOMINAL, CED. XXS CLASE: 1500# , BORE 1.503" CARA JUNTA DIAMETRO NOMINAL, CED. XXS CLASE: 1500# ,  CARA JUNTA ANILLO (R.T.J.), ESPECIFICACION: ASTM A105, ASME: B16.5. DEBE CUMPLIR CON LOS REQUERIMIENTOS DEL ESTÁNDAR ISO 15156-2. INCLUYE: ACARREO, CARGA, DESCARGA, MANIOBRAS.
</t>
  </si>
  <si>
    <t>( SESENTA Y DOS MIL OCHOCIENTOS DOCE  PESOS 75/100 M.N. )
( CERO DÓLARES 00/100 USD )</t>
  </si>
  <si>
    <t xml:space="preserve">
SUBTOTAL ANEXO C-2EXT
</t>
  </si>
  <si>
    <t xml:space="preserve">
CATALOGO DE CONCEPTOS NO PREVISTOS CATÁLOGO DE CONCEPTOS DE SUMINISTRO E INSTALACIÓN DE ESTRUCTURAS Y TUBOS PARA TRABAJOS DE REHABILITACIÓN Y ADECUACIÓN COSTA AFUERA.
</t>
  </si>
  <si>
    <t>C3EXT-0013</t>
  </si>
  <si>
    <t xml:space="preserve">
SUMINISTRO, CARGA, ACARREO, DESCARGA Y PUESTA EN SITIO COSTA FUERA DE COPLE DE ALUMINIO LIBRE COBRE CÉDULA 40, CON CUBIERTA DE PVC E INTERIOR DE URETANO, DE 21 MM (3/4" DIÁMETRO).
</t>
  </si>
  <si>
    <t>( UN MIL CIENTO DIECINUEVE  PESOS 97/100 M.N. )
( CERO DÓLARES 00/100 USD )</t>
  </si>
  <si>
    <t>C3EXT-0019</t>
  </si>
  <si>
    <t xml:space="preserve">
SUMINISTRO, CARGA, ACARREO, DESCARGA Y PUESTA EN SITIO COSTA FUERA DE ZAPATA TERMINAL TIPO "YA"  DE COBRE ELECTROLÍTICO ESTAÑADO DE CAÑÓN LARGO PARA CABLE CALIBRE 2 AWG CON UN BARRENO PARA TORNILLO DE 5/16" DE DIÁMETRO INCLUYE: 01 TORNILLO CABEZA HEXAGONAL, DE ACERO INOXIDABLE, GRADO: 316, DE 5/16" X 1 1/2" DE LONGITUD, CUERDA CORRIDA, CON: 01 TUERCA HEXAGONAL, DE ACERO INOXIDABLE, GRADO: 316, 02 ARANDELA PLANA, DE ACERO INOXIDABLE, GRADO: 316, 01 ARANDELA DE PRESIÓN, DE ACERO INOXIDABLE GRADO: 316.
</t>
  </si>
  <si>
    <t>( QUINIENTOS CINCUENTA Y OCHO  PESOS 97/100 M.N. )
( CERO DÓLARES 00/100 USD )</t>
  </si>
  <si>
    <t>C3EXT-0032</t>
  </si>
  <si>
    <t xml:space="preserve">
SUMINISTRO, CARGA, ACARREO, DESCARGA Y PUESTA EN SITIO COSTA FUERA DE CONECTOR A COMPRESIÓN, DE COBRE, FIGURA OCHO, PARA DERIVAR EN SISTEMA DE TIERRAS DE VARILLA DE 15.9 MM (5/8") DE DIÁMETRO A CABLE CALIBRE 2 A 2/0 AWG.
</t>
  </si>
  <si>
    <t>( UN MIL CIENTO VEINTIDOS  PESOS 46/100 M.N. )
( CERO DÓLARES 00/100 USD )</t>
  </si>
  <si>
    <t>C3EXT-0033</t>
  </si>
  <si>
    <t xml:space="preserve">
SUMINISTRO, CARGA, ACARREO, DESCARGA Y PUESTA EN SITIO COSTA FUERA DE CONECTOR A TIERRA TIPO VARILLA DE ACERO ESTRUCTURAL DE 5/8" DE DIÁMETRO NOMINAL CON UNA LONGITUD DE 144.3 MM (5.68").
</t>
  </si>
  <si>
    <t>( UN MIL SEISCIENTOS DOS  PESOS 96/100 M.N. )
( CERO DÓLARES 00/100 USD )</t>
  </si>
  <si>
    <t>C3EXT-0034</t>
  </si>
  <si>
    <t xml:space="preserve">
SUMINISTRO, CARGA, ACARREO, DESCARGA Y PUESTA EN SITIO COSTA FUERA DE ZAPATA TERMINAL TIPO "YA" DE COBRE ELECTROLÍTICO ESTAÑADO DE CAÑÓN LARGO PARA CABLE CALIBRE 2/0 AWG CON UN BARRENO PARA TORNILLO DE 1/2" DE DIÁMETRO CON (01) TORNILLO CABEZA HEXAGONAL, DE ACERO INOXIDABLE, GRADO 316, DE 1/2" X 1 1/2" DE LONGITUD, CUERDA CORRIDA, CON: 01 TUERCA HEXAGONAL, DE ACERO INOXIDABLE, GRADO: 316, 02 ARANDELA PLANA, DE ACERO INOXIDABLE, GRADO: 316, 01 ARANDELA DE PRESIÓN, DE ACERO INOXIDABLE GRADO: 316.
</t>
  </si>
  <si>
    <t>( SEISCIENTOS CUARENTA Y DOS  PESOS 15/100 M.N. )
( CERO DÓLARES 00/100 USD )</t>
  </si>
  <si>
    <t>C3EXT-0038</t>
  </si>
  <si>
    <t xml:space="preserve">
SUMINISTRO, CARGA, ACARREO, DESCARGA Y PUESTA EN SITIO COSTA FUERA DE CONECTOR GLÁNDULA TIPO CGB DE ALUMINIO LIBRE DE COBRE TIPO MACHO DE DESIGNACIÓN 21 MM (3/4") PARA CABLE CALIBRE (2AWG).
</t>
  </si>
  <si>
    <t>( UN MIL SETECIENTOS NOVENTA Y CINCO  PESOS 81/100 M.N. )
( CERO DÓLARES 00/100 USD )</t>
  </si>
  <si>
    <t>C3EXT-0093</t>
  </si>
  <si>
    <t xml:space="preserve">
SUMINISTRO, CARGA, ACARREO, DESCARGA Y PUESTA EN SITIO COSTA FUERA DE CONDUCTOR DE COBRE SUAVE CON AISLAMIENTO TERMOPLASTICO THW-LS/THHW-LS PARA 600 V, 75°C DE TEMPERATURA DE OPERACIÓN: CALIBRE 12 AWG, COLOR BLANCO.
</t>
  </si>
  <si>
    <t>METRO</t>
  </si>
  <si>
    <t>( TRESCIENTOS DIECISIETE  PESOS 67/100 M.N. )
( CERO DÓLARES 00/100 USD )</t>
  </si>
  <si>
    <t>C3EXT-0097</t>
  </si>
  <si>
    <t xml:space="preserve">
SUMINISTRO, CARGA, ACARREO, DESCARGA Y PUESTA EN SITIO COSTA FUERA DE REDUCCIÓN TIPO BUSHING PARA TUBERÍA CONDUIT PARA USO EN ÁREAS PELIGROSAS, DE ALUMINIO LIBRE DE COBRE CON RECUBRIMIENTO EXTERIOR E INTERIOR DE URETANO DE 2 MIL. DE PULG., DE 27 mm A 16 mm (3/4" A 1/2") DE DIÁMETRO.
</t>
  </si>
  <si>
    <t>( CUATROCIENTOS CUARENTA Y DOS  PESOS 98/100 M.N. )
( CERO DÓLARES 00/100 USD )</t>
  </si>
  <si>
    <t>C3EXT-0116</t>
  </si>
  <si>
    <t xml:space="preserve">
SUMINISTRO, CARGA, ACARREO, DESCARGA Y PUESTA EN SITIO COSTA FUERA DE NIPLE CORTO DE ALUMINIO LIBRE DE COBRE CON RECUBRIMIENTO EXTERIOR E INTERIOR DE 2 MIL. DE PLG DE URETANO, DE 21 mm (3/4" DIÁMETRO).
</t>
  </si>
  <si>
    <t>( QUINIENTOS OCHENTA Y NUEVE  PESOS 27/100 M.N. )
( CERO DÓLARES 00/100 USD )</t>
  </si>
  <si>
    <t>C3EXT-0152</t>
  </si>
  <si>
    <t xml:space="preserve">
SUMINISTRO, CARGA, ACARREO, DESCARGA Y PUESTA EN SITIO COSTA FUERA DE ABRAZADERA TIPO U BOLT DE ACERO GALVANIZADO CON RECUBRIMIENTO DE PVC DE 12.7 MM DE DIAM (1/2"), CON TUERCAS HEXAGONALES ENCAPSULADAS DE PVC INCLUIDAS. MODELO "U".
</t>
  </si>
  <si>
    <t>( CERO PESOS 55/100 M.N. )
( DIECIOCHO  DÓLARES 63/100 USD )</t>
  </si>
  <si>
    <t>C3EXT-0279</t>
  </si>
  <si>
    <t xml:space="preserve">
SUMINISTRO, CARGA, ACARREO, DESCARGA Y PUESTA EN SITIO COSTA FUERA DE BRIDA CIEGA DE 12” DE DIÁMETRO NOMINAL, DE ACERO AL CARBONO CLASE 600# R.F. ASTM A105, DIMENSIONES DE ACUERDO CON ASME B16.5. PARA SERVICIO AMARGO.
</t>
  </si>
  <si>
    <t>( VEINTIUN MIL CINCO  PESOS 19/100 M.N. )
( CERO DÓLARES 00/100 USD )</t>
  </si>
  <si>
    <t>C3EXT-0290</t>
  </si>
  <si>
    <t xml:space="preserve">
SUMINISTRO, CARGA, ACARREO, DESCARGA Y PUESTA EN SITIO COSTA FUERA DE EMPAQUE TIPO ANILLO OCTAGONAL DE ACERO AL BAJO CARBONO, CON DUREZA BRINELL MAXIMA DE 160, DE ACUERDO ASME 16.20, PARA BRIDAS ASME B16.5 CARA JUNTA TIPO ANILLO (R.J.), DE 4" DE DIAMETRO NPS (200 DN), CLASE 1500.PARA BRIDA 16.5 RING No. 39.
</t>
  </si>
  <si>
    <t>( CINCO MIL QUINIENTOS NOVENTA Y UN  PESOS 77/100 M.N. )
( CERO DÓLARES 00/100 USD )</t>
  </si>
  <si>
    <t>C3EXT-0308</t>
  </si>
  <si>
    <t xml:space="preserve">
MOVILIZACION  EQUIPO DE BUCEO DE SUPERFICIE (PARA 08 BUZOS y 01 CAMARA DE DESCOMPRESION)
</t>
  </si>
  <si>
    <t>EVENTO</t>
  </si>
  <si>
    <t>( CERO PESOS 00/100 M.N. )
( SETENTA Y CINCO MIL SEISCIENTOS SESENTA Y SIETE  DÓLARES 80/100 USD )</t>
  </si>
  <si>
    <t>C3EXT-0309</t>
  </si>
  <si>
    <t xml:space="preserve">
DESMOVILIZACION EQUIPO DE BUCEO DE SUPERFICIE (PARA 08 BUZOS y 01 CAMARA DE DESCOMPRESION)
</t>
  </si>
  <si>
    <t>( CERO PESOS 00/100 M.N. )
( SESENTA Y CINCO MIL SEISCIENTOS CINCUENTA Y SIETE  DÓLARES 53/100 USD )</t>
  </si>
  <si>
    <t>C3EXT-0311</t>
  </si>
  <si>
    <t xml:space="preserve">
SUMINISTRO, CARGA, ACARREO, DESCARGA Y PUESTA EN SITIO COSTA FUERA DE BRIDA CIEGA ASME B16.5, DE ACERO AL CARBONO MSS SP-44 GR. F52, CARA JUNTA TIPO ANILLO (R.T.J.), LOS MATERIALES DEBEN CUMPLIR CON EL ESTÁNDAR PEMEX-EST-TD-032-P2-2019, DE 4" DE DIAMETRO NPS (100 DN), CLASE 1500.
</t>
  </si>
  <si>
    <t>( CUARENTA Y CINCO MIL DOSCIENTOS TREINTA Y SEIS  PESOS 52/100 M.N. )
( CERO DÓLARES 00/100 USD )</t>
  </si>
  <si>
    <t>C3EXT-0312</t>
  </si>
  <si>
    <t xml:space="preserve">
SUMINISTRO, CARGA, ACARREO, DESCARGA Y PUESTA EN SITIO COSTA FUERA DE TORNILLO DE ACERO INOXIDABLE 316, CUERDA STD. CABEZA DE GOTA CON TUERCA Y ROLDANA DE ACERO INOXIDABLE 316 DE 3/16" DE DIAMETRO X 1" LONGITUD.
</t>
  </si>
  <si>
    <t>( CINCUENTA Y OCHO  PESOS 41/100 M.N. )
( CERO DÓLARES 00/100 USD )</t>
  </si>
  <si>
    <t>C3EXT-0313</t>
  </si>
  <si>
    <t xml:space="preserve">
SUMINISTRO, CARGA, ACARREO, DESCARGA Y PUESTA EN SITIO COSTA FUERA DE TORNILLO DE ACERO INOXIDABLE 304 DE CABEZA HEXAGONAL ROSCA ESTANDAR. INCLUYE DOS ARANDELAS PLANA Y TUERCA, ASTMA182 DE 3/8" DE DIAMETRO X 1 1/2" DE LONGITUD.
</t>
  </si>
  <si>
    <t>( CIENTO DOS  PESOS 57/100 M.N. )
( CERO DÓLARES 00/100 USD )</t>
  </si>
  <si>
    <t>C3EXT-0314</t>
  </si>
  <si>
    <t xml:space="preserve">
SUMINISTRO, CARGA, ACARREO, DESCARGA Y PUESTA EN SITIO COSTA FUERA DE TORNILLO CABEZA HEXAGONAL DE ACERO INOXIDABLE GRADO 316, CUERDA CORRIDA INCLUYE : 1 TUERCA HEXAGONAL, 2 ARANDELAS PLANAS Y 1 ARANDELA DE PRESIÓN DEL MISMO MATERIAL DEL TORNILLO, DE 3/8" DE DIÁMETRO X 2" DE LONGITUD.
</t>
  </si>
  <si>
    <t>( CIENTO SEIS  PESOS 62/100 M.N. )
( CERO DÓLARES 00/100 USD )</t>
  </si>
  <si>
    <t>C3EXT-0315</t>
  </si>
  <si>
    <t xml:space="preserve">
SUMINISTRO, CARGA, ACARREO, DESCARGA Y PUESTA EN SITIO COSTA FUERA DE TORNILLO DE ACERO INOXIDABLE 316 DE 1/2" DE DIÁMETRO X 4" DE LONGITUD, INCLUYE TUERCAS Y ARANDELAS PLANAS Y DE PRESIÓN.
</t>
  </si>
  <si>
    <t>( CIENTO OCHO  PESOS 55/100 M.N. )
( CERO DÓLARES 00/100 USD )</t>
  </si>
  <si>
    <t>C3EXT-0316</t>
  </si>
  <si>
    <t xml:space="preserve">
SUMINISTRO, CARGA, ACARREO, DESCARGA Y PUESTA EN SITIO COSTA FUERA DE TORNILLO DE ACERO AL CARBÓN CABEZA HEXAGONAL CUERDA ESTANDAR CORRIDA DE ACERO ASTM-A325 TIPO I GR. 2H, CON TUERCA HEXAGONAL ROSCADA ASTM A-194, EL RECUBRIMIENTO SERÁ A BASE DE CADMIO POR ELECTRODEPOSITO, DE 1/2" DE DIAMETRO X 7" LONGITUD.
</t>
  </si>
  <si>
    <t>( TRECE  PESOS 07/100 M.N. )
( TREINTA Y NUEVE  DÓLARES 00/100 USD )</t>
  </si>
  <si>
    <t>C3EXT-0317</t>
  </si>
  <si>
    <t xml:space="preserve">
SUMINISTRO, CARGA, ACARREO, DESCARGA Y PUESTA EN SITIO COSTA FUERA DE TORNILLO DE ACERO AL CARBÓN CABEZA HEXAGONAL CUERDA ESTANDAR CORRIDA DE ACERO ASTM-A325 TIPO I GR. 2H, CON TUERCA HEXAGONAL ROSCADA ASTM A-194, EL RECUBRIMIENTO SERÁ A BASE DE CADMIO POR ELECTRODEPOSITO, DE 1 1/4" DE DIAMETRO X 6" LONGITUD.
</t>
  </si>
  <si>
    <t>( TRECE  PESOS 07/100 M.N. )
( CINCUENTA Y DOS  DÓLARES 00/100 USD )</t>
  </si>
  <si>
    <t>C3EXT-0318</t>
  </si>
  <si>
    <t xml:space="preserve">
SUMINISTRO, CARGA, ACARREO, DESCARGA Y PUESTA EN SITIO COSTA FUERA DE TORNILLO DE ACERO AL CARBÓN CABEZA HEXAGONAL CUERDA ESTANDAR CORRIDA  DE ACERO ASTM-A325 TIPO I GR. 2H, CON TUERCA HEXAGONAL ROSCADA ASTM A-194, EL RECUBRIMIENTO SERÁ A BASE DE CADMIO POR ELECTRODEPOSITO, DE 1 3/8" DE DIAMETRO X 4" LONGITUD.
</t>
  </si>
  <si>
    <t>C3EXT-0319</t>
  </si>
  <si>
    <t xml:space="preserve">
SUMINISTRO, CARGA, ACARREO, DESCARGA Y PUESTA EN SITIO COSTA FUERA DE ESPÁRRAGO DE ACERO AL CARBON ASTM A193 GR. B7, ROSCA ASME B1.1 CLASE 2A, CON 2 TUERCAS HEXAGONALES DE ACERO AL CARBONO ASTM A194 GR. 2H, ROSCA ASME B1.1 CLASE 2A, CON RECUBRIMIENTO A BASE DE CADMIO (25 MICRAS DE ESPESOR ASTM B766), LOS MATERIALES DEBEN CUMPLIR CON EL ESTÁNDAR PEMEX-EST-TD-027-2022, DE 5/8” DE DIAMETRO X 3 5/8" DE LONGITUD.
</t>
  </si>
  <si>
    <t>( SETENTA  PESOS 27/100 M.N. )
( CERO DÓLARES 00/100 USD )</t>
  </si>
  <si>
    <t>C3EXT-0320</t>
  </si>
  <si>
    <t xml:space="preserve">
SUMINISTRO, CARGA, ACARREO, DESCARGA Y PUESTA EN SITIO COSTA FUERA DE ESPÁRRAGO DE ACERO AL CARBON ASTM A193 GR. B7 , CON TUERCAS Y CONTRATUERCAS HEXAGONALES A-194 GR. 2H Y DOS ROLDANAS DE PRESION F 436 TIPO 3, EL RECUBRIMIENTO SERÁ A BASE DE CADMIO POR ELECTRODEPOSITO, DE 3/4" DE DIAMETRO X 12" DE LONGITUD.
</t>
  </si>
  <si>
    <t>( UN MIL VEINTICINCO  PESOS 57/100 M.N. )
( CERO DÓLARES 00/100 USD )</t>
  </si>
  <si>
    <t>C3EXT-0321</t>
  </si>
  <si>
    <t xml:space="preserve">
SUMINISTRO, CARGA, ACARREO, DESCARGA Y PUESTA EN SITIO COSTA FUERA DE ESPÁRRAGO DE ACERO AL CARBON ASTM A193 GR. B7, ROSCAS ASME B1.1 CLASE 2A, CON 2 TUERCAS HEXAGONALES DE ACERO AL CARBONO ASTM A194 GR. 2H, ROSCAS ASME B1.1 CLASE 2A, CON RECUBRIMIENTO RESISTENTE A LA CORROSIÓN A BASE DE CADMIO (25 MICRAS DE ESPESOR ASTM B766), LOS MATERIALES DEBEN CUMPLIR CON EL ESTÁNDAR PEMEXEST-TD-027-2022, DE 7/8" DE DIAMETRO X 6" DE LONGITUD.
</t>
  </si>
  <si>
    <t>( CIENTO NOVENTA Y TRES  PESOS 70/100 M.N. )
( CERO DÓLARES 00/100 USD )</t>
  </si>
  <si>
    <t>C3EXT-0322</t>
  </si>
  <si>
    <t xml:space="preserve">
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LOS MATERIALES DEBEN CUMPLIR CON ANSI/NACE MR-0175, ISO 15156-1 Y 2, Y EL ESTÁNDAR PEMEX-EST-TD-027-2022, DE 1" DE DIAMETRO X 7 1/4" DE LONGITUD.
</t>
  </si>
  <si>
    <t>( CUATROCIENTOS SIETE  PESOS 77/100 M.N. )
( CERO DÓLARES 00/100 USD )</t>
  </si>
  <si>
    <t>C3EXT-0323</t>
  </si>
  <si>
    <t xml:space="preserve">
SUMINISTRO, CARGA, ACARREO, DESCARGA Y PUESTA EN SITIO COSTA FUERA DE ESPARRAGO DE ACERO AL CARBON ASTM A193 GR. B7, CON TUERCAS Y CONTRATUERCAS HEXAGONALES A-194 GR. 2H Y DOS ROLDANAS DE PRESION F 436 TIPO 3, EL RECUBRIMIENTO SERÁ A BASE DE CADMIO POR ELECTRODEPOSITO, DE 1" DE DIAMETRO X 9" DE LONGITUD.
</t>
  </si>
  <si>
    <t>( UN MIL CIENTO CUARENTA Y SIETE  PESOS 07/100 M.N. )
( CERO DÓLARES 00/100 USD )</t>
  </si>
  <si>
    <t>C3EXT-0324</t>
  </si>
  <si>
    <t xml:space="preserve">
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LOS MATERIALES DEBEN CUMPLIR CON ANSI/NACE MR-0175, ISO 15156-1 Y 2, EL ESTÁNDAR PEMEX-EST-TD-027-2022, DE 1" DE DIAMETRO X 12 5/8"DE LONGITUD.
</t>
  </si>
  <si>
    <t>( QUINIENTOS SETENTA Y SIETE  PESOS 48/100 M.N. )
( CERO DÓLARES 00/100 USD )</t>
  </si>
  <si>
    <t>C3EXT-0325</t>
  </si>
  <si>
    <t xml:space="preserve">
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LOS MATERIALES DEBEN CUMPLIR CON ANSI/NACE MR-0175, ISO 15156-1 Y 2, Y EL ESTÁNDAR PEMEX-EST-TD-027-2022, DE 1 1/8" DE DIAMETRO X 7 1/4" DE LONGITUD.
</t>
  </si>
  <si>
    <t>( QUINIENTOS CUARENTA Y DOS  PESOS 77/100 M.N. )
( CERO DÓLARES 00/100 USD )</t>
  </si>
  <si>
    <t>C3EXT-0326</t>
  </si>
  <si>
    <t xml:space="preserve">
SUMINISTRO, CARGA, ACARREO, DESCARGA Y PUESTA EN SITIO COSTA FUERA DE ESPÁRRAGO DE ACERO AL CARBON ASTM A193 GR. B7, ROSCAS ASME B1.1 CLASE 2A, CON 2 TUERCAS HEXAGONALES DE ACERO AL CARBONO ASTM A194 GR. 2H, ROSCAS ASME B1.1 CLASE 2A, CON RECUBRIMIENTO RESISTENTE A LA CORROSIÓN A BASE DE CADMIO (25 MICRAS DE ESPESOR ASTM B766), LOS MATERIALES DEBEN CUMPLIR CON EL ESTÁNDAR PEMEXEST-TD-027-2022, DE 1 1/4" DE DIAMETRO X 8 3/8" DE LONGITUD.
</t>
  </si>
  <si>
    <t>( SETECIENTOS DIECISEIS  PESOS 34/100 M.N. )
( CERO DÓLARES 00/100 USD )</t>
  </si>
  <si>
    <t>C3EXT-0327</t>
  </si>
  <si>
    <t xml:space="preserve">
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LOS MATERIALES DEBEN CUMPLIR CON ANSI/NACE MR-0175, ISO 15156-1 Y 2, Y EL ESTÁNDAR PEMEX-EST-TD-027-2022, DE 1 1/4” DE DIAMETRO X 9 3/8" DE LONGITUD.
</t>
  </si>
  <si>
    <t>( SETECIENTOS CINCUENTA Y CUATRO  PESOS 91/100 M.N. )
( CERO DÓLARES 00/100 USD )</t>
  </si>
  <si>
    <t>C3EXT-0328</t>
  </si>
  <si>
    <t xml:space="preserve">
SUMINISTRO, CARGA, ACARREO, DESCARGA Y PUESTA EN SITIO COSTA FUERA DE ESPÁRRAGO DE ACERO AL CARBON ASTM A193 GR. B7M, ROSCA ASME B1.1 CLASE 2A, CON 2 TUERCAS HEXAGONALES DE ACERO AL CARBONO ASTM A194 GR. 2HM, ROSCA ASME B1.1 CLASE 2A, CON RECUBRIMIENTO A BASE DE CADMIO (25 MICRAS DE ESPESOR ASTM B766), LOS MATERIALES DEBEN CUMPLIR CON ANSI/NACE MR-0175, ISO 15156-1 Y 2, Y EL ESTÁNDAR PEMEX-EST-TD-027-2022, DE 1 1/2” DE DIAMETRO X 22 3/4" DE LONGITUD.
</t>
  </si>
  <si>
    <t>( DOS MIL DOSCIENTOS CINCUENTA Y NUEVE  PESOS 20/100 M.N. )
( CERO DÓLARES 00/100 USD )</t>
  </si>
  <si>
    <t>C3EXT-0329</t>
  </si>
  <si>
    <t xml:space="preserve">
SUMINISTRO, CARGA, ACARREO, DESCARGA Y PUESTA EN SITIO COSTA FUERA DE ESPÁRRAGO DE ACERO AL CARBON ASTM A193 GR. B7, ROSCAS ASME B1.1 CLASE 2A, CON 2 TUERCAS HEXAGONALES DE ACERO AL CARBONO ASTM A194 GR. 2H, ROSCAS ASME B1.1 CLASE 2A, CON RECUBRIMIENTO RESISTENTE A LA CORROSIÓN A BASE DE CADMIO (25 MICRAS DE ESPESOR ASTM B766), LOS MATERIALES DEBEN CUMPLIR CON EL ESTÁNDAR PEMEXEST-TD-027-2022, DE 1 5/8" DE DIAMETRO X 13 1/8" DE LONGITUD.
</t>
  </si>
  <si>
    <t>( UN MIL CUATROCIENTOS DIEZ  PESOS 63/100 M.N. )
( CERO DÓLARES 00/100 USD )</t>
  </si>
  <si>
    <t>C3EXT-0330</t>
  </si>
  <si>
    <t xml:space="preserve">
SUMINISTRO, CARGA, ACARREO, DESCARGA Y PUESTA EN SITIO COSTA FUERA DE ESPÁRRAGO DE ACERO AL CARBON ASTM A193 GR. B7, CON TUERCAS Y CONTRATUERCAS HEXAGONALES A-194 GR. 2H Y DOS ROLDANAS DE PRESIÓN F 436 TIPO 3, EL RECUBRIMIENTO SERÁ A BASE DE CADMIO POR ELECTRODEPOSITO DE 2" DE DIAMETRO X 16" DE LONGITUD.
</t>
  </si>
  <si>
    <t>( CUATRO MIL SEISCIENTOS SETENTA  PESOS 57/100 M.N. )
( CERO DÓLARES 00/100 USD )</t>
  </si>
  <si>
    <t>C3EXT-0331</t>
  </si>
  <si>
    <t xml:space="preserve">
SUMINISTRO, CARGA, ACARREO, DESCARGA Y PUESTA EN SITIO COSTA FUERA DE EMPAQUE TIPO ANILLO OCTAGONAL DE ACERO AL BAJO CARBONO, CON DUREZA BRINELL MAXIMA DE 120, DE ACUERDO ASME 16.20, PARA BRIDAS ASME B16.5 CARA JUNTA TIPO ANILLO (R.J.), DE 2 1/6" DE DIAMETRO NPS (200 DN) DE 13/32" DE ESPESOR, PARA BRIDA API 6A TIPO BX,CLASE 10,000, R.T.J. RING No BX-152.
</t>
  </si>
  <si>
    <t>( DOS MIL CIENTO NOVENTA Y CINCO  PESOS 10/100 M.N. )
( CERO DÓLARES 00/100 USD )</t>
  </si>
  <si>
    <t>C3EXT-0332</t>
  </si>
  <si>
    <t xml:space="preserve">
SUMINISTRO, CARGA, ACARREO, DESCARGA Y PUESTA EN SITIO COSTA FUERA DE EMPAQUE TIPO ANILLO OCTAGONAL DE ACERO AL BAJO CARBONO, CON DUREZA BRINELL MAXIMA DE 120, DE ACUERDO ASME 16.20, PARA BRIDAS ASME B16.5 CARA JUNTA TIPO ANILLO (R.T.J.), DE 2" DE DIÁMETRO NPS (200 DN) DE 5/8" DE ESPESOR, CLASE 1500 R.T.J., PARA BRIDA ,ASME B 16.5 RING No R24.
</t>
  </si>
  <si>
    <t>( CUATRO MIL SETECIENTOS SESENTA Y SIETE  PESOS 81/100 M.N. )
( CERO DÓLARES 00/100 USD )</t>
  </si>
  <si>
    <t>C3EXT-0333</t>
  </si>
  <si>
    <t xml:space="preserve">
SUMINISTRO, CARGA, ACARREO, DESCARGA Y PUESTA EN SITIO COSTA FUERA DE EMPAQUE TIPO ANILLO OCTAGONAL DE ACERO INOXIDABLE UNS 31600, CON DUREZA BRINELL MAXIMA DE 160, DE ACUERDO ASME B16.20, PARA BRIDAS ASME B16.5 CARA JUNTA TIPO ANILLO (R.T.J.), DE 4" DE DIAMETRO NPS (100 DN) DE 1/8" DE ESPESOR, CLASE 900, RING NUMERO R37.
</t>
  </si>
  <si>
    <t>( CINCO MIL NOVECIENTOS OCHENTA Y DOS  PESOS 81/100 M.N. )
( CERO DÓLARES 00/100 USD )</t>
  </si>
  <si>
    <t>C3EXT-0334</t>
  </si>
  <si>
    <t xml:space="preserve">
SUMINISTRO, CARGA, ACARREO, DESCARGA Y PUESTA EN SITIO COSTA FUERA DE EMPAQUE TIPO ANILLO OCTAGONAL DE ACERO AL BAJO CARBONO, CON DUREZA BRINELL MAXIMA DE 120, DE ACUERDO ASME 16.20, PARA BRIDAS ASME B16.5 CARA JUNTA TIPO ANILLO (R.T.J.), DE 8" DE DIAMETRO NPS (200 DN) DE 13/16" DE ESPESOR, CLASE 1500. PARA BRIDA ASME 16.5 RING. No 50.
</t>
  </si>
  <si>
    <t>( CATORCE MIL OCHOCIENTOS CINCUENTA Y DOS  PESOS 31/100 M.N. )
( CERO DÓLARES 00/100 USD )</t>
  </si>
  <si>
    <t>C3EXT-0335</t>
  </si>
  <si>
    <t xml:space="preserve">
SUMINISTRO, CARGA, ACARREO, DESCARGA Y PUESTA EN SITIO COSTA FUERA DE EMPAQUE ESPIRO-METÁLICO, CON ANILLOS METÁLICO CENTRADOR (EXTERIOR)  RELLENO DE GRAFITO FLEXIBLE, (ENROLLAMIENTO Y ANILLOS CENTRADOR DE ALEACIÓN . UNS N04400 , ANILLO  DE RESPALDO (INTERNO),  DE PTFE, ASME B16.20, PARA BRIDAS ASME B16.5, CLASE 150, RF , DE 1 1/2” DE DIAMETRO, DE 1/8" DE ESPESOR.
</t>
  </si>
  <si>
    <t>( SEIS MIL NOVECIENTOS OCHENTA  PESOS 77/100 M.N. )
( CERO DÓLARES 00/100 USD )</t>
  </si>
  <si>
    <t>C3EXT-0336</t>
  </si>
  <si>
    <t xml:space="preserve">
SUMINISTRO, CARGA, ACARREO, DESCARGA Y PUESTA EN SITIO COSTA FUERA DE EMPAQUE ESPIRO-METÁLICO, CON ANILLOS METÁLICO CENTRADOR (EXTERIOR)  RELLENO DE GRAFITO FLEXIBLE, (ENROLLAMIENTO Y ANILLOS CENTRADOR DE ALEACION . UNS N04400 , ANILLO  DE RESPALDO (INTERNO),  DE PTFE, ASME B16.20, PARA BRIDAS ASME B16.5, CLASE 150, RF , DE 2” DE DIAMETRO, DE 1/8" DE ESPESOR.
</t>
  </si>
  <si>
    <t>( NUEVE MIL TRESCIENTOS SETENTA Y NUEVE  PESOS 61/100 M.N. )
( CERO DÓLARES 00/100 USD )</t>
  </si>
  <si>
    <t>C3EXT-0337</t>
  </si>
  <si>
    <t xml:space="preserve">
SUMINISTRO, CARGA, ACARREO, DESCARGA Y PUESTA EN SITIO COSTA FUERA DE EMPAQUE ESPIRO-METÁLICO, CON ANILLOS METÁLICO CENTRADOR (EXTERIOR)  RELLENO DE GRAFITO FLEXIBLE, (ENROLLAMIENTO Y ANILLOS CENTRADOR DE ALEACION . UNS N04400 , ANILLO  DE RESPALDO (INTERNO),  DE PTFE, ASME B16.20, PARA BRIDAS ASME B16.5,  CLASE 150, RF , DE 3” DE DIAMETRO, DE 1/8" DE ESPESOR.
</t>
  </si>
  <si>
    <t>( TRECE MIL OCHOCIENTOS UN  PESOS 37/100 M.N. )
( CERO DÓLARES 00/100 USD )</t>
  </si>
  <si>
    <t>C3EXT-0338</t>
  </si>
  <si>
    <t xml:space="preserve">
SUMINISTRO, CARGA, ACARREO, DESCARGA Y PUESTA EN SITIO COSTA FUERA DE EMPAQUE ESPIRO-METÁLICO, CON ANILLOS METÁLICO CENTRADOR (EXTERIOR)  RELLENO DE GRAFITO FLEXIBLE, (ENROLLAMIENTO Y ANILLOS CENTRADOR DE ALEACION . UNS N04400 , ANILLO  DE RESPALDO (INTERNO),  DE PTFE, ASME B16.20, PARA BRIDAS ASME B16.5, CLASE 150, RF, DE 4” DE DIAMETRO, DE 1/8" DE ESPESOR.
</t>
  </si>
  <si>
    <t>( DIECISIETE MIL TRESCIENTOS DIECISIETE  PESOS 61/100 M.N. )
( CERO DÓLARES 00/100 USD )</t>
  </si>
  <si>
    <t>C3EXT-0339</t>
  </si>
  <si>
    <t xml:space="preserve">
SUMINISTRO, CARGA, ACARREO, DESCARGA Y PUESTA EN SITIO COSTA FUERA DE EMPAQUE ESPIRO-METÁLICO, CON ANILLOS METÁLICOS CENTRADORES (EXTERIOR) Y DE RESPALDO (INTERNO), RELLENO DE GRAFITO FLEXIBLE, (ENROLLAMIENTO Y ANILLOS DE ACERO INOX. UNS S31600, ASME B16.20, LOS MATERIALES DEBEN CUMPLIR CON ANSI/NACE MR-0175, ISO 15156-1 Y 2, Y EL ESTÁNDAR PEMEX-EST-TD-156-2020 PARA BRIDAS ASME B16.5 CARA REALZADA (R. F.), CLASE 600, DE 6” DE DIAMETRO NPS (150 DN), DE 1/8” DE ESPESOR.
</t>
  </si>
  <si>
    <t>( CUATRO MIL QUINIENTOS NOVENTA Y DOS  PESOS 31/100 M.N. )
( CERO DÓLARES 00/100 USD )</t>
  </si>
  <si>
    <t>C3EXT-0340</t>
  </si>
  <si>
    <t xml:space="preserve">
SUMINISTRO, CARGA, ACARREO, DESCARGA Y PUESTA EN SITIO COSTA FUERA DE EMPAQUE ESPIRO-METÁLICO, CON ANILLOS METÁLICOS CENTRADOR (EXTERIOR) Y DE RESPALDO (INTERNO), RELLENO DE GRAFITO FLEXIBLE, (ENROLLAMIENTO Y ANILLOS DE ACERO INOX. UNS S31600, ASME B16.20, LOS MATERIALES DEBEN CUMPLIR CON ANSI/NACE MR-0175, ISO 15156-1 Y 2, Y EL ESTÁNDAR PEMEX-EST-TD-156-2020 PARA BRIDAS ASME B16.5 CARA REALZADA (R. F.), CLASE 600, DE 12” DE DIAMETRO NPS (300 DN), DE 1/8” DE ESPESOR.
</t>
  </si>
  <si>
    <t>( DIEZ MIL SEIS  PESOS 27/100 M.N. )
( CERO DÓLARES 00/100 USD )</t>
  </si>
  <si>
    <t>C3EXT-0341</t>
  </si>
  <si>
    <t xml:space="preserve">
SUMINISTRO, CARGA, ACARREO, DESCARGA Y PUESTA EN SITIO COSTA FUERA DE EMPAQUE ESPIRO-METÁLICO, CON ANILLOS METÁLICOS CENTRADOR (EXTERIOR) Y DE RESPALDO (INTERNO), RELLENO DE GRAFITO FLEXIBLE, (ENROLLAMIENTO Y ANILLOS DE ACERO INOX. UNS S31600, ASME B16.20, LOS MATERIALES DEBEN CUMPLIR CON ANSI/NACE MR-0175, ISO 15156-1 Y 2, Y EL ESTÁNDAR PEMEX-EST-TD-156-2020 PARA BRIDAS ASME B16.5 CARA REALZADA (R. F.), CLASE 600, DE 16” DE DIAMETRO NPS (400 DN), DE 1/8” DE ESPESOR.
</t>
  </si>
  <si>
    <t>( CATORCE MIL CUATROCIENTOS NOVENTA Y CUATRO  PESOS 06/100 M.N. )
( CERO DÓLARES 00/100 USD )</t>
  </si>
  <si>
    <t>C3EXT-0342</t>
  </si>
  <si>
    <t xml:space="preserve">
SUMINISTRO, CARGA, ACARREO, DESCARGA Y PUESTA EN SITIO COSTA FUERA DE VÁLVULA DE BOLA, CUERPO DE ACERO AL CARBONO ASTM A105 TRIM 10, EXTREMOS DE CAJA SOLDABLE, CON PLACAS DISIPADORAS DE CALOR, PASO COMPLETO, BOLA Y VÁSTAGO ASTM A182 GR. F316 (CON DOBLE SELLO EN CONEXIÓN VASTAGOCUERPO), TIPO BOLA VERTICAL, ASIENTOS RECAMBIABLES, CUERPO SOLDADO, OPERADA CON PALANCA, DISEÑO A PRUEBA DE FUEGO API STD 607/ISO 10497, API STD 608/ASME B16.34, DISPOSITIVO ANTIESTÁTICO LOS MATERIALES DEBEN CUMPLIR CON EL ESTÁNDAR PEMEX-EST-TD-142-2022, DE 1” DE DIAMETRO NPS (25 DN), CLASE 600.
</t>
  </si>
  <si>
    <t>( CINCUENTA Y DOS  PESOS 24/100 M.N. )
( UN MIL TRESCIENTOS  DÓLARES 00/100 USD )</t>
  </si>
  <si>
    <t>C3EXT-0343</t>
  </si>
  <si>
    <t xml:space="preserve">
SUMINISTRO, PRUEBA HIDROSTÁTICA, CARGA, ACARREO, DESCARGA Y PUESTA EN SITIO COSTA FUERA DE VÁLVULA DE BOLA, CUERPO DE ACERO AL CARBONO ASTM A105 TRIM 10, EXTREMOS DE CAJA SOLDABLE, CON PLACAS DISIPADORAS DE CALOR, PASO COMPLETO, BOLA Y VÁSTAGO ASTM A182 GR. F316 (CON DOBLE SELLO EN CONEXIÓN VASTAGOCUERPO), TIPO BOLA VERTICAL, ASIENTOS RECAMBIABLES, CUERPO SOLDADO, OPERADA CON PALANCA, DISEÑO A PRUEBA DE FUEGO API STD 607/ISO 10497, API STD 608/ASME B16.34, DISPOSITIVO ANTIESTÁTICO LOS MATERIALES DEBEN CUMPLIR CON EL ESTÁNDAR PEMEX-EST-TD-142-2022, DE 2” DE DIAMETRO NPS (50 DN), CLASE 1500.
</t>
  </si>
  <si>
    <t>( TRES MIL OCHOCIENTOS NOVENTA Y SIETE  PESOS 18/100 M.N. )
( TRES MIL QUINIENTOS CINCUENTA Y CUATRO  DÓLARES 54/100 USD )</t>
  </si>
  <si>
    <t>C3EXT-0344</t>
  </si>
  <si>
    <t xml:space="preserve">
SUMINISTRO, PRUEBA HIDROSTÁTICA, CARGA, ACARREO, DESCARGA Y PUESTA EN SITIO COSTA FUERA DE VÁLVULA DE BOLA TRIM 10 (DE ACUERDO CON TABLA B.4 DEL ESTANDAR PEMEX-EST-TD-211-2022), CUERPO INTEGRAL SOLDADO DE ACERO AL CARBONO ASTM A105 O ASTM A350 GR. LF2, PASO COMPLETO Y CONTINUADO, EXTREMOS BRIDADOS ASME B16.5, CARA REALZADA (R. F.) DE ACERO AL CARBONO AST A105 O ASTM A350 GR. LF2, NEC 2, DISEÑO ANTIVOLADURA CON DISPOSITIVO ANTIESTÁTICO, EMPAQUETADURA PRECARGADA, LIBRE DE MANTENIMIENTO, CUMPLIENDO CON ISO 15848-1 Y 2, ASIENTOS PRECARGADOS, CON RESORTE INCONEL X-750 O AISI 1040 Y/O BELLEVILLE AISI 4140 EN AMBOS EXTREMOS, ANILLOS DE ASIENTOS DE UNA SOLA PIEZA ASTM A105 + ENP DE 0.003” DE ESPESOR O AISI 410 CON INSERTOS DE PTFE. ASIENTOS DOBLES UNIDIRECCIONALES, SELLOS BIDIRECCIONALES, INSERTOS DE LOS ASIENTOS , SELLOS Y EMPAQUETADURA DEL VASTAGO DE PTFE, PUERTOS DE INYECCIÓN PARA LOS ASIENTOS Y EL VÁSTAGO, CON GRASERAS DE DOBLE RETENCIÓN Y TAPÓN DE DREN Y VENTEO PARA EL ASIENTO, FABRICADA CONFORME A API 6D/ISO 14313, ASEM B16.5, ASME B16.34, ASME B16.10, LOS MATERIALES DEBEN CUMPLIR CON ANSI/NACE MR-0175, ISO 15156-1 Y 2, A PRUEBA DE FUEGO CONFORME API RP 6F/API 607, API 6FA, PRUEBAS NO DESTRUCTIVAS CONFORME A ASME SECCIÓN VIII Y IX, ESTAMPADO API SPEC 6D, LOS SELLOS DEBEN CUMPLIR PARA AMBIENTE MARINO Y TEMPERATURA DE OPERACIÓN DE 57.5°, DEBE CUMPLIR CON LOS REQUERIMIENTOS TÉCNICOS Y DOCUMENTALES DEL ESTANDAR PEMEX-EST-TD211-2022, DE 6” DE DIAMETRO NPS (150 DN), CLASE 600, BORE = 5.761.
</t>
  </si>
  <si>
    <t>( SEIS MIL TRESCIENTOS CUARENTA Y SEIS  PESOS 43/100 M.N. )
( TREINTA Y SIETE MIL CUATROCIENTOS CUARENTA Y TRES  DÓLARES 84/100 USD )</t>
  </si>
  <si>
    <t>C3EXT-0345</t>
  </si>
  <si>
    <t xml:space="preserve">
SUMINISTRO, CARGA, ACARREO, DESCARGA Y PUESTA EN SITIO COSTA FUERA DE VÁLVULA DE COMPUERTA CUERPO ASTM A105, TRIM 10, CUERDA TORNILLO EXTERIOR Y YUGO, BONETE TORNILLADO, CUÑA SÓLIDA, ASIENTOS RECAMBIABLES, OPERADA CON VOLANTE. ISO 15761. CLASE 1500, DE 1/2" DE DIAMETRO CAJA PARA SOLDAR.
</t>
  </si>
  <si>
    <t>( TRES MIL NOVECIENTOS CUARENTA Y SEIS  PESOS 66/100 M.N. )
( UN MIL DOSCIENTOS CUARENTA  DÓLARES 54/100 USD )</t>
  </si>
  <si>
    <t>C3EXT-0346</t>
  </si>
  <si>
    <t xml:space="preserve">
SUMINISTRO, PRUEBA HIDROSTÁTICA, CARGA, ACARREO, DESCARGA Y PUESTA EN SITIO COSTA FUERA DE VÁLVULA DE COMPUERTA, CUERPO DE ACERO AL CARBONO FORJADO ASTM A105, TRIM 16, DISCO Y ASIENTO RECUBIERTO DE ESTELITA, CUERDA EXTERIOR Y YUGO, BONETE ATORNILLADO, CUÑA SÓLIDA, ASIENTOS RECAMBIABLES, OPERADA CON VOLANTE, ISO 15761, EXTREMOS CAJA SOLDABLE, LOS MATERIALES DEBEN CUMPLIR CON ANSI/NACE MR-0175, ISO 15156-1 Y 2, API STD 602 Y EL ESTÁNDAR PEMEX-EST-TD-142-2022, DE 3/4” DE DIAMETRO NPS (20 DN), CLASE 800.
</t>
  </si>
  <si>
    <t>( TRES MIL OCHOCIENTOS NOVENTA Y SIETE  PESOS 85/100 M.N. )
( CUATROCIENTOS CUARENTA Y UN  DÓLARES 82/100 USD )</t>
  </si>
  <si>
    <t>C3EXT-0347</t>
  </si>
  <si>
    <t xml:space="preserve">
SUMINISTRO, PRUEBA HIDROSTÁTICA, CARGA, ACARREO, DESCARGA Y PUESTA EN SITIO COSTA FUERA DE VÁLVULA DE COMPUERTA, CUERPO DE ACERO AL CARBONO FORJADO ASTM A105, TRIM 10, DISCO Y ASIENTO AC. INOX. 316L, CUERDA EXTERIOR Y YUGO, BONETE ATORNILLADO, CUÑA SÓLIDA, ASIENTOS RECAMBIABLES, OPERADA CON VOLANTE, ISO 15761, EXTREMOS CAJA SOLDABLE LOS MATERIALES DEBEN CUMPLIR CON API STD 602 Y EL ESTÁNDAR PEMEX-EST-TD-142-2022, DE 3/4” DE DIAMETRO NPS (20 DN), CLASE 1500.
</t>
  </si>
  <si>
    <t>( TRES MIL OCHOCIENTOS NOVENTA Y SIETE  PESOS 18/100 M.N. )
( OCHOCIENTOS SETENTA Y DOS  DÓLARES 64/100 USD )</t>
  </si>
  <si>
    <t>C3EXT-0348</t>
  </si>
  <si>
    <t xml:space="preserve">
SUMINISTRO, PRUEBA HIDROSTÁTICA, CARGA, ACARREO, DESCARGA Y PUESTA EN SITIO COSTA FUERA DE VÁLVULA DE COMPUERTA, CUERPO DE ACERO AL CARBONO FORJADO ASTM A105, TRIM 10, DISCO Y ASIENTO AC. INOX. 316L, CUERDA EXTERIOR Y YUGO, BONETE ATORNILLADO, CUÑA SÓLIDA, ASIENTOS RECAMBIABLES, OPERADA CON VOLANTE, ISO 15761, EXTREMOS CAJA SOLDABLE, LOS MATERIALES DEBEN CUMPLIR CON API STD 602 Y EL ESTÁNDAR PEMEX-EST-TD-142-2022, DE 2” DE DIAMETRO NPS (50 DN), CLASE 1500.
</t>
  </si>
  <si>
    <t>( TRES MIL OCHOCIENTOS NOVENTA Y SIETE  PESOS 18/100 M.N. )
( DOS MIL OCHOCIENTOS OCHENTA Y CINCO  DÓLARES 04/100 USD )</t>
  </si>
  <si>
    <t>C3EXT-0349</t>
  </si>
  <si>
    <t xml:space="preserve">
SUMINISTRO, PRUEBA HIDROSTÁTICA, CARGA, ACARREO, DESCARGA Y PUESTA EN SITIO COSTA FUERA DE VÁLVULA RETENCIÓN TIPO PISTÓN, CUERPO ASTM A105, DISEÑADA CONFORME API STD 602, PISTÓN HORIZONTAL, TRIM-10 ASTM A 276-420, JUNTA 304+GRAFITO FLEXIBLE, RESORTE ASTM A276-304, TAPA ASTM A 105, TORNILLO DE LA TAPA ASTM A193 GR. B7, ASIENTO ASTM A276-410+STL, EXTREMOS CAJA SOLDABLE ASME B16.11, LOS MATERIALES DEBEN CUMPLIR CON API STD 602, ISO15761 Y EL ESTÁNDAR PEMEX-EST-TD-142-2022, DE 2” DE DIAMETRO NPS (50 DN), CLASE 1500.
</t>
  </si>
  <si>
    <t>( TRES MIL OCHOCIENTOS NOVENTA Y SIETE  PESOS 18/100 M.N. )
( CUATRO MIL CIENTO OCHENTA Y CINCO  DÓLARES 04/100 USD )</t>
  </si>
  <si>
    <t>C3EXT-0350</t>
  </si>
  <si>
    <t xml:space="preserve">
SUMINISTRO, PRUEBA HIDROSTÁTICA, CARGA, ACARREO, DESCARGA Y PUESTA EN SITIO COSTA FUERA DE VALVULA DE RETENCION TIPO OREJADA DE 6"Ø DE DIAMETRO, DISCO BIPARTIDO, CLASE: 600 LBS, RF, CUERPO DE ACERO AL CARBON ASTM A216 GR.WCB, INTERIOR DE ACERO INOXIDABLE ASTM A-351 CF8M/316SS, (TRIM 10),RESORTE DE INCONEL X-600,SELLO: METAL/METAL,PARA INSTALARSE ENTRE BRIDAS ASME B16.5, CONSTRUIDA CONFORME: API 594, API 598, ASME B16.34, NACE MR-0175.
</t>
  </si>
  <si>
    <t>( SEIS MIL TRESCIENTOS CUARENTA Y SEIS  PESOS 43/100 M.N. )
( CATORCE MIL SEISCIENTOS OCHENTA  DÓLARES 84/100 USD )</t>
  </si>
  <si>
    <t>C3EXT-0351</t>
  </si>
  <si>
    <t xml:space="preserve">
SUMINISTRO, PRUEBA HIDROSTÁTICA, CARGA, ACARREO, DESCARGA Y PUESTA EN SITIO COSTA FUERA DE VÁLVULA DE RETENCIÓN DISCO BIPARTIDO TIPO OREJADA (LUG) CON ORIFICIOS PASANTES EN EL CUERPO, CUERPO DE ACERO AL CARBONO ASTM A216 GR. WCB, CARA REALZADA (R. F.), ASIENTO SS410 OVERLAY, DISCO ASTM A351 CF8M, RESORTE INCONEL X600 ASTM B166 UNS N06600, FLECHA A 276 GR. 410 PERNO TOPE ASTM A 216 GR. 410, SOPORTE FLECHA A 76 GR. 410, RETÉN ASTM A726 GR. 410 BUJE ASTM A276 GR. 410, LOS MATERIALES DEBEN CUMPLIR CON ANSI/NACE MR-0175,API STD 594 TIPO A, ISO 15156-1 Y 2, Y EL ESTÁNDAR PEMEX-ESTTD-142-2022, DE 16” DE DIAMETRO NPS (400 DN), CLASE 600.
</t>
  </si>
  <si>
    <t>( DIECISEIS MIL QUINIENTOS NOVENTA Y TRES  PESOS 35/100 M.N. )
( CINCUENTA Y CINCO MIL NOVECIENTOS CINCUENTA Y UN  DÓLARES 95/100 USD )</t>
  </si>
  <si>
    <t>C3EXT-0352</t>
  </si>
  <si>
    <t xml:space="preserve">
SUMINISTRO, PRUEBA HIDROSTÁTICA, CARGA, ACARREO, DESCARGA Y PUESTA EN SITIO COSTA FUERA DE VÁLVULA DE GLOBO DE 2" DE DIAMETRO CLASE 300# EXTREMOS ROSCADOS, CUERPO ASTM A-350 GR.LF2 Ó ASTM A105, TIPO W5520.
</t>
  </si>
  <si>
    <t>( TRES MIL OCHOCIENTOS NOVENTA Y SIETE  PESOS 18/100 M.N. )
( CUATRO MIL TRESCIENTOS SETENTA  DÓLARES 29/100 USD )</t>
  </si>
  <si>
    <t>C3EXT-0353</t>
  </si>
  <si>
    <t xml:space="preserve">
SUMINISTRO, PRUEBA HIDROSTÁTICA, CARGA, ACARREO, DESCARGA Y PUESTA EN SITIO COSTA FUERA DE VÁLVULA DE GLOBO, CUERPO DE ACERO AL CARBONO FORJADO ASTM A105, TRIM 10, DISCO TIPO MACHO, ASIENTO, CUERDA EXTERIOR Y YUGO, BONETE ATORNILLADO, CUÑA SÓLIDA, ASIENTOS RECAMBIABLES, OPERADA CON VOLANTE, ISO 15761, EXTREMOS CAJA SOLDABLE LOS MATERIALES DEBEN CUMPLIR CON, API STD 602 Y EL ESTÁNDAR PEMEX-EST-TD-142-2022, DE 2” DE DIAMETRO NPS (50 DN), CLASE 1500.
</t>
  </si>
  <si>
    <t>( TRES MIL OCHOCIENTOS NOVENTA Y SIETE  PESOS 18/100 M.N. )
( CUATRO MIL SETECIENTOS CUARENTA Y UN  DÓLARES 44/100 USD )</t>
  </si>
  <si>
    <t>C3EXT-0354</t>
  </si>
  <si>
    <t xml:space="preserve">
SUMINISTRO, CARGA, ACARREO, DESCARGA Y PUESTA EN SITIO COSTA FUERA DE MEDIA CAÑA DE NEOPRENO 2" DE DIAMETRO DE 10 MM DE ESPESOR DE 150 MM DE LONGITUD PARA TUBERÍA DE 1.5" DE DIAMETRO.
</t>
  </si>
  <si>
    <t>( UN MIL TRESCIENTOS SIETE  PESOS 81/100 M.N. )
( CERO DÓLARES 00/100 USD )</t>
  </si>
  <si>
    <t>C3EXT-0355</t>
  </si>
  <si>
    <t xml:space="preserve">
SUMINISTRO, CARGA, ACARREO, DESCARGA Y PUESTA EN SITIO COSTA FUERA DE MEDIA CAÑA DE NEOPRENO 2" DE DIAMETRO DE 10 MM DE ESPESOR DE 150 MM DE LONGITUD PARA TUBERÍA DE 2 "DE DIAMETRO.
</t>
  </si>
  <si>
    <t>( UN MIL CUATROCIENTOS SETENTA  PESOS 89/100 M.N. )
( CERO DÓLARES 00/100 USD )</t>
  </si>
  <si>
    <t>C3EXT-0356</t>
  </si>
  <si>
    <t xml:space="preserve">
SUMINISTRO, CARGA, ACARREO, DESCARGA Y PUESTA EN SITIO COSTA FUERA DE MEDIA CAÑA DE NEOPRENO 2" DE DIAMETRO DE 10 MM DE ESPESOR DE 150 MM DE LONGITUD PARA TUBERÍA DE 3 "DE DIAMETRO.
</t>
  </si>
  <si>
    <t>( UN MIL SETECIENTOS NOVENTA Y SIETE  PESOS 59/100 M.N. )
( CERO DÓLARES 00/100 USD )</t>
  </si>
  <si>
    <t>C3EXT-0357</t>
  </si>
  <si>
    <t xml:space="preserve">
SUMINISTRO, CARGA, ACARREO, DESCARGA Y PUESTA EN SITIO COSTA FUERA DE MEDIA CAÑA DE NEOPRENO 2" DE DIAMETRO DE 10 MM DE ESPESOR DE 150 MM DE LONGITUD PARA TUBERÍA DE 4 "DE DIAMETRO.
</t>
  </si>
  <si>
    <t>( UN MIL NOVECIENTOS SESENTA  PESOS 27/100 M.N. )
( CERO DÓLARES 00/100 USD )</t>
  </si>
  <si>
    <t>C3EXT-0358</t>
  </si>
  <si>
    <t xml:space="preserve">
SUMINISTRO, CARGA, ACARREO, DESCARGA Y PUESTA EN SITIO COSTA FUERA DE COPLE ROSCADO DE ACERO AL CARBÓN ASTM A-865 DE 21MM X 51MM DE LONG. (3/4" DE DIAMETRO X 2" DE LONGITUD).
</t>
  </si>
  <si>
    <t>( VEINTISEIS  PESOS 14/100 M.N. )
( CINCUENTA Y OCHO  DÓLARES 50/100 USD )</t>
  </si>
  <si>
    <t>C3EXT-0359</t>
  </si>
  <si>
    <t xml:space="preserve">
SUMINISTRO, CARGA, ACARREO, DESCARGA Y PUESTA EN SITIO COSTA FUERA DE COPLE ROSCADO DE ACERO AL CARBÓN FORJADO ASTM A-105, DE 3000# DE 51 MM DE LONGITUD Y 21 MM DE Ø (3/4") DE DIAMETRO.
</t>
  </si>
  <si>
    <t>( CIENTO CINCUENTA Y CINCO  PESOS 97/100 M.N. )
( CERO DÓLARES 00/100 USD )</t>
  </si>
  <si>
    <t>C3EXT-0360</t>
  </si>
  <si>
    <t xml:space="preserve">
SUMINISTRO, CARGA, ACARREO, DESCARGA Y PUESTA EN SITIO COSTA FUERA DE COPLE ROSCADO DE ACERO AL CARBÓN ASTM A-865 DE 27 MM X 51 MM DE LONG. (1" DE DIAMETRO X 2" DE LONGITUD).
</t>
  </si>
  <si>
    <t>( DOSCIENTOS TREINTA Y TRES  PESOS 46/100 M.N. )
( CERO DÓLARES 00/100 USD )</t>
  </si>
  <si>
    <t>C3EXT-0361</t>
  </si>
  <si>
    <t xml:space="preserve">
SUMINISTRO, CARGA, ACARREO, DESCARGA Y PUESTA EN SITIO COSTA FUERA DE COPLE  ROSCADO DE ACERO AL CARBÓN FORJADO ASTM A105, DE 3000# DE 63 MM DE LONGITUD, DE 51 MM DE Ø (2") DE DIAMETRO.
</t>
  </si>
  <si>
    <t>( SETECIENTOS CUARENTA Y CINCO  PESOS 82/100 M.N. )
( CERO DÓLARES 00/100 USD )</t>
  </si>
  <si>
    <t>C3EXT-0362</t>
  </si>
  <si>
    <t xml:space="preserve">
SUMINISTRO, CARGA, ACARREO, DESCARGA Y PUESTA EN SITIO COSTA FUERA DE NIPLE DE ACERO AL CARBÓN ASTM A106 GR. B, DE 89 MM (3.5 IN), ASME B36.10M, EXTREMOS PLANOS DE 1/2" DE DIAMETRO, CEDULA 160.
</t>
  </si>
  <si>
    <t>( DOSCIENTOS NUEVE  PESOS 76/100 M.N. )
( CERO DÓLARES 00/100 USD )</t>
  </si>
  <si>
    <t>C3EXT-0363</t>
  </si>
  <si>
    <t xml:space="preserve">
SUMINISTRO, CARGA, ACARREO, DESCARGA Y PUESTA EN SITIO COSTA FUERA DE NIPLE DE ACERO AL CARBÓN ASTM A106 GR. B, DE 152 MM (6 IN), ASME B36.10M, EXTREMOS PLANOS DE 1/2" DE DIAMETRO, CEDULA 160.
</t>
  </si>
  <si>
    <t>( TRESCIENTOS UN  PESOS 70/100 M.N. )
( CERO DÓLARES 00/100 USD )</t>
  </si>
  <si>
    <t>C3EXT-0364</t>
  </si>
  <si>
    <t xml:space="preserve">
SUMINISTRO, CARGA, ACARREO, DESCARGA Y PUESTA EN SITIO COSTA FUERA DE CONCRETO HIDRÁULICO CON RESISTENCIA A LA COMPRESION DE F'C=350 KG/CM2 , INCLUYE: ACARREO, CARGA, DESCARGA, MANIOBRAS.
</t>
  </si>
  <si>
    <t>( TREINTA MIL TRESCIENTOS SESENTA Y CINCO  PESOS 28/100 M.N. )
( DIECINUEVE MIL NOVECIENTOS VEINTINUEVE  DÓLARES 00/100 USD )</t>
  </si>
  <si>
    <t>C3EXT-0365</t>
  </si>
  <si>
    <t xml:space="preserve">
SUMINISTRO, CARGA, ACARREO, DESCARGA Y PUESTA EN SITIO COSTA FUERA DE CONCRETO HIDRÁULICO CON RESISTENCIA A LA COMPRESION DE F'C=100 KG/CM2 , INCLUYE: ACARREO, CARGA, DESCARGA, MANIOBRAS.
</t>
  </si>
  <si>
    <t>( TREINTA MIL TRESCIENTOS SESENTA Y CINCO  PESOS 28/100 M.N. )
( DIECISIETE MIL SESENTA Y DOS  DÓLARES 50/100 USD )</t>
  </si>
  <si>
    <t>C3EXT-0366</t>
  </si>
  <si>
    <t xml:space="preserve">
SUMINISTRO, CARGA, ACARREO, DESCARGA Y PUESTA EN SITIO COSTA FUERA DE SISTEMA FOTOVOLTAICO PARA GENERACIÓN DE ENERGÍA ELÉCTRICA EN 12 VOLTS CORRIENTE DIRECTA PARA ALIMENTAR SISTEMA DE INSTRUMENTOS. EL SISTEMA SERÁ DISEÑADO Y FABRICADO PARA MANTENER UNA AUTONOMÍA DE 5 (CINCO) DÍAS EN EL SUMINISTRO ELÉCTRICO A FALTA DE ENERGÍA SOLAR.EL ARREGLO DE MÓDULOS FOTOVOLTAICOS DE LAS SIGUIENTES CARACTERÍSTICAS: CANTIDAD DE PANELES 01 PZA. POTENCIA NOMINAL DE 85 WATTS. CORRIENTE A POTENCIA MAXIMA: 4.78 A. VOLTAJE A POTENCIA MAXIMA: 17.8 V. VOLTAJE DE CIRCUITO ABIERTO: 22.2 V. VOLTAJE NOMINAL DEL SISTEMA: 12.0 V. CORRIENTE DE CORTO CIRCUITO 5.35 A. INCLUYE: CABLES DE INTERCONEXIÓN,  PROTECCIONES ELÉCTRICAS, BASE DE MONTAJE A BASE DE ESTRUCTURA METÁLICA, PRUEBAS EN  FABRICA, TRANSPORTACIÓN AL SITIO DE MONTAJE, MANO DE OBRA, HERRAMIENTA, EQUIPOS Y TODO LO NECESARIO PARA EL MONTAJE EN SITIO, INGENIERIA FINAL DEL FABRICANTE, DOSSIER DE CALIDAD DE FABRICACIÓN, MANUAL DE OPERACIÓN Y MANTENIMIENTO, LISTADO DE REFACCIONAMIENTO PARA OPERACIÓN Y MANTENIMIENTO. DEBE CUMPLIR LOS REQUERIMIENTOS DE DISEÑO, FABRICACIÓN Y PRUEBAS ESTABLECIDOS EN LA ESPECIFICACIÓN EPI-811.003-YAXCHE-C-L-001.
</t>
  </si>
  <si>
    <t>SISTEMA</t>
  </si>
  <si>
    <t>( SEISCIENTOS CUARENTA Y OCHO MIL TREINTA Y UN  PESOS 91/100 M.N. )
( QUINIENTOS TREINTA Y TRES MIL  DÓLARES 00/100 USD )</t>
  </si>
  <si>
    <t>C3EXT-0367</t>
  </si>
  <si>
    <t xml:space="preserve">
SUMINISTRO, CARGA, ACARREO, DESCARGA Y PUESTA EN SITIO COSTA FUERA DE GABINETE DE CONTROL DE ACERO INOXIDABLE 316, NEMA 4X, ROTULADO “GFV-YXC-01”, SALIDAS ROSCADA PARA ACOMETIDA CON TUBERÍA CONDUIT, ELEMENTOS DE FIJACIÓN DE ACERO INOXIDABLE, PLACAS INTERIORES PARA MONTAJE DE ACCESORIOS Y COMPONENTES ELÉCTRICOS, DIMENSIONES ADECUADAS, CON LOS SIGUIENTES COMPONENTES:• CONTROLADOR DE CARGA FOTOVOLTAICO DE ESTADO SÓLIDO DEL TIPO PMW (MODULACIÓN POR ANCHO DE PULSO). INCLUYE, PRUEBAS EN FABRICA, TRANSPORTACIÓN AL SITIO DE MONTAJE, MANO DE OBRA, HERRAMIENTA, EQUIPOS Y TODO LO NECESARIO PARA EL MONTAJE EN SITIO, INGENIERIA FINAL DEL FABRICANTE, DOSSIER DE CALIDAD DE FABRICACIÓN, MANUAL DE OPERACIÓN Y MANTENIMIENTO, LISTADO DE REFACCIONAMIENTO PARA OPERACIÓN Y MANTENIMIENTO. DEBE CUMPLIR LOS REQUERIMIENTOS DE DISEÑO, FABRICACIÓN Y PRUEBAS ESTABLECIDOS EN LA ESPECIFICACIÓN EPI-811.003-YAXCHE-C-L-001 • REGULADOR DE VOLTAJE CD/ CD, ENTRADA DE CORRIENTE DIRECTA DE 12 VCD, CON SALIDA DE CORRIENTE DIRECTA DE 12 VCD, DE 30 WATTS, NOMINAL REGULACIÓN DE VOLTAJE DE 5 %, EFICIENCIA MÍNIMA DEL 90 %, PROTECCIÓN POR CORTO CIRCUITO A LA SALIDA Y TEMPERATURA DE OPERACIÓN DE 10 A 45°C. INGENIERÍA FINAL DEL FABRICANTE, DOSSIER DE CALIDAD DE FABRICACIÓN, MANUAL DE OPERACIÓN Y MANTENIMIENTO, LISTADO DE REFACCIONAMIENTO PARA OPERACIÓN Y MANTENIMIENTO. DEBE CUMPLIR LOS REQUERIMIENTOS DE DISEÑO.• CENTRO DE CARGA ROTULADO: CC-01; TIPO SOBREPONER NEMA 1, PARA 12 V.C.D., 2P-3 HILOS, 2 POLOS, ALIMENTACIÓN A ZAPATA PRINCIPAL 60 AM, CAPACIDAD INTERRUPTIVA DE 5 KA. INCLUYE: INTERRUPTOR TERMOMAGNÉTICO DE 1P X 15 A. • INTERRUPTORES TERMOMAGNÉTICO PARA CORRIENTE DIRECTA INSTALADOS EN GABINETE O EN RIEL DIN, DE LAS SIGUIENTES CAPACIDADES: ? 03 DE 1X15A. • SUPRESORES DE SOBRETENSIONES (SST), PARA CORRIENTE DIRECTA.• BARRAS DE TIERRA.• TERMINALES DE CONEXIÓN. INCLUYE: CABLES DE INTERCONEXIÓN, PROTECCIONES ELÉCTRICAS, BASE DE MONTAJE A BASE DE ESTRUCTURA METÁLICA, PRUEBAS EN FABRICA, TRANSPORTACIÓN AL SITIO DE MONTAJE, MANO DE OBRA, HERRAMIENTA, EQUIPOS Y TODO LO NECESARIO PARA EL MONTAJE EN SITIO, INGENIERIA FINAL DEL FABRICANTE, DOSSIER DE CALIDAD DE FABRICACIÓN, MANUAL DE OPERACIÓN Y MANTENIMIENTO, LISTADO DE REFACCIONAMIENTO PARA OPERACIÓN Y MANTENIMIENTO. DEBE CUMPLIR LOS REQUERIMIENTOS DE DISEÑO, FABRICACIÓN Y PRUEBAS ESTABLECIDOS EN LA ESPECIFICACIÓN EPI-811.003-YAXCHE-C-L-001.
</t>
  </si>
  <si>
    <t>PAQUETE</t>
  </si>
  <si>
    <t>( DOSCIENTOS SESENTA Y NUEVE MIL OCHOCIENTOS NOVENTA Y SEIS  PESOS 91/100 M.N. )
( TRESCIENTOS DIECIOCHO MIL QUINIENTOS  DÓLARES 00/100 USD )</t>
  </si>
  <si>
    <t>C3EXT-0368</t>
  </si>
  <si>
    <t xml:space="preserve">
SUMINISTRO, CARGA, ACARREO, DESCARGA Y PUESTA EN SITIO COSTA FUERA DE BANCO DE BATERÍAS DE LAS SIGUIENTES CARACTERÍSTICAS: TIPO: NÍQUEL-CADMIO, ESTACIONARIA SERVICIO INDUSTRIAL. MONTAJE: EN GABINETE METÁLICO DE ACERO INOXIDABLE 316, NEMA 4X, VASO DE POLIPROPILENO RESISTENTE Y TAPONES DE VENTEO ARRESTA FLAMA, COMPUESTO DE 02 BLOQUES DE 5 CELDAS CADA UNA PARA UN TOTAL DE 10 CELDAS. VOLTAJE NOMINAL DE 1.2 V/CELDA. VOLTAJE DEL SISTEMA: 12 VCD. CAPACIDAD NOMINAL DE 140 AH. OPERACIÓN NOMINAL DE 24 VCD. AUTONOMÍA: 120 HRS (5 DÍAS). CAPACIDAD DE DESCARGA MÍNIMA DE 8 HORAS, PARA TRABAJAR A UN RÉGIMEN DE 24 HORAS CONTINUAS. INCLUYE, PRUEBAS EN FABRICA, TRANSPORTACIÓN AL SITIO DE MONTAJE, MANO DE OBRA, HERRAMIENTA, EQUIPOS Y TODO LO NECESARIO PARA EL MONTAJE EN SITIO, INGENIERIA FINAL DEL FABRICANTE, DOSSIER DE CALIDAD DE FABRICACIÓN, MANUAL DE OPERACIÓN Y MANTENIMIENTO, LISTADO DE REFACCIONAMIENTO PARA OPERACIÓN Y MANTENIMIENTO. DEBE CUMPLIR LOS REQUERIMIENTOS DE DISEÑO, FABRICACIÓN Y PRUEBAS. DE ACUERDO A ESPECIFICACIÓN EPI811.003-YAXCHE-C-L-001 Y PLANOS D-811.003-YAXCHE-C-L-001 Y D-811.003-YAXCHE-C-L-305.
</t>
  </si>
  <si>
    <t>( SEISCIENTOS NOVENTA Y DOS MIL QUINIENTOS CINCUENTA  PESOS 05/100 M.N. )
( CUATROCIENTOS CINCUENTA Y CUATRO MIL  DÓLARES 01/100 USD )</t>
  </si>
  <si>
    <t>C3EXT-0369</t>
  </si>
  <si>
    <t xml:space="preserve">
SUMINISTRO, CARGA, ACARREO, DESCARGA Y PUESTA EN SITIO COSTA FUERA DE COPLE FLEXIBLE PARA ÁREAS CLASIFICADAS CON RECUBRIMIENTO EXTERIOR DE PVC DE 40 ML. DE PULGADA, E INTERIOR DE URETANO DE 2 ML. DE PULGADA, DE 21 MM (3/4”) Ø, 762 MM (30”) DE LONGITUD, CON TUERCA UNIÓN HEMBRA-HEMBRA TIPO “UNF” INTEGRADA.
</t>
  </si>
  <si>
    <t>( VEINTITRES MIL CUATROCIENTOS NOVENTA Y UN  PESOS 39/100 M.N. )
( CERO DÓLARES 00/100 USD )</t>
  </si>
  <si>
    <t>C3EXT-0370</t>
  </si>
  <si>
    <t xml:space="preserve">
SUMINISTRO, CARGA, ACARREO, DESCARGA Y PUESTA EN SITIO COSTA FUERA DE CAJA DE REGISTRO CONDULET PARA ÁREAS PELIGROSAS, SERIE “GUA”, DE ALUMINIO LIBRE DE COBRE CON RECUBRIMIENTO EXTERIOR DE 40 ML DE PLG DE PVC Y RECUBRIMIENTO INTERIOR DE 2 MIL. DE PLG DE URETANO, CON TAPA CIEGA ROSCADA, TIPO “GUAX” DE 21 MM (3/4") DE DIÁMETRO.
</t>
  </si>
  <si>
    <t>( CINCO MIL QUINIENTOS SETENTA Y SEIS  PESOS 28/100 M.N. )
( CERO DÓLARES 00/100 USD )</t>
  </si>
  <si>
    <t>C3EXT-0371</t>
  </si>
  <si>
    <t xml:space="preserve">
SUMINISTRO, CARGA, ACARREO, DESCARGA Y PUESTA EN SITIO COSTA FUERA DE CONDUCTOR MONOPOLAR DE COBRE SUAVE CLASE TIPO B PARA 600V, CON AISLAMIENTO THWN-2, RESISTENTE A LA HUMEDAD, AL CALOR, RETARDANTE A LA FLAMA, DE EMISIÓN REDUCIDA DE HUMOS Y GASES ÁCIDOS, TEMP. DE OPERACIÓN 90°C EN AMBIENTE SECO Y MOJADO, CALIBRE 3.31 MM² (8 AWG), COLOR ROJO.
</t>
  </si>
  <si>
    <t>( CIENTO TREINTA Y TRES  PESOS 65/100 M.N. )
( CERO DÓLARES 00/100 USD )</t>
  </si>
  <si>
    <t>C3EXT-0372</t>
  </si>
  <si>
    <t xml:space="preserve">
SUMINISTRO, CARGA, ACARREO, DESCARGA Y PUESTA EN SITIO COSTA FUERA DE CONDUCTOR MONOPOLAR DE COBRE SUAVE CLASE TIPO B PARA 600V, CON AISLAMIENTO THWN-2, RESISTENTE A LA HUMEDAD, AL CALOR, RETARDANTE A LA FLAMA, DE EMISIÓN REDUCIDA DE HUMOS Y GASES ÁCIDOS, TEMP. DE OPERACIÓN 90°C EN AMBIENTE SECO Y MOJADO, CALIBRE 3.31 MM² (8 AWG), COLOR NEGRO.
</t>
  </si>
  <si>
    <t>C3EXT-0374</t>
  </si>
  <si>
    <t xml:space="preserve">
SUMINISTRO, CARGA, ACARREO, DESCARGA Y PUESTA EN SITIO COSTA FUERA DE CONECTOR MECÁNICO PARA CABLE A SUPERFICIE PLANA " TIPO “GB26” PARA LÍNEA DE COBRE PRINCIPAL, CALIBRE 2/0 AWG.
</t>
  </si>
  <si>
    <t>C3EXT-0375</t>
  </si>
  <si>
    <t xml:space="preserve">
SUMINISTRO, CARGA, ACARREO, DESCARGA Y PUESTA EN SITIO COSTA FUERA DE CONECTOR MECÁNICO PARA CABLE A SUPERFICIE PLANA " TIPO “GB29” PARA CABLE DE COBRE, CALIBRE 2 AWG.
</t>
  </si>
  <si>
    <t>( UN MIL CIENTO DIECINUEVE  PESOS 19/100 M.N. )
( CERO DÓLARES 00/100 USD )</t>
  </si>
  <si>
    <t>C3EXT-0376</t>
  </si>
  <si>
    <t xml:space="preserve">
SUMINISTRO, CARGA, ACARREO, DESCARGA Y PUESTA EN SITIO COSTA FUERA DE ZAPATA TERMINAL TIPO “YA” DE COBRE ELECTROLÍTICO ESTAÑADO, DE CAÑÓN LARGO, UNA PERFORACIÓN, PARA CABLE CAL.2/0 AWG, CAT. YA26N.
</t>
  </si>
  <si>
    <t>( UN MIL CUATROCIENTOS SESENTA Y NUEVE  PESOS 74/100 M.N. )
( CERO DÓLARES 00/100 USD )</t>
  </si>
  <si>
    <t>C3EXT-0377</t>
  </si>
  <si>
    <t xml:space="preserve">
SUMINISTRO, CARGA, ACARREO, DESCARGA Y PUESTA EN SITIO COSTA FUERA DE CONECTOR A TIERRA TIPO VARILLA DE ACERO ESTRUCTURAL DE 5/8" DE DIÁMETRO NOMINAL CON UNA LONGITUD DE 144.3 MM (5.68"), CAT. NO. GSTUD916HY.
</t>
  </si>
  <si>
    <t>( DOS MIL DOSCIENTOS SETENTA Y NUEVE  PESOS 74/100 M.N. )
( CERO DÓLARES 00/100 USD )</t>
  </si>
  <si>
    <t>C3EXT-0378</t>
  </si>
  <si>
    <t xml:space="preserve">
SUMINISTRO, CARGA, ACARREO, DESCARGA Y PUESTA EN SITIO COSTA FUERA DE BARRA DE COBRE ELECTROLÍTICO DE ACUERDO A ASTM-187, ESTAÑADA, DE 6X76X508 MM (1/4" X 3" X 20") CON AISLADORES DE FIBRA DE VIDRIO, SOPORTE DE FIJACIÓN DE ACERO INOXIDABLE, INCLUYE ELEMENTOS DE FIJACIÓN.
</t>
  </si>
  <si>
    <t>( TRECE MIL SETECIENTOS TRES  PESOS 89/100 M.N. )
( CERO DÓLARES 00/100 USD )</t>
  </si>
  <si>
    <t>C3EXT-0379</t>
  </si>
  <si>
    <t xml:space="preserve">
SUMINISTRO, CARGA, ACARREO, DESCARGA Y PUESTA EN SITIO COSTA FUERA DE PERNO DE SILICIO BRONCE DE 9.5 MM (3/8") DE DIÁMETRO, DE 38 MM DE LONG. (1 1/2"), CON ARANDELA PLANA, DE PRESIÓN Y TUERCA HEXAGONAL.
</t>
  </si>
  <si>
    <t>( DOSCIENTOS OCHENTA  PESOS 21/100 M.N. )
( CERO DÓLARES 00/100 USD )</t>
  </si>
  <si>
    <t>C3EXT-0380</t>
  </si>
  <si>
    <t xml:space="preserve">
SUMINISTRO, CARGA, ACARREO, DESCARGA Y PUESTA EN SITIO COSTA FUERA DE CHAROLA TIPO ESCALERA A BASE DE FIBRA DE VIDRIO DE 305MM (12") DE ANCHO, 101MM (4") DE ALTURA Y 305MM (12") ENTRE ESPACIOS COLOR GRIS CON RESINA (POLIESTER) TIPO RETARDANTE A FLAMAS, ASTM-E84 CLASE 1 - UL94 VO. EN TRAMOS RECTOS DE 6.1 METROS.
</t>
  </si>
  <si>
    <t>( SEIS MIL OCHENTA  PESOS 53/100 M.N. )
( CERO DÓLARES 00/100 USD )</t>
  </si>
  <si>
    <t>C3EXT-0381</t>
  </si>
  <si>
    <t xml:space="preserve">
SUMINISTRO, CARGA, ACARREO, DESCARGA Y PUESTA EN SITIO COSTA FUERA DE TEE HORIZONTAL, CON RADIO DE 305 MM (12") TIPO ESCALERA A BASE DE FIBRA DE VIDRIO DE 305MM (12") DE ANCHO, 101MM (4") DE ALTURA COLOR GRIS CON RESINA (POLIESTER) TIPO RETARDANTE A FLAMAS, ASTM-E84 CLASE 1 - UL94 VO.
</t>
  </si>
  <si>
    <t>( DIECINUEVE MIL OCHOCIENTOS SEIS  PESOS 19/100 M.N. )
( CERO DÓLARES 00/100 USD )</t>
  </si>
  <si>
    <t>C3EXT-0382</t>
  </si>
  <si>
    <t xml:space="preserve">
SUMINISTRO, CARGA, ACARREO, DESCARGA Y PUESTA EN SITIO COSTA FUERA DE CURVA DE 90° HORIZONTAL, CON RADIO DE 305 MM (12") TIPO ESCALERA A BASE DE FIBRA DE VIDRIO DE 305MM (12") DE ANCHO, 101MM (4") DE ALTURA COLOR GRIS CON RESINA (POLIESTER) TIPO RETARDANTE A FLAMAS, ASTM-E84 CLASE 1 - UL94 VO.
</t>
  </si>
  <si>
    <t>( CATORCE MIL DOSCIENTOS SETENTA Y SEIS  PESOS 99/100 M.N. )
( CERO DÓLARES 00/100 USD )</t>
  </si>
  <si>
    <t>C3EXT-0383</t>
  </si>
  <si>
    <t xml:space="preserve">
SUMINISTRO, CARGA, ACARREO, DESCARGA Y PUESTA EN SITIO COSTA FUERA DE CURVA DE 90° VERTICAL INTERIOR, CON RADIO DE 305 MM (12") TIPO ESCALERA A BASE DE FIBRA DE VIDRIO DE 305MM (12") DE ANCHO, 101MM (4") DE ALTURA COLOR GRIS CON RESINA (POLIESTER) TIPO RETARDANTE A FLAMAS, ASTM-E84 CLASE 1 - UL94 VO.
</t>
  </si>
  <si>
    <t>( CATORCE MIL DOSCIENTOS SETENTA Y SEIS  PESOS 38/100 M.N. )
( CERO DÓLARES 00/100 USD )</t>
  </si>
  <si>
    <t>C3EXT-0384</t>
  </si>
  <si>
    <t xml:space="preserve">
SUMINISTRO, CARGA, ACARREO, DESCARGA Y PUESTA EN SITIO COSTA FUERA DE CONECTOR RECTO PARA CHAROLA DE FIBRA DE VIDRIO, DE 4" DE PERALTE CON 4 TORNILLOS ENCAPSULADOS Y TUERCAS.
</t>
  </si>
  <si>
    <t>( UN MIL DOSCIENTOS SESENTA Y DOS  PESOS 97/100 M.N. )
( CERO DÓLARES 00/100 USD )</t>
  </si>
  <si>
    <t>C3EXT-0385</t>
  </si>
  <si>
    <t xml:space="preserve">
SUMINISTRO, CARGA, ACARREO, DESCARGA Y PUESTA EN SITIO COSTA FUERA DE CLEMA PARA SUJECIÓN PARA CHAROLA EN ACERO INOXIDABLE T-304 PARA FIBRA DE VIDRIO, INCLUYE TORNILLERÍA.
</t>
  </si>
  <si>
    <t>( TRESCIENTOS NUEVE  PESOS 30/100 M.N. )
( CERO DÓLARES 00/100 USD )</t>
  </si>
  <si>
    <t>C3EXT-0386</t>
  </si>
  <si>
    <t xml:space="preserve">
SUMINISTRO, CARGA, ACARREO, DESCARGA Y PUESTA EN SITIO COSTA FUERA DE NIPLE DE 1/2" DE DIAMETRO DE 2" DE LONGITUD, CON RECUBRIMIENTO EXTERIOR DE PVC E INTERIOR DE URETANO, EXTREMOS  ROSCADOS.
</t>
  </si>
  <si>
    <t>( QUINIENTOS VEINTINUEVE  PESOS 20/100 M.N. )
( CERO DÓLARES 00/100 USD )</t>
  </si>
  <si>
    <t>C3EXT-0388</t>
  </si>
  <si>
    <t xml:space="preserve">
SUMINISTRO, CARGA, ACARREO, DESCARGA Y PUESTA EN SITIO COSTA FUERA DE CABLE UTP, 4 PARES TRENZADOS CATEGORÍA 5E, CALIBRE 24 AWG.
</t>
  </si>
  <si>
    <t>( CINCUENTA Y DOS  PESOS 24/100 M.N. )
( CIENTO CINCUENTA Y SIETE  DÓLARES 30/100 USD )</t>
  </si>
  <si>
    <t>C3EXT-0389</t>
  </si>
  <si>
    <t xml:space="preserve">
SUMINISTRO, CARGA, ACARREO, DESCARGA Y PUESTA EN SITIO COSTA FUERA DE TABLERO DE SEGURIDAD Y CONTROL DE POZOS DISEÑO MODULAR PARA CONTROLAR TRES (3) POZOS. LA OPERACIÓN LOCAL Y/O AUTOMÁTICA DE APERTURA Y CIERRE DE CADA UNO DE LOS POZOS DE LA PLATAFORMA, SE REALIZARÁ MEDIANTE EL SUMINISTRO DE LA ENERGÍA HIDRÁULICA A LOS ACTUADORES DE LAS SSSV (VÁLVULAS SUBSUPERFICIALES) Y NEUMÁTICA A LOS ACTUADORES DE LAS SSV (VÁLVULAS SUPERFICIALES), DEL SISTEMA DE VÁLVULAS DE CADA POZO. CONSTITUIDO POR. · GABINETE. · SISTEMA DE CONTROL Ü SECCIÓN MAESTRA. Ü SECCIÓN MÓDULOS DE CONTROLÜ SECCIÓN DE DESVIÓ · UNIDAD DE SUMINISTRO DE POTENCIA HIDRÁULICA · SISTEMA NEUMÁTICO DE TAPÓN FUSIBLE · ESTACIONES MANUALES DE PARO DE EMERGENCIA. · TUBING, ACCESORIOS Y ETIQUETAS DE IDENTIFICACIÓN. UNIDAD HIDRÁULICA PORTÁTIL.
</t>
  </si>
  <si>
    <t>( SEISCIENTOS CINCUENTA Y DOS MIL DOSCIENTOS VEINTICINCO  PESOS 44/100 M.N. )
( UN MILLON DOSCIENTOS OCHENTA Y DOS MIL CIENTO OCHENTA Y OCHO  DÓLARES 14/100 USD )</t>
  </si>
  <si>
    <t>C3EXT-0390</t>
  </si>
  <si>
    <t xml:space="preserve">
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12,5 MM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Ø.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RANGO 0 – 1034 KG/CM2.
</t>
  </si>
  <si>
    <t>( DIECISEIS MIL NOVECIENTOS OCHENTA Y CUATRO  PESOS 84/100 M.N. )
( DIECISEIS MIL NOVECIENTOS SESENTA Y SIETE  DÓLARES 28/100 USD )</t>
  </si>
  <si>
    <t>C3EXT-0391</t>
  </si>
  <si>
    <t xml:space="preserve">
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12,5 MM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Ø.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RANGO 0 – 285 KG/CM2.
</t>
  </si>
  <si>
    <t>C3EXT-0392</t>
  </si>
  <si>
    <t xml:space="preserve">
SUMINISTRO, CARGA, ACARREO, DESCARGA Y PUESTA EN SITIO COSTA FUERA DE TRANSMISOR INDICADOR DE TEMPERATURA INALÁMBRICO NO INTRUSIVO. EXACTITUD MÍNIMA DE REFERENCIA UTILIZANDO ELEMENTO SENSOR TIPO RTD, PT 100, DEBE SER ±0,2 °C DE CONVERSIÓN DEL VALOR DIGITAL Y ± 0,1% DEL INTERVALO DE MEDICIÓN “SPAN” PARA CONVERSIÓN DIGITAL/ANALÓGICA. EL SENSOR SERÁ DEL TIPO NO INTRUSIVO, CON ABRAZADERA DE ACERO AL CARBÓN Y SE DEBE CONSIDERAR AISLAMIENTO TÉRMICO PARA DICHA ABRAZADERA; EN CONFIGURACIÓN DE MONTAJE REMOTO. EL TRANSMISOR DEBE DE CONTAR CON FUNCIONES DE DIAGNÓSTICO Y CONFIGURACIÓN. LA TARJETA DEL MÓDULO ELECTRÓNICO DEL INSTRUMENTO TRANSMISOR DE TEMPERATURA DEBE CONTAR CON LAS PROTECCIONES ADECUADAS PARA SER INSTALADOS EN AMBIENTE HÚMEDO, MARINO Y SALINOCORROSIVO PROPIO DE LAS PLATAFORMAS.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EPI-811.0003-YAXCHE-C-P-004, HD-811.0003-YAXCHE-C-P-004 RANGO 0 – 100° C.
</t>
  </si>
  <si>
    <t>( QUINCE MIL SEISCIENTOS SETENTA Y OCHO  PESOS 29/100 M.N. )
( CINCUENTA Y TRES MIL CIENTO SESENTA Y SIETE  DÓLARES 27/100 USD )</t>
  </si>
  <si>
    <t>C3EXT-0393</t>
  </si>
  <si>
    <t xml:space="preserve">
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Ø NPT MACHO. INCLUYE MANIFOLD EN LINEA DE 2 VÁLVULAS 1/2” Ø NPTM-H. AMORTIGUADOR DE PULSACIONES DE 1/2” NPTM DE ACUERDO CON ESPECIFICACION Y HOJA DE DATOS EPI-811.0003-YAXCHE-C-P-001, HD-811.0003-YAXCHE-C-P-001 , RANGO 0 – 1000 KG/CM2.
</t>
  </si>
  <si>
    <t>( SIETE MIL NOVECIENTOS SESENTA Y NUEVE  PESOS 79/100 M.N. )
( SIETE MIL DOSCIENTOS TREINTA Y SEIS  DÓLARES 74/100 USD )</t>
  </si>
  <si>
    <t>C3EXT-0394</t>
  </si>
  <si>
    <t xml:space="preserve">
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Ø NPT MACHO. INCLUYE MANIFOLD EN LINEA DE 2 VÁLVULAS 1/2” Ø NPTM-H. AMORTIGUADOR DE PULSACIONES DE 1/2” NPTM DE ACUERDO CON ESPECIFICACION Y HOJA DE DATOS, EPI-811.0003-YAXCHE-C-P-001, HD-811.0003-YAXCHE-C-P-001, RANGO 0 – 250 KG/CM2.
</t>
  </si>
  <si>
    <t>( SIETE MIL NOVECIENTOS SESENTA Y NUEVE  PESOS 79/100 M.N. )
( SEIS MIL DOSCIENTOS OCHENTA Y UN  DÓLARES 73/100 USD )</t>
  </si>
  <si>
    <t>C3EXT-0395</t>
  </si>
  <si>
    <t xml:space="preserve">
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Ø NPT MACHO. INCLUYE MANIFOLD EN LINEA DE 2 VÁLVULAS 1/2” Ø NPTM-H. AMORTIGUADOR DE PULSACIONES DE 1/2” NPTM DE ACUERDO CON ESPECIFICACION Y HOJA DE DATOS HD-811.0003-YAXCHE-C-P-001, RANGO 0 – 25 KG/CM2.
</t>
  </si>
  <si>
    <t>( SIETE MIL NOVECIENTOS SESENTA Y NUEVE  PESOS 79/100 M.N. )
( SEIS MIL CINCUENTA Y SIETE  DÓLARES 73/100 USD )</t>
  </si>
  <si>
    <t>C3EXT-0396</t>
  </si>
  <si>
    <t xml:space="preserve">
SUMINISTRO, CARGA, ACARREO, DESCARGA Y PUESTA EN SITIO COSTA FUERA DE MEDIDORES DE FLUJO DE TIPO PLACA DE ORIFICIO DEBEN CUMPLIR CON LA NORMATIVIDAD NACIONAL E INTERNACIONAL VIGENTE Y APLICABLE, ASÍ COMO CON LA AGA3/API MPMS14.3 Y ISO 5167 PLACA DE ORIFICIO CONCENTRICA; MATERIAL 316 SS; BETA 0.49074; DIÁMETRO DEL ORIFICIO 1.977; DIÁMETRO INT. DE LA LÍNEA 1.503; ESPESOR DE LA PLACA 0.125”; BRIDA DE ORIFICIO PORTA PLACAS, TOMAS EN BRIDA, TAMAÑO TOMAS 1/2”; TIPO CUELLO SOLADABLE; MATERIAL DE ACERO AL CARBON; RANGO DE BRIDAS DE 1500#RTJ.
</t>
  </si>
  <si>
    <t>( TREINTA Y DOS MIL NOVECIENTOS VEINTICUATRO  PESOS 41/100 M.N. )
( OCHENTA MIL TREINTA Y CUATRO  DÓLARES 57/100 USD )</t>
  </si>
  <si>
    <t>C3EXT-0397</t>
  </si>
  <si>
    <t xml:space="preserve">
SUMINISTRO, CARGA, ACARREO, DESCARGA Y PUESTA EN SITIO COSTA FUERA DE REGISTRADOR DE PRESIÓN DIFERENCIAL DE UNA PLUMILLA PARA GRAFICA DE 12"Ø. CAJA RECTANGULAR DE ALUMINIO FORJADO CON RECUBRIMIENTO DE POLVO ELECTROSTÁTICO DE POLIURETANO COLOR NEGRO, CON ALTA RESISTENCIA AL AMBIENTE Y VAPORES INDUSTRIALES, PUERTA CON VENTANA DE TRANSPARENTE (PLEXIGLASS), CON BISAGRA DE ACERO INOXIDABLE 302, CON EMPAQUE DE NEOPRENO NO ABSORBENTE A FLUIDOS Y RESISTENTE A LOS ACEITES PARA EL AISLAMIENTO DE LA CAJA. CON CERRADURA DE SEGURIDAD DE APERTURA RÁPIDA. · MONTAJE: EN YUGO PARA TUBO DE 2"Ø. · NO. DE PUNTOS DE REGISTRO: UNA · TIPO DE PLUMILLAS: DESECHABLES. · COLOR DE PLUMILLAS: AZUL. · GRAFICA CIRCULAR DE 12”, LIBRE DE ERRORES DEL TIPO EXCÉNTRICO Y ELÍPTICO CON IMPRESIÓN FINA Y PAPEL DE ALTA RESISTENCIA. RELOJ CONDUCTOR DE GRÁFICA TIPO MECÁNICO DE CUERDA CON VELOCIDAD DE ROTACIÓN SELECCIONABLE DE 24 HRS / 7 DÍAS. ELEMENTO DE PRESIÓN ESTÁTICA: · TIPO: BOURDON HELICOIDAL DE ALTA PRECISIÓN. · MATERIAL DEL ELEMENTO: ACERO INOXIDABLE 316, COMO MÍNIMO. · RANGO DE PRESIÓN ESTÁTICA: DE ACUERDO A SELECCIÓN. · CONEXIÓN A PROCESO DE 1/4" NPT (F) EN LA PARTE POSTERIOR INFERIOR.
</t>
  </si>
  <si>
    <t>( TREINTA Y DOS MIL NOVECIENTOS VEINTICUATRO  PESOS 41/100 M.N. )
( CINCUENTA MIL QUINIENTOS TREINTA Y CUATRO  DÓLARES 58/100 USD )</t>
  </si>
  <si>
    <t>C3EXT-0398</t>
  </si>
  <si>
    <t xml:space="preserve">
SUMINISTRO, CARGA, ACARREO, DESCARGA Y PUESTA EN SITIO COSTA FUERA DE VÁLVULA REGULADORA DE FLUJO TIPO AGUJA (DE AJUSTE MANUAL), MONTAJE EN LÍNEA, CONEXIÓN DE ENTRADA Y SALIDA DE 2” Ø, EXTREMOS BRIDADOS, DE 1500# RTJ, DIMENSIONES CARA A CARA DE BRIDA SEGÚN ASME B16.10., DISEÑADOS PARA OPERAR EN CUALQUIER POSICION. EL MATERIAL DEL CUERPO DEBERÁN SER DE ACERO AL CARBÓN ASTM A106 GR. B, ASME B36.10, EL MATERIAL DE INTERNOS EN ACERO INOXIDABLE 316, EXCEPTO DONDE EL PROCESO REQUIERA UN MATERIAL ESPECIAL DE ACUERDO A LA ESPECIFICACIÓN DE TUBERÍAS. LAS VÁLVULAS REGULADORAS DE FLUJO DEBERÁN CONTAR CON CERTIFICADOS DE CALIBRACIÓN Y DE MATERIALES DE CONSTRUCCIÓN.
</t>
  </si>
  <si>
    <t>( TREINTA Y DOS MIL NOVECIENTOS VEINTICUATRO  PESOS 41/100 M.N. )
( TREINTA Y CUATRO MIL QUINIENTOS  DÓLARES 00/100 USD )</t>
  </si>
  <si>
    <t>C3EXT-0399</t>
  </si>
  <si>
    <t xml:space="preserve">
SUMINISTRO, CARGA, ACARREO, DESCARGA Y PUESTA EN SITIO COSTA FUERA DE NIPLE DE INYECCIÓN.TAMAÑO: 2” DE DIAMETRO; CUERPO: SA - 105; TE DE INYECCIÓN: 2” X 2” X 1/2”; EMPAQUE Y SELLOS TEFLÓN/VITÓN; RANGO DE PRESIÓN: 6000 PSI; MONTAJE: FLARWELD; CUBIERTA PROTECTORA: REQUERIDA. TUBO DE INYECCIÓN. MATERIAL: 316 SS; CONEXIÓN: POR PROVEEDOR; TAMAÑO (DIAM. Y LONG.): POR PROVEEDOR. BOQUILLA DE ATOMIZACIÓN. MATERIAL: 316 SS; PATRÓN DE ATOMIZACIÓN: ESPREADO; POSICIÓN DE LA DESCARGA: PERPENDICULAR A LA TUBERÍA; TIPO DE BOQUILLA: POR PROVEEDOR. ANGULO DE ESPREADO: POR PROVEEDOR; DIÁMETRO DE ORIFICIO: POR PROVEEDOR. ACCESORIOS: VÁLVULA DE SERVICIO: TIPO BOLA DE 1/2” DE DIAMETRO, DE ACERO INOXIDABLE 316. TUBERÍA: 2” DE DIAMETRO.
</t>
  </si>
  <si>
    <t>( CINCO MIL SETECIENTOS CUARENTA Y OCHO  PESOS 70/100 M.N. )
( NUEVE MIL SEISCIENTOS VEINTE  DÓLARES 00/100 USD )</t>
  </si>
  <si>
    <t>C3EXT-0400</t>
  </si>
  <si>
    <t xml:space="preserve">
SUMINISTRO, CARGA, ACARREO, DESCARGA Y PUESTA EN SITIO COSTA FUERA DE CONCENTRADOR DE SEÑALES INALAMBRICAS, CERTIFICACION: FM FACTORY MUTUAL, TIPO DE MONTAJE: MONTAJE REMOTO, SE REQUIEREN ACCESORIOS, TIPO DE ANTENA: OMNIDIRECCIONAL, GANANCIA DE LA ANTENA: POR LO MENOS +6Db, CABLE DE ANTENA: REQUERIDO PARA MONTAJE REMOTO, 15.2 m DE LONGITUD, ARRESTADOR DE RAYOS: 50 OHM TIPO TUBO DE GAS, CLASIFICACION ELÉCTRICA: NEMA 4X, MONTAJE: EN SUPERFICIE, ENSAMBLADO CON CABLE DE ANTENA MONTADA REMOTAMENTE, FRECUENCIA DE TRANSMISION Y PROTOCOLO: RED AUTO CONFIGURABLE 2.4-2.5 Ghz. DSS, ESTANDAR DE CONTROL O INFORMACION: IEEE 802.15.4, RANGO DE TEMPERATURA DE FUNCIONAMIENTO: -40 °C A 60°C, SEÑAL DE SALIDA CON OTROS DISPOSITIVOS: 1 PUERTO MODBUS RTU + 2 PUERTOS ETHERNET 10 Base T / 100 MPS, VELOCIDAD DE TRANSMISION (PARA PUERTO MODBUS): CONFIGURABLE DE 9600 A 57600 BPS, ENTRADAS / SALIDAS DE DISPOSITIVOS DE CAMPO: TIPO INALAMBRICO.PROTOCOLO HART WIRELESS, SUMINSTRO ELÉCTRICO: 12 VCD NOMINALES, TAMAÑO DE CONEXIÓN ELECTRICA: 1/2” NPT, PROTECCIÓN CONTRA ENTRADA DE AGENTES EXTERNOS: NEMA 4X, MATERIAL DE LA CUBIERTA (CAJA): ALUMINO BAJO EN COBRE (NOTA 2). CON RECUBRIMIENTO EPÓXICO QUE DEBERÁ SER EL ADECUADO PARA UN AMBIENTE MARINO Y CORROSIVO, NUMERO DE DISPOSITIVOS A CONECTAR: DE 50 A 100 DISPOSITIVOS MAX, LATENCIA PERMITIDA PARA 100 DISPOSITIVOS INALAMBRICOS: 10 s, SOFTWARE DE CONFIGURACION: REQUERIDO,  CONFIGURACION: CON COMPUTADOR A TRAVES DEL PUERTO ETHERNET.
</t>
  </si>
  <si>
    <t>( VEINTICINCO MIL SEISCIENTOS SIETE  PESOS 88/100 M.N. )
( TREINTA Y SIETE MIL DOSCIENTOS CINCUENTA  DÓLARES 01/100 USD )</t>
  </si>
  <si>
    <t>C3EXT-0401</t>
  </si>
  <si>
    <t xml:space="preserve">
SUMINISTRO, CARGA, ACARREO, DESCARGA Y PUESTA EN SITIO COSTA FUERA DE TUBING DE 1/4" DE DIAMETRO, DE ACERO INOXIDABLE 316L, SIN COSTURA, ESPESOR DE 0.065" ASTM A269 Y CON CUBIERTA DE MATERIAL DE HULE (VULCANIZADO).
</t>
  </si>
  <si>
    <t>( QUINIENTOS VEINTIDOS  PESOS 61/100 M.N. )
( CIENTO DIECISEIS  DÓLARES 03/100 USD )</t>
  </si>
  <si>
    <t>C3EXT-0402</t>
  </si>
  <si>
    <t xml:space="preserve">
SUMINISTRO, CARGA, ACARREO, DESCARGA Y PUESTA EN SITIO COSTA FUERA DE TUBING DE 1/2" DE DIAMETRO, DE ACERO INOXIDABLE 316L, SIN COSTURA, ESPESOR DE 0.065" ASTM A269.
</t>
  </si>
  <si>
    <t>( DOS MIL QUINIENTOS TREINTA Y UN  PESOS 82/100 M.N. )
( CERO DÓLARES 00/100 USD )</t>
  </si>
  <si>
    <t>C3EXT-0403</t>
  </si>
  <si>
    <t xml:space="preserve">
SUMINISTRO, CARGA, ACARREO, DESCARGA Y PUESTA EN SITIO COSTA FUERA DE VÁLVULA DE AGUJA HEMBRA DE 1/2" Ø NPT, CUERPO, VÁSTAGO Y ASIENTO DE ACERO INOXIDABLE 316L DE 10000#.
</t>
  </si>
  <si>
    <t>( CINCO MIL SEISCIENTOS TREINTA Y OCHO  PESOS 10/100 M.N. )
( CERO DÓLARES 00/100 USD )</t>
  </si>
  <si>
    <t>C3EXT-0404</t>
  </si>
  <si>
    <t xml:space="preserve">
SUMINISTRO, CARGA, ACARREO, DESCARGA Y PUESTA EN SITIO COSTA FUERA DE VÁLVULA CHECK DE 1/2"Ø O.D.X 1/2"Ø O.D. DE ACERO INOXIDABLE 316 6000#.
</t>
  </si>
  <si>
    <t>( OCHO MIL CUATROCIENTOS OCHENTA Y TRES  PESOS 70/100 M.N. )
( CERO DÓLARES 00/100 USD )</t>
  </si>
  <si>
    <t>C3EXT-0405</t>
  </si>
  <si>
    <t xml:space="preserve">
SUMINISTRO, CARGA, ACARREO, DESCARGA Y PUESTA EN SITIO COSTA FUERA DE CÁMARA DE CONDENSADOS DE ACERO INOXIDABLE 316, CON 3 ENTRADAS (INFERIOR SUPERIOR Y MEDIA) DE 1/2"NPT. 6000 PSI, SIN COSTURA.
</t>
  </si>
  <si>
    <t>( CIENTO OCHO MIL NUEVE  PESOS 21/100 M.N. )
( CERO DÓLARES 00/100 USD )</t>
  </si>
  <si>
    <t>C3EXT-0406</t>
  </si>
  <si>
    <t xml:space="preserve">
SUMINISTRO, CARGA, ACARREO, DESCARGA Y PUESTA EN SITIO COSTA FUERA DE TE CONECTOR DE 1/4" O.D. X 1/4" O.D. X 1/4" O.D. DE ACERO INOXIDABLE 316L, ALTO SELLO Y DOBLE FERULA, ASTM A182/ASME SA-182.
</t>
  </si>
  <si>
    <t>( UN MIL QUINIENTOS SETENTA Y CINCO  PESOS 52/100 M.N. )
( CERO DÓLARES 00/100 USD )</t>
  </si>
  <si>
    <t>C3EXT-0407</t>
  </si>
  <si>
    <t xml:space="preserve">
SUMINISTRO, CARGA, ACARREO, DESCARGA Y PUESTA EN SITIO COSTA FUERA DE TE CONECTOR DE 3/8" O.D. X 3/8" O.D. X 3/8" O.D. DE ACERO INOXIDABLE 316L, ALTO SELLO Y DOBLE FERULA, ASTM A182/ASME SA-182.
</t>
  </si>
  <si>
    <t>( CIENTO TREINTA  PESOS 64/100 M.N. )
( CIENTO CUARENTA Y NUEVE  DÓLARES 50/100 USD )</t>
  </si>
  <si>
    <t>C3EXT-0408</t>
  </si>
  <si>
    <t xml:space="preserve">
SUMINISTRO, CARGA, ACARREO, DESCARGA Y PUESTA EN SITIO COSTA FUERA DE CONECTOR MACHO DE 1"Ø NPT X 1/2" O.D., DE ACERO INOXIDABLE 316L, ALTO SELLO Y DOBLE FERULA, ASTM A276/ASME SA479.
</t>
  </si>
  <si>
    <t>( UN MIL NOVECIENTOS OCHENTA  PESOS 52/100 M.N. )
( CERO DÓLARES 00/100 USD )</t>
  </si>
  <si>
    <t>C3EXT-0409</t>
  </si>
  <si>
    <t xml:space="preserve">
SUMINISTRO, CARGA, ACARREO, DESCARGA Y PUESTA EN SITIO COSTA FUERA DE CONECTOR REDUCTOR MACHO DE 1/2"Ø NPT X 1/4" O.D., DE ACERO INOXIDABLE 316L, ALTO SELLO Y DOBLE FERULA, ASTM A276/ASME SA479.
</t>
  </si>
  <si>
    <t>( UN MIL CIENTO VEINTISEIS  PESOS 37/100 M.N. )
( CERO DÓLARES 00/100 USD )</t>
  </si>
  <si>
    <t>C3EXT-0410</t>
  </si>
  <si>
    <t xml:space="preserve">
SUMINISTRO, CARGA, ACARREO, DESCARGA Y PUESTA EN SITIO COSTA FUERA DE CONECTOR HEMBRA DE 1/2"Ø NPTF X 1/4" O.D., DE ACERO INOXIDABLE 316L, ALTO SELLO Y DOBLE FERULA, ASTM A276/ASME SA479.
</t>
  </si>
  <si>
    <t>( UN MIL DOSCIENTOS SESENTA Y UN  PESOS 37/100 M.N. )
( CERO DÓLARES 00/100 USD )</t>
  </si>
  <si>
    <t>C3EXT-0411</t>
  </si>
  <si>
    <t xml:space="preserve">
SUMINISTRO, CARGA, ACARREO, DESCARGA Y PUESTA EN SITIO COSTA FUERA DE CONECTOR HEMBRA DE 1/2"Ø NPTF X 3/8" O.D., DE ACERO INOXIDABLE 316L, ALTO SELLO Y DOBLE FERULA, ASTM A276/ASME SA479.
</t>
  </si>
  <si>
    <t>( UN MIL TRESCIENTOS CUARENTA Y UN  PESOS 22/100 M.N. )
( CERO DÓLARES 00/100 USD )</t>
  </si>
  <si>
    <t>C3EXT-0412</t>
  </si>
  <si>
    <t xml:space="preserve">
SUMINISTRO, CARGA, ACARREO, DESCARGA Y PUESTA EN SITIO COSTA FUERA DE CONECTOR HEMBRA DE 3/4"Ø NPTF X 1/4" O.D., DE ACERO INOXIDABLE 316L, ALTO SELLO Y DOBLE FERULA, ASTM A276/ASME SA479.
</t>
  </si>
  <si>
    <t>( CIENTO TREINTA  PESOS 64/100 M.N. )
( CIENTO TREINTA Y DOS  DÓLARES 60/100 USD )</t>
  </si>
  <si>
    <t>C3EXT-0413</t>
  </si>
  <si>
    <t xml:space="preserve">
SUMINISTRO, CARGA, ACARREO, DESCARGA Y PUESTA EN SITIO COSTA FUERA DE CONECTOR UNIÓN PASAMUROS DE 3/8" O.D. X 3/8" O.D. DE ACERO INOXIDABLE 316L, ALTO SELLO DE DOBLE FERULA, ASTM A276/ASME SA479.
</t>
  </si>
  <si>
    <t>( UN MIL SETECIENTOS CUARENTA Y SEIS  PESOS 52/100 M.N. )
( CERO DÓLARES 00/100 USD )</t>
  </si>
  <si>
    <t>C3EXT-0414</t>
  </si>
  <si>
    <t xml:space="preserve">
SUMINISTRO, CARGA, ACARREO, DESCARGA Y PUESTA EN SITIO COSTA FUERA DE TAPÓN TIPO O.D. DE 1/4", DE ACERO INOXIDABLE 316L, ASTM A276/ASME SA479.
</t>
  </si>
  <si>
    <t>( CUATROCIENTOS  PESOS 53/100 M.N. )
( CERO DÓLARES 00/100 USD )</t>
  </si>
  <si>
    <t>C3EXT-0415</t>
  </si>
  <si>
    <t xml:space="preserve">
SUMINISTRO, CARGA, ACARREO, DESCARGA Y PUESTA EN SITIO COSTA FUERA DE TAPÓN TIPO O.D. DE 3/8", DE ACERO INOXIDABLE 316L, ASTM A276/ASME SA479.
</t>
  </si>
  <si>
    <t>( CUATROCIENTOS CUARENTA Y UN  PESOS 71/100 M.N. )
( CERO DÓLARES 00/100 USD )</t>
  </si>
  <si>
    <t>C3EXT-0416</t>
  </si>
  <si>
    <t xml:space="preserve">
SUMINISTRO, CARGA, ACARREO, DESCARGA Y PUESTA EN SITIO COSTA FUERA DE TAPÓN TIPO O.D. DE 1/2", DE ACERO INOXIDABLE 316L, ASTM A276/ASME SA479.
</t>
  </si>
  <si>
    <t>( CUATROCIENTOS OCHENTA Y CINCO  PESOS 58/100 M.N. )
( CERO DÓLARES 00/100 USD )</t>
  </si>
  <si>
    <t>C3EXT-0417</t>
  </si>
  <si>
    <t xml:space="preserve">
SUMINISTRO, CARGA, ACARREO, DESCARGA Y PUESTA EN SITIO COSTA FUERA DE TAPÓN MACHO 1/2" NPT, DE CABEZA HEXAGONAL DE ACERO INOXIDABLE 316L, DE 6000#, ASTM A276/ASME SA479.
</t>
  </si>
  <si>
    <t>C3EXT-0418</t>
  </si>
  <si>
    <t xml:space="preserve">
SUMINISTRO, CARGA, ACARREO, DESCARGA Y PUESTA EN SITIO COSTA FUERA DE TAPÓN MACHO 1/2" NPT, DE CABEZA HEXAGONAL DE ACERO INOXIDABLE 316L, DE 10000#, ASTM A276/ASME SA479.
</t>
  </si>
  <si>
    <t>( QUINIENTOS CUARENTA Y NUEVE  PESOS 71/100 M.N. )
( CERO DÓLARES 00/100 USD )</t>
  </si>
  <si>
    <t>C3EXT-0419</t>
  </si>
  <si>
    <t xml:space="preserve">
SUMINISTRO, CARGA, ACARREO, DESCARGA Y PUESTA EN SITIO COSTA FUERA DE TAPÓN MACHO 1" NPT, DE CABEZA HEXAGONAL DE ACERO AL CARBON.
</t>
  </si>
  <si>
    <t>( CIENTO VEINTIDOS  PESOS 26/100 M.N. )
( CERO DÓLARES 00/100 USD )</t>
  </si>
  <si>
    <t>C3EXT-0420</t>
  </si>
  <si>
    <t xml:space="preserve">
SUMINISTRO, CARGA, ACARREO, DESCARGA Y PUESTA EN SITIO COSTA FUERA DE FLEJE DE ACERO INOXIDABLE CAL. 22, ASTM A240 GRADO 304, DE 3/8” DE ANCHO.
</t>
  </si>
  <si>
    <t>C3EXT-0421</t>
  </si>
  <si>
    <t xml:space="preserve">
SUMINISTRO, CARGA, ACARREO, DESCARGA Y PUESTA EN SITIO COSTA FUERA DE FLEJE DE ACERO INOXIDABLE 304, DE 1/2" DE ANCHO.
</t>
  </si>
  <si>
    <t>( TRESCIENTOS CUARENTA Y DOS  PESOS 04/100 M.N. )
( CERO DÓLARES 00/100 USD )</t>
  </si>
  <si>
    <t>C3EXT-0422</t>
  </si>
  <si>
    <t xml:space="preserve">
SUMINISTRO, CARGA, ACARREO, DESCARGA Y PUESTA EN SITIO COSTA FUERA DE HEBILLA DE ACERO INOXIDABLE 304 PARA FLEJE DE ACERO INOXIDABLE 316, DE 1/2" DE ANCHO.
</t>
  </si>
  <si>
    <t>( SESENTA Y NUEVE  PESOS 59/100 M.N. )
( CERO DÓLARES 00/100 USD )</t>
  </si>
  <si>
    <t>C3EXT-0423</t>
  </si>
  <si>
    <t xml:space="preserve">
SUMINISTRO, CARGA, ACARREO, DESCARGA Y PUESTA EN SITIO COSTA FUERA DE HEBILLA DE ACERO INOXIDABLE ASTM A240 GRADO 304 DE 3/8” DE ANCHO.
</t>
  </si>
  <si>
    <t>( TREINTA Y SEIS  PESOS 19/100 M.N. )
( CERO DÓLARES 00/100 USD )</t>
  </si>
  <si>
    <t>C3EXT-0424</t>
  </si>
  <si>
    <t xml:space="preserve">
SUMINISTRO, CARGA, ACARREO, DESCARGA Y PUESTA EN SITIO COSTA FUERA DE LAMINA DE ACERO INOXIDABLE 304 DE 6.35 MM DE ESPESOR.
</t>
  </si>
  <si>
    <t>( DIECISEIS MIL SEISCIENTOS TREINTA Y SEIS  PESOS 70/100 M.N. )
( CERO DÓLARES 00/100 USD )</t>
  </si>
  <si>
    <t>C3EXT-0425</t>
  </si>
  <si>
    <t xml:space="preserve">
SUMINISTRO, CARGA, ACARREO, DESCARGA Y PUESTA EN SITIO COSTA FUERA DE PLACA DE IDENTIFICACION EN LAMINA DE ACERO INOXIDABLE CAL. 22 GRABADO EN BAJO RELIEVE EN COLOR NEGRO, TAMAÑO ESTANDAR DE 1/8"(38 MM X 16MM). INCLUYE DOS REMACHES DE 1/8" Ø X 1/2" LONG.
</t>
  </si>
  <si>
    <t>( CIENTO TREINTA  PESOS 64/100 M.N. )
( OCHENTA Y CUATRO  DÓLARES 50/100 USD )</t>
  </si>
  <si>
    <t>C3EXT-0426</t>
  </si>
  <si>
    <t xml:space="preserve">
SERVICIO DE INTEGRACIÓN DE SEÑALES DE LOS INSTRUMENTOS EN LA PLATAFORMA YAXCHE-C.
</t>
  </si>
  <si>
    <t>( CERO PESOS 00/100 M.N. )
( NUEVE MIL SETECIENTOS CINCUENTA  DÓLARES 00/100 USD )</t>
  </si>
  <si>
    <t>C3EXT-0427</t>
  </si>
  <si>
    <t xml:space="preserve">
SUMINISTRO, CARGA, ACARREO, DESCARGA Y PUESTA EN SITIO COSTA FUERA DE EXTINTOR POTÁTIL DE POLVO QUÍMICO SECO (PQS). CLASIFICACIÓN UL 10A-120B:C, AGENTE EXTINGUIDOR A BASE DE FOSFATO MONOAMÓNICO, CAPACIDAD DEL AGENTE EXTINGUIDOR 9.07 KG. (20 LB.), PRESIÓN DE OPERACIÓN 195 PSI, SUPERFICIE MÍNIMA DE EXTINCIÓN DE 6.97 M2 (75 PIES2), TIEMPO APROXIMADO DE DESCARGA 3.08 A 25 SEG., ALCANCE DE DESCARGA 6.4 M (21 PIES).DEBE RESISTIR LA CORROSIÓN Y EL AMBIENTE MARINO. TERMINADO EN COLOR ROJO BERMELLÓN. INCLUYE SOPORTE Y TORNILLOS PARA SUJECIÓN.
</t>
  </si>
  <si>
    <t>( CATORCE MIL CUATROCIENTOS TREINTA Y SEIS  PESOS 32/100 M.N. )
( CERO DÓLARES 00/100 USD )</t>
  </si>
  <si>
    <t>C3EXT-0428</t>
  </si>
  <si>
    <t xml:space="preserve">
SUMINISTRO, CARGA, ACARREO, DESCARGA Y PUESTA EN SITIO COSTA FUERA DE BOQUILLAS DE ASPERSIÓN DE TIPO FLUJO CONSTANTE, CON UN ÁNGULO DE APLICACIÓN FIJO DE 120°, PATRÓN DE ASPERSIÓN TIPO NIEBLA, CON UNA CAPACIDAD DE 60 GPM A 60-125 PSI (4.2-8.79 KG/CM2), CON CONEXIÓN DE 1 1/2” NPT MACHO, FABRICADAS EN ACERO INOXIDABLE ASTM 316.
</t>
  </si>
  <si>
    <t>( CIENTO TREINTA  PESOS 64/100 M.N. )
( TRESCIENTOS SESENTA Y CUATRO  DÓLARES 00/100 USD )</t>
  </si>
  <si>
    <t>C3EXT-0429</t>
  </si>
  <si>
    <t xml:space="preserve">
SUMINISTRO, CARGA, ACARREO, DESCARGA Y PUESTA EN SITIO COSTA FUERA DE LETRERO DE SEGURIDAD, MATERIAL ALUMINIO LIBRE DE COBRE CON ACABADO REFLEJANTE DE 3 MM DE ESPESOR MÍNIMO. DE SEÑAL DEL TIPO PROHIBICIÓN, IDENTIFICACIÓN SP-01, CON LA LEYENDA “PROHIBIDO FUMAR”. FONDO DE COLOR BLANCO, BANDAS CIRCULAR Y DIAGONAL EN COLOR ROJO Y SÍMBOLO EN COLOR NEGRO, FORMA GEOMÉTRICA CIRCULAR, DIMENSIONES 350 X 400 MM.
</t>
  </si>
  <si>
    <t>( TRES MIL TRESCIENTOS TRES  PESOS 14/100 M.N. )
( CERO DÓLARES 00/100 USD )</t>
  </si>
  <si>
    <t>C3EXT-0430</t>
  </si>
  <si>
    <t xml:space="preserve">
SUMINISTRO, CARGA, ACARREO, DESCARGA Y PUESTA EN SITIO COSTA FUERA DE LETRERO DE SEGURIDAD, MATERIAL ALUMINIO LIBRE DE COBRE CON ACABADO REFLEJANTE DE 3 MM DE ESPESOR MÍNIMO. DE SEÑAL DEL TIPO OBLIGATORIA, IDENTIFICACIÓN SO-01, CON LA LEYENDA “USE EL EQUIPO DE PROTECCIÓN PERSONAL”. FONDO DE COLOR AZUL, COLOR DEL SÍMBOLO EN BLANCO, FORMA GEOMÉTRICA CIRCULAR, DIMENSIONES 350 X 400 MM.
</t>
  </si>
  <si>
    <t>C3EXT-0431</t>
  </si>
  <si>
    <t xml:space="preserve">
SUMINISTRO, CARGA, ACARREO, DESCARGA Y PUESTA EN SITIO COSTA FUERA DE LETRERO DE SEGURIDAD, MATERIAL ALUMINIO LIBRE DE COBRE CON ACABADO REFLEJANTE DE 3 MM DE ESPESOR MÍNIMO. DE SEÑAL DEL TIPO UBICACIÓN, IDENTIFICACIÓN SII-01, CON LA LEYENDA “RUTA DE EVACUACIÓN”, FLECHA A LA IZQUIERDA, FONDO DE COLOR VERDE, COLOR DEL SÍMBOLO EN BLANCO, FORMA GEOMÉTRICA RECTANGULAR. DIMENSIONES 400 X 300 MM.
</t>
  </si>
  <si>
    <t>C3EXT-0432</t>
  </si>
  <si>
    <t xml:space="preserve">
SUMINISTRO, CARGA, ACARREO, DESCARGA Y PUESTA EN SITIO COSTA FUERA DE LETRERO DE SEGURIDAD, MATERIAL ALUMINIO LIBRE DE COBRE CON ACABADO REFLEJANTE DE 3 MM DE ESPESOR MÍNIMO. DE SEÑAL DEL TIPO UBICACIÓN, IDENTIFICACIÓN SII-02, CON LA LEYENDA “RUTA DE EVACUACIÓN”, FLECHA A LA DERECHA, FONDO DE COLOR VERDE, COLOR DEL SÍMBOLO EN BLANCO, FORMA GEOMÉTRICA RECTANGULAR. DIMENSIONES 400 X 300 MM.
</t>
  </si>
  <si>
    <t>C3EXT-0433</t>
  </si>
  <si>
    <t xml:space="preserve">
MOVILIZACION  EQUIPO DE BUCEO DE SUPERFICIE (PARA 04 BUZOS y 01 CAMARA DE DESCOMPRESION)
</t>
  </si>
  <si>
    <t>( CERO PESOS 00/100 M.N. )
( SETENTA MIL SEISCIENTOS CINCUENTA Y SIETE  DÓLARES 47/100 USD )</t>
  </si>
  <si>
    <t>C3EXT-0434</t>
  </si>
  <si>
    <t xml:space="preserve">
DESMOVILIZACION EQUIPO DE BUCEO DE SUPERFICIE (PARA 04 BUZOS y 01 CAMARA DE DESCOMPRESION)
</t>
  </si>
  <si>
    <t>( CERO PESOS 00/100 M.N. )
( CUARENTA MIL CINCUENTA  DÓLARES 75/100 USD )</t>
  </si>
  <si>
    <t>C3EXT-0435</t>
  </si>
  <si>
    <t xml:space="preserve">
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12,5 MM (½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Ø.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EPI-811.0003-YAXCHE-C-P-003, HD-811.0003-YAXCHE-C-P-003 RANGO  0 – 21 KG/CM2.
</t>
  </si>
  <si>
    <t>( QUINCE MIL SEISCIENTOS SETENTA Y OCHO  PESOS 29/100 M.N. )
( DIECISEIS MIL NOVECIENTOS SESENTA Y SIETE  DÓLARES 28/100 USD )</t>
  </si>
  <si>
    <t>C3EXT-0436</t>
  </si>
  <si>
    <t xml:space="preserve">
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½” Ø NPT MACHO. INCLUYE MANIFOLD EN LINEA DE 2 VÁLVULAS ½” Ø NPTM-H. AMORTIGUADOR DE PULSACIONES DE ½” NPTM. DE ACUERDO CON ESPECIFICACION Y HOJA DE DATOS:  HD-811.0003-YAXCHE-C-P-001 RANGO  0 – 16 KG/CM2.
</t>
  </si>
  <si>
    <t>( SIETE MIL CUATROCIENTOS OCHO  PESOS 00/100 M.N. )
( SEIS MIL CINCUENTA Y SIETE  DÓLARES 73/100 USD )</t>
  </si>
  <si>
    <t>C3EXT-0437</t>
  </si>
  <si>
    <t xml:space="preserve">
SUMINISTRO, CARGA, ACARREO, DESCARGA Y PUESTA EN SITIO COSTA FUERA DE TORNILLO CABEZA HEXAGONAL AC INOX 316 CON TUERCA HEXAGONAL, ARANDELAS PLANAS Y DE PRESION DE 1/4" DE DIAMETRO X 1 1/2" DE LONGITUD.
</t>
  </si>
  <si>
    <t>( CIENTO CINCUENTA Y NUEVE  PESOS 72/100 M.N. )
( CERO DÓLARES 00/100 USD )</t>
  </si>
  <si>
    <t>C3EXT-0438</t>
  </si>
  <si>
    <t xml:space="preserve">
SERVICIO DE ENCHAQUETADO DE LAS ABRAZADERAS DE LOS SENSORES DE LOS TRANSMISORES DE TEMPERATURA, PARA TUBERÍA DE 6” DE DIAMETRO CON TERMOAISLANTE TIPO VIDRIO CELULAR, DE 1/2" DE ESPESOR, CONSTITUCIÓN SÍLICOALUMINOSO. ESPUMÁNDOLO CON CARBONO DURANTE SU PROCESO DE FABRICACIÓN.
</t>
  </si>
  <si>
    <t>SERVICIO</t>
  </si>
  <si>
    <t>( OCHENTA Y SIETE MIL SETECIENTOS CINCUENTA  PESOS 00/100 M.N. )
( CERO DÓLARES 00/100 USD )</t>
  </si>
  <si>
    <t>C3EXT-0439</t>
  </si>
  <si>
    <t xml:space="preserve">
SERVICIO POR PARTE DEL FABRICANTE DE LOS EQUIPOS PARA QUE EN AMBOS TSCP (EN EL EXISTENTE Y POR PROYECTO) SE CONSIDERE INSTRUMENTACIÓN ADICIONAL, MISCELÁNEOS Y ACTUALIZACIÓN DE INGENIERIA DE AMBOS TABLEROS. A. SE REQUIERE HABILITAR UNA DERIVACIÓN DEL CABEZAL DEL SISTEMA ESD Y UNA SALIDA CON COPLE PASAMURO EN EL COSTADO IZQUIERDO DEL EQUIPO TSCP-1000 EXISTENTE, DE LA PLATAFORMA YAXCHE -C., B. SE REQUIERE HABILITAR EN EL TABLERO TSCP-1001 POR PROYECTO (COSTADO IZQUIERDO), UNA SALIDA CON PASAMUROS Y ESTA SE DEBE CONECTAR AL CIRCUITO DE 50 PSI DE CONTROL DEL TABLERO EXISTENTE PARA CUANDO SE GENERE UN PARO EN CUALQUIERA DE LOS TABLEROS SE REFLEJE EL PARO EN AMBOS TABLEROS DE CONTROL DE POZOS., C. AMBAS CONEXIONES DEBEN INCLUIR VÁLVULA CHECK ANTES DE LA VÁLVULA DE CARGA DE LA RED DE CONTROL. VER PLANO B-811.003-YAXCHE-C-P-017.
</t>
  </si>
  <si>
    <t>( CERO PESOS 00/100 M.N. )
( CIENTO VEINTITRES MIL QUINIENTOS  DÓLARES 00/100 USD )</t>
  </si>
  <si>
    <t>C3EXT-0459</t>
  </si>
  <si>
    <t xml:space="preserve">
SUMINISTRO, CARGA, ACARREO, DESCARGA Y PUESTA EN SITIO COSTA FUERA DE EMPAQUE TIPO ANILLO OCTAGONAL DE ACERO AL BAJO CARBONO, CON DUREZA BRINELL MAXIMA DE 120, DE ACUERDO ASME 16.20, PARA BRIDAS ASME B16.5 CARA JUNTA TIPO ANILLO (R.J.), DE 4" DE DIAMETRO NPS (200 DN), CLASE 1500.PARA BRIDA 16.5 RING No. 39.
</t>
  </si>
  <si>
    <t>( CINCO MIL QUINIENTOS NOVENTA Y CINCO  PESOS 90/100 M.N. )
( CERO DÓLARES 00/100 USD )</t>
  </si>
  <si>
    <t>C3EXT-0460</t>
  </si>
  <si>
    <t xml:space="preserve">
SUMINISTRO, CARGA, ACARREO, DESCARGA Y PUESTA EN SITIO COSTA FUERA DE EMPAQUE TIPO ANILLO OCTAGONAL DE ACERO AL BAJO CARBONO, CON DUREZA BRINELL MAXIMA DE 160, DE ACUERDO ASME 16.20, PARA BRIDAS ASME B16.5 CARA JUNTA TIPO ANILLO (R.J.), DE 2 1/6" DE DIAMETRO NPS (200 DN) DE 13/32" DE ESPESOR, PARA BRIDA API 6A TIPO BX,CLASE 10,000, R.T.J. RING No BX-152.
</t>
  </si>
  <si>
    <t>( DOS MIL CIENTO NOVENTA Y NUEVE  PESOS 69/100 M.N. )
( CERO DÓLARES 00/100 USD )</t>
  </si>
  <si>
    <t>C3EXT-0461</t>
  </si>
  <si>
    <t xml:space="preserve">
SUMINISTRO, CARGA, ACARREO, DESCARGA Y PUESTA EN SITIO COSTA FUERA DE EMPAQUE TIPO ANILLO OCTAGONAL DE ACERO AL BAJO CARBONO, CON DUREZA BRINELL MAXIMA DE 160, DE ACUERDO ASME 16.20, PARA BRIDAS ASME B16.5 CARA JUNTA TIPO ANILLO (R.T.J.), DE 2" DE DIÁMETRO NPS (200 DN) DE 5/8" DE ESPESOR, CLASE 1500 R.T.J., PARA BRIDA ,ASME B 16.5 RING No R24.
</t>
  </si>
  <si>
    <t>( CUATRO MIL SETECIENTOS SETENTA Y DOS  PESOS 40/100 M.N. )
( CERO DÓLARES 00/100 USD )</t>
  </si>
  <si>
    <t>C3EXT-0462</t>
  </si>
  <si>
    <t xml:space="preserve">
SUMINISTRO, CARGA, ACARREO, DESCARGA Y PUESTA EN SITIO COSTA FUERA DE EMPAQUE TIPO ANILLO OCTAGONAL DE ACERO AL BAJO CARBONO, CON DUREZA BRINELL MAXIMA DE 160, DE ACUERDO ASME 16.20, PARA BRIDAS ASME B16.5 CARA JUNTA TIPO ANILLO (R.T.J.), DE 8" DE DIAMETRO NPS (200 DN) DE 13/16" DE ESPESOR, CLASE 1500. PARA BRIDA ASME 16.5 RING. No 50.
</t>
  </si>
  <si>
    <t>( CATORCE MIL OCHOCIENTOS CINCUENTA Y SEIS  PESOS 90/100 M.N. )
( CERO DÓLARES 00/100 USD )</t>
  </si>
  <si>
    <t>C3EXT-0464</t>
  </si>
  <si>
    <t xml:space="preserve">
SERVICIOS DE ASISTENCIA TÉCNICA COSTA FUERA POR PERSONAL ESPECIALIZADO DEL FABRICANTE DEL TABLERO DE SEGURIDAD DE CONTROL DE POZOS  (TSCP) DURANTE EL  ENSAMBLE, INSTALACIÓN, COMISIONAMIENTO, PRUEBAS PREOPERACIONALES, PRUEBAS OSAT Y ARRANQUE.
</t>
  </si>
  <si>
    <t>( CERO PESOS 00/100 M.N. )
( TREINTA MIL QUINIENTOS CINCUENTA  DÓLARES 00/100 USD )</t>
  </si>
  <si>
    <t>C3EXT-0465</t>
  </si>
  <si>
    <t xml:space="preserve">
ADIESTRAMIENTO COSTA FUERA POR PERSONAL ESPECIALIZADO DEL FABRICANTE DEL TABLERO DE SEGURIDAD DE CONTROL DE POZOS (TSCP) PARA LA CORRECTA OPERACIÓN Y MANTENIMIENTO PREVENTIVO MENOR DEL EQUIPO. ENTRENAMIENTO DEBERÁ REALIZARSE EN EL TSCP PREVIO AL PROCEDIMIENTO SAT.
</t>
  </si>
  <si>
    <t>( CERO PESOS 00/100 M.N. )
( VEINTINUEVE MIL DOSCIENTOS CINCUENTA  DÓLARES 00/100 USD )</t>
  </si>
  <si>
    <t xml:space="preserve">
SUBTOTAL ANEXO C-3EXT
</t>
  </si>
  <si>
    <t xml:space="preserve">
IMPORTE TOTAL DE LA PROPUESTA
</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</si>
  <si>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</si>
  <si>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CANTIDAD
TOTAL</t>
  </si>
  <si>
    <t>PRECIO UNITARIO M.N.</t>
  </si>
  <si>
    <t>IMPORTE
 TOTAL M.N.</t>
  </si>
  <si>
    <t>MES 1</t>
  </si>
  <si>
    <t>MES 2</t>
  </si>
  <si>
    <t>MES 3</t>
  </si>
  <si>
    <t>MES 4</t>
  </si>
  <si>
    <t>MES 5</t>
  </si>
  <si>
    <t>MES 6</t>
  </si>
  <si>
    <t>IMPORTE 
MES 1 M.N.</t>
  </si>
  <si>
    <t>IMPORTE 
MES 2 M.N.</t>
  </si>
  <si>
    <t>IMPORTE 
MES 3 M.N.</t>
  </si>
  <si>
    <t>IMPORTE 
MES 4 M.N.</t>
  </si>
  <si>
    <t>IMPORTE 
MES 5 M.N.</t>
  </si>
  <si>
    <t>IMPORTE 
MES 6 M.N.</t>
  </si>
  <si>
    <t>PRECIO 
UNITARIO USD</t>
  </si>
  <si>
    <t>IMPORTE
 TOTAL USD</t>
  </si>
  <si>
    <t>IMPORTE 
MES 1 USD</t>
  </si>
  <si>
    <t>IMPORTE 
MES 2 USD</t>
  </si>
  <si>
    <t>IMPORTE 
MES 3 USD</t>
  </si>
  <si>
    <t>IMPORTE 
MES 4 USD</t>
  </si>
  <si>
    <t>IMPORTE 
MES 5 USD</t>
  </si>
  <si>
    <t>IMPORTE 
MES 6 USD</t>
  </si>
  <si>
    <t>VOLUMEN 1</t>
  </si>
  <si>
    <t>VOLUMEN 2</t>
  </si>
  <si>
    <t>VOLUMEN 3</t>
  </si>
  <si>
    <t>VOLUMEN 4</t>
  </si>
  <si>
    <t>VOLUMEN 5</t>
  </si>
  <si>
    <t>VOLUMEN 6</t>
  </si>
  <si>
    <t>CANTIDAD TOTAL A UTILIZAR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</si>
</sst>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quot;$&quot;* #,##0.00_-;_-&quot;$&quot;* &quot;-&quot;??_-;_-@_-"/>
    <numFmt numFmtId="164" formatCode="#,##0.0000_ ;\-#,##0.0000\ "/>
    <numFmt numFmtId="165" formatCode="#,##0.0000"/>
    <numFmt numFmtId="166" formatCode="#,##0.0000\_x000a_\█\█\█\█\█\█\█\█\█\█\█\█"/>
  </numFmts>
  <fonts count="21" x14ac:knownFonts="1">
    <font>
      <sz val="10"/>
      <color theme="1"/>
      <name val="Arial Nova"/>
      <family val="2"/>
    </font>
    <font>
      <sz val="9"/>
      <color theme="1"/>
      <name val="Aptos Display"/>
      <family val="2"/>
    </font>
    <font>
      <sz val="9"/>
      <color theme="1"/>
      <name val="Aptos Display"/>
      <family val="2"/>
    </font>
    <font>
      <sz val="9"/>
      <color theme="1"/>
      <name val="Aptos Display"/>
      <family val="2"/>
    </font>
    <font>
      <sz val="8"/>
      <name val="Tahoma"/>
      <family val="2"/>
    </font>
    <font>
      <sz val="8"/>
      <name val="Arial Nova"/>
      <family val="2"/>
    </font>
    <font>
      <sz val="10"/>
      <color theme="1"/>
      <name val="Arial Nova"/>
      <family val="2"/>
    </font>
    <font>
      <sz val="9"/>
      <name val="Aptos Display"/>
      <family val="2"/>
    </font>
    <font>
      <sz val="10"/>
      <color theme="1"/>
      <name val="Aptos Display"/>
      <family val="2"/>
    </font>
    <font>
      <b/>
      <sz val="14"/>
      <color theme="1"/>
      <name val="Aptos Display"/>
      <family val="2"/>
    </font>
    <font>
      <b/>
      <sz val="10"/>
      <color theme="1"/>
      <name val="Aptos Display"/>
      <family val="2"/>
    </font>
    <font>
      <b/>
      <sz val="12"/>
      <color theme="1"/>
      <name val="Aptos Display"/>
      <family val="2"/>
    </font>
    <font>
      <b/>
      <sz val="9"/>
      <color theme="1"/>
      <name val="Aptos Display"/>
      <family val="2"/>
    </font>
    <font>
      <sz val="8"/>
      <color theme="1"/>
      <name val="Aptos Display"/>
      <family val="2"/>
    </font>
    <font>
      <sz val="9"/>
      <name val="Aptos"/>
      <family val="2"/>
    </font>
    <font>
      <sz val="11"/>
      <color theme="1"/>
      <name val="Aptos Display"/>
      <family val="2"/>
    </font>
    <font>
      <b/>
      <sz val="9"/>
      <name val="Aptos Display"/>
      <family val="2"/>
    </font>
    <font>
      <b/>
      <sz val="10"/>
      <name val="Aptos Display"/>
      <family val="2"/>
    </font>
    <font>
      <b/>
      <sz val="16"/>
      <color theme="1"/>
      <name val="Aptos Display"/>
      <family val="2"/>
    </font>
    <font>
      <b/>
      <sz val="18"/>
      <color theme="1"/>
      <name val="Aptos Display"/>
      <family val="2"/>
    </font>
    <font>
      <b/>
      <sz val="11"/>
      <color theme="1"/>
      <name val="Aptos Display"/>
      <family val="2"/>
    </font>
  </fonts>
  <fills count="5">
    <fill>
      <patternFill patternType="none"/>
    </fill>
    <fill>
      <patternFill patternType="gray125"/>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0" fontId="4" fillId="0" borderId="0"/>
    <xf numFmtId="44" fontId="6" fillId="0" borderId="0" applyFont="0" applyFill="0" applyBorder="0" applyAlignment="0" applyProtection="0"/>
  </cellStyleXfs>
  <cellXfs count="110">
    <xf numFmtId="0" fontId="0" fillId="0" borderId="0" xfId="0"/>
    <xf numFmtId="0" fontId="7" fillId="0" borderId="0" xfId="1" applyFont="1" applyAlignment="1">
      <alignment vertical="center"/>
    </xf>
    <xf numFmtId="0" fontId="7" fillId="0" borderId="0" xfId="1" applyFont="1" applyAlignment="1">
      <alignment vertical="center" wrapText="1"/>
    </xf>
    <xf numFmtId="0" fontId="7" fillId="0" borderId="0" xfId="1" applyFont="1"/>
    <xf numFmtId="0" fontId="8" fillId="0" borderId="0" xfId="0" applyFont="1" applyAlignment="1">
      <alignment horizontal="center" vertical="center" wrapText="1"/>
    </xf>
    <xf numFmtId="0" fontId="8" fillId="0" borderId="0" xfId="0" applyFont="1"/>
    <xf numFmtId="0" fontId="12" fillId="0" borderId="0" xfId="0" applyFont="1" applyAlignment="1">
      <alignment horizontal="center" vertical="center" wrapText="1"/>
    </xf>
    <xf numFmtId="44" fontId="10" fillId="2" borderId="1" xfId="0" applyNumberFormat="1" applyFont="1" applyFill="1" applyBorder="1" applyAlignment="1">
      <alignment horizontal="center" vertical="center" wrapText="1"/>
    </xf>
    <xf numFmtId="165" fontId="13" fillId="0" borderId="0" xfId="0" applyNumberFormat="1" applyFont="1" applyAlignment="1">
      <alignment horizontal="center" vertical="center" wrapText="1"/>
    </xf>
    <xf numFmtId="0" fontId="12" fillId="3" borderId="0" xfId="0" applyFont="1" applyFill="1" applyAlignment="1">
      <alignment horizontal="center" vertical="center"/>
    </xf>
    <xf numFmtId="165" fontId="12" fillId="3" borderId="0" xfId="0" applyNumberFormat="1" applyFont="1" applyFill="1" applyAlignment="1">
      <alignment horizontal="center" vertical="center"/>
    </xf>
    <xf numFmtId="44" fontId="12" fillId="3" borderId="0" xfId="0" applyNumberFormat="1" applyFont="1" applyFill="1" applyAlignment="1">
      <alignment horizontal="center" vertical="center"/>
    </xf>
    <xf numFmtId="0" fontId="13" fillId="0" borderId="0" xfId="0" applyFont="1" applyAlignment="1">
      <alignment horizontal="left" vertical="center" wrapText="1"/>
    </xf>
    <xf numFmtId="0" fontId="14" fillId="0" borderId="0" xfId="1" applyFont="1" applyAlignment="1">
      <alignment vertical="center"/>
    </xf>
    <xf numFmtId="0" fontId="14" fillId="0" borderId="0" xfId="0" applyFont="1" applyAlignment="1">
      <alignment vertical="center"/>
    </xf>
    <xf numFmtId="0" fontId="3" fillId="0" borderId="0" xfId="0" applyFont="1" applyAlignment="1">
      <alignment horizontal="center" vertical="center"/>
    </xf>
    <xf numFmtId="0" fontId="8" fillId="0" borderId="0" xfId="0" applyFont="1" applyAlignment="1">
      <alignment horizontal="justify" vertical="center" wrapText="1"/>
    </xf>
    <xf numFmtId="0" fontId="10" fillId="2" borderId="1" xfId="0" applyFont="1" applyFill="1" applyBorder="1" applyAlignment="1">
      <alignment horizontal="center" vertical="center" wrapText="1"/>
    </xf>
    <xf numFmtId="165" fontId="10" fillId="2" borderId="1" xfId="0" applyNumberFormat="1" applyFont="1" applyFill="1" applyBorder="1" applyAlignment="1">
      <alignment horizontal="center" vertical="center" wrapText="1"/>
    </xf>
    <xf numFmtId="0" fontId="8" fillId="0" borderId="0" xfId="0" applyFont="1" applyAlignment="1">
      <alignment horizontal="justify"/>
    </xf>
    <xf numFmtId="0" fontId="8" fillId="0" borderId="0" xfId="0" applyFont="1" applyAlignment="1">
      <alignment horizontal="center"/>
    </xf>
    <xf numFmtId="164" fontId="10" fillId="3" borderId="0" xfId="0" applyNumberFormat="1" applyFont="1" applyFill="1" applyAlignment="1">
      <alignment horizontal="center" vertical="center"/>
    </xf>
    <xf numFmtId="0" fontId="3" fillId="0" borderId="0" xfId="0" applyFont="1" applyAlignment="1">
      <alignment horizontal="justify" vertical="center"/>
    </xf>
    <xf numFmtId="0" fontId="15" fillId="0" borderId="0" xfId="0" applyFont="1"/>
    <xf numFmtId="0" fontId="12" fillId="0" borderId="0" xfId="0" applyFont="1" applyAlignment="1">
      <alignment horizontal="justify" vertical="center" wrapText="1"/>
    </xf>
    <xf numFmtId="44" fontId="8" fillId="0" borderId="0" xfId="0" applyNumberFormat="1" applyFont="1" applyAlignment="1">
      <alignment horizontal="center" vertical="center"/>
    </xf>
    <xf numFmtId="0" fontId="2" fillId="0" borderId="0" xfId="0" applyFont="1" applyAlignment="1">
      <alignment horizontal="center" vertical="center"/>
    </xf>
    <xf numFmtId="0" fontId="2" fillId="0" borderId="0" xfId="0" applyFont="1" applyAlignment="1">
      <alignment horizontal="justify" vertical="center"/>
    </xf>
    <xf numFmtId="0" fontId="13" fillId="0" borderId="0" xfId="0" applyFont="1" applyAlignment="1">
      <alignment horizontal="justify" vertical="center"/>
    </xf>
    <xf numFmtId="0" fontId="7" fillId="0" borderId="0" xfId="0" applyFont="1" applyAlignment="1">
      <alignment horizontal="center" vertical="center" wrapText="1"/>
    </xf>
    <xf numFmtId="0" fontId="16" fillId="3" borderId="0" xfId="0" applyFont="1" applyFill="1" applyAlignment="1">
      <alignment horizontal="center" vertical="center"/>
    </xf>
    <xf numFmtId="0" fontId="16" fillId="3" borderId="0" xfId="0" applyFont="1" applyFill="1" applyAlignment="1">
      <alignment horizontal="justify" vertical="center"/>
    </xf>
    <xf numFmtId="164" fontId="17" fillId="3" borderId="0" xfId="0" applyNumberFormat="1" applyFont="1" applyFill="1" applyAlignment="1">
      <alignment horizontal="center" vertical="center"/>
    </xf>
    <xf numFmtId="165" fontId="16" fillId="3" borderId="0" xfId="0" applyNumberFormat="1" applyFont="1" applyFill="1" applyAlignment="1">
      <alignment horizontal="center" vertical="center"/>
    </xf>
    <xf numFmtId="44" fontId="16" fillId="3" borderId="0" xfId="0" applyNumberFormat="1" applyFont="1" applyFill="1" applyAlignment="1">
      <alignment horizontal="center" vertical="center"/>
    </xf>
    <xf numFmtId="44" fontId="8" fillId="0" borderId="0" xfId="0" applyNumberFormat="1" applyFont="1" applyAlignment="1">
      <alignment vertical="center"/>
    </xf>
    <xf numFmtId="0" fontId="12" fillId="0" borderId="0" xfId="0" applyFont="1" applyAlignment="1">
      <alignment horizontal="center" vertical="center"/>
    </xf>
    <xf numFmtId="0" fontId="8" fillId="0" borderId="0" xfId="0" applyFont="1" applyAlignment="1">
      <alignment horizontal="center" vertical="center"/>
    </xf>
    <xf numFmtId="44" fontId="17" fillId="3" borderId="0" xfId="0" applyNumberFormat="1" applyFont="1" applyFill="1" applyAlignment="1">
      <alignment horizontal="center" vertical="center" wrapText="1"/>
    </xf>
    <xf numFmtId="0" fontId="10" fillId="4" borderId="1" xfId="0" applyFont="1" applyFill="1" applyBorder="1" applyAlignment="1">
      <alignment horizontal="center" vertical="center" wrapText="1"/>
    </xf>
    <xf numFmtId="0" fontId="12" fillId="0" borderId="0" xfId="0" applyFont="1" applyAlignment="1">
      <alignment horizontal="justify" vertical="center"/>
    </xf>
    <xf numFmtId="166" fontId="13" fillId="0" borderId="0" xfId="0" applyNumberFormat="1" applyFont="1" applyAlignment="1">
      <alignment horizontal="left" vertical="center" wrapText="1"/>
    </xf>
    <xf numFmtId="166" fontId="13" fillId="0" borderId="0" xfId="0" applyNumberFormat="1" applyFont="1" applyAlignment="1">
      <alignment horizontal="center" vertical="center" wrapText="1"/>
    </xf>
    <xf numFmtId="0" fontId="8" fillId="0" borderId="0" xfId="0" applyFont="1" applyAlignment="1">
      <alignment horizontal="right"/>
    </xf>
    <xf numFmtId="0" fontId="10" fillId="4" borderId="1" xfId="0" applyFont="1" applyFill="1" applyBorder="1" applyAlignment="1">
      <alignment horizontal="right" vertical="center" wrapText="1"/>
    </xf>
    <xf numFmtId="166" fontId="13" fillId="0" borderId="0" xfId="0" applyNumberFormat="1" applyFont="1" applyAlignment="1">
      <alignment horizontal="right" vertical="center" wrapText="1"/>
    </xf>
    <xf numFmtId="0" fontId="13" fillId="0" borderId="0" xfId="0" applyFont="1" applyAlignment="1">
      <alignment horizontal="center" vertical="center" wrapText="1"/>
    </xf>
    <xf numFmtId="0" fontId="13" fillId="0" borderId="0" xfId="0" applyFont="1" applyAlignment="1">
      <alignment horizontal="right" vertical="center" wrapText="1"/>
    </xf>
    <xf numFmtId="0" fontId="10" fillId="2" borderId="1" xfId="0" applyFont="1" applyFill="1" applyBorder="1" applyAlignment="1">
      <alignment horizontal="center" vertical="center"/>
    </xf>
    <xf numFmtId="0" fontId="12" fillId="3" borderId="1" xfId="0" applyFont="1" applyFill="1" applyBorder="1" applyAlignment="1">
      <alignment horizontal="center" vertical="center" wrapText="1"/>
    </xf>
    <xf numFmtId="165" fontId="12" fillId="3" borderId="1" xfId="0" applyNumberFormat="1" applyFont="1" applyFill="1" applyBorder="1" applyAlignment="1">
      <alignment horizontal="center" vertical="center" wrapText="1"/>
    </xf>
    <xf numFmtId="165" fontId="12" fillId="3" borderId="1" xfId="0" applyNumberFormat="1" applyFont="1" applyFill="1" applyBorder="1" applyAlignment="1">
      <alignment horizontal="center" vertical="center"/>
    </xf>
    <xf numFmtId="0" fontId="13" fillId="0" borderId="0" xfId="0" applyFont="1" applyAlignment="1">
      <alignment horizontal="center" vertical="center"/>
    </xf>
    <xf numFmtId="0" fontId="9" fillId="0" borderId="0" xfId="0" applyFont="1" applyAlignment="1">
      <alignment horizontal="center" vertical="center" wrapText="1"/>
    </xf>
    <xf numFmtId="0" fontId="10" fillId="0" borderId="0" xfId="0" applyFont="1" applyAlignment="1">
      <alignment horizontal="center" vertical="center" wrapText="1"/>
    </xf>
    <xf numFmtId="0" fontId="11" fillId="0" borderId="0" xfId="0" applyFont="1" applyAlignment="1">
      <alignment horizontal="center" vertical="center" wrapText="1"/>
    </xf>
    <xf numFmtId="0" fontId="10" fillId="0" borderId="0" xfId="0" applyFont="1" applyAlignment="1">
      <alignment horizontal="right" vertical="center" wrapText="1"/>
    </xf>
    <xf numFmtId="0" fontId="12" fillId="0" borderId="0" xfId="0" applyFont="1" applyAlignment="1">
      <alignment horizontal="right" vertical="center" wrapText="1"/>
    </xf>
    <xf numFmtId="0" fontId="8" fillId="0" borderId="0" xfId="0" applyFont="1" applyAlignment="1">
      <alignment horizontal="right" vertical="center"/>
    </xf>
    <xf numFmtId="165" fontId="12" fillId="3" borderId="1" xfId="0" applyNumberFormat="1" applyFont="1" applyFill="1" applyBorder="1" applyAlignment="1">
      <alignment horizontal="right" vertical="center"/>
    </xf>
    <xf numFmtId="0" fontId="13" fillId="0" borderId="0" xfId="0" applyFont="1" applyAlignment="1">
      <alignment horizontal="right" vertical="center"/>
    </xf>
    <xf numFmtId="0" fontId="8" fillId="0" borderId="0" xfId="0" applyFont="1" applyAlignment="1">
      <alignment horizontal="left" vertical="center"/>
    </xf>
    <xf numFmtId="165" fontId="12" fillId="3" borderId="1" xfId="0" applyNumberFormat="1" applyFont="1" applyFill="1" applyBorder="1" applyAlignment="1">
      <alignment horizontal="left" vertical="center"/>
    </xf>
    <xf numFmtId="0" fontId="13" fillId="0" borderId="0" xfId="0" applyFont="1" applyAlignment="1">
      <alignment horizontal="left" vertical="center"/>
    </xf>
    <xf numFmtId="0" fontId="11" fillId="2" borderId="0" xfId="0" applyFont="1" applyFill="1" applyAlignment="1">
      <alignment horizontal="center" vertical="center" wrapText="1"/>
    </xf>
    <xf numFmtId="44" fontId="10" fillId="2" borderId="0" xfId="0" applyNumberFormat="1" applyFont="1" applyFill="1" applyAlignment="1">
      <alignment horizontal="center" vertical="center" wrapText="1"/>
    </xf>
    <xf numFmtId="0" fontId="10" fillId="2" borderId="0" xfId="0" applyFont="1" applyFill="1" applyAlignment="1">
      <alignment horizontal="center" vertical="center" wrapText="1"/>
    </xf>
    <xf numFmtId="0" fontId="10" fillId="2" borderId="0" xfId="0" applyFont="1" applyFill="1" applyAlignment="1">
      <alignment horizontal="center" vertical="center"/>
    </xf>
    <xf numFmtId="0" fontId="18" fillId="0" borderId="0" xfId="0" applyFont="1" applyAlignment="1">
      <alignment horizontal="center" vertical="center" wrapText="1"/>
    </xf>
    <xf numFmtId="0" fontId="19" fillId="0" borderId="0" xfId="0" applyFont="1" applyAlignment="1">
      <alignment horizontal="center" vertical="center" wrapText="1"/>
    </xf>
    <xf numFmtId="0" fontId="20" fillId="0" borderId="0" xfId="0" applyFont="1" applyAlignment="1">
      <alignment horizontal="center" vertical="center" wrapText="1"/>
    </xf>
    <xf numFmtId="44" fontId="11" fillId="2" borderId="1" xfId="0" applyNumberFormat="1" applyFont="1" applyFill="1" applyBorder="1" applyAlignment="1">
      <alignment horizontal="center" vertical="center" wrapText="1"/>
    </xf>
    <xf numFmtId="0" fontId="8" fillId="0" borderId="0" xfId="0" applyFont="1" applyAlignment="1">
      <alignment horizontal="justify" vertical="center"/>
    </xf>
    <xf numFmtId="0" fontId="15" fillId="0" borderId="0" xfId="0" applyFont="1" applyAlignment="1">
      <alignment horizontal="center" vertical="center"/>
    </xf>
    <xf numFmtId="0" fontId="15" fillId="0" borderId="0" xfId="0" applyFont="1" applyAlignment="1">
      <alignment horizontal="justify" vertical="center"/>
    </xf>
    <xf numFmtId="165" fontId="15" fillId="0" borderId="0" xfId="0" applyNumberFormat="1" applyFont="1" applyAlignment="1">
      <alignment horizontal="center" vertical="center"/>
    </xf>
    <xf numFmtId="44" fontId="15" fillId="0" borderId="0" xfId="0" applyNumberFormat="1"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wrapText="1"/>
    </xf>
    <xf numFmtId="0" fontId="15" fillId="0" borderId="0" xfId="0" applyFont="1" applyAlignment="1">
      <alignment horizontal="justify" vertical="center" wrapText="1"/>
    </xf>
    <xf numFmtId="44" fontId="15" fillId="0" borderId="0" xfId="0" applyNumberFormat="1" applyFont="1" applyAlignment="1">
      <alignment horizontal="center" vertical="center" wrapText="1"/>
    </xf>
    <xf numFmtId="0" fontId="18" fillId="2" borderId="0" xfId="0" applyFont="1" applyFill="1" applyAlignment="1">
      <alignment horizontal="center" vertical="center" wrapText="1"/>
    </xf>
    <xf numFmtId="44" fontId="11" fillId="2" borderId="0" xfId="0" applyNumberFormat="1" applyFont="1" applyFill="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horizontal="center" vertical="center" wrapText="1"/>
    </xf>
    <xf numFmtId="0" fontId="1" fillId="0" borderId="0" xfId="0" applyFont="1" applyAlignment="1">
      <alignment horizontal="justify" vertical="center" wrapText="1"/>
    </xf>
    <xf numFmtId="44" fontId="1" fillId="0" borderId="0" xfId="0" applyNumberFormat="1" applyFont="1" applyAlignment="1">
      <alignment horizontal="center" vertical="center" wrapText="1"/>
    </xf>
    <xf numFmtId="0" fontId="1" fillId="0" borderId="0" xfId="0" applyFont="1" applyAlignment="1">
      <alignment horizontal="justify" vertical="center"/>
    </xf>
    <xf numFmtId="165" fontId="1" fillId="0" borderId="0" xfId="0" applyNumberFormat="1" applyFont="1" applyAlignment="1">
      <alignment horizontal="left" vertical="center" wrapText="1"/>
    </xf>
    <xf numFmtId="165" fontId="1" fillId="0" borderId="0" xfId="0" applyNumberFormat="1" applyFont="1" applyAlignment="1">
      <alignment horizontal="center" vertical="center" wrapText="1"/>
    </xf>
    <xf numFmtId="0" fontId="1" fillId="0" borderId="0" xfId="0" applyFont="1" applyAlignment="1">
      <alignment horizontal="center" vertical="center"/>
    </xf>
    <xf numFmtId="164" fontId="1" fillId="0" borderId="0" xfId="0" applyNumberFormat="1" applyFont="1" applyAlignment="1">
      <alignment horizontal="center" vertical="center"/>
    </xf>
    <xf numFmtId="165" fontId="1" fillId="0" borderId="0" xfId="0" applyNumberFormat="1" applyFont="1" applyAlignment="1">
      <alignment horizontal="center" vertical="center"/>
    </xf>
    <xf numFmtId="44" fontId="1" fillId="0" borderId="0" xfId="0" applyNumberFormat="1" applyFont="1" applyAlignment="1">
      <alignment horizontal="center" vertical="center"/>
    </xf>
    <xf numFmtId="44" fontId="1" fillId="0" borderId="0" xfId="2" applyFont="1" applyAlignment="1">
      <alignment horizontal="center" vertical="center"/>
    </xf>
    <xf numFmtId="0" fontId="1" fillId="0" borderId="0" xfId="0" applyFont="1" applyAlignment="1">
      <alignment vertical="center"/>
    </xf>
    <xf numFmtId="0" fontId="18" fillId="2" borderId="1" xfId="0" applyFont="1" applyFill="1" applyBorder="1" applyAlignment="1">
      <alignment horizontal="center" vertical="center" wrapText="1"/>
    </xf>
    <xf numFmtId="0" fontId="10" fillId="0" borderId="2" xfId="0" applyFont="1" applyBorder="1" applyAlignment="1">
      <alignment horizontal="right" vertical="center" wrapText="1"/>
    </xf>
    <xf numFmtId="0" fontId="19" fillId="0" borderId="0" xfId="0" applyFont="1" applyAlignment="1">
      <alignment horizontal="center" vertical="center" wrapText="1"/>
    </xf>
    <xf numFmtId="0" fontId="11" fillId="0" borderId="0" xfId="0" applyFont="1" applyAlignment="1">
      <alignment horizontal="center" vertical="center" wrapText="1"/>
    </xf>
    <xf numFmtId="0" fontId="20" fillId="0" borderId="0" xfId="0" applyFont="1" applyAlignment="1">
      <alignment horizontal="center" vertical="center" wrapText="1"/>
    </xf>
    <xf numFmtId="0" fontId="18" fillId="0" borderId="0" xfId="0" applyFont="1" applyAlignment="1">
      <alignment horizontal="center" vertical="center" wrapText="1"/>
    </xf>
    <xf numFmtId="0" fontId="11" fillId="2" borderId="1" xfId="0" applyFont="1" applyFill="1" applyBorder="1" applyAlignment="1">
      <alignment horizontal="center" vertical="center" wrapText="1"/>
    </xf>
    <xf numFmtId="44" fontId="11" fillId="2" borderId="1" xfId="0" applyNumberFormat="1" applyFont="1" applyFill="1" applyBorder="1" applyAlignment="1">
      <alignment horizontal="center" vertical="center" wrapText="1"/>
    </xf>
    <xf numFmtId="165" fontId="11" fillId="2" borderId="1" xfId="0" applyNumberFormat="1" applyFont="1" applyFill="1" applyBorder="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10" fillId="0" borderId="0" xfId="0" applyFont="1" applyAlignment="1">
      <alignment horizontal="right" vertical="center" wrapText="1"/>
    </xf>
    <xf numFmtId="0" fontId="12" fillId="0" borderId="0" xfId="0" applyFont="1" applyAlignment="1">
      <alignment horizontal="right" vertical="center" wrapText="1"/>
    </xf>
    <xf numFmtId="0" fontId="12" fillId="0" borderId="0" xfId="0" applyFont="1" applyAlignment="1">
      <alignment horizontal="center" vertical="center" wrapText="1"/>
    </xf>
  </cellXfs>
  <cellStyles count="3">
    <cellStyle name="Moneda" xfId="2" builtinId="4"/>
    <cellStyle name="Normal" xfId="0" builtinId="0"/>
    <cellStyle name="Normal 2" xfId="1" xr:uid="{A125DA83-AEAE-4E36-8FC3-ACF21A6A20AF}"/>
  </cellStyles>
  <dxfs count="91">
    <dxf>
      <font>
        <b val="0"/>
        <i val="0"/>
        <strike val="0"/>
        <condense val="0"/>
        <extend val="0"/>
        <outline val="0"/>
        <shadow val="0"/>
        <u val="none"/>
        <vertAlign val="baseline"/>
        <sz val="11"/>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alignment horizontal="center" vertical="center" textRotation="0" wrapText="0" indent="0" justifyLastLine="0" shrinkToFit="0" readingOrder="0"/>
    </dxf>
    <dxf>
      <font>
        <strike val="0"/>
        <outline val="0"/>
        <shadow val="0"/>
        <u val="none"/>
        <vertAlign val="baseline"/>
        <sz val="8"/>
        <color theme="1"/>
        <name val="Aptos Display"/>
        <family val="2"/>
        <scheme val="none"/>
      </font>
      <alignment horizontal="right" vertical="center" textRotation="0" wrapText="1" indent="0" justifyLastLine="0" shrinkToFit="0" readingOrder="0"/>
    </dxf>
    <dxf>
      <font>
        <strike val="0"/>
        <outline val="0"/>
        <shadow val="0"/>
        <u val="none"/>
        <vertAlign val="baseline"/>
        <sz val="8"/>
        <color theme="1"/>
        <name val="Aptos Display"/>
        <family val="2"/>
        <scheme val="none"/>
      </font>
      <alignment horizontal="center" vertical="center" textRotation="0" wrapText="1" indent="0" justifyLastLine="0" shrinkToFit="0" readingOrder="0"/>
    </dxf>
    <dxf>
      <font>
        <strike val="0"/>
        <outline val="0"/>
        <shadow val="0"/>
        <u val="none"/>
        <vertAlign val="baseline"/>
        <sz val="8"/>
        <color theme="1"/>
        <name val="Aptos Display"/>
        <family val="2"/>
        <scheme val="none"/>
      </font>
      <alignment horizontal="left" vertical="center" textRotation="0" wrapText="1" indent="0" justifyLastLine="0" shrinkToFit="0" readingOrder="0"/>
    </dxf>
    <dxf>
      <font>
        <strike val="0"/>
        <outline val="0"/>
        <shadow val="0"/>
        <u val="none"/>
        <vertAlign val="baseline"/>
        <sz val="8"/>
        <color theme="1"/>
        <name val="Aptos Display"/>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theme="1"/>
        <name val="Aptos Display"/>
        <family val="2"/>
        <scheme val="none"/>
      </font>
      <numFmt numFmtId="166" formatCode="#,##0.0000\_x000a_\█\█\█\█\█\█\█\█\█\█\█\█"/>
      <alignment horizontal="center" vertical="center" textRotation="0" wrapText="1" indent="0" justifyLastLine="0" shrinkToFit="0" readingOrder="0"/>
    </dxf>
    <dxf>
      <font>
        <b val="0"/>
        <i val="0"/>
        <strike val="0"/>
        <condense val="0"/>
        <extend val="0"/>
        <outline val="0"/>
        <shadow val="0"/>
        <u val="none"/>
        <vertAlign val="baseline"/>
        <sz val="8"/>
        <color theme="1"/>
        <name val="Aptos Display"/>
        <family val="2"/>
        <scheme val="none"/>
      </font>
      <numFmt numFmtId="166" formatCode="#,##0.0000\_x000a_\█\█\█\█\█\█\█\█\█\█\█\█"/>
      <alignment horizontal="right"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0" indent="0" justifyLastLine="0" shrinkToFit="0" readingOrder="0"/>
    </dxf>
    <dxf>
      <font>
        <strike val="0"/>
        <outline val="0"/>
        <shadow val="0"/>
        <u val="none"/>
        <vertAlign val="baseline"/>
        <sz val="9"/>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sz val="9"/>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color theme="1"/>
        <name val="Aptos Display"/>
        <family val="2"/>
        <scheme val="none"/>
      </font>
    </dxf>
    <dxf>
      <border outline="0">
        <bottom style="thin">
          <color indexed="64"/>
        </bottom>
      </border>
    </dxf>
    <dxf>
      <font>
        <b/>
        <i val="0"/>
        <strike val="0"/>
        <condense val="0"/>
        <extend val="0"/>
        <outline val="0"/>
        <shadow val="0"/>
        <u val="none"/>
        <vertAlign val="baseline"/>
        <sz val="9"/>
        <color theme="1"/>
        <name val="Aptos Display"/>
        <family val="2"/>
        <scheme val="none"/>
      </font>
      <numFmt numFmtId="165" formatCode="#,##0.0000"/>
      <fill>
        <patternFill patternType="solid">
          <fgColor indexed="64"/>
          <bgColor theme="2"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numFmt numFmtId="166" formatCode="#,##0.0000\_x000a_\█\█\█\█\█\█\█\█\█\█\█\█"/>
    </dxf>
    <dxf>
      <numFmt numFmtId="167" formatCode="#,##0.0000\_x000a_\█\█\█\█\█\█\█\█\█"/>
    </dxf>
    <dxf>
      <numFmt numFmtId="168" formatCode="#,##0.0000\_x000a_\█\█\█\█\█\█"/>
    </dxf>
    <dxf>
      <numFmt numFmtId="169" formatCode="#,##0.0000\_x000a_\█\█\█\█"/>
    </dxf>
    <dxf>
      <numFmt numFmtId="170" formatCode="#,##0.0000\_x000a_\█\█"/>
    </dxf>
    <dxf>
      <font>
        <b/>
        <i val="0"/>
      </font>
    </dxf>
    <dxf>
      <font>
        <strike val="0"/>
        <outline val="0"/>
        <shadow val="0"/>
        <u val="none"/>
        <vertAlign val="baseline"/>
        <sz val="8"/>
        <color theme="1"/>
        <name val="Aptos Display"/>
        <family val="2"/>
        <scheme val="none"/>
      </font>
      <alignment horizontal="right" vertical="center" textRotation="0" wrapText="1" indent="0" justifyLastLine="0" shrinkToFit="0" readingOrder="0"/>
    </dxf>
    <dxf>
      <font>
        <strike val="0"/>
        <outline val="0"/>
        <shadow val="0"/>
        <u val="none"/>
        <vertAlign val="baseline"/>
        <sz val="8"/>
        <color theme="1"/>
        <name val="Aptos Display"/>
        <family val="2"/>
        <scheme val="none"/>
      </font>
      <alignment horizontal="center" vertical="center" textRotation="0" wrapText="1" indent="0" justifyLastLine="0" shrinkToFit="0" readingOrder="0"/>
    </dxf>
    <dxf>
      <font>
        <strike val="0"/>
        <outline val="0"/>
        <shadow val="0"/>
        <u val="none"/>
        <vertAlign val="baseline"/>
        <sz val="8"/>
        <color theme="1"/>
        <name val="Aptos Display"/>
        <family val="2"/>
        <scheme val="none"/>
      </font>
      <alignment horizontal="center" vertical="center" textRotation="0" wrapText="1" indent="0" justifyLastLine="0" shrinkToFit="0" readingOrder="0"/>
    </dxf>
    <dxf>
      <font>
        <strike val="0"/>
        <outline val="0"/>
        <shadow val="0"/>
        <u val="none"/>
        <vertAlign val="baseline"/>
        <sz val="8"/>
        <color theme="1"/>
        <name val="Aptos Display"/>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theme="1"/>
        <name val="Aptos Display"/>
        <family val="2"/>
        <scheme val="none"/>
      </font>
      <numFmt numFmtId="166" formatCode="#,##0.0000\_x000a_\█\█\█\█\█\█\█\█\█\█\█\█"/>
      <alignment horizontal="center" vertical="center" textRotation="0" wrapText="1" indent="0" justifyLastLine="0" shrinkToFit="0" readingOrder="0"/>
    </dxf>
    <dxf>
      <font>
        <b val="0"/>
        <i val="0"/>
        <strike val="0"/>
        <condense val="0"/>
        <extend val="0"/>
        <outline val="0"/>
        <shadow val="0"/>
        <u val="none"/>
        <vertAlign val="baseline"/>
        <sz val="8"/>
        <color theme="1"/>
        <name val="Aptos Display"/>
        <family val="2"/>
        <scheme val="none"/>
      </font>
      <numFmt numFmtId="166" formatCode="#,##0.0000\_x000a_\█\█\█\█\█\█\█\█\█\█\█\█"/>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1" indent="0" justifyLastLine="0" shrinkToFit="0" readingOrder="0"/>
    </dxf>
    <dxf>
      <font>
        <strike val="0"/>
        <outline val="0"/>
        <shadow val="0"/>
        <u val="none"/>
        <vertAlign val="baseline"/>
        <sz val="9"/>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sz val="9"/>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color theme="1"/>
        <name val="Aptos Display"/>
        <family val="2"/>
        <scheme val="none"/>
      </font>
    </dxf>
    <dxf>
      <border outline="0">
        <bottom style="thin">
          <color indexed="64"/>
        </bottom>
      </border>
    </dxf>
    <dxf>
      <font>
        <b/>
        <i val="0"/>
        <strike val="0"/>
        <condense val="0"/>
        <extend val="0"/>
        <outline val="0"/>
        <shadow val="0"/>
        <u val="none"/>
        <vertAlign val="baseline"/>
        <sz val="10"/>
        <color theme="1"/>
        <name val="Aptos Display"/>
        <family val="2"/>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166" formatCode="#,##0.0000\_x000a_\█\█\█\█\█\█\█\█\█\█\█\█"/>
    </dxf>
    <dxf>
      <numFmt numFmtId="167" formatCode="#,##0.0000\_x000a_\█\█\█\█\█\█\█\█\█"/>
    </dxf>
    <dxf>
      <numFmt numFmtId="168" formatCode="#,##0.0000\_x000a_\█\█\█\█\█\█"/>
    </dxf>
    <dxf>
      <numFmt numFmtId="169" formatCode="#,##0.0000\_x000a_\█\█\█\█"/>
    </dxf>
    <dxf>
      <numFmt numFmtId="170" formatCode="#,##0.0000\_x000a_\█\█"/>
    </dxf>
    <dxf>
      <font>
        <b/>
        <i val="0"/>
      </font>
    </dxf>
    <dxf>
      <font>
        <strike val="0"/>
        <outline val="0"/>
        <shadow val="0"/>
        <u val="none"/>
        <vertAlign val="baseline"/>
        <name val="Aptos Display"/>
        <family val="2"/>
        <scheme val="none"/>
      </font>
      <numFmt numFmtId="34" formatCode="_-&quot;$&quot;* #,##0.00_-;\-&quot;$&quot;* #,##0.00_-;_-&quot;$&quot;* &quot;-&quot;??_-;_-@_-"/>
      <alignment horizontal="general" vertical="center" textRotation="0" wrapText="0" indent="0" justifyLastLine="0" shrinkToFit="0" readingOrder="0"/>
    </dxf>
    <dxf>
      <font>
        <strike val="0"/>
        <outline val="0"/>
        <shadow val="0"/>
        <u val="none"/>
        <vertAlign val="baseline"/>
        <name val="Aptos Display"/>
        <family val="2"/>
        <scheme val="none"/>
      </font>
      <numFmt numFmtId="34" formatCode="_-&quot;$&quot;* #,##0.00_-;\-&quot;$&quot;* #,##0.00_-;_-&quot;$&quot;* &quot;-&quot;??_-;_-@_-"/>
      <alignment horizontal="general" vertical="center" textRotation="0" wrapText="0" indent="0" justifyLastLine="0" shrinkToFit="0" readingOrder="0"/>
    </dxf>
    <dxf>
      <font>
        <strike val="0"/>
        <outline val="0"/>
        <shadow val="0"/>
        <u val="none"/>
        <vertAlign val="baseline"/>
        <name val="Aptos Display"/>
        <family val="2"/>
        <scheme val="none"/>
      </font>
      <numFmt numFmtId="34" formatCode="_-&quot;$&quot;* #,##0.00_-;\-&quot;$&quot;* #,##0.00_-;_-&quot;$&quot;* &quot;-&quot;??_-;_-@_-"/>
      <alignment horizontal="general" vertical="center" textRotation="0" wrapText="0" indent="0" justifyLastLine="0" shrinkToFit="0" readingOrder="0"/>
    </dxf>
    <dxf>
      <font>
        <strike val="0"/>
        <outline val="0"/>
        <shadow val="0"/>
        <u val="none"/>
        <vertAlign val="baseline"/>
        <name val="Aptos Display"/>
        <family val="2"/>
        <scheme val="none"/>
      </font>
      <numFmt numFmtId="34" formatCode="_-&quot;$&quot;* #,##0.00_-;\-&quot;$&quot;* #,##0.00_-;_-&quot;$&quot;*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0" indent="0" justifyLastLine="0" shrinkToFit="0" readingOrder="0"/>
    </dxf>
    <dxf>
      <font>
        <strike val="0"/>
        <outline val="0"/>
        <shadow val="0"/>
        <u val="none"/>
        <vertAlign val="baseline"/>
        <sz val="9"/>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sz val="9"/>
        <name val="Aptos Display"/>
        <family val="2"/>
        <scheme val="none"/>
      </font>
      <numFmt numFmtId="0" formatCode="General"/>
      <alignment horizontal="justify" vertical="center" textRotation="0" wrapText="0" indent="0" justifyLastLine="0" shrinkToFit="0" readingOrder="0"/>
    </dxf>
    <dxf>
      <font>
        <strike val="0"/>
        <outline val="0"/>
        <shadow val="0"/>
        <u val="none"/>
        <vertAlign val="baseline"/>
        <sz val="9"/>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strike val="0"/>
        <outline val="0"/>
        <shadow val="0"/>
        <u val="none"/>
        <vertAlign val="baseline"/>
        <name val="Aptos Display"/>
        <family val="2"/>
        <scheme val="none"/>
      </font>
    </dxf>
    <dxf>
      <font>
        <b/>
        <i val="0"/>
      </font>
    </dxf>
    <dxf>
      <font>
        <strike val="0"/>
        <outline val="0"/>
        <shadow val="0"/>
        <u val="none"/>
        <vertAlign val="baseline"/>
        <color theme="1"/>
        <name val="Aptos Display"/>
        <family val="2"/>
        <scheme val="none"/>
      </font>
      <numFmt numFmtId="34" formatCode="_-&quot;$&quot;* #,##0.00_-;\-&quot;$&quot;* #,##0.00_-;_-&quot;$&quot;* &quot;-&quot;??_-;_-@_-"/>
      <alignment horizontal="center" vertical="center" textRotation="0" wrapText="0" indent="0" justifyLastLine="0" shrinkToFit="0" readingOrder="0"/>
    </dxf>
    <dxf>
      <font>
        <strike val="0"/>
        <outline val="0"/>
        <shadow val="0"/>
        <u val="none"/>
        <vertAlign val="baseline"/>
        <color theme="1"/>
        <name val="Aptos Display"/>
        <family val="2"/>
        <scheme val="none"/>
      </font>
      <numFmt numFmtId="34" formatCode="_-&quot;$&quot;* #,##0.00_-;\-&quot;$&quot;* #,##0.00_-;_-&quot;$&quot;* &quot;-&quot;??_-;_-@_-"/>
      <alignment horizontal="center" vertical="center" textRotation="0" wrapText="0" indent="0" justifyLastLine="0" shrinkToFit="0" readingOrder="0"/>
    </dxf>
    <dxf>
      <font>
        <strike val="0"/>
        <outline val="0"/>
        <shadow val="0"/>
        <u val="none"/>
        <vertAlign val="baseline"/>
        <color theme="1"/>
        <name val="Aptos Display"/>
        <family val="2"/>
        <scheme val="none"/>
      </font>
      <numFmt numFmtId="34" formatCode="_-&quot;$&quot;* #,##0.00_-;\-&quot;$&quot;* #,##0.00_-;_-&quot;$&quot;* &quot;-&quot;??_-;_-@_-"/>
      <alignment horizontal="center" vertical="center" textRotation="0" wrapText="0" indent="0" justifyLastLine="0" shrinkToFit="0" readingOrder="0"/>
    </dxf>
    <dxf>
      <font>
        <strike val="0"/>
        <outline val="0"/>
        <shadow val="0"/>
        <u val="none"/>
        <vertAlign val="baseline"/>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164" formatCode="#,##0.0000_ ;\-#,##0.0000\ "/>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strike val="0"/>
        <outline val="0"/>
        <shadow val="0"/>
        <u val="none"/>
        <vertAlign val="baseline"/>
        <color theme="1"/>
        <name val="Aptos Display"/>
        <family val="2"/>
        <scheme val="none"/>
      </font>
    </dxf>
    <dxf>
      <font>
        <b/>
        <i val="0"/>
      </font>
    </dxf>
    <dxf>
      <font>
        <b val="0"/>
        <i val="0"/>
        <strike val="0"/>
        <condense val="0"/>
        <extend val="0"/>
        <outline val="0"/>
        <shadow val="0"/>
        <u val="none"/>
        <vertAlign val="baseline"/>
        <sz val="11"/>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numFmt numFmtId="34" formatCode="_-&quot;$&quot;* #,##0.00_-;\-&quot;$&quot;* #,##0.00_-;_-&quot;$&quot;* &quot;-&quot;??_-;_-@_-"/>
      <alignment horizontal="center" vertical="center" textRotation="0" wrapText="0" indent="0" justifyLastLine="0" shrinkToFit="0" readingOrder="0"/>
    </dxf>
    <dxf>
      <font>
        <strike val="0"/>
        <outline val="0"/>
        <shadow val="0"/>
        <u val="none"/>
        <vertAlign val="baseline"/>
        <sz val="9"/>
        <color theme="1"/>
        <name val="Aptos Display"/>
        <family val="2"/>
        <scheme val="none"/>
      </font>
      <numFmt numFmtId="0" formatCode="General"/>
      <alignment horizontal="left" vertical="center" textRotation="0" wrapText="1" indent="0" justifyLastLine="0" shrinkToFit="0" readingOrder="0"/>
    </dxf>
    <dxf>
      <font>
        <b val="0"/>
        <i val="0"/>
        <strike val="0"/>
        <condense val="0"/>
        <extend val="0"/>
        <outline val="0"/>
        <shadow val="0"/>
        <u val="none"/>
        <vertAlign val="baseline"/>
        <sz val="11"/>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11"/>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sz val="9"/>
        <color theme="1"/>
        <name val="Aptos Display"/>
        <family val="2"/>
        <scheme val="none"/>
      </font>
    </dxf>
    <dxf>
      <font>
        <strike val="0"/>
        <outline val="0"/>
        <shadow val="0"/>
        <u val="none"/>
        <vertAlign val="baseline"/>
        <color theme="1"/>
        <name val="Aptos Display"/>
        <family val="2"/>
        <scheme val="none"/>
      </font>
    </dxf>
    <dxf>
      <font>
        <b/>
        <i val="0"/>
      </font>
    </dxf>
    <dxf>
      <font>
        <b/>
        <i val="0"/>
      </font>
    </dxf>
    <dxf>
      <font>
        <b/>
        <i val="0"/>
      </font>
    </dxf>
  </dxfs>
  <tableStyles count="1" defaultTableStyle="TableStyleMedium2" defaultPivotStyle="PivotStyleLight16">
    <tableStyle name="ANEXO DE" pivot="0" count="0" xr9:uid="{AF3F1C8A-92C6-4930-95FD-B035FF2F9E2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D5C96FB-0DF1-4021-B930-6E971E8588FE}" name="Tabla_ANEXO_C_1" displayName="Tabla_ANEXO_C_1" ref="C11:N564" totalsRowCount="1" headerRowDxfId="87" dataDxfId="86">
  <autoFilter ref="C11:N563" xr:uid="{0D5C96FB-0DF1-4021-B930-6E971E8588FE}"/>
  <tableColumns count="12">
    <tableColumn id="1" xr3:uid="{DD420003-54D4-4434-B51B-5F91E43ADF1A}" name="PARTIDA" dataDxfId="85" totalsRowDxfId="8"/>
    <tableColumn id="2" xr3:uid="{82FDAF4C-BB73-4FFD-81C9-8C2C25575F8F}" name="CONCEPTO" totalsRowFunction="custom" dataDxfId="84" totalsRowDxfId="7">
      <totalsRowFormula array="1">Pesos(J563)</totalsRowFormula>
    </tableColumn>
    <tableColumn id="3" xr3:uid="{285D6E73-691B-4B68-BC69-D00FC9638C1E}" name="UNIDAD" dataDxfId="83" totalsRowDxfId="6"/>
    <tableColumn id="4" xr3:uid="{D9B73593-B3B1-49C2-8824-959E3C01985B}" name="VOLUMEN PTE" dataDxfId="82" totalsRowDxfId="5"/>
    <tableColumn id="5" xr3:uid="{A1ECBF3E-4919-4931-AACD-0FE77F751F47}" name="P.U. M.N." dataDxfId="81" totalsRowDxfId="4"/>
    <tableColumn id="6" xr3:uid="{2AF75FFD-258F-4D7F-97C5-77E3903BE5D7}" name="P.U. USD" dataDxfId="80" totalsRowDxfId="3"/>
    <tableColumn id="7" xr3:uid="{98860A8E-3128-4569-87FD-406BD75CECB5}" name="PRECIO UNITARIO CON LETRA" dataDxfId="79" totalsRowDxfId="2"/>
    <tableColumn id="8" xr3:uid="{3A5C67D1-2017-467B-88C6-7A1D8AC88F51}" name="IMPORTE PTE M.N." dataDxfId="78" totalsRowDxfId="1"/>
    <tableColumn id="9" xr3:uid="{C7BBBF50-D460-49A6-9DC4-C665F499CA1E}" name="IMPORTE PTE USD" dataDxfId="77" totalsRowDxfId="0"/>
    <tableColumn id="10" xr3:uid="{A7B307B2-C421-426D-B1F3-ADA4BBFB14DF}" name="Column62"/>
    <tableColumn id="11" xr3:uid="{D72E7893-3C20-497B-B5A3-0FABFFDB5888}" name="Column63"/>
    <tableColumn id="12" xr3:uid="{B1750950-798B-48FD-9ABD-A73817FD0E76}" name="Column64"/>
  </tableColumns>
  <tableStyleInfo name="ANEXO D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AF970C-DFD4-4BB3-8A55-E5CB19273DC7}" name="Tabla_ANEXO_DE_MN" displayName="Tabla_ANEXO_DE_MN" ref="C10:Q546" totalsRowShown="0" headerRowDxfId="75" dataDxfId="74">
  <autoFilter ref="C10:Q546" xr:uid="{DFAF970C-DFD4-4BB3-8A55-E5CB19273DC7}"/>
  <tableColumns count="15">
    <tableColumn id="57" xr3:uid="{050B8709-AAC3-4F5D-93B0-EBF8A06245DF}" name="PARTIDA" dataDxfId="73"/>
    <tableColumn id="58" xr3:uid="{36727243-91DC-42DD-BDF7-B5B1935699CC}" name="CONCEPTO" dataDxfId="72"/>
    <tableColumn id="59" xr3:uid="{505A0CF5-F2EB-4AA0-AED6-074540D695A8}" name="UNIDAD" dataDxfId="71"/>
    <tableColumn id="60" xr3:uid="{8E7EEB30-D0F7-47F7-9178-1807042067A1}" name="VOLUMEN PTE" dataDxfId="70"/>
    <tableColumn id="61" xr3:uid="{45B467AE-A9EB-4432-9383-24A16B2033C5}" name="P.U. M.N." dataDxfId="69"/>
    <tableColumn id="62" xr3:uid="{E2D0D8A7-4C30-45E0-9AFA-5922349FC84A}" name="IMPORTE PTE M.N." dataDxfId="68"/>
    <tableColumn id="63" xr3:uid="{E90B66F6-FB39-4723-ADC5-90D3046A8169}" name="IMPORTE _x000a_MES 1 M.N." dataDxfId="67"/>
    <tableColumn id="64" xr3:uid="{E973B104-014B-4F69-9B84-23AAE3D6D1FF}" name="IMPORTE _x000a_MES 2 M.N." dataDxfId="66"/>
    <tableColumn id="1" xr3:uid="{4F40CB87-FB1C-480B-8CA7-029AE0B873FA}" name="IMPORTE _x000a_MES 3 M.N." dataDxfId="65"/>
    <tableColumn id="2" xr3:uid="{C017B4A0-0D14-48DD-9132-37E3002DCD10}" name="IMPORTE _x000a_MES 4 M.N." dataDxfId="64"/>
    <tableColumn id="3" xr3:uid="{B2CC8488-1B5D-445A-8013-CE1878BA0962}" name="IMPORTE _x000a_MES 5 M.N." dataDxfId="63"/>
    <tableColumn id="4" xr3:uid="{A6837E13-B827-47F1-A0E3-7087D993A25E}" name="IMPORTE _x000a_MES 6 M.N." dataDxfId="62"/>
    <tableColumn id="5" xr3:uid="{6B160806-FB64-4613-8059-20A33388BA26}" name="Column62"/>
    <tableColumn id="6" xr3:uid="{79E38AF6-FCF8-4375-A068-3F94545082C1}" name="Column63"/>
    <tableColumn id="7" xr3:uid="{A569F015-F76E-4DEE-ADCB-EA7120F1A8B5}" name="Column64"/>
  </tableColumns>
  <tableStyleInfo name="ANEXO D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666DF6-4B0E-4551-B7C9-9174934D7DA2}" name="Tabla_ANEXO_DE_ME" displayName="Tabla_ANEXO_DE_ME" ref="C10:Q148" totalsRowShown="0" headerRowDxfId="60" dataDxfId="59">
  <autoFilter ref="C10:Q148" xr:uid="{60666DF6-4B0E-4551-B7C9-9174934D7DA2}"/>
  <tableColumns count="15">
    <tableColumn id="57" xr3:uid="{68E06E9F-909D-4197-8FB6-72B8CB51817B}" name="PARTIDA" dataDxfId="58"/>
    <tableColumn id="58" xr3:uid="{E825ED6E-4023-4AD9-BEBD-A3713ABB1CA3}" name="CONCEPTO" dataDxfId="57"/>
    <tableColumn id="59" xr3:uid="{165A444A-2901-4C59-ABC1-10127BAE42D1}" name="UNIDAD" dataDxfId="56"/>
    <tableColumn id="60" xr3:uid="{6E250D6D-78FB-47E9-AC71-89535F0E0DE3}" name="VOLUMEN PTE" dataDxfId="55"/>
    <tableColumn id="61" xr3:uid="{13455D6D-0887-491A-9BE6-909798505EF3}" name="P.U. USD" dataDxfId="54" dataCellStyle="Moneda"/>
    <tableColumn id="62" xr3:uid="{5155EF33-EB5E-49DA-9951-77A8916C00D3}" name="IMPORTE PTE USD" dataDxfId="53"/>
    <tableColumn id="63" xr3:uid="{A9257C49-B624-4CF7-AFE2-2D19A9D54CF1}" name="IMPORTE _x000a_MES 1 USD" dataDxfId="52"/>
    <tableColumn id="64" xr3:uid="{05076719-8C6F-411A-8081-FBB5B7FEA29E}" name="IMPORTE _x000a_MES 2 USD" dataDxfId="51"/>
    <tableColumn id="31" xr3:uid="{0B552D6A-B56E-48C4-8263-967C9697F80F}" name="IMPORTE _x000a_MES 3 USD" dataDxfId="50"/>
    <tableColumn id="33" xr3:uid="{301E3B06-339E-4202-8356-EF61C25F4AE2}" name="IMPORTE _x000a_MES 4 USD" dataDxfId="49"/>
    <tableColumn id="35" xr3:uid="{D2701706-9F39-4DAF-B30C-8B33072FFCF3}" name="IMPORTE _x000a_MES 5 USD" dataDxfId="48"/>
    <tableColumn id="37" xr3:uid="{6D5849CE-88B5-4592-937F-A57CA3BAEF0D}" name="IMPORTE _x000a_MES 6 USD" dataDxfId="47"/>
    <tableColumn id="1" xr3:uid="{01D2F073-0ACF-4C13-AB27-86C0193A2FF4}" name="Column62"/>
    <tableColumn id="2" xr3:uid="{124253AD-1206-4A49-B135-B9C3FB537282}" name="Column63"/>
    <tableColumn id="3" xr3:uid="{37ADAEB0-4891-4F58-808B-DCD64F46C5FF}" name="Column64"/>
  </tableColumns>
  <tableStyleInfo name="ANEXO D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D27DFA-3C9D-4E76-8314-BBAD3CE58A04}" name="Tabla_ANEXO_DT_6" displayName="Tabla_ANEXO_DT_6" ref="C10:O551" totalsRowShown="0" headerRowDxfId="40" dataDxfId="38" headerRowBorderDxfId="39">
  <autoFilter ref="C10:O551" xr:uid="{00D27DFA-3C9D-4E76-8314-BBAD3CE58A04}"/>
  <tableColumns count="13">
    <tableColumn id="57" xr3:uid="{E1411861-9DF6-4DB7-A466-009CF4461D0A}" name="PARTIDA" dataDxfId="37"/>
    <tableColumn id="58" xr3:uid="{FD0966CD-BCDD-4084-B86F-E266AF16EC34}" name="CONCEPTO" dataDxfId="36"/>
    <tableColumn id="59" xr3:uid="{C5026A65-AECD-46F1-B16C-635A67188495}" name="UNIDAD" dataDxfId="35"/>
    <tableColumn id="60" xr3:uid="{432399D8-D331-4AA1-8034-69FF818D558F}" name="VOLUMEN PTE" dataDxfId="34"/>
    <tableColumn id="61" xr3:uid="{290DA53E-1986-4DA5-BCA5-9123C66E2B1C}" name="VOLUMEN 1" dataDxfId="33"/>
    <tableColumn id="62" xr3:uid="{7EF2A9FF-DFB4-41BE-8B6A-2CE080C49BEC}" name="VOLUMEN 2" dataDxfId="32"/>
    <tableColumn id="1" xr3:uid="{2BC2D01E-CC6D-42EA-9392-52806D941D1A}" name="VOLUMEN 3" dataDxfId="31"/>
    <tableColumn id="2" xr3:uid="{DF7527EA-B849-4F01-B30D-71BEE7907249}" name="VOLUMEN 4" dataDxfId="30"/>
    <tableColumn id="3" xr3:uid="{5B910545-D9AE-47B8-9498-0C0A35EA50E5}" name="VOLUMEN 5" dataDxfId="29"/>
    <tableColumn id="4" xr3:uid="{37E6477A-0408-428E-B40D-4FEC7C23C9CB}" name="VOLUMEN 6" dataDxfId="28"/>
    <tableColumn id="5" xr3:uid="{E6504F47-4B1A-4968-BA93-B4220CA31623}" name="Column62"/>
    <tableColumn id="6" xr3:uid="{508CB7CE-A6B6-4754-AFB7-2727F5F2DE02}" name="Column63"/>
    <tableColumn id="7" xr3:uid="{1B371DF1-48C4-4980-A25C-2E06FCE85706}" name="Column64"/>
  </tableColumns>
  <tableStyleInfo name="ANEXO D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AA14215-4139-4015-ACDB-36DEC1C75ED4}" name="Tabla_ANEXO_DT_6_3" displayName="Tabla_ANEXO_DT_6_3" ref="C10:O358" totalsRowShown="0" headerRowDxfId="21" dataDxfId="19" headerRowBorderDxfId="20">
  <autoFilter ref="C10:O358" xr:uid="{2AA14215-4139-4015-ACDB-36DEC1C75ED4}"/>
  <tableColumns count="13">
    <tableColumn id="57" xr3:uid="{8A3BB9BE-D1F0-4323-A142-1702E876A8EB}" name="PARTIDA" dataDxfId="18"/>
    <tableColumn id="58" xr3:uid="{99CAA9F2-2313-4BEB-95B6-3E750F006CE0}" name="CONCEPTO" dataDxfId="17"/>
    <tableColumn id="59" xr3:uid="{A92108EF-7E09-4AEE-B148-B4752ACBFCE5}" name="UNIDAD" dataDxfId="16"/>
    <tableColumn id="60" xr3:uid="{4C3D5644-2187-43AD-9D62-9B404A973F85}" name="VOLUMEN PTE" dataDxfId="15"/>
    <tableColumn id="61" xr3:uid="{1AEFA2FA-3ED2-4A4A-AFB6-A50C24BB2C58}" name="VOLUMEN 1" dataDxfId="14"/>
    <tableColumn id="62" xr3:uid="{F2AD8275-E248-46C8-80C7-B3C3318B1E72}" name="VOLUMEN 2" dataDxfId="13"/>
    <tableColumn id="1" xr3:uid="{987F183F-89E9-4935-90B1-C293E92A9801}" name="VOLUMEN 3" dataDxfId="12"/>
    <tableColumn id="2" xr3:uid="{40593286-B9DE-4DCF-828C-2D935B1DFB0C}" name="VOLUMEN 4" dataDxfId="11"/>
    <tableColumn id="3" xr3:uid="{025DACD6-04E8-4954-92D7-2BC3B72A573E}" name="VOLUMEN 5" dataDxfId="10"/>
    <tableColumn id="4" xr3:uid="{D237B579-772D-46C4-BD3A-6E0ADD111E85}" name="VOLUMEN 6" dataDxfId="9"/>
    <tableColumn id="5" xr3:uid="{FCC0534A-DCDA-475C-9997-3313255415D5}" name="Column62"/>
    <tableColumn id="6" xr3:uid="{B2690BDE-1E9D-478A-980C-41B95C0A329F}" name="Column63"/>
    <tableColumn id="7" xr3:uid="{75B10D15-83B1-4B72-B1D6-32670DADB849}" name="Column64"/>
  </tableColumns>
  <tableStyleInfo name="ANEXO DE"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25E5D-0170-4CB7-AE78-D190789884A0}">
  <sheetPr codeName="Hoja2"/>
  <dimension ref="B1:C21"/>
  <sheetViews>
    <sheetView topLeftCell="A9" workbookViewId="0">
      <selection activeCell="E29" sqref="E29"/>
    </sheetView>
  </sheetViews>
  <sheetFormatPr baseColWidth="10" defaultColWidth="11.44140625" defaultRowHeight="12" x14ac:dyDescent="0.25"/>
  <cols>
    <col min="1" max="1" width="11.44140625" style="3"/>
    <col min="2" max="2" width="15.5546875" style="3" customWidth="1"/>
    <col min="3" max="4" width="11.44140625" style="3"/>
    <col min="5" max="5" width="16.5546875" style="3" bestFit="1" customWidth="1"/>
    <col min="6" max="6" width="15.33203125" style="3" customWidth="1"/>
    <col min="7" max="16384" width="11.44140625" style="3"/>
  </cols>
  <sheetData>
    <row r="1" spans="2:3" s="1" customFormat="1" ht="15" customHeight="1" x14ac:dyDescent="0.25"/>
    <row r="2" spans="2:3" s="1" customFormat="1" ht="15" customHeight="1" x14ac:dyDescent="0.25"/>
    <row r="3" spans="2:3" s="1" customFormat="1" ht="15" customHeight="1" x14ac:dyDescent="0.25">
      <c r="B3" s="1" t="s">
        <v>0</v>
      </c>
    </row>
    <row r="4" spans="2:3" s="1" customFormat="1" ht="15" customHeight="1" x14ac:dyDescent="0.25">
      <c r="B4" s="1" t="s">
        <v>1</v>
      </c>
    </row>
    <row r="5" spans="2:3" s="1" customFormat="1" ht="15" customHeight="1" x14ac:dyDescent="0.25">
      <c r="B5" s="2" t="s">
        <v>2</v>
      </c>
    </row>
    <row r="6" spans="2:3" s="1" customFormat="1" ht="15" customHeight="1" x14ac:dyDescent="0.25">
      <c r="B6" s="1" t="s">
        <v>3</v>
      </c>
    </row>
    <row r="7" spans="2:3" s="1" customFormat="1" ht="15" customHeight="1" x14ac:dyDescent="0.25">
      <c r="B7" s="1" t="s">
        <v>4</v>
      </c>
    </row>
    <row r="8" spans="2:3" s="1" customFormat="1" ht="15" customHeight="1" x14ac:dyDescent="0.25">
      <c r="B8" s="1" t="s">
        <v>5</v>
      </c>
    </row>
    <row r="9" spans="2:3" s="1" customFormat="1" ht="15" customHeight="1" x14ac:dyDescent="0.25">
      <c r="B9" s="1" t="s">
        <v>6</v>
      </c>
    </row>
    <row r="10" spans="2:3" s="1" customFormat="1" ht="15" customHeight="1" x14ac:dyDescent="0.25"/>
    <row r="11" spans="2:3" s="1" customFormat="1" ht="15" customHeight="1" x14ac:dyDescent="0.25">
      <c r="B11" s="13" t="s">
        <v>7</v>
      </c>
    </row>
    <row r="12" spans="2:3" s="1" customFormat="1" ht="15" customHeight="1" x14ac:dyDescent="0.25">
      <c r="B12" s="14" t="s">
        <v>8</v>
      </c>
    </row>
    <row r="13" spans="2:3" s="1" customFormat="1" ht="15" customHeight="1" x14ac:dyDescent="0.25">
      <c r="B13" s="14" t="s">
        <v>9</v>
      </c>
    </row>
    <row r="14" spans="2:3" s="1" customFormat="1" ht="15" customHeight="1" x14ac:dyDescent="0.25">
      <c r="B14" s="1" t="s">
        <v>10</v>
      </c>
      <c r="C14" s="1" t="s">
        <v>11</v>
      </c>
    </row>
    <row r="15" spans="2:3" s="1" customFormat="1" ht="15" customHeight="1" x14ac:dyDescent="0.25">
      <c r="B15" s="1" t="s">
        <v>12</v>
      </c>
      <c r="C15" s="1" t="s">
        <v>13</v>
      </c>
    </row>
    <row r="16" spans="2:3" s="1" customFormat="1" ht="15" customHeight="1" x14ac:dyDescent="0.25">
      <c r="B16" s="1" t="s">
        <v>14</v>
      </c>
      <c r="C16" s="1" t="s">
        <v>13</v>
      </c>
    </row>
    <row r="17" spans="2:3" s="1" customFormat="1" ht="15" customHeight="1" x14ac:dyDescent="0.25">
      <c r="B17" s="1" t="s">
        <v>15</v>
      </c>
      <c r="C17" s="1" t="s">
        <v>16</v>
      </c>
    </row>
    <row r="18" spans="2:3" s="1" customFormat="1" ht="15" customHeight="1" x14ac:dyDescent="0.25">
      <c r="B18" s="1" t="s">
        <v>17</v>
      </c>
      <c r="C18" s="1" t="s">
        <v>18</v>
      </c>
    </row>
    <row r="21" spans="2:3" x14ac:dyDescent="0.25">
      <c r="B21" s="3" t="s">
        <v>19</v>
      </c>
    </row>
  </sheetData>
  <pageMargins left="0.7" right="0.7" top="0.75" bottom="0.75" header="0.3" footer="0.3"/>
  <pageSetup paperSize="123"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52BB3-E031-46FB-B014-9798728D7DE8}">
  <dimension ref="A1:N591"/>
  <sheetViews>
    <sheetView tabSelected="1" view="pageBreakPreview" topLeftCell="C7" zoomScale="85" zoomScaleNormal="100" zoomScaleSheetLayoutView="85" workbookViewId="0">
      <pane xSplit="3" ySplit="5" topLeftCell="F12" activePane="bottomRight" state="frozen"/>
      <selection pane="topRight" activeCell="F7" sqref="F7"/>
      <selection pane="bottomLeft" activeCell="C12" sqref="C12"/>
      <selection pane="bottomRight" activeCell="D12" sqref="D12"/>
    </sheetView>
  </sheetViews>
  <sheetFormatPr baseColWidth="10" defaultColWidth="11.44140625" defaultRowHeight="13.8" x14ac:dyDescent="0.3"/>
  <cols>
    <col min="1" max="2" width="11.44140625" style="5"/>
    <col min="3" max="3" width="12.109375" style="5" bestFit="1" customWidth="1"/>
    <col min="4" max="4" width="81.109375" style="5" bestFit="1" customWidth="1"/>
    <col min="5" max="5" width="11.33203125" style="5" bestFit="1" customWidth="1"/>
    <col min="6" max="6" width="16.109375" style="5" bestFit="1" customWidth="1"/>
    <col min="7" max="7" width="13.88671875" style="5" bestFit="1" customWidth="1"/>
    <col min="8" max="8" width="15.5546875" style="5" bestFit="1" customWidth="1"/>
    <col min="9" max="9" width="43.33203125" style="5" customWidth="1"/>
    <col min="10" max="10" width="20.109375" style="5" bestFit="1" customWidth="1"/>
    <col min="11" max="11" width="20" style="5" bestFit="1" customWidth="1"/>
    <col min="12" max="14" width="11.5546875" style="5" bestFit="1" customWidth="1"/>
    <col min="15" max="15" width="20.88671875" bestFit="1" customWidth="1"/>
    <col min="16" max="16" width="21.5546875" bestFit="1" customWidth="1"/>
    <col min="17" max="17" width="20.109375" bestFit="1" customWidth="1"/>
    <col min="18" max="18" width="20.88671875" bestFit="1" customWidth="1"/>
  </cols>
  <sheetData>
    <row r="1" spans="1:14" ht="18" customHeight="1" x14ac:dyDescent="0.25">
      <c r="A1" s="4"/>
      <c r="B1" s="4"/>
      <c r="C1" s="98" t="str">
        <f>DATOS!B14</f>
        <v>ANEXO "C"</v>
      </c>
      <c r="D1" s="98"/>
      <c r="E1" s="98"/>
      <c r="F1" s="98"/>
      <c r="G1" s="98"/>
      <c r="H1" s="98"/>
      <c r="I1" s="98"/>
      <c r="J1" s="98"/>
      <c r="K1" s="98"/>
      <c r="L1" s="69"/>
      <c r="M1" s="69"/>
      <c r="N1" s="69"/>
    </row>
    <row r="2" spans="1:14" ht="18" customHeight="1" x14ac:dyDescent="0.25">
      <c r="A2" s="4"/>
      <c r="B2" s="4"/>
      <c r="C2" s="99" t="str">
        <f>DATOS!C14</f>
        <v>CATALOGO DE CONCEPTOS</v>
      </c>
      <c r="D2" s="99"/>
      <c r="E2" s="99"/>
      <c r="F2" s="99"/>
      <c r="G2" s="99"/>
      <c r="H2" s="99"/>
      <c r="I2" s="99"/>
      <c r="J2" s="99"/>
      <c r="K2" s="99"/>
      <c r="L2" s="55"/>
      <c r="M2" s="55"/>
      <c r="N2" s="55"/>
    </row>
    <row r="3" spans="1:14" ht="18" customHeight="1" x14ac:dyDescent="0.25">
      <c r="A3" s="4"/>
      <c r="B3" s="4"/>
      <c r="C3" s="101" t="str">
        <f>DATOS!B8</f>
        <v>CONTRATO: 648233801</v>
      </c>
      <c r="D3" s="101"/>
      <c r="E3" s="101"/>
      <c r="F3" s="101"/>
      <c r="G3" s="101"/>
      <c r="H3" s="101"/>
      <c r="I3" s="101"/>
      <c r="J3" s="101"/>
      <c r="K3" s="101"/>
      <c r="L3" s="68"/>
      <c r="M3" s="68"/>
      <c r="N3" s="68"/>
    </row>
    <row r="4" spans="1:14" ht="39.9" customHeight="1" x14ac:dyDescent="0.25">
      <c r="A4" s="4"/>
      <c r="B4" s="4"/>
      <c r="C4" s="100" t="str">
        <f>DATOS!B9</f>
        <v>DESCRIPCIÓN DE LOS TRABAJOS: “DESARROLLO DE TRABAJOS DE INSTALACIÓN DE INFRAESTRUCTURA, MONTAJE DE EQUIPOS, REHABILITACIÓN Y MANTENIMIENTO DE ESTRUCTURAS,
 INTERCONEXIÓN DE LÍNEAS DE PROCESO, BRA ELECTROMECÁNICA Y DE SEGURIDAD EN LOS CENTROS DE PROCESO Y PLATAFORMAS SATÉLITES EN AGUAS DE LAS ZONAS MARINAS MEXICANAS)”</v>
      </c>
      <c r="D4" s="100"/>
      <c r="E4" s="100"/>
      <c r="F4" s="100"/>
      <c r="G4" s="100"/>
      <c r="H4" s="100"/>
      <c r="I4" s="100"/>
      <c r="J4" s="100"/>
      <c r="K4" s="100"/>
      <c r="L4" s="70"/>
      <c r="M4" s="70"/>
      <c r="N4" s="70"/>
    </row>
    <row r="5" spans="1:14" ht="15" customHeight="1" x14ac:dyDescent="0.25">
      <c r="A5" s="4"/>
      <c r="B5" s="4"/>
      <c r="C5" s="99" t="str">
        <f>DATOS!B11</f>
        <v>DESCRIPCIÓN DE LOS TRABAJOS: "ADECUACIONES ESTRUCTURALES Y OBRA ELECTROMECÁNICA PARA LA INSTALACIÓN DE 03 CONDUCTORES ADICIONALES EN LA PLATAFORMA YAXCHE-C, DEL ACTIVO DE PRODUCCIÓN LITORAL DE TABASCO"</v>
      </c>
      <c r="D5" s="99"/>
      <c r="E5" s="99"/>
      <c r="F5" s="99"/>
      <c r="G5" s="99"/>
      <c r="H5" s="99"/>
      <c r="I5" s="99"/>
      <c r="J5" s="99"/>
      <c r="K5" s="99"/>
      <c r="L5" s="55"/>
      <c r="M5" s="55"/>
      <c r="N5" s="55"/>
    </row>
    <row r="6" spans="1:14" ht="15" customHeight="1" x14ac:dyDescent="0.25">
      <c r="A6" s="4"/>
      <c r="B6" s="4"/>
      <c r="C6" s="97" t="str">
        <f>DATOS!B13</f>
        <v>PLAZO DE EJECUCIÓN: 167 DÍAS NATURALES.</v>
      </c>
      <c r="D6" s="97"/>
      <c r="E6" s="97"/>
      <c r="F6" s="97"/>
      <c r="G6" s="97"/>
      <c r="H6" s="97"/>
      <c r="I6" s="97"/>
      <c r="J6" s="97"/>
      <c r="K6" s="97"/>
      <c r="L6" s="56"/>
      <c r="M6" s="56"/>
      <c r="N6" s="56"/>
    </row>
    <row r="7" spans="1:14" ht="24.9" customHeight="1" x14ac:dyDescent="0.25">
      <c r="A7" s="4"/>
      <c r="B7" s="4"/>
      <c r="C7" s="96" t="str">
        <f>DATOS!B12</f>
        <v>PROPUESTA TÉCNICA Y ECONÓMICA NO. BME-3801-020-2023</v>
      </c>
      <c r="D7" s="96"/>
      <c r="E7" s="96"/>
      <c r="F7" s="96"/>
      <c r="G7" s="96"/>
      <c r="H7" s="96"/>
      <c r="I7" s="96"/>
      <c r="J7" s="96"/>
      <c r="K7" s="96"/>
      <c r="L7" s="81"/>
      <c r="M7" s="81"/>
      <c r="N7" s="81"/>
    </row>
    <row r="8" spans="1:14" ht="15" customHeight="1" x14ac:dyDescent="0.25">
      <c r="A8" s="4"/>
      <c r="B8" s="4"/>
      <c r="C8" s="102" t="s">
        <v>20</v>
      </c>
      <c r="D8" s="102" t="s">
        <v>21</v>
      </c>
      <c r="E8" s="102" t="s">
        <v>22</v>
      </c>
      <c r="F8" s="104" t="s">
        <v>23</v>
      </c>
      <c r="G8" s="103" t="s">
        <v>24</v>
      </c>
      <c r="H8" s="103"/>
      <c r="I8" s="102" t="s">
        <v>25</v>
      </c>
      <c r="J8" s="103" t="s">
        <v>26</v>
      </c>
      <c r="K8" s="103"/>
      <c r="L8" s="82"/>
      <c r="M8" s="82"/>
      <c r="N8" s="82"/>
    </row>
    <row r="9" spans="1:14" ht="15" customHeight="1" x14ac:dyDescent="0.25">
      <c r="A9" s="4"/>
      <c r="B9" s="4"/>
      <c r="C9" s="102"/>
      <c r="D9" s="102"/>
      <c r="E9" s="102"/>
      <c r="F9" s="104"/>
      <c r="G9" s="71" t="s">
        <v>27</v>
      </c>
      <c r="H9" s="71" t="s">
        <v>28</v>
      </c>
      <c r="I9" s="102"/>
      <c r="J9" s="71" t="s">
        <v>27</v>
      </c>
      <c r="K9" s="71" t="s">
        <v>28</v>
      </c>
      <c r="L9" s="82"/>
      <c r="M9" s="82"/>
      <c r="N9" s="82"/>
    </row>
    <row r="10" spans="1:14" ht="15" customHeight="1" x14ac:dyDescent="0.25">
      <c r="A10" s="84"/>
      <c r="B10" s="84"/>
      <c r="C10" s="84"/>
      <c r="D10" s="84"/>
      <c r="E10" s="84"/>
      <c r="F10" s="84"/>
      <c r="G10" s="85"/>
      <c r="H10" s="84"/>
      <c r="I10" s="8"/>
      <c r="J10" s="86"/>
      <c r="K10" s="86"/>
      <c r="L10" s="86"/>
      <c r="M10" s="86"/>
      <c r="N10" s="86"/>
    </row>
    <row r="11" spans="1:14" ht="13.2" x14ac:dyDescent="0.25">
      <c r="A11" s="84"/>
      <c r="B11" s="84"/>
      <c r="C11" s="9" t="s">
        <v>20</v>
      </c>
      <c r="D11" s="9" t="s">
        <v>21</v>
      </c>
      <c r="E11" s="9" t="s">
        <v>22</v>
      </c>
      <c r="F11" s="10" t="s">
        <v>29</v>
      </c>
      <c r="G11" s="11" t="s">
        <v>30</v>
      </c>
      <c r="H11" s="11" t="s">
        <v>31</v>
      </c>
      <c r="I11" s="11" t="s">
        <v>25</v>
      </c>
      <c r="J11" s="11" t="s">
        <v>32</v>
      </c>
      <c r="K11" s="11" t="s">
        <v>33</v>
      </c>
      <c r="L11" t="s">
        <v>34</v>
      </c>
      <c r="M11" t="s">
        <v>35</v>
      </c>
      <c r="N11" t="s">
        <v>36</v>
      </c>
    </row>
    <row r="12" spans="1:14" ht="57.6" x14ac:dyDescent="0.25">
      <c r="A12" s="6"/>
      <c r="B12" s="6"/>
      <c r="C12" s="73" t="s">
        <v>37</v>
      </c>
      <c r="D12" s="74" t="s">
        <v>38</v>
      </c>
      <c r="E12" s="73"/>
      <c r="F12" s="75"/>
      <c r="G12" s="76"/>
      <c r="H12" s="76"/>
      <c r="I12" s="83"/>
      <c r="J12" s="76"/>
      <c r="K12" s="76"/>
      <c r="L12"/>
      <c r="M12"/>
      <c r="N12"/>
    </row>
    <row r="13" spans="1:14" ht="57.6" x14ac:dyDescent="0.25">
      <c r="A13" s="84"/>
      <c r="B13" s="84"/>
      <c r="C13" s="73" t="s">
        <v>39</v>
      </c>
      <c r="D13" s="74" t="s">
        <v>40</v>
      </c>
      <c r="E13" s="73" t="s">
        <v>41</v>
      </c>
      <c r="F13" s="75">
        <v>38.248899999999999</v>
      </c>
      <c r="G13" s="76">
        <v>0</v>
      </c>
      <c r="H13" s="76">
        <v>90000</v>
      </c>
      <c r="I13" s="83" t="s">
        <v>42</v>
      </c>
      <c r="J13" s="76">
        <v>0</v>
      </c>
      <c r="K13" s="76">
        <v>3442401</v>
      </c>
      <c r="L13"/>
      <c r="M13"/>
      <c r="N13"/>
    </row>
    <row r="14" spans="1:14" ht="43.2" x14ac:dyDescent="0.25">
      <c r="A14" s="84"/>
      <c r="B14" s="84"/>
      <c r="C14" s="73"/>
      <c r="D14" s="74" t="s">
        <v>43</v>
      </c>
      <c r="E14" s="73"/>
      <c r="F14" s="75"/>
      <c r="G14" s="76"/>
      <c r="H14" s="76"/>
      <c r="I14" s="83"/>
      <c r="J14" s="76">
        <v>0</v>
      </c>
      <c r="K14" s="76">
        <v>3442401</v>
      </c>
      <c r="L14"/>
      <c r="M14"/>
      <c r="N14"/>
    </row>
    <row r="15" spans="1:14" ht="57.6" x14ac:dyDescent="0.25">
      <c r="A15" s="84"/>
      <c r="B15" s="84"/>
      <c r="C15" s="73" t="s">
        <v>44</v>
      </c>
      <c r="D15" s="74" t="s">
        <v>45</v>
      </c>
      <c r="E15" s="73"/>
      <c r="F15" s="75"/>
      <c r="G15" s="76"/>
      <c r="H15" s="76"/>
      <c r="I15" s="83"/>
      <c r="J15" s="76"/>
      <c r="K15" s="76"/>
      <c r="L15"/>
      <c r="M15"/>
      <c r="N15"/>
    </row>
    <row r="16" spans="1:14" ht="43.2" x14ac:dyDescent="0.25">
      <c r="A16" s="84"/>
      <c r="B16" s="84"/>
      <c r="C16" s="73"/>
      <c r="D16" s="74" t="s">
        <v>46</v>
      </c>
      <c r="E16" s="73"/>
      <c r="F16" s="75"/>
      <c r="G16" s="76"/>
      <c r="H16" s="76"/>
      <c r="I16" s="83"/>
      <c r="J16" s="76"/>
      <c r="K16" s="76"/>
      <c r="L16"/>
      <c r="M16"/>
      <c r="N16"/>
    </row>
    <row r="17" spans="1:14" ht="86.4" x14ac:dyDescent="0.25">
      <c r="A17" s="84"/>
      <c r="B17" s="84"/>
      <c r="C17" s="73"/>
      <c r="D17" s="74" t="s">
        <v>47</v>
      </c>
      <c r="E17" s="73"/>
      <c r="F17" s="75"/>
      <c r="G17" s="76"/>
      <c r="H17" s="76"/>
      <c r="I17" s="83"/>
      <c r="J17" s="76"/>
      <c r="K17" s="76"/>
      <c r="L17"/>
      <c r="M17"/>
      <c r="N17"/>
    </row>
    <row r="18" spans="1:14" ht="43.2" x14ac:dyDescent="0.25">
      <c r="A18" s="84"/>
      <c r="B18" s="84"/>
      <c r="C18" s="73" t="s">
        <v>48</v>
      </c>
      <c r="D18" s="74" t="s">
        <v>49</v>
      </c>
      <c r="E18" s="73" t="s">
        <v>50</v>
      </c>
      <c r="F18" s="75">
        <v>2.8889999999999998</v>
      </c>
      <c r="G18" s="76">
        <v>138775.26</v>
      </c>
      <c r="H18" s="76">
        <v>0</v>
      </c>
      <c r="I18" s="83" t="s">
        <v>51</v>
      </c>
      <c r="J18" s="76">
        <v>400921.73</v>
      </c>
      <c r="K18" s="76">
        <v>0</v>
      </c>
      <c r="L18"/>
      <c r="M18"/>
      <c r="N18"/>
    </row>
    <row r="19" spans="1:14" ht="43.2" x14ac:dyDescent="0.25">
      <c r="A19" s="84"/>
      <c r="B19" s="84"/>
      <c r="C19" s="73" t="s">
        <v>52</v>
      </c>
      <c r="D19" s="74" t="s">
        <v>53</v>
      </c>
      <c r="E19" s="73" t="s">
        <v>50</v>
      </c>
      <c r="F19" s="75">
        <v>18.3613</v>
      </c>
      <c r="G19" s="76">
        <v>185818.23999999999</v>
      </c>
      <c r="H19" s="76">
        <v>0</v>
      </c>
      <c r="I19" s="83" t="s">
        <v>54</v>
      </c>
      <c r="J19" s="76">
        <v>3411864.45</v>
      </c>
      <c r="K19" s="76">
        <v>0</v>
      </c>
      <c r="L19"/>
      <c r="M19"/>
      <c r="N19"/>
    </row>
    <row r="20" spans="1:14" ht="86.4" x14ac:dyDescent="0.25">
      <c r="A20" s="84"/>
      <c r="B20" s="84"/>
      <c r="C20" s="73"/>
      <c r="D20" s="74" t="s">
        <v>55</v>
      </c>
      <c r="E20" s="73"/>
      <c r="F20" s="75"/>
      <c r="G20" s="76"/>
      <c r="H20" s="76"/>
      <c r="I20" s="83"/>
      <c r="J20" s="76"/>
      <c r="K20" s="76"/>
      <c r="L20"/>
      <c r="M20"/>
      <c r="N20"/>
    </row>
    <row r="21" spans="1:14" ht="43.2" x14ac:dyDescent="0.25">
      <c r="A21" s="84"/>
      <c r="B21" s="84"/>
      <c r="C21" s="73" t="s">
        <v>56</v>
      </c>
      <c r="D21" s="74" t="s">
        <v>57</v>
      </c>
      <c r="E21" s="73" t="s">
        <v>58</v>
      </c>
      <c r="F21" s="75">
        <v>12.2</v>
      </c>
      <c r="G21" s="76">
        <v>1041.3</v>
      </c>
      <c r="H21" s="76">
        <v>0</v>
      </c>
      <c r="I21" s="83" t="s">
        <v>59</v>
      </c>
      <c r="J21" s="76">
        <v>12703.86</v>
      </c>
      <c r="K21" s="76">
        <v>0</v>
      </c>
      <c r="L21"/>
      <c r="M21"/>
      <c r="N21"/>
    </row>
    <row r="22" spans="1:14" ht="43.2" x14ac:dyDescent="0.25">
      <c r="A22" s="84"/>
      <c r="B22" s="84"/>
      <c r="C22" s="73" t="s">
        <v>60</v>
      </c>
      <c r="D22" s="74" t="s">
        <v>61</v>
      </c>
      <c r="E22" s="73" t="s">
        <v>58</v>
      </c>
      <c r="F22" s="75">
        <v>61</v>
      </c>
      <c r="G22" s="76">
        <v>8495.0499999999993</v>
      </c>
      <c r="H22" s="76">
        <v>0</v>
      </c>
      <c r="I22" s="83" t="s">
        <v>62</v>
      </c>
      <c r="J22" s="76">
        <v>518198.05</v>
      </c>
      <c r="K22" s="76">
        <v>0</v>
      </c>
      <c r="L22"/>
      <c r="M22"/>
      <c r="N22"/>
    </row>
    <row r="23" spans="1:14" ht="43.2" x14ac:dyDescent="0.25">
      <c r="A23" s="84"/>
      <c r="B23" s="84"/>
      <c r="C23" s="73"/>
      <c r="D23" s="74" t="s">
        <v>63</v>
      </c>
      <c r="E23" s="73"/>
      <c r="F23" s="75"/>
      <c r="G23" s="76"/>
      <c r="H23" s="76"/>
      <c r="I23" s="83"/>
      <c r="J23" s="76"/>
      <c r="K23" s="76"/>
      <c r="L23"/>
      <c r="M23"/>
      <c r="N23"/>
    </row>
    <row r="24" spans="1:14" ht="86.4" x14ac:dyDescent="0.25">
      <c r="A24" s="84"/>
      <c r="B24" s="84"/>
      <c r="C24" s="73"/>
      <c r="D24" s="74" t="s">
        <v>64</v>
      </c>
      <c r="E24" s="73"/>
      <c r="F24" s="75"/>
      <c r="G24" s="76"/>
      <c r="H24" s="76"/>
      <c r="I24" s="83"/>
      <c r="J24" s="76"/>
      <c r="K24" s="76"/>
      <c r="L24"/>
      <c r="M24"/>
      <c r="N24"/>
    </row>
    <row r="25" spans="1:14" ht="72" x14ac:dyDescent="0.25">
      <c r="A25" s="84"/>
      <c r="B25" s="84"/>
      <c r="C25" s="73"/>
      <c r="D25" s="74" t="s">
        <v>65</v>
      </c>
      <c r="E25" s="73"/>
      <c r="F25" s="75"/>
      <c r="G25" s="76"/>
      <c r="H25" s="76"/>
      <c r="I25" s="83"/>
      <c r="J25" s="76"/>
      <c r="K25" s="76"/>
      <c r="L25"/>
      <c r="M25"/>
      <c r="N25"/>
    </row>
    <row r="26" spans="1:14" ht="43.2" x14ac:dyDescent="0.25">
      <c r="A26" s="84"/>
      <c r="B26" s="84"/>
      <c r="C26" s="73" t="s">
        <v>66</v>
      </c>
      <c r="D26" s="74" t="s">
        <v>67</v>
      </c>
      <c r="E26" s="73" t="s">
        <v>68</v>
      </c>
      <c r="F26" s="75">
        <v>9</v>
      </c>
      <c r="G26" s="76">
        <v>1406.18</v>
      </c>
      <c r="H26" s="76">
        <v>6.75</v>
      </c>
      <c r="I26" s="83" t="s">
        <v>69</v>
      </c>
      <c r="J26" s="76">
        <v>12655.62</v>
      </c>
      <c r="K26" s="76">
        <v>60.75</v>
      </c>
      <c r="L26"/>
      <c r="M26"/>
      <c r="N26"/>
    </row>
    <row r="27" spans="1:14" ht="72" x14ac:dyDescent="0.25">
      <c r="A27" s="84"/>
      <c r="B27" s="84"/>
      <c r="C27" s="73"/>
      <c r="D27" s="74" t="s">
        <v>70</v>
      </c>
      <c r="E27" s="73"/>
      <c r="F27" s="75"/>
      <c r="G27" s="76"/>
      <c r="H27" s="76"/>
      <c r="I27" s="83"/>
      <c r="J27" s="76"/>
      <c r="K27" s="76"/>
      <c r="L27"/>
      <c r="M27"/>
      <c r="N27"/>
    </row>
    <row r="28" spans="1:14" ht="57.6" x14ac:dyDescent="0.25">
      <c r="A28" s="84"/>
      <c r="B28" s="84"/>
      <c r="C28" s="73" t="s">
        <v>71</v>
      </c>
      <c r="D28" s="74" t="s">
        <v>72</v>
      </c>
      <c r="E28" s="73" t="s">
        <v>68</v>
      </c>
      <c r="F28" s="75">
        <v>35</v>
      </c>
      <c r="G28" s="76">
        <v>8335.35</v>
      </c>
      <c r="H28" s="76">
        <v>93.03</v>
      </c>
      <c r="I28" s="83" t="s">
        <v>73</v>
      </c>
      <c r="J28" s="76">
        <v>291737.25</v>
      </c>
      <c r="K28" s="76">
        <v>3256.05</v>
      </c>
      <c r="L28"/>
      <c r="M28"/>
      <c r="N28"/>
    </row>
    <row r="29" spans="1:14" ht="57.6" x14ac:dyDescent="0.25">
      <c r="A29" s="84"/>
      <c r="B29" s="84"/>
      <c r="C29" s="73" t="s">
        <v>74</v>
      </c>
      <c r="D29" s="74" t="s">
        <v>75</v>
      </c>
      <c r="E29" s="73" t="s">
        <v>68</v>
      </c>
      <c r="F29" s="75">
        <v>1</v>
      </c>
      <c r="G29" s="76">
        <v>57574.73</v>
      </c>
      <c r="H29" s="76">
        <v>1203.48</v>
      </c>
      <c r="I29" s="83" t="s">
        <v>76</v>
      </c>
      <c r="J29" s="76">
        <v>57574.73</v>
      </c>
      <c r="K29" s="76">
        <v>1203.48</v>
      </c>
      <c r="L29"/>
      <c r="M29"/>
      <c r="N29"/>
    </row>
    <row r="30" spans="1:14" ht="57.6" x14ac:dyDescent="0.25">
      <c r="A30" s="84"/>
      <c r="B30" s="84"/>
      <c r="C30" s="73"/>
      <c r="D30" s="74" t="s">
        <v>77</v>
      </c>
      <c r="E30" s="73"/>
      <c r="F30" s="75"/>
      <c r="G30" s="76"/>
      <c r="H30" s="76"/>
      <c r="I30" s="83"/>
      <c r="J30" s="76"/>
      <c r="K30" s="76"/>
      <c r="L30"/>
      <c r="M30"/>
      <c r="N30"/>
    </row>
    <row r="31" spans="1:14" ht="86.4" x14ac:dyDescent="0.25">
      <c r="A31" s="84"/>
      <c r="B31" s="84"/>
      <c r="C31" s="73" t="s">
        <v>78</v>
      </c>
      <c r="D31" s="74" t="s">
        <v>79</v>
      </c>
      <c r="E31" s="73" t="s">
        <v>68</v>
      </c>
      <c r="F31" s="75">
        <v>35</v>
      </c>
      <c r="G31" s="76">
        <v>62216.639999999999</v>
      </c>
      <c r="H31" s="76">
        <v>0</v>
      </c>
      <c r="I31" s="83" t="s">
        <v>80</v>
      </c>
      <c r="J31" s="76">
        <v>2177582.4</v>
      </c>
      <c r="K31" s="76">
        <v>0</v>
      </c>
      <c r="L31"/>
      <c r="M31"/>
      <c r="N31"/>
    </row>
    <row r="32" spans="1:14" ht="57.6" x14ac:dyDescent="0.25">
      <c r="A32" s="84"/>
      <c r="B32" s="84"/>
      <c r="C32" s="73"/>
      <c r="D32" s="74" t="s">
        <v>81</v>
      </c>
      <c r="E32" s="73"/>
      <c r="F32" s="75"/>
      <c r="G32" s="76"/>
      <c r="H32" s="76"/>
      <c r="I32" s="83"/>
      <c r="J32" s="76"/>
      <c r="K32" s="76"/>
      <c r="L32"/>
      <c r="M32"/>
      <c r="N32"/>
    </row>
    <row r="33" spans="1:14" ht="43.2" x14ac:dyDescent="0.25">
      <c r="A33" s="84"/>
      <c r="B33" s="84"/>
      <c r="C33" s="73" t="s">
        <v>82</v>
      </c>
      <c r="D33" s="74" t="s">
        <v>83</v>
      </c>
      <c r="E33" s="73" t="s">
        <v>68</v>
      </c>
      <c r="F33" s="75">
        <v>28</v>
      </c>
      <c r="G33" s="76">
        <v>4324.79</v>
      </c>
      <c r="H33" s="76">
        <v>371.2</v>
      </c>
      <c r="I33" s="83" t="s">
        <v>84</v>
      </c>
      <c r="J33" s="76">
        <v>121094.12</v>
      </c>
      <c r="K33" s="76">
        <v>10393.6</v>
      </c>
      <c r="L33"/>
      <c r="M33"/>
      <c r="N33"/>
    </row>
    <row r="34" spans="1:14" ht="48" x14ac:dyDescent="0.25">
      <c r="A34" s="84"/>
      <c r="B34" s="84"/>
      <c r="C34" s="73" t="s">
        <v>85</v>
      </c>
      <c r="D34" s="74" t="s">
        <v>86</v>
      </c>
      <c r="E34" s="73" t="s">
        <v>68</v>
      </c>
      <c r="F34" s="75">
        <v>1</v>
      </c>
      <c r="G34" s="76">
        <v>20832.259999999998</v>
      </c>
      <c r="H34" s="76">
        <v>1951.94</v>
      </c>
      <c r="I34" s="83" t="s">
        <v>87</v>
      </c>
      <c r="J34" s="76">
        <v>20832.259999999998</v>
      </c>
      <c r="K34" s="76">
        <v>1951.94</v>
      </c>
      <c r="L34"/>
      <c r="M34"/>
      <c r="N34"/>
    </row>
    <row r="35" spans="1:14" ht="72" x14ac:dyDescent="0.25">
      <c r="A35" s="84"/>
      <c r="B35" s="84"/>
      <c r="C35" s="73"/>
      <c r="D35" s="74" t="s">
        <v>88</v>
      </c>
      <c r="E35" s="73"/>
      <c r="F35" s="75"/>
      <c r="G35" s="76"/>
      <c r="H35" s="76"/>
      <c r="I35" s="83"/>
      <c r="J35" s="76"/>
      <c r="K35" s="76"/>
      <c r="L35"/>
      <c r="M35"/>
      <c r="N35"/>
    </row>
    <row r="36" spans="1:14" ht="43.2" x14ac:dyDescent="0.25">
      <c r="A36" s="84"/>
      <c r="B36" s="84"/>
      <c r="C36" s="73" t="s">
        <v>89</v>
      </c>
      <c r="D36" s="74" t="s">
        <v>90</v>
      </c>
      <c r="E36" s="73" t="s">
        <v>68</v>
      </c>
      <c r="F36" s="75">
        <v>13</v>
      </c>
      <c r="G36" s="76">
        <v>12501.98</v>
      </c>
      <c r="H36" s="76">
        <v>115.31</v>
      </c>
      <c r="I36" s="83" t="s">
        <v>91</v>
      </c>
      <c r="J36" s="76">
        <v>162525.74</v>
      </c>
      <c r="K36" s="76">
        <v>1499.03</v>
      </c>
      <c r="L36"/>
      <c r="M36"/>
      <c r="N36"/>
    </row>
    <row r="37" spans="1:14" ht="57.6" x14ac:dyDescent="0.25">
      <c r="A37" s="84"/>
      <c r="B37" s="84"/>
      <c r="C37" s="73"/>
      <c r="D37" s="74" t="s">
        <v>92</v>
      </c>
      <c r="E37" s="73"/>
      <c r="F37" s="75"/>
      <c r="G37" s="76"/>
      <c r="H37" s="76"/>
      <c r="I37" s="83"/>
      <c r="J37" s="76"/>
      <c r="K37" s="76"/>
      <c r="L37"/>
      <c r="M37"/>
      <c r="N37"/>
    </row>
    <row r="38" spans="1:14" ht="57.6" x14ac:dyDescent="0.25">
      <c r="A38" s="84"/>
      <c r="B38" s="84"/>
      <c r="C38" s="73" t="s">
        <v>93</v>
      </c>
      <c r="D38" s="74" t="s">
        <v>94</v>
      </c>
      <c r="E38" s="73" t="s">
        <v>68</v>
      </c>
      <c r="F38" s="75">
        <v>6</v>
      </c>
      <c r="G38" s="76">
        <v>7468.94</v>
      </c>
      <c r="H38" s="76">
        <v>73.38</v>
      </c>
      <c r="I38" s="83" t="s">
        <v>95</v>
      </c>
      <c r="J38" s="76">
        <v>44813.64</v>
      </c>
      <c r="K38" s="76">
        <v>440.28</v>
      </c>
      <c r="L38"/>
      <c r="M38"/>
      <c r="N38"/>
    </row>
    <row r="39" spans="1:14" ht="57.6" x14ac:dyDescent="0.25">
      <c r="A39" s="84"/>
      <c r="B39" s="84"/>
      <c r="C39" s="73"/>
      <c r="D39" s="74" t="s">
        <v>96</v>
      </c>
      <c r="E39" s="73"/>
      <c r="F39" s="75"/>
      <c r="G39" s="76"/>
      <c r="H39" s="76"/>
      <c r="I39" s="83"/>
      <c r="J39" s="76"/>
      <c r="K39" s="76"/>
      <c r="L39"/>
      <c r="M39"/>
      <c r="N39"/>
    </row>
    <row r="40" spans="1:14" ht="72" x14ac:dyDescent="0.25">
      <c r="A40" s="84"/>
      <c r="B40" s="84"/>
      <c r="C40" s="73" t="s">
        <v>97</v>
      </c>
      <c r="D40" s="74" t="s">
        <v>98</v>
      </c>
      <c r="E40" s="73" t="s">
        <v>68</v>
      </c>
      <c r="F40" s="75">
        <v>6</v>
      </c>
      <c r="G40" s="76">
        <v>852.04</v>
      </c>
      <c r="H40" s="76">
        <v>0</v>
      </c>
      <c r="I40" s="83" t="s">
        <v>99</v>
      </c>
      <c r="J40" s="76">
        <v>5112.24</v>
      </c>
      <c r="K40" s="76">
        <v>0</v>
      </c>
      <c r="L40"/>
      <c r="M40"/>
      <c r="N40"/>
    </row>
    <row r="41" spans="1:14" ht="72" x14ac:dyDescent="0.25">
      <c r="A41" s="84"/>
      <c r="B41" s="84"/>
      <c r="C41" s="73" t="s">
        <v>100</v>
      </c>
      <c r="D41" s="74" t="s">
        <v>101</v>
      </c>
      <c r="E41" s="73" t="s">
        <v>68</v>
      </c>
      <c r="F41" s="75">
        <v>4</v>
      </c>
      <c r="G41" s="76">
        <v>1464.36</v>
      </c>
      <c r="H41" s="76">
        <v>0</v>
      </c>
      <c r="I41" s="83" t="s">
        <v>102</v>
      </c>
      <c r="J41" s="76">
        <v>5857.44</v>
      </c>
      <c r="K41" s="76">
        <v>0</v>
      </c>
      <c r="L41"/>
      <c r="M41"/>
      <c r="N41"/>
    </row>
    <row r="42" spans="1:14" ht="72" x14ac:dyDescent="0.25">
      <c r="A42" s="84"/>
      <c r="B42" s="84"/>
      <c r="C42" s="73"/>
      <c r="D42" s="74" t="s">
        <v>103</v>
      </c>
      <c r="E42" s="73"/>
      <c r="F42" s="75"/>
      <c r="G42" s="76"/>
      <c r="H42" s="76"/>
      <c r="I42" s="83"/>
      <c r="J42" s="76"/>
      <c r="K42" s="76"/>
      <c r="L42"/>
      <c r="M42"/>
      <c r="N42"/>
    </row>
    <row r="43" spans="1:14" ht="86.4" x14ac:dyDescent="0.25">
      <c r="A43" s="84"/>
      <c r="B43" s="84"/>
      <c r="C43" s="73" t="s">
        <v>104</v>
      </c>
      <c r="D43" s="74" t="s">
        <v>105</v>
      </c>
      <c r="E43" s="73" t="s">
        <v>68</v>
      </c>
      <c r="F43" s="75">
        <v>18</v>
      </c>
      <c r="G43" s="76">
        <v>5320.09</v>
      </c>
      <c r="H43" s="76">
        <v>62.19</v>
      </c>
      <c r="I43" s="83" t="s">
        <v>106</v>
      </c>
      <c r="J43" s="76">
        <v>95761.62</v>
      </c>
      <c r="K43" s="76">
        <v>1119.42</v>
      </c>
      <c r="L43"/>
      <c r="M43"/>
      <c r="N43"/>
    </row>
    <row r="44" spans="1:14" ht="72" x14ac:dyDescent="0.25">
      <c r="A44" s="84"/>
      <c r="B44" s="84"/>
      <c r="C44" s="73"/>
      <c r="D44" s="74" t="s">
        <v>107</v>
      </c>
      <c r="E44" s="73"/>
      <c r="F44" s="75"/>
      <c r="G44" s="76"/>
      <c r="H44" s="76"/>
      <c r="I44" s="83"/>
      <c r="J44" s="76"/>
      <c r="K44" s="76"/>
      <c r="L44"/>
      <c r="M44"/>
      <c r="N44"/>
    </row>
    <row r="45" spans="1:14" ht="43.2" x14ac:dyDescent="0.25">
      <c r="A45" s="84"/>
      <c r="B45" s="84"/>
      <c r="C45" s="73" t="s">
        <v>108</v>
      </c>
      <c r="D45" s="74" t="s">
        <v>109</v>
      </c>
      <c r="E45" s="73" t="s">
        <v>50</v>
      </c>
      <c r="F45" s="75">
        <v>2.15</v>
      </c>
      <c r="G45" s="76">
        <v>128025</v>
      </c>
      <c r="H45" s="76">
        <v>0</v>
      </c>
      <c r="I45" s="83" t="s">
        <v>110</v>
      </c>
      <c r="J45" s="76">
        <v>275253.75</v>
      </c>
      <c r="K45" s="76">
        <v>0</v>
      </c>
      <c r="L45"/>
      <c r="M45"/>
      <c r="N45"/>
    </row>
    <row r="46" spans="1:14" ht="43.2" x14ac:dyDescent="0.25">
      <c r="A46" s="84"/>
      <c r="B46" s="84"/>
      <c r="C46" s="73" t="s">
        <v>111</v>
      </c>
      <c r="D46" s="74" t="s">
        <v>112</v>
      </c>
      <c r="E46" s="73" t="s">
        <v>50</v>
      </c>
      <c r="F46" s="75">
        <v>1.6420999999999999</v>
      </c>
      <c r="G46" s="76">
        <v>152996.70000000001</v>
      </c>
      <c r="H46" s="76">
        <v>0</v>
      </c>
      <c r="I46" s="83" t="s">
        <v>113</v>
      </c>
      <c r="J46" s="76">
        <v>251235.88</v>
      </c>
      <c r="K46" s="76">
        <v>0</v>
      </c>
      <c r="L46"/>
      <c r="M46"/>
      <c r="N46"/>
    </row>
    <row r="47" spans="1:14" ht="57.6" x14ac:dyDescent="0.25">
      <c r="A47" s="84"/>
      <c r="B47" s="84"/>
      <c r="C47" s="73"/>
      <c r="D47" s="74" t="s">
        <v>114</v>
      </c>
      <c r="E47" s="73"/>
      <c r="F47" s="75"/>
      <c r="G47" s="76"/>
      <c r="H47" s="76"/>
      <c r="I47" s="83"/>
      <c r="J47" s="76"/>
      <c r="K47" s="76"/>
      <c r="L47"/>
      <c r="M47"/>
      <c r="N47"/>
    </row>
    <row r="48" spans="1:14" ht="43.2" x14ac:dyDescent="0.25">
      <c r="A48" s="84"/>
      <c r="B48" s="84"/>
      <c r="C48" s="73" t="s">
        <v>115</v>
      </c>
      <c r="D48" s="74" t="s">
        <v>116</v>
      </c>
      <c r="E48" s="73" t="s">
        <v>50</v>
      </c>
      <c r="F48" s="75">
        <v>1.46</v>
      </c>
      <c r="G48" s="76">
        <v>169137.19</v>
      </c>
      <c r="H48" s="76">
        <v>0</v>
      </c>
      <c r="I48" s="83" t="s">
        <v>117</v>
      </c>
      <c r="J48" s="76">
        <v>246940.3</v>
      </c>
      <c r="K48" s="76">
        <v>0</v>
      </c>
      <c r="L48"/>
      <c r="M48"/>
      <c r="N48"/>
    </row>
    <row r="49" spans="1:14" ht="43.2" x14ac:dyDescent="0.25">
      <c r="A49" s="84"/>
      <c r="B49" s="84"/>
      <c r="C49" s="73" t="s">
        <v>118</v>
      </c>
      <c r="D49" s="74" t="s">
        <v>119</v>
      </c>
      <c r="E49" s="73" t="s">
        <v>50</v>
      </c>
      <c r="F49" s="75">
        <v>0.25890000000000002</v>
      </c>
      <c r="G49" s="76">
        <v>157943.45000000001</v>
      </c>
      <c r="H49" s="76">
        <v>0</v>
      </c>
      <c r="I49" s="83" t="s">
        <v>120</v>
      </c>
      <c r="J49" s="76">
        <v>40891.56</v>
      </c>
      <c r="K49" s="76">
        <v>0</v>
      </c>
      <c r="L49"/>
      <c r="M49"/>
      <c r="N49"/>
    </row>
    <row r="50" spans="1:14" ht="43.2" x14ac:dyDescent="0.25">
      <c r="A50" s="84"/>
      <c r="B50" s="84"/>
      <c r="C50" s="73" t="s">
        <v>121</v>
      </c>
      <c r="D50" s="74" t="s">
        <v>122</v>
      </c>
      <c r="E50" s="73" t="s">
        <v>50</v>
      </c>
      <c r="F50" s="75">
        <v>1.49E-2</v>
      </c>
      <c r="G50" s="76">
        <v>127908.76</v>
      </c>
      <c r="H50" s="76">
        <v>0</v>
      </c>
      <c r="I50" s="83" t="s">
        <v>123</v>
      </c>
      <c r="J50" s="76">
        <v>1905.84</v>
      </c>
      <c r="K50" s="76">
        <v>0</v>
      </c>
      <c r="L50"/>
      <c r="M50"/>
      <c r="N50"/>
    </row>
    <row r="51" spans="1:14" ht="43.2" x14ac:dyDescent="0.25">
      <c r="A51" s="84"/>
      <c r="B51" s="84"/>
      <c r="C51" s="73" t="s">
        <v>124</v>
      </c>
      <c r="D51" s="74" t="s">
        <v>125</v>
      </c>
      <c r="E51" s="73" t="s">
        <v>50</v>
      </c>
      <c r="F51" s="75">
        <v>0.2102</v>
      </c>
      <c r="G51" s="76">
        <v>135035.84</v>
      </c>
      <c r="H51" s="76">
        <v>0</v>
      </c>
      <c r="I51" s="83" t="s">
        <v>126</v>
      </c>
      <c r="J51" s="76">
        <v>28384.53</v>
      </c>
      <c r="K51" s="76">
        <v>0</v>
      </c>
      <c r="L51"/>
      <c r="M51"/>
      <c r="N51"/>
    </row>
    <row r="52" spans="1:14" ht="43.2" x14ac:dyDescent="0.25">
      <c r="A52" s="84"/>
      <c r="B52" s="84"/>
      <c r="C52" s="73" t="s">
        <v>127</v>
      </c>
      <c r="D52" s="74" t="s">
        <v>128</v>
      </c>
      <c r="E52" s="73" t="s">
        <v>50</v>
      </c>
      <c r="F52" s="75">
        <v>0.66600000000000004</v>
      </c>
      <c r="G52" s="76">
        <v>135572.14000000001</v>
      </c>
      <c r="H52" s="76">
        <v>0</v>
      </c>
      <c r="I52" s="83" t="s">
        <v>129</v>
      </c>
      <c r="J52" s="76">
        <v>90291.05</v>
      </c>
      <c r="K52" s="76">
        <v>0</v>
      </c>
      <c r="L52"/>
      <c r="M52"/>
      <c r="N52"/>
    </row>
    <row r="53" spans="1:14" ht="43.2" x14ac:dyDescent="0.25">
      <c r="A53" s="84"/>
      <c r="B53" s="84"/>
      <c r="C53" s="73" t="s">
        <v>130</v>
      </c>
      <c r="D53" s="74" t="s">
        <v>131</v>
      </c>
      <c r="E53" s="73" t="s">
        <v>50</v>
      </c>
      <c r="F53" s="75">
        <v>1.46</v>
      </c>
      <c r="G53" s="76">
        <v>123048.23</v>
      </c>
      <c r="H53" s="76">
        <v>0</v>
      </c>
      <c r="I53" s="83" t="s">
        <v>132</v>
      </c>
      <c r="J53" s="76">
        <v>179650.42</v>
      </c>
      <c r="K53" s="76">
        <v>0</v>
      </c>
      <c r="L53"/>
      <c r="M53"/>
      <c r="N53"/>
    </row>
    <row r="54" spans="1:14" ht="43.2" x14ac:dyDescent="0.25">
      <c r="A54" s="84"/>
      <c r="B54" s="84"/>
      <c r="C54" s="73" t="s">
        <v>133</v>
      </c>
      <c r="D54" s="74" t="s">
        <v>109</v>
      </c>
      <c r="E54" s="73" t="s">
        <v>50</v>
      </c>
      <c r="F54" s="75">
        <v>3.097</v>
      </c>
      <c r="G54" s="76">
        <v>118810.34</v>
      </c>
      <c r="H54" s="76">
        <v>0</v>
      </c>
      <c r="I54" s="83" t="s">
        <v>134</v>
      </c>
      <c r="J54" s="76">
        <v>367955.62</v>
      </c>
      <c r="K54" s="76">
        <v>0</v>
      </c>
      <c r="L54"/>
      <c r="M54"/>
      <c r="N54"/>
    </row>
    <row r="55" spans="1:14" ht="43.2" x14ac:dyDescent="0.25">
      <c r="A55" s="84"/>
      <c r="B55" s="84"/>
      <c r="C55" s="73" t="s">
        <v>135</v>
      </c>
      <c r="D55" s="74" t="s">
        <v>136</v>
      </c>
      <c r="E55" s="73" t="s">
        <v>50</v>
      </c>
      <c r="F55" s="75">
        <v>0.51300000000000001</v>
      </c>
      <c r="G55" s="76">
        <v>107808.48</v>
      </c>
      <c r="H55" s="76">
        <v>0</v>
      </c>
      <c r="I55" s="83" t="s">
        <v>137</v>
      </c>
      <c r="J55" s="76">
        <v>55305.75</v>
      </c>
      <c r="K55" s="76">
        <v>0</v>
      </c>
      <c r="L55"/>
      <c r="M55"/>
      <c r="N55"/>
    </row>
    <row r="56" spans="1:14" ht="43.2" x14ac:dyDescent="0.25">
      <c r="A56" s="84"/>
      <c r="B56" s="84"/>
      <c r="C56" s="73" t="s">
        <v>138</v>
      </c>
      <c r="D56" s="74" t="s">
        <v>139</v>
      </c>
      <c r="E56" s="73" t="s">
        <v>50</v>
      </c>
      <c r="F56" s="75">
        <v>1.91</v>
      </c>
      <c r="G56" s="76">
        <v>139360.56</v>
      </c>
      <c r="H56" s="76">
        <v>0</v>
      </c>
      <c r="I56" s="83" t="s">
        <v>140</v>
      </c>
      <c r="J56" s="76">
        <v>266178.67</v>
      </c>
      <c r="K56" s="76">
        <v>0</v>
      </c>
      <c r="L56"/>
      <c r="M56"/>
      <c r="N56"/>
    </row>
    <row r="57" spans="1:14" ht="57.6" x14ac:dyDescent="0.25">
      <c r="A57" s="84"/>
      <c r="B57" s="84"/>
      <c r="C57" s="73"/>
      <c r="D57" s="74" t="s">
        <v>141</v>
      </c>
      <c r="E57" s="73"/>
      <c r="F57" s="75"/>
      <c r="G57" s="76"/>
      <c r="H57" s="76"/>
      <c r="I57" s="83"/>
      <c r="J57" s="76"/>
      <c r="K57" s="76"/>
      <c r="L57"/>
      <c r="M57"/>
      <c r="N57"/>
    </row>
    <row r="58" spans="1:14" ht="43.2" x14ac:dyDescent="0.25">
      <c r="A58" s="84"/>
      <c r="B58" s="84"/>
      <c r="C58" s="73" t="s">
        <v>142</v>
      </c>
      <c r="D58" s="74" t="s">
        <v>143</v>
      </c>
      <c r="E58" s="73" t="s">
        <v>50</v>
      </c>
      <c r="F58" s="75">
        <v>2.3300000000000001E-2</v>
      </c>
      <c r="G58" s="76">
        <v>64499.89</v>
      </c>
      <c r="H58" s="76">
        <v>0</v>
      </c>
      <c r="I58" s="83" t="s">
        <v>144</v>
      </c>
      <c r="J58" s="76">
        <v>1502.85</v>
      </c>
      <c r="K58" s="76">
        <v>0</v>
      </c>
      <c r="L58"/>
      <c r="M58"/>
      <c r="N58"/>
    </row>
    <row r="59" spans="1:14" ht="43.2" x14ac:dyDescent="0.25">
      <c r="A59" s="84"/>
      <c r="B59" s="84"/>
      <c r="C59" s="73" t="s">
        <v>145</v>
      </c>
      <c r="D59" s="74" t="s">
        <v>146</v>
      </c>
      <c r="E59" s="73" t="s">
        <v>50</v>
      </c>
      <c r="F59" s="75">
        <v>0.7</v>
      </c>
      <c r="G59" s="76">
        <v>63658.3</v>
      </c>
      <c r="H59" s="76">
        <v>0</v>
      </c>
      <c r="I59" s="83" t="s">
        <v>147</v>
      </c>
      <c r="J59" s="76">
        <v>44560.81</v>
      </c>
      <c r="K59" s="76">
        <v>0</v>
      </c>
      <c r="L59"/>
      <c r="M59"/>
      <c r="N59"/>
    </row>
    <row r="60" spans="1:14" ht="43.2" x14ac:dyDescent="0.25">
      <c r="A60" s="84"/>
      <c r="B60" s="84"/>
      <c r="C60" s="73" t="s">
        <v>148</v>
      </c>
      <c r="D60" s="74" t="s">
        <v>149</v>
      </c>
      <c r="E60" s="73" t="s">
        <v>50</v>
      </c>
      <c r="F60" s="75">
        <v>4.4900000000000002E-2</v>
      </c>
      <c r="G60" s="76">
        <v>63587.51</v>
      </c>
      <c r="H60" s="76">
        <v>0</v>
      </c>
      <c r="I60" s="83" t="s">
        <v>150</v>
      </c>
      <c r="J60" s="76">
        <v>2855.08</v>
      </c>
      <c r="K60" s="76">
        <v>0</v>
      </c>
      <c r="L60"/>
      <c r="M60"/>
      <c r="N60"/>
    </row>
    <row r="61" spans="1:14" ht="43.2" x14ac:dyDescent="0.25">
      <c r="A61" s="84"/>
      <c r="B61" s="84"/>
      <c r="C61" s="73" t="s">
        <v>151</v>
      </c>
      <c r="D61" s="74" t="s">
        <v>152</v>
      </c>
      <c r="E61" s="73" t="s">
        <v>50</v>
      </c>
      <c r="F61" s="75">
        <v>9.6199999999999994E-2</v>
      </c>
      <c r="G61" s="76">
        <v>70326.23</v>
      </c>
      <c r="H61" s="76">
        <v>0</v>
      </c>
      <c r="I61" s="83" t="s">
        <v>153</v>
      </c>
      <c r="J61" s="76">
        <v>6765.38</v>
      </c>
      <c r="K61" s="76">
        <v>0</v>
      </c>
      <c r="L61"/>
      <c r="M61"/>
      <c r="N61"/>
    </row>
    <row r="62" spans="1:14" ht="57.6" x14ac:dyDescent="0.25">
      <c r="A62" s="84"/>
      <c r="B62" s="84"/>
      <c r="C62" s="73"/>
      <c r="D62" s="74" t="s">
        <v>154</v>
      </c>
      <c r="E62" s="73"/>
      <c r="F62" s="75"/>
      <c r="G62" s="76"/>
      <c r="H62" s="76"/>
      <c r="I62" s="83"/>
      <c r="J62" s="76"/>
      <c r="K62" s="76"/>
      <c r="L62"/>
      <c r="M62"/>
      <c r="N62"/>
    </row>
    <row r="63" spans="1:14" ht="43.2" x14ac:dyDescent="0.25">
      <c r="A63" s="84"/>
      <c r="B63" s="84"/>
      <c r="C63" s="73" t="s">
        <v>155</v>
      </c>
      <c r="D63" s="74" t="s">
        <v>156</v>
      </c>
      <c r="E63" s="73" t="s">
        <v>50</v>
      </c>
      <c r="F63" s="75">
        <v>1.4188000000000001</v>
      </c>
      <c r="G63" s="76">
        <v>45830.69</v>
      </c>
      <c r="H63" s="76">
        <v>0</v>
      </c>
      <c r="I63" s="83" t="s">
        <v>157</v>
      </c>
      <c r="J63" s="76">
        <v>65024.58</v>
      </c>
      <c r="K63" s="76">
        <v>0</v>
      </c>
      <c r="L63"/>
      <c r="M63"/>
      <c r="N63"/>
    </row>
    <row r="64" spans="1:14" ht="43.2" x14ac:dyDescent="0.25">
      <c r="A64" s="84"/>
      <c r="B64" s="84"/>
      <c r="C64" s="73" t="s">
        <v>158</v>
      </c>
      <c r="D64" s="74" t="s">
        <v>159</v>
      </c>
      <c r="E64" s="73" t="s">
        <v>50</v>
      </c>
      <c r="F64" s="75">
        <v>3.6223999999999998</v>
      </c>
      <c r="G64" s="76">
        <v>43098.51</v>
      </c>
      <c r="H64" s="76">
        <v>0</v>
      </c>
      <c r="I64" s="83" t="s">
        <v>160</v>
      </c>
      <c r="J64" s="76">
        <v>156120.04</v>
      </c>
      <c r="K64" s="76">
        <v>0</v>
      </c>
      <c r="L64"/>
      <c r="M64"/>
      <c r="N64"/>
    </row>
    <row r="65" spans="1:14" ht="43.2" x14ac:dyDescent="0.25">
      <c r="A65" s="84"/>
      <c r="B65" s="84"/>
      <c r="C65" s="73" t="s">
        <v>161</v>
      </c>
      <c r="D65" s="74" t="s">
        <v>162</v>
      </c>
      <c r="E65" s="73" t="s">
        <v>50</v>
      </c>
      <c r="F65" s="75">
        <v>1.7749999999999999</v>
      </c>
      <c r="G65" s="76">
        <v>48965.760000000002</v>
      </c>
      <c r="H65" s="76">
        <v>0</v>
      </c>
      <c r="I65" s="83" t="s">
        <v>163</v>
      </c>
      <c r="J65" s="76">
        <v>86914.22</v>
      </c>
      <c r="K65" s="76">
        <v>0</v>
      </c>
      <c r="L65"/>
      <c r="M65"/>
      <c r="N65"/>
    </row>
    <row r="66" spans="1:14" ht="43.2" x14ac:dyDescent="0.25">
      <c r="A66" s="84"/>
      <c r="B66" s="84"/>
      <c r="C66" s="73" t="s">
        <v>164</v>
      </c>
      <c r="D66" s="74" t="s">
        <v>165</v>
      </c>
      <c r="E66" s="73" t="s">
        <v>50</v>
      </c>
      <c r="F66" s="75">
        <v>1.4950000000000001</v>
      </c>
      <c r="G66" s="76">
        <v>59119.14</v>
      </c>
      <c r="H66" s="76">
        <v>0</v>
      </c>
      <c r="I66" s="83" t="s">
        <v>166</v>
      </c>
      <c r="J66" s="76">
        <v>88383.11</v>
      </c>
      <c r="K66" s="76">
        <v>0</v>
      </c>
      <c r="L66"/>
      <c r="M66"/>
      <c r="N66"/>
    </row>
    <row r="67" spans="1:14" ht="43.2" x14ac:dyDescent="0.25">
      <c r="A67" s="84"/>
      <c r="B67" s="84"/>
      <c r="C67" s="73" t="s">
        <v>167</v>
      </c>
      <c r="D67" s="74" t="s">
        <v>168</v>
      </c>
      <c r="E67" s="73" t="s">
        <v>50</v>
      </c>
      <c r="F67" s="75">
        <v>7.7160000000000002</v>
      </c>
      <c r="G67" s="76">
        <v>73063.44</v>
      </c>
      <c r="H67" s="76">
        <v>0</v>
      </c>
      <c r="I67" s="83" t="s">
        <v>169</v>
      </c>
      <c r="J67" s="76">
        <v>563757.5</v>
      </c>
      <c r="K67" s="76">
        <v>0</v>
      </c>
      <c r="L67"/>
      <c r="M67"/>
      <c r="N67"/>
    </row>
    <row r="68" spans="1:14" ht="43.2" x14ac:dyDescent="0.25">
      <c r="A68" s="84"/>
      <c r="B68" s="84"/>
      <c r="C68" s="73" t="s">
        <v>170</v>
      </c>
      <c r="D68" s="74" t="s">
        <v>171</v>
      </c>
      <c r="E68" s="73" t="s">
        <v>50</v>
      </c>
      <c r="F68" s="75">
        <v>0.215</v>
      </c>
      <c r="G68" s="76">
        <v>71449.56</v>
      </c>
      <c r="H68" s="76">
        <v>0</v>
      </c>
      <c r="I68" s="83" t="s">
        <v>172</v>
      </c>
      <c r="J68" s="76">
        <v>15361.66</v>
      </c>
      <c r="K68" s="76">
        <v>0</v>
      </c>
      <c r="L68"/>
      <c r="M68"/>
      <c r="N68"/>
    </row>
    <row r="69" spans="1:14" ht="72" x14ac:dyDescent="0.25">
      <c r="A69" s="84"/>
      <c r="B69" s="84"/>
      <c r="C69" s="73"/>
      <c r="D69" s="74" t="s">
        <v>173</v>
      </c>
      <c r="E69" s="73"/>
      <c r="F69" s="75"/>
      <c r="G69" s="76"/>
      <c r="H69" s="76"/>
      <c r="I69" s="83"/>
      <c r="J69" s="76"/>
      <c r="K69" s="76"/>
      <c r="L69"/>
      <c r="M69"/>
      <c r="N69"/>
    </row>
    <row r="70" spans="1:14" ht="43.2" x14ac:dyDescent="0.25">
      <c r="A70" s="84"/>
      <c r="B70" s="84"/>
      <c r="C70" s="73" t="s">
        <v>174</v>
      </c>
      <c r="D70" s="74" t="s">
        <v>175</v>
      </c>
      <c r="E70" s="73" t="s">
        <v>50</v>
      </c>
      <c r="F70" s="75">
        <v>7.0000000000000001E-3</v>
      </c>
      <c r="G70" s="76">
        <v>80370.05</v>
      </c>
      <c r="H70" s="76">
        <v>0</v>
      </c>
      <c r="I70" s="83" t="s">
        <v>176</v>
      </c>
      <c r="J70" s="76">
        <v>562.59</v>
      </c>
      <c r="K70" s="76">
        <v>0</v>
      </c>
      <c r="L70"/>
      <c r="M70"/>
      <c r="N70"/>
    </row>
    <row r="71" spans="1:14" ht="43.2" x14ac:dyDescent="0.25">
      <c r="A71" s="84"/>
      <c r="B71" s="84"/>
      <c r="C71" s="73" t="s">
        <v>177</v>
      </c>
      <c r="D71" s="74" t="s">
        <v>178</v>
      </c>
      <c r="E71" s="73" t="s">
        <v>50</v>
      </c>
      <c r="F71" s="75">
        <v>1.7999999999999999E-2</v>
      </c>
      <c r="G71" s="76">
        <v>104793.53</v>
      </c>
      <c r="H71" s="76">
        <v>0</v>
      </c>
      <c r="I71" s="83" t="s">
        <v>179</v>
      </c>
      <c r="J71" s="76">
        <v>1886.28</v>
      </c>
      <c r="K71" s="76">
        <v>0</v>
      </c>
      <c r="L71"/>
      <c r="M71"/>
      <c r="N71"/>
    </row>
    <row r="72" spans="1:14" ht="43.2" x14ac:dyDescent="0.25">
      <c r="A72" s="84"/>
      <c r="B72" s="84"/>
      <c r="C72" s="73" t="s">
        <v>180</v>
      </c>
      <c r="D72" s="74" t="s">
        <v>181</v>
      </c>
      <c r="E72" s="73" t="s">
        <v>50</v>
      </c>
      <c r="F72" s="75">
        <v>1.35E-2</v>
      </c>
      <c r="G72" s="76">
        <v>73833.3</v>
      </c>
      <c r="H72" s="76">
        <v>0</v>
      </c>
      <c r="I72" s="83" t="s">
        <v>182</v>
      </c>
      <c r="J72" s="76">
        <v>996.75</v>
      </c>
      <c r="K72" s="76">
        <v>0</v>
      </c>
      <c r="L72"/>
      <c r="M72"/>
      <c r="N72"/>
    </row>
    <row r="73" spans="1:14" ht="43.2" x14ac:dyDescent="0.25">
      <c r="A73" s="84"/>
      <c r="B73" s="84"/>
      <c r="C73" s="73"/>
      <c r="D73" s="74" t="s">
        <v>183</v>
      </c>
      <c r="E73" s="73"/>
      <c r="F73" s="75"/>
      <c r="G73" s="76"/>
      <c r="H73" s="76"/>
      <c r="I73" s="83"/>
      <c r="J73" s="76"/>
      <c r="K73" s="76"/>
      <c r="L73"/>
      <c r="M73"/>
      <c r="N73"/>
    </row>
    <row r="74" spans="1:14" ht="57.6" x14ac:dyDescent="0.25">
      <c r="A74" s="84"/>
      <c r="B74" s="84"/>
      <c r="C74" s="73"/>
      <c r="D74" s="74" t="s">
        <v>184</v>
      </c>
      <c r="E74" s="73"/>
      <c r="F74" s="75"/>
      <c r="G74" s="76"/>
      <c r="H74" s="76"/>
      <c r="I74" s="83"/>
      <c r="J74" s="76"/>
      <c r="K74" s="76"/>
      <c r="L74"/>
      <c r="M74"/>
      <c r="N74"/>
    </row>
    <row r="75" spans="1:14" ht="43.2" x14ac:dyDescent="0.25">
      <c r="A75" s="84"/>
      <c r="B75" s="84"/>
      <c r="C75" s="73" t="s">
        <v>185</v>
      </c>
      <c r="D75" s="74" t="s">
        <v>186</v>
      </c>
      <c r="E75" s="73" t="s">
        <v>50</v>
      </c>
      <c r="F75" s="75">
        <v>7.2599999999999998E-2</v>
      </c>
      <c r="G75" s="76">
        <v>79267.149999999994</v>
      </c>
      <c r="H75" s="76">
        <v>0</v>
      </c>
      <c r="I75" s="83" t="s">
        <v>187</v>
      </c>
      <c r="J75" s="76">
        <v>5754.8</v>
      </c>
      <c r="K75" s="76">
        <v>0</v>
      </c>
      <c r="L75"/>
      <c r="M75"/>
      <c r="N75"/>
    </row>
    <row r="76" spans="1:14" ht="43.2" x14ac:dyDescent="0.25">
      <c r="A76" s="84"/>
      <c r="B76" s="84"/>
      <c r="C76" s="73" t="s">
        <v>188</v>
      </c>
      <c r="D76" s="74" t="s">
        <v>189</v>
      </c>
      <c r="E76" s="73" t="s">
        <v>50</v>
      </c>
      <c r="F76" s="75">
        <v>0.7</v>
      </c>
      <c r="G76" s="76">
        <v>69432.259999999995</v>
      </c>
      <c r="H76" s="76">
        <v>0</v>
      </c>
      <c r="I76" s="83" t="s">
        <v>190</v>
      </c>
      <c r="J76" s="76">
        <v>48602.58</v>
      </c>
      <c r="K76" s="76">
        <v>0</v>
      </c>
      <c r="L76"/>
      <c r="M76"/>
      <c r="N76"/>
    </row>
    <row r="77" spans="1:14" ht="43.2" x14ac:dyDescent="0.25">
      <c r="A77" s="84"/>
      <c r="B77" s="84"/>
      <c r="C77" s="73"/>
      <c r="D77" s="74" t="s">
        <v>191</v>
      </c>
      <c r="E77" s="73"/>
      <c r="F77" s="75"/>
      <c r="G77" s="76"/>
      <c r="H77" s="76"/>
      <c r="I77" s="83"/>
      <c r="J77" s="76"/>
      <c r="K77" s="76"/>
      <c r="L77"/>
      <c r="M77"/>
      <c r="N77"/>
    </row>
    <row r="78" spans="1:14" ht="43.2" x14ac:dyDescent="0.25">
      <c r="A78" s="84"/>
      <c r="B78" s="84"/>
      <c r="C78" s="73" t="s">
        <v>192</v>
      </c>
      <c r="D78" s="74" t="s">
        <v>193</v>
      </c>
      <c r="E78" s="73" t="s">
        <v>58</v>
      </c>
      <c r="F78" s="75">
        <v>198</v>
      </c>
      <c r="G78" s="76">
        <v>746.25</v>
      </c>
      <c r="H78" s="76">
        <v>0</v>
      </c>
      <c r="I78" s="83" t="s">
        <v>194</v>
      </c>
      <c r="J78" s="76">
        <v>147757.5</v>
      </c>
      <c r="K78" s="76">
        <v>0</v>
      </c>
      <c r="L78"/>
      <c r="M78"/>
      <c r="N78"/>
    </row>
    <row r="79" spans="1:14" ht="57.6" x14ac:dyDescent="0.25">
      <c r="A79" s="84"/>
      <c r="B79" s="84"/>
      <c r="C79" s="73" t="s">
        <v>195</v>
      </c>
      <c r="D79" s="74" t="s">
        <v>196</v>
      </c>
      <c r="E79" s="73" t="s">
        <v>197</v>
      </c>
      <c r="F79" s="75">
        <v>150</v>
      </c>
      <c r="G79" s="76">
        <v>746.25</v>
      </c>
      <c r="H79" s="76">
        <v>0</v>
      </c>
      <c r="I79" s="83" t="s">
        <v>194</v>
      </c>
      <c r="J79" s="76">
        <v>111937.5</v>
      </c>
      <c r="K79" s="76">
        <v>0</v>
      </c>
      <c r="L79"/>
      <c r="M79"/>
      <c r="N79"/>
    </row>
    <row r="80" spans="1:14" ht="43.2" x14ac:dyDescent="0.25">
      <c r="A80" s="84"/>
      <c r="B80" s="84"/>
      <c r="C80" s="73" t="s">
        <v>198</v>
      </c>
      <c r="D80" s="74" t="s">
        <v>199</v>
      </c>
      <c r="E80" s="73" t="s">
        <v>197</v>
      </c>
      <c r="F80" s="75">
        <v>144</v>
      </c>
      <c r="G80" s="76">
        <v>746.25</v>
      </c>
      <c r="H80" s="76">
        <v>0</v>
      </c>
      <c r="I80" s="83" t="s">
        <v>194</v>
      </c>
      <c r="J80" s="76">
        <v>107460</v>
      </c>
      <c r="K80" s="76">
        <v>0</v>
      </c>
      <c r="L80"/>
      <c r="M80"/>
      <c r="N80"/>
    </row>
    <row r="81" spans="1:14" ht="43.2" x14ac:dyDescent="0.25">
      <c r="A81" s="84"/>
      <c r="B81" s="84"/>
      <c r="C81" s="73" t="s">
        <v>200</v>
      </c>
      <c r="D81" s="74" t="s">
        <v>201</v>
      </c>
      <c r="E81" s="73" t="s">
        <v>197</v>
      </c>
      <c r="F81" s="75">
        <v>26</v>
      </c>
      <c r="G81" s="76">
        <v>746.25</v>
      </c>
      <c r="H81" s="76">
        <v>0</v>
      </c>
      <c r="I81" s="83" t="s">
        <v>194</v>
      </c>
      <c r="J81" s="76">
        <v>19402.5</v>
      </c>
      <c r="K81" s="76">
        <v>0</v>
      </c>
      <c r="L81"/>
      <c r="M81"/>
      <c r="N81"/>
    </row>
    <row r="82" spans="1:14" ht="43.2" x14ac:dyDescent="0.25">
      <c r="A82" s="84"/>
      <c r="B82" s="84"/>
      <c r="C82" s="73"/>
      <c r="D82" s="74" t="s">
        <v>202</v>
      </c>
      <c r="E82" s="73"/>
      <c r="F82" s="75"/>
      <c r="G82" s="76"/>
      <c r="H82" s="76"/>
      <c r="I82" s="83"/>
      <c r="J82" s="76"/>
      <c r="K82" s="76"/>
      <c r="L82"/>
      <c r="M82"/>
      <c r="N82"/>
    </row>
    <row r="83" spans="1:14" ht="57.6" x14ac:dyDescent="0.25">
      <c r="A83" s="84"/>
      <c r="B83" s="84"/>
      <c r="C83" s="73" t="s">
        <v>203</v>
      </c>
      <c r="D83" s="74" t="s">
        <v>204</v>
      </c>
      <c r="E83" s="73" t="s">
        <v>58</v>
      </c>
      <c r="F83" s="75">
        <v>385.72</v>
      </c>
      <c r="G83" s="76">
        <v>11193.75</v>
      </c>
      <c r="H83" s="76">
        <v>0</v>
      </c>
      <c r="I83" s="83" t="s">
        <v>205</v>
      </c>
      <c r="J83" s="76">
        <v>4317653.25</v>
      </c>
      <c r="K83" s="76">
        <v>0</v>
      </c>
      <c r="L83"/>
      <c r="M83"/>
      <c r="N83"/>
    </row>
    <row r="84" spans="1:14" ht="57.6" x14ac:dyDescent="0.25">
      <c r="A84" s="84"/>
      <c r="B84" s="84"/>
      <c r="C84" s="73" t="s">
        <v>206</v>
      </c>
      <c r="D84" s="74" t="s">
        <v>207</v>
      </c>
      <c r="E84" s="73" t="s">
        <v>197</v>
      </c>
      <c r="F84" s="75">
        <v>150</v>
      </c>
      <c r="G84" s="76">
        <v>11193.75</v>
      </c>
      <c r="H84" s="76">
        <v>0</v>
      </c>
      <c r="I84" s="83" t="s">
        <v>205</v>
      </c>
      <c r="J84" s="76">
        <v>1679062.5</v>
      </c>
      <c r="K84" s="76">
        <v>0</v>
      </c>
      <c r="L84"/>
      <c r="M84"/>
      <c r="N84"/>
    </row>
    <row r="85" spans="1:14" ht="43.2" x14ac:dyDescent="0.25">
      <c r="A85" s="84"/>
      <c r="B85" s="84"/>
      <c r="C85" s="73" t="s">
        <v>208</v>
      </c>
      <c r="D85" s="74" t="s">
        <v>209</v>
      </c>
      <c r="E85" s="73" t="s">
        <v>197</v>
      </c>
      <c r="F85" s="75">
        <v>12</v>
      </c>
      <c r="G85" s="76">
        <v>310.94</v>
      </c>
      <c r="H85" s="76">
        <v>0</v>
      </c>
      <c r="I85" s="83" t="s">
        <v>210</v>
      </c>
      <c r="J85" s="76">
        <v>3731.28</v>
      </c>
      <c r="K85" s="76">
        <v>0</v>
      </c>
      <c r="L85"/>
      <c r="M85"/>
      <c r="N85"/>
    </row>
    <row r="86" spans="1:14" ht="57.6" x14ac:dyDescent="0.25">
      <c r="A86" s="84"/>
      <c r="B86" s="84"/>
      <c r="C86" s="73" t="s">
        <v>211</v>
      </c>
      <c r="D86" s="74" t="s">
        <v>212</v>
      </c>
      <c r="E86" s="73" t="s">
        <v>197</v>
      </c>
      <c r="F86" s="75">
        <v>58</v>
      </c>
      <c r="G86" s="76">
        <v>11193.75</v>
      </c>
      <c r="H86" s="76">
        <v>0</v>
      </c>
      <c r="I86" s="83" t="s">
        <v>205</v>
      </c>
      <c r="J86" s="76">
        <v>649237.5</v>
      </c>
      <c r="K86" s="76">
        <v>0</v>
      </c>
      <c r="L86"/>
      <c r="M86"/>
      <c r="N86"/>
    </row>
    <row r="87" spans="1:14" ht="43.2" x14ac:dyDescent="0.25">
      <c r="A87" s="84"/>
      <c r="B87" s="84"/>
      <c r="C87" s="73" t="s">
        <v>213</v>
      </c>
      <c r="D87" s="74" t="s">
        <v>199</v>
      </c>
      <c r="E87" s="73" t="s">
        <v>197</v>
      </c>
      <c r="F87" s="75">
        <v>215</v>
      </c>
      <c r="G87" s="76">
        <v>310.94</v>
      </c>
      <c r="H87" s="76">
        <v>0</v>
      </c>
      <c r="I87" s="83" t="s">
        <v>210</v>
      </c>
      <c r="J87" s="76">
        <v>66852.100000000006</v>
      </c>
      <c r="K87" s="76">
        <v>0</v>
      </c>
      <c r="L87"/>
      <c r="M87"/>
      <c r="N87"/>
    </row>
    <row r="88" spans="1:14" ht="43.2" x14ac:dyDescent="0.25">
      <c r="A88" s="84"/>
      <c r="B88" s="84"/>
      <c r="C88" s="73" t="s">
        <v>214</v>
      </c>
      <c r="D88" s="74" t="s">
        <v>201</v>
      </c>
      <c r="E88" s="73" t="s">
        <v>197</v>
      </c>
      <c r="F88" s="75">
        <v>65</v>
      </c>
      <c r="G88" s="76">
        <v>373.13</v>
      </c>
      <c r="H88" s="76">
        <v>0</v>
      </c>
      <c r="I88" s="83" t="s">
        <v>215</v>
      </c>
      <c r="J88" s="76">
        <v>24253.45</v>
      </c>
      <c r="K88" s="76">
        <v>0</v>
      </c>
      <c r="L88"/>
      <c r="M88"/>
      <c r="N88"/>
    </row>
    <row r="89" spans="1:14" ht="43.2" x14ac:dyDescent="0.25">
      <c r="A89" s="84"/>
      <c r="B89" s="84"/>
      <c r="C89" s="73"/>
      <c r="D89" s="74" t="s">
        <v>216</v>
      </c>
      <c r="E89" s="73"/>
      <c r="F89" s="75"/>
      <c r="G89" s="76"/>
      <c r="H89" s="76"/>
      <c r="I89" s="83"/>
      <c r="J89" s="76"/>
      <c r="K89" s="76"/>
      <c r="L89"/>
      <c r="M89"/>
      <c r="N89"/>
    </row>
    <row r="90" spans="1:14" ht="57.6" x14ac:dyDescent="0.25">
      <c r="A90" s="84"/>
      <c r="B90" s="84"/>
      <c r="C90" s="73" t="s">
        <v>217</v>
      </c>
      <c r="D90" s="74" t="s">
        <v>218</v>
      </c>
      <c r="E90" s="73" t="s">
        <v>219</v>
      </c>
      <c r="F90" s="75">
        <v>1700</v>
      </c>
      <c r="G90" s="76">
        <v>4125.53</v>
      </c>
      <c r="H90" s="76">
        <v>0</v>
      </c>
      <c r="I90" s="83" t="s">
        <v>220</v>
      </c>
      <c r="J90" s="76">
        <v>7013401</v>
      </c>
      <c r="K90" s="76">
        <v>0</v>
      </c>
      <c r="L90"/>
      <c r="M90"/>
      <c r="N90"/>
    </row>
    <row r="91" spans="1:14" ht="115.2" x14ac:dyDescent="0.25">
      <c r="A91" s="84"/>
      <c r="B91" s="84"/>
      <c r="C91" s="73" t="s">
        <v>221</v>
      </c>
      <c r="D91" s="74" t="s">
        <v>222</v>
      </c>
      <c r="E91" s="73" t="s">
        <v>219</v>
      </c>
      <c r="F91" s="75">
        <v>1200</v>
      </c>
      <c r="G91" s="76">
        <v>8451.23</v>
      </c>
      <c r="H91" s="76">
        <v>0</v>
      </c>
      <c r="I91" s="83" t="s">
        <v>223</v>
      </c>
      <c r="J91" s="76">
        <v>10141476</v>
      </c>
      <c r="K91" s="76">
        <v>0</v>
      </c>
      <c r="L91"/>
      <c r="M91"/>
      <c r="N91"/>
    </row>
    <row r="92" spans="1:14" ht="115.2" x14ac:dyDescent="0.25">
      <c r="A92" s="84"/>
      <c r="B92" s="84"/>
      <c r="C92" s="73" t="s">
        <v>224</v>
      </c>
      <c r="D92" s="74" t="s">
        <v>225</v>
      </c>
      <c r="E92" s="73" t="s">
        <v>219</v>
      </c>
      <c r="F92" s="75">
        <v>1200</v>
      </c>
      <c r="G92" s="76">
        <v>2704.18</v>
      </c>
      <c r="H92" s="76">
        <v>0</v>
      </c>
      <c r="I92" s="83" t="s">
        <v>226</v>
      </c>
      <c r="J92" s="76">
        <v>3245016</v>
      </c>
      <c r="K92" s="76">
        <v>0</v>
      </c>
      <c r="L92"/>
      <c r="M92"/>
      <c r="N92"/>
    </row>
    <row r="93" spans="1:14" ht="72" x14ac:dyDescent="0.25">
      <c r="A93" s="84"/>
      <c r="B93" s="84"/>
      <c r="C93" s="73" t="s">
        <v>227</v>
      </c>
      <c r="D93" s="74" t="s">
        <v>228</v>
      </c>
      <c r="E93" s="73" t="s">
        <v>219</v>
      </c>
      <c r="F93" s="75">
        <v>1200</v>
      </c>
      <c r="G93" s="76">
        <v>2704.5</v>
      </c>
      <c r="H93" s="76">
        <v>0</v>
      </c>
      <c r="I93" s="83" t="s">
        <v>229</v>
      </c>
      <c r="J93" s="76">
        <v>3245400</v>
      </c>
      <c r="K93" s="76">
        <v>0</v>
      </c>
      <c r="L93"/>
      <c r="M93"/>
      <c r="N93"/>
    </row>
    <row r="94" spans="1:14" ht="43.2" x14ac:dyDescent="0.25">
      <c r="A94" s="84"/>
      <c r="B94" s="84"/>
      <c r="C94" s="73"/>
      <c r="D94" s="74" t="s">
        <v>230</v>
      </c>
      <c r="E94" s="73"/>
      <c r="F94" s="75"/>
      <c r="G94" s="76"/>
      <c r="H94" s="76"/>
      <c r="I94" s="83"/>
      <c r="J94" s="76"/>
      <c r="K94" s="76"/>
      <c r="L94"/>
      <c r="M94"/>
      <c r="N94"/>
    </row>
    <row r="95" spans="1:14" ht="57.6" x14ac:dyDescent="0.25">
      <c r="A95" s="84"/>
      <c r="B95" s="84"/>
      <c r="C95" s="73" t="s">
        <v>231</v>
      </c>
      <c r="D95" s="74" t="s">
        <v>232</v>
      </c>
      <c r="E95" s="73" t="s">
        <v>68</v>
      </c>
      <c r="F95" s="75">
        <v>16</v>
      </c>
      <c r="G95" s="76">
        <v>14178.75</v>
      </c>
      <c r="H95" s="76">
        <v>0</v>
      </c>
      <c r="I95" s="83" t="s">
        <v>233</v>
      </c>
      <c r="J95" s="76">
        <v>226860</v>
      </c>
      <c r="K95" s="76">
        <v>0</v>
      </c>
      <c r="L95"/>
      <c r="M95"/>
      <c r="N95"/>
    </row>
    <row r="96" spans="1:14" ht="43.2" x14ac:dyDescent="0.25">
      <c r="A96" s="84"/>
      <c r="B96" s="84"/>
      <c r="C96" s="73"/>
      <c r="D96" s="74" t="s">
        <v>234</v>
      </c>
      <c r="E96" s="73"/>
      <c r="F96" s="75"/>
      <c r="G96" s="76"/>
      <c r="H96" s="76"/>
      <c r="I96" s="83"/>
      <c r="J96" s="76"/>
      <c r="K96" s="76"/>
      <c r="L96"/>
      <c r="M96"/>
      <c r="N96"/>
    </row>
    <row r="97" spans="1:14" ht="57.6" x14ac:dyDescent="0.25">
      <c r="A97" s="84"/>
      <c r="B97" s="84"/>
      <c r="C97" s="73"/>
      <c r="D97" s="74" t="s">
        <v>235</v>
      </c>
      <c r="E97" s="73"/>
      <c r="F97" s="75"/>
      <c r="G97" s="76"/>
      <c r="H97" s="76"/>
      <c r="I97" s="83"/>
      <c r="J97" s="76"/>
      <c r="K97" s="76"/>
      <c r="L97"/>
      <c r="M97"/>
      <c r="N97"/>
    </row>
    <row r="98" spans="1:14" ht="43.2" x14ac:dyDescent="0.25">
      <c r="A98" s="84"/>
      <c r="B98" s="84"/>
      <c r="C98" s="73" t="s">
        <v>236</v>
      </c>
      <c r="D98" s="74" t="s">
        <v>237</v>
      </c>
      <c r="E98" s="73" t="s">
        <v>68</v>
      </c>
      <c r="F98" s="75">
        <v>199</v>
      </c>
      <c r="G98" s="76">
        <v>1356.71</v>
      </c>
      <c r="H98" s="76">
        <v>0</v>
      </c>
      <c r="I98" s="83" t="s">
        <v>238</v>
      </c>
      <c r="J98" s="76">
        <v>269985.28999999998</v>
      </c>
      <c r="K98" s="76">
        <v>0</v>
      </c>
      <c r="L98"/>
      <c r="M98"/>
      <c r="N98"/>
    </row>
    <row r="99" spans="1:14" ht="43.2" x14ac:dyDescent="0.25">
      <c r="A99" s="84"/>
      <c r="B99" s="84"/>
      <c r="C99" s="73" t="s">
        <v>239</v>
      </c>
      <c r="D99" s="74" t="s">
        <v>240</v>
      </c>
      <c r="E99" s="73" t="s">
        <v>68</v>
      </c>
      <c r="F99" s="75">
        <v>9</v>
      </c>
      <c r="G99" s="76">
        <v>3022.09</v>
      </c>
      <c r="H99" s="76">
        <v>0</v>
      </c>
      <c r="I99" s="83" t="s">
        <v>241</v>
      </c>
      <c r="J99" s="76">
        <v>27198.81</v>
      </c>
      <c r="K99" s="76">
        <v>0</v>
      </c>
      <c r="L99"/>
      <c r="M99"/>
      <c r="N99"/>
    </row>
    <row r="100" spans="1:14" ht="43.2" x14ac:dyDescent="0.25">
      <c r="A100" s="84"/>
      <c r="B100" s="84"/>
      <c r="C100" s="73" t="s">
        <v>242</v>
      </c>
      <c r="D100" s="74" t="s">
        <v>243</v>
      </c>
      <c r="E100" s="73" t="s">
        <v>68</v>
      </c>
      <c r="F100" s="75">
        <v>98</v>
      </c>
      <c r="G100" s="76">
        <v>4165.1000000000004</v>
      </c>
      <c r="H100" s="76">
        <v>0</v>
      </c>
      <c r="I100" s="83" t="s">
        <v>244</v>
      </c>
      <c r="J100" s="76">
        <v>408179.8</v>
      </c>
      <c r="K100" s="76">
        <v>0</v>
      </c>
      <c r="L100"/>
      <c r="M100"/>
      <c r="N100"/>
    </row>
    <row r="101" spans="1:14" ht="43.2" x14ac:dyDescent="0.25">
      <c r="A101" s="84"/>
      <c r="B101" s="84"/>
      <c r="C101" s="73" t="s">
        <v>245</v>
      </c>
      <c r="D101" s="74" t="s">
        <v>246</v>
      </c>
      <c r="E101" s="73" t="s">
        <v>68</v>
      </c>
      <c r="F101" s="75">
        <v>32</v>
      </c>
      <c r="G101" s="76">
        <v>4732.78</v>
      </c>
      <c r="H101" s="76">
        <v>0</v>
      </c>
      <c r="I101" s="83" t="s">
        <v>247</v>
      </c>
      <c r="J101" s="76">
        <v>151448.95999999999</v>
      </c>
      <c r="K101" s="76">
        <v>0</v>
      </c>
      <c r="L101"/>
      <c r="M101"/>
      <c r="N101"/>
    </row>
    <row r="102" spans="1:14" ht="43.2" x14ac:dyDescent="0.25">
      <c r="A102" s="84"/>
      <c r="B102" s="84"/>
      <c r="C102" s="73" t="s">
        <v>248</v>
      </c>
      <c r="D102" s="74" t="s">
        <v>249</v>
      </c>
      <c r="E102" s="73" t="s">
        <v>68</v>
      </c>
      <c r="F102" s="75">
        <v>88</v>
      </c>
      <c r="G102" s="76">
        <v>6007.81</v>
      </c>
      <c r="H102" s="76">
        <v>0</v>
      </c>
      <c r="I102" s="83" t="s">
        <v>250</v>
      </c>
      <c r="J102" s="76">
        <v>528687.28</v>
      </c>
      <c r="K102" s="76">
        <v>0</v>
      </c>
      <c r="L102"/>
      <c r="M102"/>
      <c r="N102"/>
    </row>
    <row r="103" spans="1:14" ht="43.2" x14ac:dyDescent="0.25">
      <c r="A103" s="84"/>
      <c r="B103" s="84"/>
      <c r="C103" s="73" t="s">
        <v>251</v>
      </c>
      <c r="D103" s="74" t="s">
        <v>252</v>
      </c>
      <c r="E103" s="73" t="s">
        <v>68</v>
      </c>
      <c r="F103" s="75">
        <v>57</v>
      </c>
      <c r="G103" s="76">
        <v>12252.26</v>
      </c>
      <c r="H103" s="76">
        <v>0</v>
      </c>
      <c r="I103" s="83" t="s">
        <v>253</v>
      </c>
      <c r="J103" s="76">
        <v>698378.82</v>
      </c>
      <c r="K103" s="76">
        <v>0</v>
      </c>
      <c r="L103"/>
      <c r="M103"/>
      <c r="N103"/>
    </row>
    <row r="104" spans="1:14" ht="43.2" x14ac:dyDescent="0.25">
      <c r="A104" s="84"/>
      <c r="B104" s="84"/>
      <c r="C104" s="73" t="s">
        <v>254</v>
      </c>
      <c r="D104" s="74" t="s">
        <v>255</v>
      </c>
      <c r="E104" s="73" t="s">
        <v>68</v>
      </c>
      <c r="F104" s="75">
        <v>51</v>
      </c>
      <c r="G104" s="76">
        <v>12217.75</v>
      </c>
      <c r="H104" s="76">
        <v>0</v>
      </c>
      <c r="I104" s="83" t="s">
        <v>256</v>
      </c>
      <c r="J104" s="76">
        <v>623105.25</v>
      </c>
      <c r="K104" s="76">
        <v>0</v>
      </c>
      <c r="L104"/>
      <c r="M104"/>
      <c r="N104"/>
    </row>
    <row r="105" spans="1:14" ht="43.2" x14ac:dyDescent="0.25">
      <c r="A105" s="84"/>
      <c r="B105" s="84"/>
      <c r="C105" s="73"/>
      <c r="D105" s="74" t="s">
        <v>257</v>
      </c>
      <c r="E105" s="73"/>
      <c r="F105" s="75"/>
      <c r="G105" s="76"/>
      <c r="H105" s="76"/>
      <c r="I105" s="83"/>
      <c r="J105" s="76"/>
      <c r="K105" s="76"/>
      <c r="L105"/>
      <c r="M105"/>
      <c r="N105"/>
    </row>
    <row r="106" spans="1:14" ht="72" x14ac:dyDescent="0.25">
      <c r="A106" s="84"/>
      <c r="B106" s="84"/>
      <c r="C106" s="73"/>
      <c r="D106" s="74" t="s">
        <v>258</v>
      </c>
      <c r="E106" s="73"/>
      <c r="F106" s="75"/>
      <c r="G106" s="76"/>
      <c r="H106" s="76"/>
      <c r="I106" s="83"/>
      <c r="J106" s="76"/>
      <c r="K106" s="76"/>
      <c r="L106"/>
      <c r="M106"/>
      <c r="N106"/>
    </row>
    <row r="107" spans="1:14" ht="43.2" x14ac:dyDescent="0.25">
      <c r="A107" s="84"/>
      <c r="B107" s="84"/>
      <c r="C107" s="73" t="s">
        <v>259</v>
      </c>
      <c r="D107" s="74" t="s">
        <v>260</v>
      </c>
      <c r="E107" s="73" t="s">
        <v>197</v>
      </c>
      <c r="F107" s="75">
        <v>58</v>
      </c>
      <c r="G107" s="76">
        <v>665.51</v>
      </c>
      <c r="H107" s="76">
        <v>0</v>
      </c>
      <c r="I107" s="83" t="s">
        <v>261</v>
      </c>
      <c r="J107" s="76">
        <v>38599.58</v>
      </c>
      <c r="K107" s="76">
        <v>0</v>
      </c>
      <c r="L107"/>
      <c r="M107"/>
      <c r="N107"/>
    </row>
    <row r="108" spans="1:14" ht="43.2" x14ac:dyDescent="0.25">
      <c r="A108" s="4"/>
      <c r="B108" s="4"/>
      <c r="C108" s="73" t="s">
        <v>262</v>
      </c>
      <c r="D108" s="74" t="s">
        <v>263</v>
      </c>
      <c r="E108" s="73" t="s">
        <v>197</v>
      </c>
      <c r="F108" s="75">
        <v>24</v>
      </c>
      <c r="G108" s="76">
        <v>861.36</v>
      </c>
      <c r="H108" s="76">
        <v>0</v>
      </c>
      <c r="I108" s="83" t="s">
        <v>264</v>
      </c>
      <c r="J108" s="76">
        <v>20672.64</v>
      </c>
      <c r="K108" s="76">
        <v>0</v>
      </c>
      <c r="L108"/>
      <c r="M108"/>
      <c r="N108"/>
    </row>
    <row r="109" spans="1:14" ht="43.2" x14ac:dyDescent="0.25">
      <c r="A109" s="4"/>
      <c r="B109" s="4"/>
      <c r="C109" s="73" t="s">
        <v>265</v>
      </c>
      <c r="D109" s="74" t="s">
        <v>266</v>
      </c>
      <c r="E109" s="73" t="s">
        <v>197</v>
      </c>
      <c r="F109" s="75">
        <v>144</v>
      </c>
      <c r="G109" s="76">
        <v>1744.94</v>
      </c>
      <c r="H109" s="76">
        <v>0</v>
      </c>
      <c r="I109" s="83" t="s">
        <v>267</v>
      </c>
      <c r="J109" s="76">
        <v>251271.36</v>
      </c>
      <c r="K109" s="76">
        <v>0</v>
      </c>
      <c r="L109"/>
      <c r="M109"/>
      <c r="N109"/>
    </row>
    <row r="110" spans="1:14" ht="43.2" x14ac:dyDescent="0.25">
      <c r="A110" s="4"/>
      <c r="B110" s="4"/>
      <c r="C110" s="73" t="s">
        <v>268</v>
      </c>
      <c r="D110" s="74" t="s">
        <v>269</v>
      </c>
      <c r="E110" s="73" t="s">
        <v>197</v>
      </c>
      <c r="F110" s="75">
        <v>366</v>
      </c>
      <c r="G110" s="76">
        <v>1447.5</v>
      </c>
      <c r="H110" s="76">
        <v>0</v>
      </c>
      <c r="I110" s="83" t="s">
        <v>270</v>
      </c>
      <c r="J110" s="76">
        <v>529785</v>
      </c>
      <c r="K110" s="76">
        <v>0</v>
      </c>
      <c r="L110"/>
      <c r="M110"/>
      <c r="N110"/>
    </row>
    <row r="111" spans="1:14" ht="72" x14ac:dyDescent="0.25">
      <c r="A111" s="84"/>
      <c r="B111" s="84"/>
      <c r="C111" s="73"/>
      <c r="D111" s="74" t="s">
        <v>271</v>
      </c>
      <c r="E111" s="73"/>
      <c r="F111" s="75"/>
      <c r="G111" s="76"/>
      <c r="H111" s="76"/>
      <c r="I111" s="83"/>
      <c r="J111" s="76"/>
      <c r="K111" s="76"/>
      <c r="L111"/>
      <c r="M111"/>
      <c r="N111"/>
    </row>
    <row r="112" spans="1:14" ht="43.2" x14ac:dyDescent="0.25">
      <c r="A112" s="84"/>
      <c r="B112" s="84"/>
      <c r="C112" s="73" t="s">
        <v>272</v>
      </c>
      <c r="D112" s="74" t="s">
        <v>243</v>
      </c>
      <c r="E112" s="73" t="s">
        <v>197</v>
      </c>
      <c r="F112" s="75">
        <v>256</v>
      </c>
      <c r="G112" s="76">
        <v>3062.01</v>
      </c>
      <c r="H112" s="76">
        <v>0</v>
      </c>
      <c r="I112" s="83" t="s">
        <v>273</v>
      </c>
      <c r="J112" s="76">
        <v>783874.56000000006</v>
      </c>
      <c r="K112" s="76">
        <v>0</v>
      </c>
      <c r="L112"/>
      <c r="M112"/>
      <c r="N112"/>
    </row>
    <row r="113" spans="1:14" ht="43.2" x14ac:dyDescent="0.25">
      <c r="A113" s="84"/>
      <c r="B113" s="84"/>
      <c r="C113" s="73" t="s">
        <v>274</v>
      </c>
      <c r="D113" s="74" t="s">
        <v>246</v>
      </c>
      <c r="E113" s="73" t="s">
        <v>197</v>
      </c>
      <c r="F113" s="75">
        <v>14</v>
      </c>
      <c r="G113" s="76">
        <v>4071.25</v>
      </c>
      <c r="H113" s="76">
        <v>0</v>
      </c>
      <c r="I113" s="83" t="s">
        <v>275</v>
      </c>
      <c r="J113" s="76">
        <v>56997.5</v>
      </c>
      <c r="K113" s="76">
        <v>0</v>
      </c>
      <c r="L113"/>
      <c r="M113"/>
      <c r="N113"/>
    </row>
    <row r="114" spans="1:14" ht="43.2" x14ac:dyDescent="0.25">
      <c r="A114" s="84"/>
      <c r="B114" s="84"/>
      <c r="C114" s="73" t="s">
        <v>276</v>
      </c>
      <c r="D114" s="74" t="s">
        <v>277</v>
      </c>
      <c r="E114" s="73" t="s">
        <v>197</v>
      </c>
      <c r="F114" s="75">
        <v>119</v>
      </c>
      <c r="G114" s="76">
        <v>4161.03</v>
      </c>
      <c r="H114" s="76">
        <v>0</v>
      </c>
      <c r="I114" s="83" t="s">
        <v>278</v>
      </c>
      <c r="J114" s="76">
        <v>495162.57</v>
      </c>
      <c r="K114" s="76">
        <v>0</v>
      </c>
      <c r="L114"/>
      <c r="M114"/>
      <c r="N114"/>
    </row>
    <row r="115" spans="1:14" ht="43.2" x14ac:dyDescent="0.25">
      <c r="A115" s="84"/>
      <c r="B115" s="84"/>
      <c r="C115" s="73" t="s">
        <v>279</v>
      </c>
      <c r="D115" s="74" t="s">
        <v>280</v>
      </c>
      <c r="E115" s="73" t="s">
        <v>197</v>
      </c>
      <c r="F115" s="75">
        <v>4</v>
      </c>
      <c r="G115" s="76">
        <v>5194.8599999999997</v>
      </c>
      <c r="H115" s="76">
        <v>0</v>
      </c>
      <c r="I115" s="83" t="s">
        <v>281</v>
      </c>
      <c r="J115" s="76">
        <v>20779.439999999999</v>
      </c>
      <c r="K115" s="76">
        <v>0</v>
      </c>
      <c r="L115"/>
      <c r="M115"/>
      <c r="N115"/>
    </row>
    <row r="116" spans="1:14" ht="43.2" x14ac:dyDescent="0.25">
      <c r="A116" s="84"/>
      <c r="B116" s="84"/>
      <c r="C116" s="73" t="s">
        <v>282</v>
      </c>
      <c r="D116" s="74" t="s">
        <v>252</v>
      </c>
      <c r="E116" s="73" t="s">
        <v>197</v>
      </c>
      <c r="F116" s="75">
        <v>57</v>
      </c>
      <c r="G116" s="76">
        <v>8980.08</v>
      </c>
      <c r="H116" s="76">
        <v>0</v>
      </c>
      <c r="I116" s="83" t="s">
        <v>283</v>
      </c>
      <c r="J116" s="76">
        <v>511864.56</v>
      </c>
      <c r="K116" s="76">
        <v>0</v>
      </c>
      <c r="L116"/>
      <c r="M116"/>
      <c r="N116"/>
    </row>
    <row r="117" spans="1:14" ht="43.2" x14ac:dyDescent="0.25">
      <c r="A117" s="84"/>
      <c r="B117" s="84"/>
      <c r="C117" s="73" t="s">
        <v>284</v>
      </c>
      <c r="D117" s="74" t="s">
        <v>255</v>
      </c>
      <c r="E117" s="73" t="s">
        <v>197</v>
      </c>
      <c r="F117" s="75">
        <v>31</v>
      </c>
      <c r="G117" s="76">
        <v>9065.16</v>
      </c>
      <c r="H117" s="76">
        <v>0</v>
      </c>
      <c r="I117" s="83" t="s">
        <v>285</v>
      </c>
      <c r="J117" s="76">
        <v>281019.96000000002</v>
      </c>
      <c r="K117" s="76">
        <v>0</v>
      </c>
      <c r="L117"/>
      <c r="M117"/>
      <c r="N117"/>
    </row>
    <row r="118" spans="1:14" ht="43.2" x14ac:dyDescent="0.25">
      <c r="A118" s="84"/>
      <c r="B118" s="84"/>
      <c r="C118" s="73"/>
      <c r="D118" s="74" t="s">
        <v>286</v>
      </c>
      <c r="E118" s="73"/>
      <c r="F118" s="75"/>
      <c r="G118" s="76"/>
      <c r="H118" s="76"/>
      <c r="I118" s="83"/>
      <c r="J118" s="76">
        <v>46928788.710000001</v>
      </c>
      <c r="K118" s="76">
        <v>19924.55</v>
      </c>
      <c r="L118"/>
      <c r="M118"/>
      <c r="N118"/>
    </row>
    <row r="119" spans="1:14" ht="57.6" x14ac:dyDescent="0.25">
      <c r="A119" s="84"/>
      <c r="B119" s="84"/>
      <c r="C119" s="73" t="s">
        <v>287</v>
      </c>
      <c r="D119" s="74" t="s">
        <v>288</v>
      </c>
      <c r="E119" s="73"/>
      <c r="F119" s="75"/>
      <c r="G119" s="76"/>
      <c r="H119" s="76"/>
      <c r="I119" s="83"/>
      <c r="J119" s="76"/>
      <c r="K119" s="76"/>
      <c r="L119"/>
      <c r="M119"/>
      <c r="N119"/>
    </row>
    <row r="120" spans="1:14" ht="72" x14ac:dyDescent="0.25">
      <c r="A120" s="84"/>
      <c r="B120" s="84"/>
      <c r="C120" s="73"/>
      <c r="D120" s="74" t="s">
        <v>289</v>
      </c>
      <c r="E120" s="73"/>
      <c r="F120" s="75"/>
      <c r="G120" s="76"/>
      <c r="H120" s="76"/>
      <c r="I120" s="83"/>
      <c r="J120" s="76"/>
      <c r="K120" s="76"/>
      <c r="L120"/>
      <c r="M120"/>
      <c r="N120"/>
    </row>
    <row r="121" spans="1:14" ht="43.2" x14ac:dyDescent="0.25">
      <c r="A121" s="84"/>
      <c r="B121" s="84"/>
      <c r="C121" s="73" t="s">
        <v>290</v>
      </c>
      <c r="D121" s="74" t="s">
        <v>291</v>
      </c>
      <c r="E121" s="73" t="s">
        <v>68</v>
      </c>
      <c r="F121" s="75">
        <v>26</v>
      </c>
      <c r="G121" s="76">
        <v>79.23</v>
      </c>
      <c r="H121" s="76">
        <v>5.8</v>
      </c>
      <c r="I121" s="83" t="s">
        <v>292</v>
      </c>
      <c r="J121" s="76">
        <v>2059.98</v>
      </c>
      <c r="K121" s="76">
        <v>150.80000000000001</v>
      </c>
      <c r="L121"/>
      <c r="M121"/>
      <c r="N121"/>
    </row>
    <row r="122" spans="1:14" ht="86.4" x14ac:dyDescent="0.25">
      <c r="A122" s="84"/>
      <c r="B122" s="84"/>
      <c r="C122" s="73"/>
      <c r="D122" s="74" t="s">
        <v>293</v>
      </c>
      <c r="E122" s="73"/>
      <c r="F122" s="75"/>
      <c r="G122" s="76"/>
      <c r="H122" s="76"/>
      <c r="I122" s="83"/>
      <c r="J122" s="76"/>
      <c r="K122" s="76"/>
      <c r="L122"/>
      <c r="M122"/>
      <c r="N122"/>
    </row>
    <row r="123" spans="1:14" ht="43.2" x14ac:dyDescent="0.25">
      <c r="A123" s="84"/>
      <c r="B123" s="84"/>
      <c r="C123" s="73" t="s">
        <v>294</v>
      </c>
      <c r="D123" s="74" t="s">
        <v>295</v>
      </c>
      <c r="E123" s="73" t="s">
        <v>68</v>
      </c>
      <c r="F123" s="75">
        <v>10</v>
      </c>
      <c r="G123" s="76">
        <v>79.23</v>
      </c>
      <c r="H123" s="76">
        <v>1.24</v>
      </c>
      <c r="I123" s="83" t="s">
        <v>296</v>
      </c>
      <c r="J123" s="76">
        <v>792.3</v>
      </c>
      <c r="K123" s="76">
        <v>12.4</v>
      </c>
      <c r="L123"/>
      <c r="M123"/>
      <c r="N123"/>
    </row>
    <row r="124" spans="1:14" ht="43.2" x14ac:dyDescent="0.25">
      <c r="A124" s="84"/>
      <c r="B124" s="84"/>
      <c r="C124" s="73" t="s">
        <v>297</v>
      </c>
      <c r="D124" s="74" t="s">
        <v>298</v>
      </c>
      <c r="E124" s="73" t="s">
        <v>68</v>
      </c>
      <c r="F124" s="75">
        <v>38</v>
      </c>
      <c r="G124" s="76">
        <v>79.23</v>
      </c>
      <c r="H124" s="76">
        <v>2.68</v>
      </c>
      <c r="I124" s="83" t="s">
        <v>299</v>
      </c>
      <c r="J124" s="76">
        <v>3010.74</v>
      </c>
      <c r="K124" s="76">
        <v>101.84</v>
      </c>
      <c r="L124"/>
      <c r="M124"/>
      <c r="N124"/>
    </row>
    <row r="125" spans="1:14" ht="57.6" x14ac:dyDescent="0.25">
      <c r="A125" s="84"/>
      <c r="B125" s="84"/>
      <c r="C125" s="73"/>
      <c r="D125" s="74" t="s">
        <v>141</v>
      </c>
      <c r="E125" s="73"/>
      <c r="F125" s="75"/>
      <c r="G125" s="76"/>
      <c r="H125" s="76"/>
      <c r="I125" s="83"/>
      <c r="J125" s="76"/>
      <c r="K125" s="76"/>
      <c r="L125"/>
      <c r="M125"/>
      <c r="N125"/>
    </row>
    <row r="126" spans="1:14" ht="57.6" x14ac:dyDescent="0.25">
      <c r="A126" s="84"/>
      <c r="B126" s="84"/>
      <c r="C126" s="73" t="s">
        <v>300</v>
      </c>
      <c r="D126" s="74" t="s">
        <v>301</v>
      </c>
      <c r="E126" s="73" t="s">
        <v>58</v>
      </c>
      <c r="F126" s="75">
        <v>188</v>
      </c>
      <c r="G126" s="76">
        <v>1328.45</v>
      </c>
      <c r="H126" s="76">
        <v>0</v>
      </c>
      <c r="I126" s="83" t="s">
        <v>302</v>
      </c>
      <c r="J126" s="76">
        <v>249748.6</v>
      </c>
      <c r="K126" s="76">
        <v>0</v>
      </c>
      <c r="L126"/>
      <c r="M126"/>
      <c r="N126"/>
    </row>
    <row r="127" spans="1:14" ht="57.6" x14ac:dyDescent="0.25">
      <c r="A127" s="84"/>
      <c r="B127" s="84"/>
      <c r="C127" s="73"/>
      <c r="D127" s="74" t="s">
        <v>303</v>
      </c>
      <c r="E127" s="73"/>
      <c r="F127" s="75"/>
      <c r="G127" s="76"/>
      <c r="H127" s="76"/>
      <c r="I127" s="83"/>
      <c r="J127" s="76"/>
      <c r="K127" s="76"/>
      <c r="L127"/>
      <c r="M127"/>
      <c r="N127"/>
    </row>
    <row r="128" spans="1:14" ht="57.6" x14ac:dyDescent="0.25">
      <c r="A128" s="84"/>
      <c r="B128" s="84"/>
      <c r="C128" s="73" t="s">
        <v>304</v>
      </c>
      <c r="D128" s="74" t="s">
        <v>305</v>
      </c>
      <c r="E128" s="73" t="s">
        <v>50</v>
      </c>
      <c r="F128" s="75">
        <v>8.5359999999999996</v>
      </c>
      <c r="G128" s="76">
        <v>203883.79</v>
      </c>
      <c r="H128" s="76">
        <v>0</v>
      </c>
      <c r="I128" s="83" t="s">
        <v>306</v>
      </c>
      <c r="J128" s="76">
        <v>1740352.03</v>
      </c>
      <c r="K128" s="76">
        <v>0</v>
      </c>
      <c r="L128"/>
      <c r="M128"/>
      <c r="N128"/>
    </row>
    <row r="129" spans="1:14" ht="43.2" x14ac:dyDescent="0.25">
      <c r="A129" s="84"/>
      <c r="B129" s="84"/>
      <c r="C129" s="73"/>
      <c r="D129" s="74" t="s">
        <v>307</v>
      </c>
      <c r="E129" s="73"/>
      <c r="F129" s="75"/>
      <c r="G129" s="76"/>
      <c r="H129" s="76"/>
      <c r="I129" s="83"/>
      <c r="J129" s="76"/>
      <c r="K129" s="76"/>
      <c r="L129"/>
      <c r="M129"/>
      <c r="N129"/>
    </row>
    <row r="130" spans="1:14" ht="43.2" x14ac:dyDescent="0.25">
      <c r="A130" s="84"/>
      <c r="B130" s="84"/>
      <c r="C130" s="73"/>
      <c r="D130" s="74" t="s">
        <v>308</v>
      </c>
      <c r="E130" s="73"/>
      <c r="F130" s="75"/>
      <c r="G130" s="76"/>
      <c r="H130" s="76"/>
      <c r="I130" s="83"/>
      <c r="J130" s="76"/>
      <c r="K130" s="76"/>
      <c r="L130"/>
      <c r="M130"/>
      <c r="N130"/>
    </row>
    <row r="131" spans="1:14" ht="57.6" x14ac:dyDescent="0.25">
      <c r="A131" s="84"/>
      <c r="B131" s="84"/>
      <c r="C131" s="73" t="s">
        <v>309</v>
      </c>
      <c r="D131" s="74" t="s">
        <v>310</v>
      </c>
      <c r="E131" s="73" t="s">
        <v>68</v>
      </c>
      <c r="F131" s="75">
        <v>64</v>
      </c>
      <c r="G131" s="76">
        <v>127.15</v>
      </c>
      <c r="H131" s="76">
        <v>186.56</v>
      </c>
      <c r="I131" s="83" t="s">
        <v>311</v>
      </c>
      <c r="J131" s="76">
        <v>8137.6</v>
      </c>
      <c r="K131" s="76">
        <v>11939.84</v>
      </c>
      <c r="L131"/>
      <c r="M131"/>
      <c r="N131"/>
    </row>
    <row r="132" spans="1:14" ht="43.2" x14ac:dyDescent="0.25">
      <c r="A132" s="84"/>
      <c r="B132" s="84"/>
      <c r="C132" s="73"/>
      <c r="D132" s="74" t="s">
        <v>312</v>
      </c>
      <c r="E132" s="73"/>
      <c r="F132" s="75"/>
      <c r="G132" s="76"/>
      <c r="H132" s="76"/>
      <c r="I132" s="83"/>
      <c r="J132" s="76"/>
      <c r="K132" s="76"/>
      <c r="L132"/>
      <c r="M132"/>
      <c r="N132"/>
    </row>
    <row r="133" spans="1:14" ht="57.6" x14ac:dyDescent="0.25">
      <c r="A133" s="84"/>
      <c r="B133" s="84"/>
      <c r="C133" s="73" t="s">
        <v>313</v>
      </c>
      <c r="D133" s="74" t="s">
        <v>314</v>
      </c>
      <c r="E133" s="73" t="s">
        <v>68</v>
      </c>
      <c r="F133" s="75">
        <v>9</v>
      </c>
      <c r="G133" s="76">
        <v>127.15</v>
      </c>
      <c r="H133" s="76">
        <v>16</v>
      </c>
      <c r="I133" s="83" t="s">
        <v>315</v>
      </c>
      <c r="J133" s="76">
        <v>1144.3499999999999</v>
      </c>
      <c r="K133" s="76">
        <v>144</v>
      </c>
      <c r="L133"/>
      <c r="M133"/>
      <c r="N133"/>
    </row>
    <row r="134" spans="1:14" ht="57.6" x14ac:dyDescent="0.25">
      <c r="A134" s="84"/>
      <c r="B134" s="84"/>
      <c r="C134" s="73" t="s">
        <v>316</v>
      </c>
      <c r="D134" s="74" t="s">
        <v>317</v>
      </c>
      <c r="E134" s="73" t="s">
        <v>68</v>
      </c>
      <c r="F134" s="75">
        <v>14</v>
      </c>
      <c r="G134" s="76">
        <v>127.15</v>
      </c>
      <c r="H134" s="76">
        <v>16.16</v>
      </c>
      <c r="I134" s="83" t="s">
        <v>318</v>
      </c>
      <c r="J134" s="76">
        <v>1780.1</v>
      </c>
      <c r="K134" s="76">
        <v>226.24</v>
      </c>
      <c r="L134"/>
      <c r="M134"/>
      <c r="N134"/>
    </row>
    <row r="135" spans="1:14" ht="57.6" x14ac:dyDescent="0.25">
      <c r="A135" s="84"/>
      <c r="B135" s="84"/>
      <c r="C135" s="73" t="s">
        <v>319</v>
      </c>
      <c r="D135" s="74" t="s">
        <v>320</v>
      </c>
      <c r="E135" s="73" t="s">
        <v>68</v>
      </c>
      <c r="F135" s="75">
        <v>14</v>
      </c>
      <c r="G135" s="76">
        <v>127.15</v>
      </c>
      <c r="H135" s="76">
        <v>10.65</v>
      </c>
      <c r="I135" s="83" t="s">
        <v>321</v>
      </c>
      <c r="J135" s="76">
        <v>1780.1</v>
      </c>
      <c r="K135" s="76">
        <v>149.1</v>
      </c>
      <c r="L135"/>
      <c r="M135"/>
      <c r="N135"/>
    </row>
    <row r="136" spans="1:14" ht="43.2" x14ac:dyDescent="0.25">
      <c r="A136" s="84"/>
      <c r="B136" s="84"/>
      <c r="C136" s="73"/>
      <c r="D136" s="74" t="s">
        <v>322</v>
      </c>
      <c r="E136" s="73"/>
      <c r="F136" s="75"/>
      <c r="G136" s="76"/>
      <c r="H136" s="76"/>
      <c r="I136" s="83"/>
      <c r="J136" s="76"/>
      <c r="K136" s="76"/>
      <c r="L136"/>
      <c r="M136"/>
      <c r="N136"/>
    </row>
    <row r="137" spans="1:14" ht="57.6" x14ac:dyDescent="0.25">
      <c r="A137" s="84"/>
      <c r="B137" s="84"/>
      <c r="C137" s="73" t="s">
        <v>323</v>
      </c>
      <c r="D137" s="74" t="s">
        <v>324</v>
      </c>
      <c r="E137" s="73" t="s">
        <v>68</v>
      </c>
      <c r="F137" s="75">
        <v>146</v>
      </c>
      <c r="G137" s="76">
        <v>127.15</v>
      </c>
      <c r="H137" s="76">
        <v>11.94</v>
      </c>
      <c r="I137" s="83" t="s">
        <v>325</v>
      </c>
      <c r="J137" s="76">
        <v>18563.900000000001</v>
      </c>
      <c r="K137" s="76">
        <v>1743.24</v>
      </c>
      <c r="L137"/>
      <c r="M137"/>
      <c r="N137"/>
    </row>
    <row r="138" spans="1:14" ht="57.6" x14ac:dyDescent="0.25">
      <c r="A138" s="84"/>
      <c r="B138" s="84"/>
      <c r="C138" s="73" t="s">
        <v>326</v>
      </c>
      <c r="D138" s="74" t="s">
        <v>327</v>
      </c>
      <c r="E138" s="73" t="s">
        <v>68</v>
      </c>
      <c r="F138" s="75">
        <v>104</v>
      </c>
      <c r="G138" s="76">
        <v>127.15</v>
      </c>
      <c r="H138" s="76">
        <v>10.75</v>
      </c>
      <c r="I138" s="83" t="s">
        <v>328</v>
      </c>
      <c r="J138" s="76">
        <v>13223.6</v>
      </c>
      <c r="K138" s="76">
        <v>1118</v>
      </c>
      <c r="L138"/>
      <c r="M138"/>
      <c r="N138"/>
    </row>
    <row r="139" spans="1:14" ht="57.6" x14ac:dyDescent="0.25">
      <c r="A139" s="84"/>
      <c r="B139" s="84"/>
      <c r="C139" s="73" t="s">
        <v>329</v>
      </c>
      <c r="D139" s="74" t="s">
        <v>330</v>
      </c>
      <c r="E139" s="73" t="s">
        <v>68</v>
      </c>
      <c r="F139" s="75">
        <v>14</v>
      </c>
      <c r="G139" s="76">
        <v>127.15</v>
      </c>
      <c r="H139" s="76">
        <v>5.46</v>
      </c>
      <c r="I139" s="83" t="s">
        <v>331</v>
      </c>
      <c r="J139" s="76">
        <v>1780.1</v>
      </c>
      <c r="K139" s="76">
        <v>76.44</v>
      </c>
      <c r="L139"/>
      <c r="M139"/>
      <c r="N139"/>
    </row>
    <row r="140" spans="1:14" ht="57.6" x14ac:dyDescent="0.25">
      <c r="A140" s="84"/>
      <c r="B140" s="84"/>
      <c r="C140" s="73" t="s">
        <v>332</v>
      </c>
      <c r="D140" s="74" t="s">
        <v>333</v>
      </c>
      <c r="E140" s="73" t="s">
        <v>68</v>
      </c>
      <c r="F140" s="75">
        <v>46</v>
      </c>
      <c r="G140" s="76">
        <v>127.15</v>
      </c>
      <c r="H140" s="76">
        <v>10.06</v>
      </c>
      <c r="I140" s="83" t="s">
        <v>334</v>
      </c>
      <c r="J140" s="76">
        <v>5848.9</v>
      </c>
      <c r="K140" s="76">
        <v>462.76</v>
      </c>
      <c r="L140"/>
      <c r="M140"/>
      <c r="N140"/>
    </row>
    <row r="141" spans="1:14" ht="57.6" x14ac:dyDescent="0.25">
      <c r="A141" s="84"/>
      <c r="B141" s="84"/>
      <c r="C141" s="73" t="s">
        <v>335</v>
      </c>
      <c r="D141" s="74" t="s">
        <v>336</v>
      </c>
      <c r="E141" s="73" t="s">
        <v>68</v>
      </c>
      <c r="F141" s="75">
        <v>13</v>
      </c>
      <c r="G141" s="76">
        <v>127.15</v>
      </c>
      <c r="H141" s="76">
        <v>8.39</v>
      </c>
      <c r="I141" s="83" t="s">
        <v>337</v>
      </c>
      <c r="J141" s="76">
        <v>1652.95</v>
      </c>
      <c r="K141" s="76">
        <v>109.07</v>
      </c>
      <c r="L141"/>
      <c r="M141"/>
      <c r="N141"/>
    </row>
    <row r="142" spans="1:14" ht="43.2" x14ac:dyDescent="0.25">
      <c r="A142" s="84"/>
      <c r="B142" s="84"/>
      <c r="C142" s="73"/>
      <c r="D142" s="74" t="s">
        <v>338</v>
      </c>
      <c r="E142" s="73"/>
      <c r="F142" s="75"/>
      <c r="G142" s="76"/>
      <c r="H142" s="76"/>
      <c r="I142" s="83"/>
      <c r="J142" s="76"/>
      <c r="K142" s="76"/>
      <c r="L142"/>
      <c r="M142"/>
      <c r="N142"/>
    </row>
    <row r="143" spans="1:14" ht="57.6" x14ac:dyDescent="0.3">
      <c r="C143" s="73" t="s">
        <v>339</v>
      </c>
      <c r="D143" s="74" t="s">
        <v>340</v>
      </c>
      <c r="E143" s="73" t="s">
        <v>68</v>
      </c>
      <c r="F143" s="75">
        <v>4</v>
      </c>
      <c r="G143" s="76">
        <v>127.15</v>
      </c>
      <c r="H143" s="76">
        <v>11.59</v>
      </c>
      <c r="I143" s="83" t="s">
        <v>341</v>
      </c>
      <c r="J143" s="76">
        <v>508.6</v>
      </c>
      <c r="K143" s="76">
        <v>46.36</v>
      </c>
      <c r="L143"/>
      <c r="M143"/>
      <c r="N143"/>
    </row>
    <row r="144" spans="1:14" ht="57.6" x14ac:dyDescent="0.3">
      <c r="C144" s="73" t="s">
        <v>342</v>
      </c>
      <c r="D144" s="74" t="s">
        <v>343</v>
      </c>
      <c r="E144" s="73" t="s">
        <v>68</v>
      </c>
      <c r="F144" s="75">
        <v>30</v>
      </c>
      <c r="G144" s="76">
        <v>127.15</v>
      </c>
      <c r="H144" s="76">
        <v>30.94</v>
      </c>
      <c r="I144" s="83" t="s">
        <v>344</v>
      </c>
      <c r="J144" s="76">
        <v>3814.5</v>
      </c>
      <c r="K144" s="76">
        <v>928.2</v>
      </c>
      <c r="L144"/>
      <c r="M144"/>
      <c r="N144"/>
    </row>
    <row r="145" spans="3:14" ht="57.6" x14ac:dyDescent="0.3">
      <c r="C145" s="73" t="s">
        <v>345</v>
      </c>
      <c r="D145" s="74" t="s">
        <v>346</v>
      </c>
      <c r="E145" s="73" t="s">
        <v>68</v>
      </c>
      <c r="F145" s="75">
        <v>16</v>
      </c>
      <c r="G145" s="76">
        <v>127.15</v>
      </c>
      <c r="H145" s="76">
        <v>21.14</v>
      </c>
      <c r="I145" s="83" t="s">
        <v>347</v>
      </c>
      <c r="J145" s="76">
        <v>2034.4</v>
      </c>
      <c r="K145" s="76">
        <v>338.24</v>
      </c>
      <c r="L145"/>
      <c r="M145"/>
      <c r="N145"/>
    </row>
    <row r="146" spans="3:14" ht="43.2" x14ac:dyDescent="0.3">
      <c r="C146" s="73"/>
      <c r="D146" s="74" t="s">
        <v>348</v>
      </c>
      <c r="E146" s="73"/>
      <c r="F146" s="75"/>
      <c r="G146" s="76"/>
      <c r="H146" s="76"/>
      <c r="I146" s="83"/>
      <c r="J146" s="76"/>
      <c r="K146" s="76"/>
      <c r="L146"/>
      <c r="M146"/>
      <c r="N146"/>
    </row>
    <row r="147" spans="3:14" ht="57.6" x14ac:dyDescent="0.3">
      <c r="C147" s="73" t="s">
        <v>349</v>
      </c>
      <c r="D147" s="74" t="s">
        <v>350</v>
      </c>
      <c r="E147" s="73" t="s">
        <v>58</v>
      </c>
      <c r="F147" s="75">
        <v>325</v>
      </c>
      <c r="G147" s="76">
        <v>2507.5100000000002</v>
      </c>
      <c r="H147" s="76">
        <v>0</v>
      </c>
      <c r="I147" s="83" t="s">
        <v>351</v>
      </c>
      <c r="J147" s="76">
        <v>814940.75</v>
      </c>
      <c r="K147" s="76">
        <v>0</v>
      </c>
      <c r="L147"/>
      <c r="M147"/>
      <c r="N147"/>
    </row>
    <row r="148" spans="3:14" ht="57.6" x14ac:dyDescent="0.3">
      <c r="C148" s="73" t="s">
        <v>352</v>
      </c>
      <c r="D148" s="74" t="s">
        <v>353</v>
      </c>
      <c r="E148" s="73" t="s">
        <v>58</v>
      </c>
      <c r="F148" s="75">
        <v>1000</v>
      </c>
      <c r="G148" s="76">
        <v>2431.64</v>
      </c>
      <c r="H148" s="76">
        <v>0</v>
      </c>
      <c r="I148" s="83" t="s">
        <v>354</v>
      </c>
      <c r="J148" s="76">
        <v>2431640</v>
      </c>
      <c r="K148" s="76">
        <v>0</v>
      </c>
      <c r="L148"/>
      <c r="M148"/>
      <c r="N148"/>
    </row>
    <row r="149" spans="3:14" ht="72" x14ac:dyDescent="0.3">
      <c r="C149" s="73" t="s">
        <v>355</v>
      </c>
      <c r="D149" s="74" t="s">
        <v>356</v>
      </c>
      <c r="E149" s="73" t="s">
        <v>58</v>
      </c>
      <c r="F149" s="75">
        <v>22.1</v>
      </c>
      <c r="G149" s="76">
        <v>2431.64</v>
      </c>
      <c r="H149" s="76">
        <v>0</v>
      </c>
      <c r="I149" s="83" t="s">
        <v>354</v>
      </c>
      <c r="J149" s="76">
        <v>53739.24</v>
      </c>
      <c r="K149" s="76">
        <v>0</v>
      </c>
      <c r="L149"/>
      <c r="M149"/>
      <c r="N149"/>
    </row>
    <row r="150" spans="3:14" ht="57.6" x14ac:dyDescent="0.3">
      <c r="C150" s="73"/>
      <c r="D150" s="74" t="s">
        <v>357</v>
      </c>
      <c r="E150" s="73"/>
      <c r="F150" s="75"/>
      <c r="G150" s="76"/>
      <c r="H150" s="76"/>
      <c r="I150" s="83"/>
      <c r="J150" s="76"/>
      <c r="K150" s="76"/>
      <c r="L150"/>
      <c r="M150"/>
      <c r="N150"/>
    </row>
    <row r="151" spans="3:14" ht="57.6" x14ac:dyDescent="0.3">
      <c r="C151" s="73" t="s">
        <v>358</v>
      </c>
      <c r="D151" s="74" t="s">
        <v>359</v>
      </c>
      <c r="E151" s="73" t="s">
        <v>68</v>
      </c>
      <c r="F151" s="75">
        <v>6</v>
      </c>
      <c r="G151" s="76">
        <v>127.15</v>
      </c>
      <c r="H151" s="76">
        <v>21.14</v>
      </c>
      <c r="I151" s="83" t="s">
        <v>347</v>
      </c>
      <c r="J151" s="76">
        <v>762.9</v>
      </c>
      <c r="K151" s="76">
        <v>126.84</v>
      </c>
      <c r="L151"/>
      <c r="M151"/>
      <c r="N151"/>
    </row>
    <row r="152" spans="3:14" ht="57.6" x14ac:dyDescent="0.3">
      <c r="C152" s="73"/>
      <c r="D152" s="74" t="s">
        <v>360</v>
      </c>
      <c r="E152" s="73"/>
      <c r="F152" s="75"/>
      <c r="G152" s="76"/>
      <c r="H152" s="76"/>
      <c r="I152" s="83"/>
      <c r="J152" s="76"/>
      <c r="K152" s="76"/>
      <c r="L152"/>
      <c r="M152"/>
      <c r="N152"/>
    </row>
    <row r="153" spans="3:14" ht="57.6" x14ac:dyDescent="0.3">
      <c r="C153" s="73" t="s">
        <v>361</v>
      </c>
      <c r="D153" s="74" t="s">
        <v>362</v>
      </c>
      <c r="E153" s="73" t="s">
        <v>68</v>
      </c>
      <c r="F153" s="75">
        <v>50</v>
      </c>
      <c r="G153" s="76">
        <v>127.15</v>
      </c>
      <c r="H153" s="76">
        <v>35.700000000000003</v>
      </c>
      <c r="I153" s="83" t="s">
        <v>363</v>
      </c>
      <c r="J153" s="76">
        <v>6357.5</v>
      </c>
      <c r="K153" s="76">
        <v>1785</v>
      </c>
      <c r="L153"/>
      <c r="M153"/>
      <c r="N153"/>
    </row>
    <row r="154" spans="3:14" ht="72" x14ac:dyDescent="0.3">
      <c r="C154" s="73" t="s">
        <v>364</v>
      </c>
      <c r="D154" s="74" t="s">
        <v>365</v>
      </c>
      <c r="E154" s="73" t="s">
        <v>68</v>
      </c>
      <c r="F154" s="75">
        <v>86</v>
      </c>
      <c r="G154" s="76">
        <v>127.15</v>
      </c>
      <c r="H154" s="76">
        <v>27.36</v>
      </c>
      <c r="I154" s="83" t="s">
        <v>366</v>
      </c>
      <c r="J154" s="76">
        <v>10934.9</v>
      </c>
      <c r="K154" s="76">
        <v>2352.96</v>
      </c>
      <c r="L154"/>
      <c r="M154"/>
      <c r="N154"/>
    </row>
    <row r="155" spans="3:14" ht="43.2" x14ac:dyDescent="0.3">
      <c r="C155" s="73"/>
      <c r="D155" s="74" t="s">
        <v>367</v>
      </c>
      <c r="E155" s="73"/>
      <c r="F155" s="75"/>
      <c r="G155" s="76"/>
      <c r="H155" s="76"/>
      <c r="I155" s="83"/>
      <c r="J155" s="76"/>
      <c r="K155" s="76"/>
      <c r="L155"/>
      <c r="M155"/>
      <c r="N155"/>
    </row>
    <row r="156" spans="3:14" ht="43.2" x14ac:dyDescent="0.3">
      <c r="C156" s="73"/>
      <c r="D156" s="74" t="s">
        <v>368</v>
      </c>
      <c r="E156" s="73"/>
      <c r="F156" s="75"/>
      <c r="G156" s="76"/>
      <c r="H156" s="76"/>
      <c r="I156" s="83"/>
      <c r="J156" s="76"/>
      <c r="K156" s="76"/>
      <c r="L156"/>
      <c r="M156"/>
      <c r="N156"/>
    </row>
    <row r="157" spans="3:14" ht="72" x14ac:dyDescent="0.3">
      <c r="C157" s="73" t="s">
        <v>369</v>
      </c>
      <c r="D157" s="74" t="s">
        <v>370</v>
      </c>
      <c r="E157" s="73" t="s">
        <v>68</v>
      </c>
      <c r="F157" s="75">
        <v>67</v>
      </c>
      <c r="G157" s="76">
        <v>1182.58</v>
      </c>
      <c r="H157" s="76">
        <v>0</v>
      </c>
      <c r="I157" s="83" t="s">
        <v>371</v>
      </c>
      <c r="J157" s="76">
        <v>79232.86</v>
      </c>
      <c r="K157" s="76">
        <v>0</v>
      </c>
      <c r="L157"/>
      <c r="M157"/>
      <c r="N157"/>
    </row>
    <row r="158" spans="3:14" ht="72" x14ac:dyDescent="0.3">
      <c r="C158" s="73"/>
      <c r="D158" s="74" t="s">
        <v>372</v>
      </c>
      <c r="E158" s="73"/>
      <c r="F158" s="75"/>
      <c r="G158" s="76"/>
      <c r="H158" s="76"/>
      <c r="I158" s="83"/>
      <c r="J158" s="76"/>
      <c r="K158" s="76"/>
      <c r="L158"/>
      <c r="M158"/>
      <c r="N158"/>
    </row>
    <row r="159" spans="3:14" ht="72" x14ac:dyDescent="0.3">
      <c r="C159" s="73" t="s">
        <v>373</v>
      </c>
      <c r="D159" s="74" t="s">
        <v>374</v>
      </c>
      <c r="E159" s="73" t="s">
        <v>58</v>
      </c>
      <c r="F159" s="75">
        <v>100</v>
      </c>
      <c r="G159" s="76">
        <v>67.28</v>
      </c>
      <c r="H159" s="76">
        <v>0</v>
      </c>
      <c r="I159" s="83" t="s">
        <v>375</v>
      </c>
      <c r="J159" s="76">
        <v>6728</v>
      </c>
      <c r="K159" s="76">
        <v>0</v>
      </c>
      <c r="L159"/>
      <c r="M159"/>
      <c r="N159"/>
    </row>
    <row r="160" spans="3:14" ht="72" x14ac:dyDescent="0.3">
      <c r="C160" s="73" t="s">
        <v>376</v>
      </c>
      <c r="D160" s="74" t="s">
        <v>377</v>
      </c>
      <c r="E160" s="73" t="s">
        <v>58</v>
      </c>
      <c r="F160" s="75">
        <v>100</v>
      </c>
      <c r="G160" s="76">
        <v>67.28</v>
      </c>
      <c r="H160" s="76">
        <v>0</v>
      </c>
      <c r="I160" s="83" t="s">
        <v>375</v>
      </c>
      <c r="J160" s="76">
        <v>6728</v>
      </c>
      <c r="K160" s="76">
        <v>0</v>
      </c>
      <c r="L160"/>
      <c r="M160"/>
      <c r="N160"/>
    </row>
    <row r="161" spans="3:14" ht="72" x14ac:dyDescent="0.3">
      <c r="C161" s="73" t="s">
        <v>378</v>
      </c>
      <c r="D161" s="74" t="s">
        <v>379</v>
      </c>
      <c r="E161" s="73" t="s">
        <v>58</v>
      </c>
      <c r="F161" s="75">
        <v>100</v>
      </c>
      <c r="G161" s="76">
        <v>184.8</v>
      </c>
      <c r="H161" s="76">
        <v>0</v>
      </c>
      <c r="I161" s="83" t="s">
        <v>380</v>
      </c>
      <c r="J161" s="76">
        <v>18480</v>
      </c>
      <c r="K161" s="76">
        <v>0</v>
      </c>
      <c r="L161"/>
      <c r="M161"/>
      <c r="N161"/>
    </row>
    <row r="162" spans="3:14" ht="72" x14ac:dyDescent="0.3">
      <c r="C162" s="73" t="s">
        <v>381</v>
      </c>
      <c r="D162" s="74" t="s">
        <v>382</v>
      </c>
      <c r="E162" s="73" t="s">
        <v>58</v>
      </c>
      <c r="F162" s="75">
        <v>100</v>
      </c>
      <c r="G162" s="76">
        <v>302.20999999999998</v>
      </c>
      <c r="H162" s="76">
        <v>0</v>
      </c>
      <c r="I162" s="83" t="s">
        <v>383</v>
      </c>
      <c r="J162" s="76">
        <v>30221</v>
      </c>
      <c r="K162" s="76">
        <v>0</v>
      </c>
      <c r="L162"/>
      <c r="M162"/>
      <c r="N162"/>
    </row>
    <row r="163" spans="3:14" ht="72" x14ac:dyDescent="0.3">
      <c r="C163" s="73"/>
      <c r="D163" s="74" t="s">
        <v>384</v>
      </c>
      <c r="E163" s="73"/>
      <c r="F163" s="75"/>
      <c r="G163" s="76"/>
      <c r="H163" s="76"/>
      <c r="I163" s="83"/>
      <c r="J163" s="76"/>
      <c r="K163" s="76"/>
      <c r="L163"/>
      <c r="M163"/>
      <c r="N163"/>
    </row>
    <row r="164" spans="3:14" ht="86.4" x14ac:dyDescent="0.3">
      <c r="C164" s="73" t="s">
        <v>385</v>
      </c>
      <c r="D164" s="74" t="s">
        <v>386</v>
      </c>
      <c r="E164" s="73" t="s">
        <v>68</v>
      </c>
      <c r="F164" s="75">
        <v>27</v>
      </c>
      <c r="G164" s="76">
        <v>3096.76</v>
      </c>
      <c r="H164" s="76">
        <v>0</v>
      </c>
      <c r="I164" s="83" t="s">
        <v>387</v>
      </c>
      <c r="J164" s="76">
        <v>83612.52</v>
      </c>
      <c r="K164" s="76">
        <v>0</v>
      </c>
      <c r="L164"/>
      <c r="M164"/>
      <c r="N164"/>
    </row>
    <row r="165" spans="3:14" ht="72" x14ac:dyDescent="0.3">
      <c r="C165" s="73" t="s">
        <v>388</v>
      </c>
      <c r="D165" s="74" t="s">
        <v>389</v>
      </c>
      <c r="E165" s="73" t="s">
        <v>68</v>
      </c>
      <c r="F165" s="75">
        <v>1</v>
      </c>
      <c r="G165" s="76">
        <v>3096.76</v>
      </c>
      <c r="H165" s="76">
        <v>0</v>
      </c>
      <c r="I165" s="83" t="s">
        <v>387</v>
      </c>
      <c r="J165" s="76">
        <v>3096.76</v>
      </c>
      <c r="K165" s="76">
        <v>0</v>
      </c>
      <c r="L165"/>
      <c r="M165"/>
      <c r="N165"/>
    </row>
    <row r="166" spans="3:14" ht="72" x14ac:dyDescent="0.3">
      <c r="C166" s="73" t="s">
        <v>390</v>
      </c>
      <c r="D166" s="74" t="s">
        <v>391</v>
      </c>
      <c r="E166" s="73" t="s">
        <v>68</v>
      </c>
      <c r="F166" s="75">
        <v>4</v>
      </c>
      <c r="G166" s="76">
        <v>3383.95</v>
      </c>
      <c r="H166" s="76">
        <v>0</v>
      </c>
      <c r="I166" s="83" t="s">
        <v>392</v>
      </c>
      <c r="J166" s="76">
        <v>13535.8</v>
      </c>
      <c r="K166" s="76">
        <v>0</v>
      </c>
      <c r="L166"/>
      <c r="M166"/>
      <c r="N166"/>
    </row>
    <row r="167" spans="3:14" ht="57.6" x14ac:dyDescent="0.3">
      <c r="C167" s="73"/>
      <c r="D167" s="74" t="s">
        <v>393</v>
      </c>
      <c r="E167" s="73"/>
      <c r="F167" s="75"/>
      <c r="G167" s="76"/>
      <c r="H167" s="76"/>
      <c r="I167" s="83"/>
      <c r="J167" s="76"/>
      <c r="K167" s="76"/>
      <c r="L167"/>
      <c r="M167"/>
      <c r="N167"/>
    </row>
    <row r="168" spans="3:14" ht="57.6" x14ac:dyDescent="0.3">
      <c r="C168" s="73" t="s">
        <v>394</v>
      </c>
      <c r="D168" s="74" t="s">
        <v>395</v>
      </c>
      <c r="E168" s="73" t="s">
        <v>68</v>
      </c>
      <c r="F168" s="75">
        <v>8</v>
      </c>
      <c r="G168" s="76">
        <v>1311.53</v>
      </c>
      <c r="H168" s="76">
        <v>21.14</v>
      </c>
      <c r="I168" s="83" t="s">
        <v>396</v>
      </c>
      <c r="J168" s="76">
        <v>10492.24</v>
      </c>
      <c r="K168" s="76">
        <v>169.12</v>
      </c>
      <c r="L168"/>
      <c r="M168"/>
      <c r="N168"/>
    </row>
    <row r="169" spans="3:14" ht="43.2" x14ac:dyDescent="0.3">
      <c r="C169" s="73"/>
      <c r="D169" s="74" t="s">
        <v>397</v>
      </c>
      <c r="E169" s="73"/>
      <c r="F169" s="75"/>
      <c r="G169" s="76"/>
      <c r="H169" s="76"/>
      <c r="I169" s="83"/>
      <c r="J169" s="76"/>
      <c r="K169" s="76"/>
      <c r="L169"/>
      <c r="M169"/>
      <c r="N169"/>
    </row>
    <row r="170" spans="3:14" ht="72" x14ac:dyDescent="0.3">
      <c r="C170" s="73" t="s">
        <v>398</v>
      </c>
      <c r="D170" s="74" t="s">
        <v>399</v>
      </c>
      <c r="E170" s="73" t="s">
        <v>68</v>
      </c>
      <c r="F170" s="75">
        <v>20</v>
      </c>
      <c r="G170" s="76">
        <v>1629.74</v>
      </c>
      <c r="H170" s="76">
        <v>0</v>
      </c>
      <c r="I170" s="83" t="s">
        <v>400</v>
      </c>
      <c r="J170" s="76">
        <v>32594.799999999999</v>
      </c>
      <c r="K170" s="76">
        <v>0</v>
      </c>
      <c r="L170"/>
      <c r="M170"/>
      <c r="N170"/>
    </row>
    <row r="171" spans="3:14" ht="72" x14ac:dyDescent="0.3">
      <c r="C171" s="73" t="s">
        <v>401</v>
      </c>
      <c r="D171" s="74" t="s">
        <v>402</v>
      </c>
      <c r="E171" s="73" t="s">
        <v>68</v>
      </c>
      <c r="F171" s="75">
        <v>6</v>
      </c>
      <c r="G171" s="76">
        <v>1629.74</v>
      </c>
      <c r="H171" s="76">
        <v>0</v>
      </c>
      <c r="I171" s="83" t="s">
        <v>400</v>
      </c>
      <c r="J171" s="76">
        <v>9778.44</v>
      </c>
      <c r="K171" s="76">
        <v>0</v>
      </c>
      <c r="L171"/>
      <c r="M171"/>
      <c r="N171"/>
    </row>
    <row r="172" spans="3:14" ht="86.4" x14ac:dyDescent="0.3">
      <c r="C172" s="73"/>
      <c r="D172" s="74" t="s">
        <v>403</v>
      </c>
      <c r="E172" s="73"/>
      <c r="F172" s="75"/>
      <c r="G172" s="76"/>
      <c r="H172" s="76"/>
      <c r="I172" s="83"/>
      <c r="J172" s="76"/>
      <c r="K172" s="76"/>
      <c r="L172"/>
      <c r="M172"/>
      <c r="N172"/>
    </row>
    <row r="173" spans="3:14" ht="72" x14ac:dyDescent="0.3">
      <c r="C173" s="73" t="s">
        <v>404</v>
      </c>
      <c r="D173" s="74" t="s">
        <v>405</v>
      </c>
      <c r="E173" s="73" t="s">
        <v>68</v>
      </c>
      <c r="F173" s="75">
        <v>12</v>
      </c>
      <c r="G173" s="76">
        <v>2845.76</v>
      </c>
      <c r="H173" s="76">
        <v>0</v>
      </c>
      <c r="I173" s="83" t="s">
        <v>406</v>
      </c>
      <c r="J173" s="76">
        <v>34149.120000000003</v>
      </c>
      <c r="K173" s="76">
        <v>0</v>
      </c>
      <c r="L173"/>
      <c r="M173"/>
      <c r="N173"/>
    </row>
    <row r="174" spans="3:14" ht="72" x14ac:dyDescent="0.3">
      <c r="C174" s="73"/>
      <c r="D174" s="74" t="s">
        <v>407</v>
      </c>
      <c r="E174" s="73"/>
      <c r="F174" s="75"/>
      <c r="G174" s="76"/>
      <c r="H174" s="76"/>
      <c r="I174" s="83"/>
      <c r="J174" s="76"/>
      <c r="K174" s="76"/>
      <c r="L174"/>
      <c r="M174"/>
      <c r="N174"/>
    </row>
    <row r="175" spans="3:14" ht="72" x14ac:dyDescent="0.3">
      <c r="C175" s="73" t="s">
        <v>408</v>
      </c>
      <c r="D175" s="74" t="s">
        <v>409</v>
      </c>
      <c r="E175" s="73" t="s">
        <v>68</v>
      </c>
      <c r="F175" s="75">
        <v>23</v>
      </c>
      <c r="G175" s="76">
        <v>2598.65</v>
      </c>
      <c r="H175" s="76">
        <v>0</v>
      </c>
      <c r="I175" s="83" t="s">
        <v>410</v>
      </c>
      <c r="J175" s="76">
        <v>59768.95</v>
      </c>
      <c r="K175" s="76">
        <v>0</v>
      </c>
      <c r="L175"/>
      <c r="M175"/>
      <c r="N175"/>
    </row>
    <row r="176" spans="3:14" ht="57.6" x14ac:dyDescent="0.3">
      <c r="C176" s="73"/>
      <c r="D176" s="74" t="s">
        <v>411</v>
      </c>
      <c r="E176" s="73"/>
      <c r="F176" s="75"/>
      <c r="G176" s="76"/>
      <c r="H176" s="76"/>
      <c r="I176" s="83"/>
      <c r="J176" s="76"/>
      <c r="K176" s="76"/>
      <c r="L176"/>
      <c r="M176"/>
      <c r="N176"/>
    </row>
    <row r="177" spans="3:14" ht="100.8" x14ac:dyDescent="0.3">
      <c r="C177" s="73" t="s">
        <v>412</v>
      </c>
      <c r="D177" s="74" t="s">
        <v>413</v>
      </c>
      <c r="E177" s="73" t="s">
        <v>68</v>
      </c>
      <c r="F177" s="75">
        <v>25</v>
      </c>
      <c r="G177" s="76">
        <v>570.58000000000004</v>
      </c>
      <c r="H177" s="76">
        <v>42.29</v>
      </c>
      <c r="I177" s="83" t="s">
        <v>414</v>
      </c>
      <c r="J177" s="76">
        <v>14264.5</v>
      </c>
      <c r="K177" s="76">
        <v>1057.25</v>
      </c>
      <c r="L177"/>
      <c r="M177"/>
      <c r="N177"/>
    </row>
    <row r="178" spans="3:14" ht="57.6" x14ac:dyDescent="0.3">
      <c r="C178" s="73"/>
      <c r="D178" s="74" t="s">
        <v>415</v>
      </c>
      <c r="E178" s="73"/>
      <c r="F178" s="75"/>
      <c r="G178" s="76"/>
      <c r="H178" s="76"/>
      <c r="I178" s="83"/>
      <c r="J178" s="76"/>
      <c r="K178" s="76"/>
      <c r="L178"/>
      <c r="M178"/>
      <c r="N178"/>
    </row>
    <row r="179" spans="3:14" ht="57.6" x14ac:dyDescent="0.3">
      <c r="C179" s="73" t="s">
        <v>416</v>
      </c>
      <c r="D179" s="74" t="s">
        <v>417</v>
      </c>
      <c r="E179" s="73" t="s">
        <v>68</v>
      </c>
      <c r="F179" s="75">
        <v>9</v>
      </c>
      <c r="G179" s="76">
        <v>3479.35</v>
      </c>
      <c r="H179" s="76">
        <v>0</v>
      </c>
      <c r="I179" s="83" t="s">
        <v>418</v>
      </c>
      <c r="J179" s="76">
        <v>31314.15</v>
      </c>
      <c r="K179" s="76">
        <v>0</v>
      </c>
      <c r="L179"/>
      <c r="M179"/>
      <c r="N179"/>
    </row>
    <row r="180" spans="3:14" ht="72" x14ac:dyDescent="0.3">
      <c r="C180" s="73"/>
      <c r="D180" s="74" t="s">
        <v>419</v>
      </c>
      <c r="E180" s="73"/>
      <c r="F180" s="75"/>
      <c r="G180" s="76"/>
      <c r="H180" s="76"/>
      <c r="I180" s="83"/>
      <c r="J180" s="76"/>
      <c r="K180" s="76"/>
      <c r="L180"/>
      <c r="M180"/>
      <c r="N180"/>
    </row>
    <row r="181" spans="3:14" ht="57.6" x14ac:dyDescent="0.3">
      <c r="C181" s="73" t="s">
        <v>420</v>
      </c>
      <c r="D181" s="74" t="s">
        <v>421</v>
      </c>
      <c r="E181" s="73" t="s">
        <v>58</v>
      </c>
      <c r="F181" s="75">
        <v>106</v>
      </c>
      <c r="G181" s="76">
        <v>1271.08</v>
      </c>
      <c r="H181" s="76">
        <v>0</v>
      </c>
      <c r="I181" s="83" t="s">
        <v>422</v>
      </c>
      <c r="J181" s="76">
        <v>134734.48000000001</v>
      </c>
      <c r="K181" s="76">
        <v>0</v>
      </c>
      <c r="L181"/>
      <c r="M181"/>
      <c r="N181"/>
    </row>
    <row r="182" spans="3:14" ht="43.2" x14ac:dyDescent="0.3">
      <c r="C182" s="73"/>
      <c r="D182" s="74" t="s">
        <v>423</v>
      </c>
      <c r="E182" s="73"/>
      <c r="F182" s="75"/>
      <c r="G182" s="76"/>
      <c r="H182" s="76"/>
      <c r="I182" s="83"/>
      <c r="J182" s="76"/>
      <c r="K182" s="76"/>
      <c r="L182"/>
      <c r="M182"/>
      <c r="N182"/>
    </row>
    <row r="183" spans="3:14" ht="43.2" x14ac:dyDescent="0.3">
      <c r="C183" s="73" t="s">
        <v>424</v>
      </c>
      <c r="D183" s="74" t="s">
        <v>425</v>
      </c>
      <c r="E183" s="73" t="s">
        <v>219</v>
      </c>
      <c r="F183" s="75">
        <v>0.5</v>
      </c>
      <c r="G183" s="76">
        <v>1223.3</v>
      </c>
      <c r="H183" s="76">
        <v>0</v>
      </c>
      <c r="I183" s="83" t="s">
        <v>426</v>
      </c>
      <c r="J183" s="76">
        <v>611.65</v>
      </c>
      <c r="K183" s="76">
        <v>0</v>
      </c>
      <c r="L183"/>
      <c r="M183"/>
      <c r="N183"/>
    </row>
    <row r="184" spans="3:14" ht="129.6" x14ac:dyDescent="0.3">
      <c r="C184" s="73"/>
      <c r="D184" s="74" t="s">
        <v>427</v>
      </c>
      <c r="E184" s="73"/>
      <c r="F184" s="75"/>
      <c r="G184" s="76"/>
      <c r="H184" s="76"/>
      <c r="I184" s="83"/>
      <c r="J184" s="76"/>
      <c r="K184" s="76"/>
      <c r="L184"/>
      <c r="M184"/>
      <c r="N184"/>
    </row>
    <row r="185" spans="3:14" ht="115.2" x14ac:dyDescent="0.3">
      <c r="C185" s="73" t="s">
        <v>428</v>
      </c>
      <c r="D185" s="74" t="s">
        <v>427</v>
      </c>
      <c r="E185" s="73" t="s">
        <v>219</v>
      </c>
      <c r="F185" s="75">
        <v>120</v>
      </c>
      <c r="G185" s="76">
        <v>830.63</v>
      </c>
      <c r="H185" s="76">
        <v>0</v>
      </c>
      <c r="I185" s="83" t="s">
        <v>429</v>
      </c>
      <c r="J185" s="76">
        <v>99675.6</v>
      </c>
      <c r="K185" s="76">
        <v>0</v>
      </c>
      <c r="L185"/>
      <c r="M185"/>
      <c r="N185"/>
    </row>
    <row r="186" spans="3:14" ht="115.2" x14ac:dyDescent="0.3">
      <c r="C186" s="73" t="s">
        <v>430</v>
      </c>
      <c r="D186" s="74" t="s">
        <v>431</v>
      </c>
      <c r="E186" s="73" t="s">
        <v>219</v>
      </c>
      <c r="F186" s="75">
        <v>250</v>
      </c>
      <c r="G186" s="76">
        <v>896.48</v>
      </c>
      <c r="H186" s="76">
        <v>0</v>
      </c>
      <c r="I186" s="83" t="s">
        <v>432</v>
      </c>
      <c r="J186" s="76">
        <v>224120</v>
      </c>
      <c r="K186" s="76">
        <v>0</v>
      </c>
      <c r="L186"/>
      <c r="M186"/>
      <c r="N186"/>
    </row>
    <row r="187" spans="3:14" ht="86.4" x14ac:dyDescent="0.3">
      <c r="C187" s="73" t="s">
        <v>433</v>
      </c>
      <c r="D187" s="74" t="s">
        <v>434</v>
      </c>
      <c r="E187" s="73" t="s">
        <v>219</v>
      </c>
      <c r="F187" s="75">
        <v>400</v>
      </c>
      <c r="G187" s="76">
        <v>2295.75</v>
      </c>
      <c r="H187" s="76">
        <v>0</v>
      </c>
      <c r="I187" s="83" t="s">
        <v>435</v>
      </c>
      <c r="J187" s="76">
        <v>918300</v>
      </c>
      <c r="K187" s="76">
        <v>0</v>
      </c>
      <c r="L187"/>
      <c r="M187"/>
      <c r="N187"/>
    </row>
    <row r="188" spans="3:14" ht="57.6" x14ac:dyDescent="0.3">
      <c r="C188" s="73"/>
      <c r="D188" s="74" t="s">
        <v>235</v>
      </c>
      <c r="E188" s="73"/>
      <c r="F188" s="75"/>
      <c r="G188" s="76"/>
      <c r="H188" s="76"/>
      <c r="I188" s="83"/>
      <c r="J188" s="76"/>
      <c r="K188" s="76"/>
      <c r="L188"/>
      <c r="M188"/>
      <c r="N188"/>
    </row>
    <row r="189" spans="3:14" ht="43.2" x14ac:dyDescent="0.3">
      <c r="C189" s="73" t="s">
        <v>436</v>
      </c>
      <c r="D189" s="74" t="s">
        <v>237</v>
      </c>
      <c r="E189" s="73" t="s">
        <v>68</v>
      </c>
      <c r="F189" s="75">
        <v>2</v>
      </c>
      <c r="G189" s="76">
        <v>10059.26</v>
      </c>
      <c r="H189" s="76">
        <v>0</v>
      </c>
      <c r="I189" s="83" t="s">
        <v>437</v>
      </c>
      <c r="J189" s="76">
        <v>20118.52</v>
      </c>
      <c r="K189" s="76">
        <v>0</v>
      </c>
      <c r="L189"/>
      <c r="M189"/>
      <c r="N189"/>
    </row>
    <row r="190" spans="3:14" ht="43.2" x14ac:dyDescent="0.3">
      <c r="C190" s="73" t="s">
        <v>438</v>
      </c>
      <c r="D190" s="74" t="s">
        <v>439</v>
      </c>
      <c r="E190" s="73" t="s">
        <v>68</v>
      </c>
      <c r="F190" s="75">
        <v>47</v>
      </c>
      <c r="G190" s="76">
        <v>10059.26</v>
      </c>
      <c r="H190" s="76">
        <v>0</v>
      </c>
      <c r="I190" s="83" t="s">
        <v>437</v>
      </c>
      <c r="J190" s="76">
        <v>472785.22</v>
      </c>
      <c r="K190" s="76">
        <v>0</v>
      </c>
      <c r="L190"/>
      <c r="M190"/>
      <c r="N190"/>
    </row>
    <row r="191" spans="3:14" ht="43.2" x14ac:dyDescent="0.3">
      <c r="C191" s="73" t="s">
        <v>440</v>
      </c>
      <c r="D191" s="74" t="s">
        <v>246</v>
      </c>
      <c r="E191" s="73" t="s">
        <v>68</v>
      </c>
      <c r="F191" s="75">
        <v>8</v>
      </c>
      <c r="G191" s="76">
        <v>10059.26</v>
      </c>
      <c r="H191" s="76">
        <v>0</v>
      </c>
      <c r="I191" s="83" t="s">
        <v>437</v>
      </c>
      <c r="J191" s="76">
        <v>80474.080000000002</v>
      </c>
      <c r="K191" s="76">
        <v>0</v>
      </c>
      <c r="L191"/>
      <c r="M191"/>
      <c r="N191"/>
    </row>
    <row r="192" spans="3:14" ht="43.2" x14ac:dyDescent="0.3">
      <c r="C192" s="73" t="s">
        <v>441</v>
      </c>
      <c r="D192" s="74" t="s">
        <v>442</v>
      </c>
      <c r="E192" s="73" t="s">
        <v>68</v>
      </c>
      <c r="F192" s="75">
        <v>10</v>
      </c>
      <c r="G192" s="76">
        <v>11964.73</v>
      </c>
      <c r="H192" s="76">
        <v>0</v>
      </c>
      <c r="I192" s="83" t="s">
        <v>443</v>
      </c>
      <c r="J192" s="76">
        <v>119647.3</v>
      </c>
      <c r="K192" s="76">
        <v>0</v>
      </c>
      <c r="L192"/>
      <c r="M192"/>
      <c r="N192"/>
    </row>
    <row r="193" spans="3:14" ht="43.2" x14ac:dyDescent="0.3">
      <c r="C193" s="73" t="s">
        <v>444</v>
      </c>
      <c r="D193" s="74" t="s">
        <v>252</v>
      </c>
      <c r="E193" s="73" t="s">
        <v>68</v>
      </c>
      <c r="F193" s="75">
        <v>2</v>
      </c>
      <c r="G193" s="76">
        <v>11964.73</v>
      </c>
      <c r="H193" s="76">
        <v>0</v>
      </c>
      <c r="I193" s="83" t="s">
        <v>443</v>
      </c>
      <c r="J193" s="76">
        <v>23929.46</v>
      </c>
      <c r="K193" s="76">
        <v>0</v>
      </c>
      <c r="L193"/>
      <c r="M193"/>
      <c r="N193"/>
    </row>
    <row r="194" spans="3:14" ht="43.2" x14ac:dyDescent="0.3">
      <c r="C194" s="73" t="s">
        <v>445</v>
      </c>
      <c r="D194" s="74" t="s">
        <v>255</v>
      </c>
      <c r="E194" s="73" t="s">
        <v>68</v>
      </c>
      <c r="F194" s="75">
        <v>61</v>
      </c>
      <c r="G194" s="76">
        <v>11964.73</v>
      </c>
      <c r="H194" s="76">
        <v>0</v>
      </c>
      <c r="I194" s="83" t="s">
        <v>443</v>
      </c>
      <c r="J194" s="76">
        <v>729848.53</v>
      </c>
      <c r="K194" s="76">
        <v>0</v>
      </c>
      <c r="L194"/>
      <c r="M194"/>
      <c r="N194"/>
    </row>
    <row r="195" spans="3:14" ht="43.2" x14ac:dyDescent="0.3">
      <c r="C195" s="73"/>
      <c r="D195" s="74" t="s">
        <v>257</v>
      </c>
      <c r="E195" s="73"/>
      <c r="F195" s="75"/>
      <c r="G195" s="76"/>
      <c r="H195" s="76"/>
      <c r="I195" s="83"/>
      <c r="J195" s="76"/>
      <c r="K195" s="76"/>
      <c r="L195"/>
      <c r="M195"/>
      <c r="N195"/>
    </row>
    <row r="196" spans="3:14" ht="72" x14ac:dyDescent="0.3">
      <c r="C196" s="73"/>
      <c r="D196" s="74" t="s">
        <v>258</v>
      </c>
      <c r="E196" s="73"/>
      <c r="F196" s="75"/>
      <c r="G196" s="76"/>
      <c r="H196" s="76"/>
      <c r="I196" s="83"/>
      <c r="J196" s="76"/>
      <c r="K196" s="76"/>
      <c r="L196"/>
      <c r="M196"/>
      <c r="N196"/>
    </row>
    <row r="197" spans="3:14" ht="43.2" x14ac:dyDescent="0.3">
      <c r="C197" s="73" t="s">
        <v>446</v>
      </c>
      <c r="D197" s="74" t="s">
        <v>266</v>
      </c>
      <c r="E197" s="73" t="s">
        <v>197</v>
      </c>
      <c r="F197" s="75">
        <v>18</v>
      </c>
      <c r="G197" s="76">
        <v>1247.76</v>
      </c>
      <c r="H197" s="76">
        <v>0</v>
      </c>
      <c r="I197" s="83" t="s">
        <v>447</v>
      </c>
      <c r="J197" s="76">
        <v>22459.68</v>
      </c>
      <c r="K197" s="76">
        <v>0</v>
      </c>
      <c r="L197"/>
      <c r="M197"/>
      <c r="N197"/>
    </row>
    <row r="198" spans="3:14" ht="43.2" x14ac:dyDescent="0.3">
      <c r="C198" s="73" t="s">
        <v>448</v>
      </c>
      <c r="D198" s="74" t="s">
        <v>269</v>
      </c>
      <c r="E198" s="73" t="s">
        <v>197</v>
      </c>
      <c r="F198" s="75">
        <v>84</v>
      </c>
      <c r="G198" s="76">
        <v>1446.55</v>
      </c>
      <c r="H198" s="76">
        <v>0</v>
      </c>
      <c r="I198" s="83" t="s">
        <v>449</v>
      </c>
      <c r="J198" s="76">
        <v>121510.2</v>
      </c>
      <c r="K198" s="76">
        <v>0</v>
      </c>
      <c r="L198"/>
      <c r="M198"/>
      <c r="N198"/>
    </row>
    <row r="199" spans="3:14" ht="72" x14ac:dyDescent="0.3">
      <c r="C199" s="73"/>
      <c r="D199" s="74" t="s">
        <v>271</v>
      </c>
      <c r="E199" s="73"/>
      <c r="F199" s="75"/>
      <c r="G199" s="76"/>
      <c r="H199" s="76"/>
      <c r="I199" s="83"/>
      <c r="J199" s="76"/>
      <c r="K199" s="76"/>
      <c r="L199"/>
      <c r="M199"/>
      <c r="N199"/>
    </row>
    <row r="200" spans="3:14" ht="43.2" x14ac:dyDescent="0.3">
      <c r="C200" s="73" t="s">
        <v>450</v>
      </c>
      <c r="D200" s="74" t="s">
        <v>246</v>
      </c>
      <c r="E200" s="73" t="s">
        <v>197</v>
      </c>
      <c r="F200" s="75">
        <v>16</v>
      </c>
      <c r="G200" s="76">
        <v>3228.86</v>
      </c>
      <c r="H200" s="76">
        <v>0</v>
      </c>
      <c r="I200" s="83" t="s">
        <v>451</v>
      </c>
      <c r="J200" s="76">
        <v>51661.760000000002</v>
      </c>
      <c r="K200" s="76">
        <v>0</v>
      </c>
      <c r="L200"/>
      <c r="M200"/>
      <c r="N200"/>
    </row>
    <row r="201" spans="3:14" ht="43.2" x14ac:dyDescent="0.3">
      <c r="C201" s="73" t="s">
        <v>452</v>
      </c>
      <c r="D201" s="74" t="s">
        <v>277</v>
      </c>
      <c r="E201" s="73" t="s">
        <v>197</v>
      </c>
      <c r="F201" s="75">
        <v>72</v>
      </c>
      <c r="G201" s="76">
        <v>4071.16</v>
      </c>
      <c r="H201" s="76">
        <v>0</v>
      </c>
      <c r="I201" s="83" t="s">
        <v>453</v>
      </c>
      <c r="J201" s="76">
        <v>293123.52</v>
      </c>
      <c r="K201" s="76">
        <v>0</v>
      </c>
      <c r="L201"/>
      <c r="M201"/>
      <c r="N201"/>
    </row>
    <row r="202" spans="3:14" ht="43.2" x14ac:dyDescent="0.3">
      <c r="C202" s="73" t="s">
        <v>454</v>
      </c>
      <c r="D202" s="74" t="s">
        <v>455</v>
      </c>
      <c r="E202" s="73" t="s">
        <v>197</v>
      </c>
      <c r="F202" s="75">
        <v>8</v>
      </c>
      <c r="G202" s="76">
        <v>4140.74</v>
      </c>
      <c r="H202" s="76">
        <v>0</v>
      </c>
      <c r="I202" s="83" t="s">
        <v>456</v>
      </c>
      <c r="J202" s="76">
        <v>33125.919999999998</v>
      </c>
      <c r="K202" s="76">
        <v>0</v>
      </c>
      <c r="L202"/>
      <c r="M202"/>
      <c r="N202"/>
    </row>
    <row r="203" spans="3:14" ht="43.2" x14ac:dyDescent="0.3">
      <c r="C203" s="73" t="s">
        <v>457</v>
      </c>
      <c r="D203" s="74" t="s">
        <v>442</v>
      </c>
      <c r="E203" s="73" t="s">
        <v>197</v>
      </c>
      <c r="F203" s="75">
        <v>2</v>
      </c>
      <c r="G203" s="76">
        <v>1562.76</v>
      </c>
      <c r="H203" s="76">
        <v>0</v>
      </c>
      <c r="I203" s="83" t="s">
        <v>458</v>
      </c>
      <c r="J203" s="76">
        <v>3125.52</v>
      </c>
      <c r="K203" s="76">
        <v>0</v>
      </c>
      <c r="L203"/>
      <c r="M203"/>
      <c r="N203"/>
    </row>
    <row r="204" spans="3:14" ht="43.2" x14ac:dyDescent="0.3">
      <c r="C204" s="73" t="s">
        <v>459</v>
      </c>
      <c r="D204" s="74" t="s">
        <v>252</v>
      </c>
      <c r="E204" s="73" t="s">
        <v>197</v>
      </c>
      <c r="F204" s="75">
        <v>10</v>
      </c>
      <c r="G204" s="76">
        <v>8732.51</v>
      </c>
      <c r="H204" s="76">
        <v>0</v>
      </c>
      <c r="I204" s="83" t="s">
        <v>460</v>
      </c>
      <c r="J204" s="76">
        <v>87325.1</v>
      </c>
      <c r="K204" s="76">
        <v>0</v>
      </c>
      <c r="L204"/>
      <c r="M204"/>
      <c r="N204"/>
    </row>
    <row r="205" spans="3:14" ht="43.2" x14ac:dyDescent="0.3">
      <c r="C205" s="73" t="s">
        <v>461</v>
      </c>
      <c r="D205" s="74" t="s">
        <v>255</v>
      </c>
      <c r="E205" s="73" t="s">
        <v>197</v>
      </c>
      <c r="F205" s="75">
        <v>2</v>
      </c>
      <c r="G205" s="76">
        <v>8821.48</v>
      </c>
      <c r="H205" s="76">
        <v>0</v>
      </c>
      <c r="I205" s="83" t="s">
        <v>462</v>
      </c>
      <c r="J205" s="76">
        <v>17642.96</v>
      </c>
      <c r="K205" s="76">
        <v>0</v>
      </c>
      <c r="L205"/>
      <c r="M205"/>
      <c r="N205"/>
    </row>
    <row r="206" spans="3:14" ht="43.2" x14ac:dyDescent="0.3">
      <c r="C206" s="73"/>
      <c r="D206" s="74" t="s">
        <v>463</v>
      </c>
      <c r="E206" s="73"/>
      <c r="F206" s="75"/>
      <c r="G206" s="76"/>
      <c r="H206" s="76"/>
      <c r="I206" s="83"/>
      <c r="J206" s="76"/>
      <c r="K206" s="76"/>
      <c r="L206"/>
      <c r="M206"/>
      <c r="N206"/>
    </row>
    <row r="207" spans="3:14" ht="43.2" x14ac:dyDescent="0.3">
      <c r="C207" s="73"/>
      <c r="D207" s="74" t="s">
        <v>464</v>
      </c>
      <c r="E207" s="73"/>
      <c r="F207" s="75"/>
      <c r="G207" s="76"/>
      <c r="H207" s="76"/>
      <c r="I207" s="83"/>
      <c r="J207" s="76"/>
      <c r="K207" s="76"/>
      <c r="L207"/>
      <c r="M207"/>
      <c r="N207"/>
    </row>
    <row r="208" spans="3:14" ht="57.6" x14ac:dyDescent="0.3">
      <c r="C208" s="73" t="s">
        <v>465</v>
      </c>
      <c r="D208" s="74" t="s">
        <v>466</v>
      </c>
      <c r="E208" s="73" t="s">
        <v>197</v>
      </c>
      <c r="F208" s="75">
        <v>32</v>
      </c>
      <c r="G208" s="76">
        <v>11193.75</v>
      </c>
      <c r="H208" s="76">
        <v>0</v>
      </c>
      <c r="I208" s="83" t="s">
        <v>205</v>
      </c>
      <c r="J208" s="76">
        <v>358200</v>
      </c>
      <c r="K208" s="76">
        <v>0</v>
      </c>
      <c r="L208"/>
      <c r="M208"/>
      <c r="N208"/>
    </row>
    <row r="209" spans="3:14" ht="43.2" x14ac:dyDescent="0.3">
      <c r="C209" s="73"/>
      <c r="D209" s="74" t="s">
        <v>467</v>
      </c>
      <c r="E209" s="73"/>
      <c r="F209" s="75"/>
      <c r="G209" s="76"/>
      <c r="H209" s="76"/>
      <c r="I209" s="83"/>
      <c r="J209" s="76"/>
      <c r="K209" s="76"/>
      <c r="L209"/>
      <c r="M209"/>
      <c r="N209"/>
    </row>
    <row r="210" spans="3:14" ht="57.6" x14ac:dyDescent="0.3">
      <c r="C210" s="73"/>
      <c r="D210" s="74" t="s">
        <v>468</v>
      </c>
      <c r="E210" s="73"/>
      <c r="F210" s="75"/>
      <c r="G210" s="76"/>
      <c r="H210" s="76"/>
      <c r="I210" s="83"/>
      <c r="J210" s="76"/>
      <c r="K210" s="76"/>
      <c r="L210"/>
      <c r="M210"/>
      <c r="N210"/>
    </row>
    <row r="211" spans="3:14" ht="43.2" x14ac:dyDescent="0.3">
      <c r="C211" s="73" t="s">
        <v>469</v>
      </c>
      <c r="D211" s="74" t="s">
        <v>470</v>
      </c>
      <c r="E211" s="73" t="s">
        <v>197</v>
      </c>
      <c r="F211" s="75">
        <v>86</v>
      </c>
      <c r="G211" s="76">
        <v>223.88</v>
      </c>
      <c r="H211" s="76">
        <v>0</v>
      </c>
      <c r="I211" s="83" t="s">
        <v>471</v>
      </c>
      <c r="J211" s="76">
        <v>19253.68</v>
      </c>
      <c r="K211" s="76">
        <v>0</v>
      </c>
      <c r="L211"/>
      <c r="M211"/>
      <c r="N211"/>
    </row>
    <row r="212" spans="3:14" ht="43.2" x14ac:dyDescent="0.3">
      <c r="C212" s="73" t="s">
        <v>472</v>
      </c>
      <c r="D212" s="74" t="s">
        <v>199</v>
      </c>
      <c r="E212" s="73" t="s">
        <v>197</v>
      </c>
      <c r="F212" s="75">
        <v>70</v>
      </c>
      <c r="G212" s="76">
        <v>310.94</v>
      </c>
      <c r="H212" s="76">
        <v>0</v>
      </c>
      <c r="I212" s="83" t="s">
        <v>210</v>
      </c>
      <c r="J212" s="76">
        <v>21765.8</v>
      </c>
      <c r="K212" s="76">
        <v>0</v>
      </c>
      <c r="L212"/>
      <c r="M212"/>
      <c r="N212"/>
    </row>
    <row r="213" spans="3:14" ht="57.6" x14ac:dyDescent="0.3">
      <c r="C213" s="73" t="s">
        <v>473</v>
      </c>
      <c r="D213" s="74" t="s">
        <v>474</v>
      </c>
      <c r="E213" s="73" t="s">
        <v>475</v>
      </c>
      <c r="F213" s="75">
        <v>100</v>
      </c>
      <c r="G213" s="76">
        <v>248.75</v>
      </c>
      <c r="H213" s="76">
        <v>0</v>
      </c>
      <c r="I213" s="83" t="s">
        <v>476</v>
      </c>
      <c r="J213" s="76">
        <v>24875</v>
      </c>
      <c r="K213" s="76">
        <v>0</v>
      </c>
      <c r="L213"/>
      <c r="M213"/>
      <c r="N213"/>
    </row>
    <row r="214" spans="3:14" ht="43.2" x14ac:dyDescent="0.3">
      <c r="C214" s="73"/>
      <c r="D214" s="74" t="s">
        <v>477</v>
      </c>
      <c r="E214" s="73"/>
      <c r="F214" s="75"/>
      <c r="G214" s="76"/>
      <c r="H214" s="76"/>
      <c r="I214" s="83"/>
      <c r="J214" s="76"/>
      <c r="K214" s="76"/>
      <c r="L214"/>
      <c r="M214"/>
      <c r="N214"/>
    </row>
    <row r="215" spans="3:14" ht="43.2" x14ac:dyDescent="0.3">
      <c r="C215" s="73" t="s">
        <v>478</v>
      </c>
      <c r="D215" s="74" t="s">
        <v>479</v>
      </c>
      <c r="E215" s="73" t="s">
        <v>41</v>
      </c>
      <c r="F215" s="75">
        <v>15</v>
      </c>
      <c r="G215" s="76">
        <v>0</v>
      </c>
      <c r="H215" s="76">
        <v>4641.68</v>
      </c>
      <c r="I215" s="83" t="s">
        <v>480</v>
      </c>
      <c r="J215" s="76">
        <v>0</v>
      </c>
      <c r="K215" s="76">
        <v>69625.2</v>
      </c>
      <c r="L215"/>
      <c r="M215"/>
      <c r="N215"/>
    </row>
    <row r="216" spans="3:14" ht="57.6" x14ac:dyDescent="0.3">
      <c r="C216" s="73" t="s">
        <v>481</v>
      </c>
      <c r="D216" s="74" t="s">
        <v>482</v>
      </c>
      <c r="E216" s="73" t="s">
        <v>41</v>
      </c>
      <c r="F216" s="75">
        <v>15</v>
      </c>
      <c r="G216" s="76">
        <v>0</v>
      </c>
      <c r="H216" s="76">
        <v>4023.53</v>
      </c>
      <c r="I216" s="83" t="s">
        <v>483</v>
      </c>
      <c r="J216" s="76">
        <v>0</v>
      </c>
      <c r="K216" s="76">
        <v>60352.95</v>
      </c>
      <c r="L216"/>
      <c r="M216"/>
      <c r="N216"/>
    </row>
    <row r="217" spans="3:14" ht="43.2" x14ac:dyDescent="0.3">
      <c r="C217" s="73"/>
      <c r="D217" s="74" t="s">
        <v>484</v>
      </c>
      <c r="E217" s="73"/>
      <c r="F217" s="75"/>
      <c r="G217" s="76"/>
      <c r="H217" s="76"/>
      <c r="I217" s="83"/>
      <c r="J217" s="76">
        <v>9686919.1600000001</v>
      </c>
      <c r="K217" s="76">
        <v>153015.85</v>
      </c>
      <c r="L217"/>
      <c r="M217"/>
      <c r="N217"/>
    </row>
    <row r="218" spans="3:14" ht="57.6" x14ac:dyDescent="0.3">
      <c r="C218" s="73" t="s">
        <v>485</v>
      </c>
      <c r="D218" s="74" t="s">
        <v>486</v>
      </c>
      <c r="E218" s="73"/>
      <c r="F218" s="75"/>
      <c r="G218" s="76"/>
      <c r="H218" s="76"/>
      <c r="I218" s="83"/>
      <c r="J218" s="76"/>
      <c r="K218" s="76"/>
      <c r="L218"/>
      <c r="M218"/>
      <c r="N218"/>
    </row>
    <row r="219" spans="3:14" ht="43.2" x14ac:dyDescent="0.3">
      <c r="C219" s="73"/>
      <c r="D219" s="74" t="s">
        <v>487</v>
      </c>
      <c r="E219" s="73"/>
      <c r="F219" s="75"/>
      <c r="G219" s="76"/>
      <c r="H219" s="76"/>
      <c r="I219" s="83"/>
      <c r="J219" s="76"/>
      <c r="K219" s="76"/>
      <c r="L219"/>
      <c r="M219"/>
      <c r="N219"/>
    </row>
    <row r="220" spans="3:14" ht="43.2" x14ac:dyDescent="0.3">
      <c r="C220" s="73" t="s">
        <v>488</v>
      </c>
      <c r="D220" s="74" t="s">
        <v>489</v>
      </c>
      <c r="E220" s="73" t="s">
        <v>490</v>
      </c>
      <c r="F220" s="75">
        <v>2000</v>
      </c>
      <c r="G220" s="76">
        <v>625</v>
      </c>
      <c r="H220" s="76">
        <v>0</v>
      </c>
      <c r="I220" s="83" t="s">
        <v>491</v>
      </c>
      <c r="J220" s="76">
        <v>1250000</v>
      </c>
      <c r="K220" s="76">
        <v>0</v>
      </c>
      <c r="L220"/>
      <c r="M220"/>
      <c r="N220"/>
    </row>
    <row r="221" spans="3:14" ht="43.2" x14ac:dyDescent="0.3">
      <c r="C221" s="73"/>
      <c r="D221" s="74" t="s">
        <v>492</v>
      </c>
      <c r="E221" s="73"/>
      <c r="F221" s="75"/>
      <c r="G221" s="76"/>
      <c r="H221" s="76"/>
      <c r="I221" s="83"/>
      <c r="J221" s="76"/>
      <c r="K221" s="76"/>
      <c r="L221"/>
      <c r="M221"/>
      <c r="N221"/>
    </row>
    <row r="222" spans="3:14" ht="43.2" x14ac:dyDescent="0.3">
      <c r="C222" s="73" t="s">
        <v>493</v>
      </c>
      <c r="D222" s="74" t="s">
        <v>494</v>
      </c>
      <c r="E222" s="73" t="s">
        <v>495</v>
      </c>
      <c r="F222" s="75">
        <v>760</v>
      </c>
      <c r="G222" s="76">
        <v>1463.99</v>
      </c>
      <c r="H222" s="76">
        <v>0</v>
      </c>
      <c r="I222" s="83" t="s">
        <v>496</v>
      </c>
      <c r="J222" s="76">
        <v>1112632.3999999999</v>
      </c>
      <c r="K222" s="76">
        <v>0</v>
      </c>
      <c r="L222"/>
      <c r="M222"/>
      <c r="N222"/>
    </row>
    <row r="223" spans="3:14" ht="43.2" x14ac:dyDescent="0.3">
      <c r="C223" s="73" t="s">
        <v>497</v>
      </c>
      <c r="D223" s="74" t="s">
        <v>498</v>
      </c>
      <c r="E223" s="73" t="s">
        <v>495</v>
      </c>
      <c r="F223" s="75">
        <v>1140</v>
      </c>
      <c r="G223" s="76">
        <v>2369.0100000000002</v>
      </c>
      <c r="H223" s="76">
        <v>0</v>
      </c>
      <c r="I223" s="83" t="s">
        <v>499</v>
      </c>
      <c r="J223" s="76">
        <v>2700671.4</v>
      </c>
      <c r="K223" s="76">
        <v>0</v>
      </c>
      <c r="L223"/>
      <c r="M223"/>
      <c r="N223"/>
    </row>
    <row r="224" spans="3:14" ht="43.2" x14ac:dyDescent="0.3">
      <c r="C224" s="73" t="s">
        <v>500</v>
      </c>
      <c r="D224" s="74" t="s">
        <v>501</v>
      </c>
      <c r="E224" s="73" t="s">
        <v>495</v>
      </c>
      <c r="F224" s="75">
        <v>1140</v>
      </c>
      <c r="G224" s="76">
        <v>3660.18</v>
      </c>
      <c r="H224" s="76">
        <v>0</v>
      </c>
      <c r="I224" s="83" t="s">
        <v>502</v>
      </c>
      <c r="J224" s="76">
        <v>4172605.2</v>
      </c>
      <c r="K224" s="76">
        <v>0</v>
      </c>
      <c r="L224"/>
      <c r="M224"/>
      <c r="N224"/>
    </row>
    <row r="225" spans="3:14" ht="43.2" x14ac:dyDescent="0.3">
      <c r="C225" s="73" t="s">
        <v>503</v>
      </c>
      <c r="D225" s="74" t="s">
        <v>504</v>
      </c>
      <c r="E225" s="73" t="s">
        <v>495</v>
      </c>
      <c r="F225" s="75">
        <v>1216</v>
      </c>
      <c r="G225" s="76">
        <v>3660.18</v>
      </c>
      <c r="H225" s="76">
        <v>0</v>
      </c>
      <c r="I225" s="83" t="s">
        <v>502</v>
      </c>
      <c r="J225" s="76">
        <v>4450778.88</v>
      </c>
      <c r="K225" s="76">
        <v>0</v>
      </c>
      <c r="L225"/>
      <c r="M225"/>
      <c r="N225"/>
    </row>
    <row r="226" spans="3:14" ht="43.2" x14ac:dyDescent="0.3">
      <c r="C226" s="73" t="s">
        <v>505</v>
      </c>
      <c r="D226" s="74" t="s">
        <v>506</v>
      </c>
      <c r="E226" s="73" t="s">
        <v>495</v>
      </c>
      <c r="F226" s="75">
        <v>225</v>
      </c>
      <c r="G226" s="76">
        <v>3660.18</v>
      </c>
      <c r="H226" s="76">
        <v>0</v>
      </c>
      <c r="I226" s="83" t="s">
        <v>502</v>
      </c>
      <c r="J226" s="76">
        <v>823540.5</v>
      </c>
      <c r="K226" s="76">
        <v>0</v>
      </c>
      <c r="L226"/>
      <c r="M226"/>
      <c r="N226"/>
    </row>
    <row r="227" spans="3:14" ht="43.2" x14ac:dyDescent="0.3">
      <c r="C227" s="73" t="s">
        <v>505</v>
      </c>
      <c r="D227" s="74" t="s">
        <v>507</v>
      </c>
      <c r="E227" s="73" t="s">
        <v>495</v>
      </c>
      <c r="F227" s="75">
        <v>162</v>
      </c>
      <c r="G227" s="76">
        <v>3660.18</v>
      </c>
      <c r="H227" s="76">
        <v>0</v>
      </c>
      <c r="I227" s="83" t="s">
        <v>502</v>
      </c>
      <c r="J227" s="76">
        <v>592949.16</v>
      </c>
      <c r="K227" s="76">
        <v>0</v>
      </c>
      <c r="L227"/>
      <c r="M227"/>
      <c r="N227"/>
    </row>
    <row r="228" spans="3:14" ht="43.2" x14ac:dyDescent="0.3">
      <c r="C228" s="73" t="s">
        <v>505</v>
      </c>
      <c r="D228" s="74" t="s">
        <v>508</v>
      </c>
      <c r="E228" s="73" t="s">
        <v>495</v>
      </c>
      <c r="F228" s="75">
        <v>162</v>
      </c>
      <c r="G228" s="76">
        <v>3660.18</v>
      </c>
      <c r="H228" s="76">
        <v>0</v>
      </c>
      <c r="I228" s="83" t="s">
        <v>502</v>
      </c>
      <c r="J228" s="76">
        <v>592949.16</v>
      </c>
      <c r="K228" s="76">
        <v>0</v>
      </c>
      <c r="L228"/>
      <c r="M228"/>
      <c r="N228"/>
    </row>
    <row r="229" spans="3:14" ht="43.2" x14ac:dyDescent="0.3">
      <c r="C229" s="73" t="s">
        <v>509</v>
      </c>
      <c r="D229" s="74" t="s">
        <v>510</v>
      </c>
      <c r="E229" s="73" t="s">
        <v>495</v>
      </c>
      <c r="F229" s="75">
        <v>45</v>
      </c>
      <c r="G229" s="76">
        <v>3947.93</v>
      </c>
      <c r="H229" s="76">
        <v>0</v>
      </c>
      <c r="I229" s="83" t="s">
        <v>511</v>
      </c>
      <c r="J229" s="76">
        <v>177656.85</v>
      </c>
      <c r="K229" s="76">
        <v>0</v>
      </c>
      <c r="L229"/>
      <c r="M229"/>
      <c r="N229"/>
    </row>
    <row r="230" spans="3:14" ht="43.2" x14ac:dyDescent="0.3">
      <c r="C230" s="73" t="s">
        <v>509</v>
      </c>
      <c r="D230" s="74" t="s">
        <v>512</v>
      </c>
      <c r="E230" s="73" t="s">
        <v>495</v>
      </c>
      <c r="F230" s="75">
        <v>45</v>
      </c>
      <c r="G230" s="76">
        <v>3947.93</v>
      </c>
      <c r="H230" s="76">
        <v>0</v>
      </c>
      <c r="I230" s="83" t="s">
        <v>511</v>
      </c>
      <c r="J230" s="76">
        <v>177656.85</v>
      </c>
      <c r="K230" s="76">
        <v>0</v>
      </c>
      <c r="L230"/>
      <c r="M230"/>
      <c r="N230"/>
    </row>
    <row r="231" spans="3:14" ht="43.2" x14ac:dyDescent="0.3">
      <c r="C231" s="73" t="s">
        <v>509</v>
      </c>
      <c r="D231" s="74" t="s">
        <v>513</v>
      </c>
      <c r="E231" s="73" t="s">
        <v>495</v>
      </c>
      <c r="F231" s="75">
        <v>45</v>
      </c>
      <c r="G231" s="76">
        <v>3947.93</v>
      </c>
      <c r="H231" s="76">
        <v>0</v>
      </c>
      <c r="I231" s="83" t="s">
        <v>511</v>
      </c>
      <c r="J231" s="76">
        <v>177656.85</v>
      </c>
      <c r="K231" s="76">
        <v>0</v>
      </c>
      <c r="L231"/>
      <c r="M231"/>
      <c r="N231"/>
    </row>
    <row r="232" spans="3:14" ht="43.2" x14ac:dyDescent="0.3">
      <c r="C232" s="73" t="s">
        <v>514</v>
      </c>
      <c r="D232" s="74" t="s">
        <v>515</v>
      </c>
      <c r="E232" s="73" t="s">
        <v>495</v>
      </c>
      <c r="F232" s="75">
        <v>180</v>
      </c>
      <c r="G232" s="76">
        <v>3013.83</v>
      </c>
      <c r="H232" s="76">
        <v>0</v>
      </c>
      <c r="I232" s="83" t="s">
        <v>516</v>
      </c>
      <c r="J232" s="76">
        <v>542489.4</v>
      </c>
      <c r="K232" s="76">
        <v>0</v>
      </c>
      <c r="L232"/>
      <c r="M232"/>
      <c r="N232"/>
    </row>
    <row r="233" spans="3:14" ht="43.2" x14ac:dyDescent="0.3">
      <c r="C233" s="73" t="s">
        <v>517</v>
      </c>
      <c r="D233" s="74" t="s">
        <v>518</v>
      </c>
      <c r="E233" s="73" t="s">
        <v>495</v>
      </c>
      <c r="F233" s="75">
        <v>90</v>
      </c>
      <c r="G233" s="76">
        <v>4962.2299999999996</v>
      </c>
      <c r="H233" s="76">
        <v>0</v>
      </c>
      <c r="I233" s="83" t="s">
        <v>519</v>
      </c>
      <c r="J233" s="76">
        <v>446600.7</v>
      </c>
      <c r="K233" s="76">
        <v>0</v>
      </c>
      <c r="L233"/>
      <c r="M233"/>
      <c r="N233"/>
    </row>
    <row r="234" spans="3:14" ht="43.2" x14ac:dyDescent="0.3">
      <c r="C234" s="73" t="s">
        <v>517</v>
      </c>
      <c r="D234" s="74" t="s">
        <v>520</v>
      </c>
      <c r="E234" s="73" t="s">
        <v>495</v>
      </c>
      <c r="F234" s="75">
        <v>180</v>
      </c>
      <c r="G234" s="76">
        <v>4962.2299999999996</v>
      </c>
      <c r="H234" s="76">
        <v>0</v>
      </c>
      <c r="I234" s="83" t="s">
        <v>519</v>
      </c>
      <c r="J234" s="76">
        <v>893201.4</v>
      </c>
      <c r="K234" s="76">
        <v>0</v>
      </c>
      <c r="L234"/>
      <c r="M234"/>
      <c r="N234"/>
    </row>
    <row r="235" spans="3:14" ht="43.2" x14ac:dyDescent="0.3">
      <c r="C235" s="73" t="s">
        <v>521</v>
      </c>
      <c r="D235" s="74" t="s">
        <v>522</v>
      </c>
      <c r="E235" s="73" t="s">
        <v>495</v>
      </c>
      <c r="F235" s="75">
        <v>90</v>
      </c>
      <c r="G235" s="76">
        <v>2553.58</v>
      </c>
      <c r="H235" s="76">
        <v>0</v>
      </c>
      <c r="I235" s="83" t="s">
        <v>523</v>
      </c>
      <c r="J235" s="76">
        <v>229822.2</v>
      </c>
      <c r="K235" s="76">
        <v>0</v>
      </c>
      <c r="L235"/>
      <c r="M235"/>
      <c r="N235"/>
    </row>
    <row r="236" spans="3:14" ht="43.2" x14ac:dyDescent="0.3">
      <c r="C236" s="73" t="s">
        <v>524</v>
      </c>
      <c r="D236" s="74" t="s">
        <v>525</v>
      </c>
      <c r="E236" s="73" t="s">
        <v>495</v>
      </c>
      <c r="F236" s="75">
        <v>160</v>
      </c>
      <c r="G236" s="76">
        <v>5397.2</v>
      </c>
      <c r="H236" s="76">
        <v>0</v>
      </c>
      <c r="I236" s="83" t="s">
        <v>526</v>
      </c>
      <c r="J236" s="76">
        <v>863552</v>
      </c>
      <c r="K236" s="76">
        <v>0</v>
      </c>
      <c r="L236"/>
      <c r="M236"/>
      <c r="N236"/>
    </row>
    <row r="237" spans="3:14" ht="43.2" x14ac:dyDescent="0.3">
      <c r="C237" s="73" t="s">
        <v>527</v>
      </c>
      <c r="D237" s="74" t="s">
        <v>528</v>
      </c>
      <c r="E237" s="73" t="s">
        <v>495</v>
      </c>
      <c r="F237" s="75">
        <v>160</v>
      </c>
      <c r="G237" s="76">
        <v>5397.2</v>
      </c>
      <c r="H237" s="76">
        <v>0</v>
      </c>
      <c r="I237" s="83" t="s">
        <v>526</v>
      </c>
      <c r="J237" s="76">
        <v>863552</v>
      </c>
      <c r="K237" s="76">
        <v>0</v>
      </c>
      <c r="L237"/>
      <c r="M237"/>
      <c r="N237"/>
    </row>
    <row r="238" spans="3:14" ht="43.2" x14ac:dyDescent="0.3">
      <c r="C238" s="73" t="s">
        <v>529</v>
      </c>
      <c r="D238" s="74" t="s">
        <v>530</v>
      </c>
      <c r="E238" s="73" t="s">
        <v>495</v>
      </c>
      <c r="F238" s="75">
        <v>160</v>
      </c>
      <c r="G238" s="76">
        <v>5397.2</v>
      </c>
      <c r="H238" s="76">
        <v>0</v>
      </c>
      <c r="I238" s="83" t="s">
        <v>526</v>
      </c>
      <c r="J238" s="76">
        <v>863552</v>
      </c>
      <c r="K238" s="76">
        <v>0</v>
      </c>
      <c r="L238"/>
      <c r="M238"/>
      <c r="N238"/>
    </row>
    <row r="239" spans="3:14" ht="43.2" x14ac:dyDescent="0.3">
      <c r="C239" s="73"/>
      <c r="D239" s="74" t="s">
        <v>531</v>
      </c>
      <c r="E239" s="73"/>
      <c r="F239" s="75"/>
      <c r="G239" s="76"/>
      <c r="H239" s="76"/>
      <c r="I239" s="83"/>
      <c r="J239" s="76"/>
      <c r="K239" s="76"/>
      <c r="L239"/>
      <c r="M239"/>
      <c r="N239"/>
    </row>
    <row r="240" spans="3:14" ht="43.2" x14ac:dyDescent="0.3">
      <c r="C240" s="73" t="s">
        <v>532</v>
      </c>
      <c r="D240" s="74" t="s">
        <v>533</v>
      </c>
      <c r="E240" s="73" t="s">
        <v>495</v>
      </c>
      <c r="F240" s="75">
        <v>90</v>
      </c>
      <c r="G240" s="76">
        <v>4283.63</v>
      </c>
      <c r="H240" s="76">
        <v>0</v>
      </c>
      <c r="I240" s="83" t="s">
        <v>534</v>
      </c>
      <c r="J240" s="76">
        <v>385526.7</v>
      </c>
      <c r="K240" s="76">
        <v>0</v>
      </c>
      <c r="L240"/>
      <c r="M240"/>
      <c r="N240"/>
    </row>
    <row r="241" spans="3:14" ht="43.2" x14ac:dyDescent="0.3">
      <c r="C241" s="73" t="s">
        <v>535</v>
      </c>
      <c r="D241" s="74" t="s">
        <v>536</v>
      </c>
      <c r="E241" s="73" t="s">
        <v>495</v>
      </c>
      <c r="F241" s="75">
        <v>360</v>
      </c>
      <c r="G241" s="76">
        <v>2570.1799999999998</v>
      </c>
      <c r="H241" s="76">
        <v>0</v>
      </c>
      <c r="I241" s="83" t="s">
        <v>537</v>
      </c>
      <c r="J241" s="76">
        <v>925264.8</v>
      </c>
      <c r="K241" s="76">
        <v>0</v>
      </c>
      <c r="L241"/>
      <c r="M241"/>
      <c r="N241"/>
    </row>
    <row r="242" spans="3:14" ht="43.2" x14ac:dyDescent="0.3">
      <c r="C242" s="73"/>
      <c r="D242" s="74" t="s">
        <v>538</v>
      </c>
      <c r="E242" s="73"/>
      <c r="F242" s="75"/>
      <c r="G242" s="76"/>
      <c r="H242" s="76"/>
      <c r="I242" s="83"/>
      <c r="J242" s="76"/>
      <c r="K242" s="76"/>
      <c r="L242"/>
      <c r="M242"/>
      <c r="N242"/>
    </row>
    <row r="243" spans="3:14" ht="43.2" x14ac:dyDescent="0.3">
      <c r="C243" s="73" t="s">
        <v>539</v>
      </c>
      <c r="D243" s="74" t="s">
        <v>540</v>
      </c>
      <c r="E243" s="73" t="s">
        <v>495</v>
      </c>
      <c r="F243" s="75">
        <v>120</v>
      </c>
      <c r="G243" s="76">
        <v>3162.35</v>
      </c>
      <c r="H243" s="76">
        <v>0</v>
      </c>
      <c r="I243" s="83" t="s">
        <v>541</v>
      </c>
      <c r="J243" s="76">
        <v>379482</v>
      </c>
      <c r="K243" s="76">
        <v>0</v>
      </c>
      <c r="L243"/>
      <c r="M243"/>
      <c r="N243"/>
    </row>
    <row r="244" spans="3:14" ht="43.2" x14ac:dyDescent="0.3">
      <c r="C244" s="73" t="s">
        <v>539</v>
      </c>
      <c r="D244" s="74" t="s">
        <v>542</v>
      </c>
      <c r="E244" s="73" t="s">
        <v>495</v>
      </c>
      <c r="F244" s="75">
        <v>120</v>
      </c>
      <c r="G244" s="76">
        <v>3162.35</v>
      </c>
      <c r="H244" s="76">
        <v>0</v>
      </c>
      <c r="I244" s="83" t="s">
        <v>541</v>
      </c>
      <c r="J244" s="76">
        <v>379482</v>
      </c>
      <c r="K244" s="76">
        <v>0</v>
      </c>
      <c r="L244"/>
      <c r="M244"/>
      <c r="N244"/>
    </row>
    <row r="245" spans="3:14" ht="43.2" x14ac:dyDescent="0.3">
      <c r="C245" s="73" t="s">
        <v>543</v>
      </c>
      <c r="D245" s="74" t="s">
        <v>544</v>
      </c>
      <c r="E245" s="73" t="s">
        <v>495</v>
      </c>
      <c r="F245" s="75">
        <v>120</v>
      </c>
      <c r="G245" s="76">
        <v>908.45</v>
      </c>
      <c r="H245" s="76">
        <v>0</v>
      </c>
      <c r="I245" s="83" t="s">
        <v>545</v>
      </c>
      <c r="J245" s="76">
        <v>109014</v>
      </c>
      <c r="K245" s="76">
        <v>0</v>
      </c>
      <c r="L245"/>
      <c r="M245"/>
      <c r="N245"/>
    </row>
    <row r="246" spans="3:14" ht="43.2" x14ac:dyDescent="0.3">
      <c r="C246" s="73" t="s">
        <v>546</v>
      </c>
      <c r="D246" s="74" t="s">
        <v>547</v>
      </c>
      <c r="E246" s="73" t="s">
        <v>495</v>
      </c>
      <c r="F246" s="75">
        <v>30</v>
      </c>
      <c r="G246" s="76">
        <v>2856.73</v>
      </c>
      <c r="H246" s="76">
        <v>0</v>
      </c>
      <c r="I246" s="83" t="s">
        <v>548</v>
      </c>
      <c r="J246" s="76">
        <v>85701.9</v>
      </c>
      <c r="K246" s="76">
        <v>0</v>
      </c>
      <c r="L246"/>
      <c r="M246"/>
      <c r="N246"/>
    </row>
    <row r="247" spans="3:14" ht="43.2" x14ac:dyDescent="0.3">
      <c r="C247" s="73" t="s">
        <v>549</v>
      </c>
      <c r="D247" s="74" t="s">
        <v>550</v>
      </c>
      <c r="E247" s="73" t="s">
        <v>495</v>
      </c>
      <c r="F247" s="75">
        <v>30</v>
      </c>
      <c r="G247" s="76">
        <v>3812.78</v>
      </c>
      <c r="H247" s="76">
        <v>0</v>
      </c>
      <c r="I247" s="83" t="s">
        <v>551</v>
      </c>
      <c r="J247" s="76">
        <v>114383.4</v>
      </c>
      <c r="K247" s="76">
        <v>0</v>
      </c>
      <c r="L247"/>
      <c r="M247"/>
      <c r="N247"/>
    </row>
    <row r="248" spans="3:14" ht="43.2" x14ac:dyDescent="0.3">
      <c r="C248" s="73" t="s">
        <v>552</v>
      </c>
      <c r="D248" s="74" t="s">
        <v>515</v>
      </c>
      <c r="E248" s="73" t="s">
        <v>495</v>
      </c>
      <c r="F248" s="75">
        <v>30</v>
      </c>
      <c r="G248" s="76">
        <v>2856.73</v>
      </c>
      <c r="H248" s="76">
        <v>0</v>
      </c>
      <c r="I248" s="83" t="s">
        <v>548</v>
      </c>
      <c r="J248" s="76">
        <v>85701.9</v>
      </c>
      <c r="K248" s="76">
        <v>0</v>
      </c>
      <c r="L248"/>
      <c r="M248"/>
      <c r="N248"/>
    </row>
    <row r="249" spans="3:14" ht="43.2" x14ac:dyDescent="0.3">
      <c r="C249" s="73" t="s">
        <v>553</v>
      </c>
      <c r="D249" s="74" t="s">
        <v>498</v>
      </c>
      <c r="E249" s="73" t="s">
        <v>495</v>
      </c>
      <c r="F249" s="75">
        <v>180</v>
      </c>
      <c r="G249" s="76">
        <v>1791.26</v>
      </c>
      <c r="H249" s="76">
        <v>0</v>
      </c>
      <c r="I249" s="83" t="s">
        <v>554</v>
      </c>
      <c r="J249" s="76">
        <v>322426.8</v>
      </c>
      <c r="K249" s="76">
        <v>0</v>
      </c>
      <c r="L249"/>
      <c r="M249"/>
      <c r="N249"/>
    </row>
    <row r="250" spans="3:14" ht="43.2" x14ac:dyDescent="0.3">
      <c r="C250" s="73" t="s">
        <v>555</v>
      </c>
      <c r="D250" s="74" t="s">
        <v>556</v>
      </c>
      <c r="E250" s="73" t="s">
        <v>495</v>
      </c>
      <c r="F250" s="75">
        <v>137</v>
      </c>
      <c r="G250" s="76">
        <v>2466.63</v>
      </c>
      <c r="H250" s="76">
        <v>0</v>
      </c>
      <c r="I250" s="83" t="s">
        <v>557</v>
      </c>
      <c r="J250" s="76">
        <v>337928.31</v>
      </c>
      <c r="K250" s="76">
        <v>0</v>
      </c>
      <c r="L250"/>
      <c r="M250"/>
      <c r="N250"/>
    </row>
    <row r="251" spans="3:14" ht="43.2" x14ac:dyDescent="0.3">
      <c r="C251" s="73" t="s">
        <v>558</v>
      </c>
      <c r="D251" s="74" t="s">
        <v>559</v>
      </c>
      <c r="E251" s="73" t="s">
        <v>495</v>
      </c>
      <c r="F251" s="75">
        <v>137</v>
      </c>
      <c r="G251" s="76">
        <v>3812.78</v>
      </c>
      <c r="H251" s="76">
        <v>0</v>
      </c>
      <c r="I251" s="83" t="s">
        <v>551</v>
      </c>
      <c r="J251" s="76">
        <v>522350.86</v>
      </c>
      <c r="K251" s="76">
        <v>0</v>
      </c>
      <c r="L251"/>
      <c r="M251"/>
      <c r="N251"/>
    </row>
    <row r="252" spans="3:14" ht="43.2" x14ac:dyDescent="0.3">
      <c r="C252" s="73" t="s">
        <v>560</v>
      </c>
      <c r="D252" s="74" t="s">
        <v>561</v>
      </c>
      <c r="E252" s="73" t="s">
        <v>495</v>
      </c>
      <c r="F252" s="75">
        <v>411</v>
      </c>
      <c r="G252" s="76">
        <v>4209.8100000000004</v>
      </c>
      <c r="H252" s="76">
        <v>0</v>
      </c>
      <c r="I252" s="83" t="s">
        <v>562</v>
      </c>
      <c r="J252" s="76">
        <v>1730231.91</v>
      </c>
      <c r="K252" s="76">
        <v>0</v>
      </c>
      <c r="L252"/>
      <c r="M252"/>
      <c r="N252"/>
    </row>
    <row r="253" spans="3:14" ht="43.2" x14ac:dyDescent="0.3">
      <c r="C253" s="73" t="s">
        <v>563</v>
      </c>
      <c r="D253" s="74" t="s">
        <v>564</v>
      </c>
      <c r="E253" s="73" t="s">
        <v>495</v>
      </c>
      <c r="F253" s="75">
        <v>411</v>
      </c>
      <c r="G253" s="76">
        <v>4695.55</v>
      </c>
      <c r="H253" s="76">
        <v>0</v>
      </c>
      <c r="I253" s="83" t="s">
        <v>565</v>
      </c>
      <c r="J253" s="76">
        <v>1929871.05</v>
      </c>
      <c r="K253" s="76">
        <v>0</v>
      </c>
      <c r="L253"/>
      <c r="M253"/>
      <c r="N253"/>
    </row>
    <row r="254" spans="3:14" ht="43.2" x14ac:dyDescent="0.3">
      <c r="C254" s="73"/>
      <c r="D254" s="74" t="s">
        <v>566</v>
      </c>
      <c r="E254" s="73"/>
      <c r="F254" s="75"/>
      <c r="G254" s="76"/>
      <c r="H254" s="76"/>
      <c r="I254" s="83"/>
      <c r="J254" s="76">
        <v>28239232.579999998</v>
      </c>
      <c r="K254" s="76">
        <v>0</v>
      </c>
      <c r="L254"/>
      <c r="M254"/>
      <c r="N254"/>
    </row>
    <row r="255" spans="3:14" ht="43.2" x14ac:dyDescent="0.3">
      <c r="C255" s="73" t="s">
        <v>567</v>
      </c>
      <c r="D255" s="74" t="s">
        <v>568</v>
      </c>
      <c r="E255" s="73"/>
      <c r="F255" s="75"/>
      <c r="G255" s="76"/>
      <c r="H255" s="76"/>
      <c r="I255" s="83"/>
      <c r="J255" s="76"/>
      <c r="K255" s="76"/>
      <c r="L255"/>
      <c r="M255"/>
      <c r="N255"/>
    </row>
    <row r="256" spans="3:14" ht="43.2" x14ac:dyDescent="0.3">
      <c r="C256" s="73"/>
      <c r="D256" s="74" t="s">
        <v>492</v>
      </c>
      <c r="E256" s="73"/>
      <c r="F256" s="75"/>
      <c r="G256" s="76"/>
      <c r="H256" s="76"/>
      <c r="I256" s="83"/>
      <c r="J256" s="76"/>
      <c r="K256" s="76"/>
      <c r="L256"/>
      <c r="M256"/>
      <c r="N256"/>
    </row>
    <row r="257" spans="3:14" ht="43.2" x14ac:dyDescent="0.3">
      <c r="C257" s="73" t="s">
        <v>493</v>
      </c>
      <c r="D257" s="74" t="s">
        <v>494</v>
      </c>
      <c r="E257" s="73" t="s">
        <v>495</v>
      </c>
      <c r="F257" s="75">
        <v>153</v>
      </c>
      <c r="G257" s="76">
        <v>1463.99</v>
      </c>
      <c r="H257" s="76">
        <v>0</v>
      </c>
      <c r="I257" s="83" t="s">
        <v>496</v>
      </c>
      <c r="J257" s="76">
        <v>223990.47</v>
      </c>
      <c r="K257" s="76">
        <v>0</v>
      </c>
      <c r="L257"/>
      <c r="M257"/>
      <c r="N257"/>
    </row>
    <row r="258" spans="3:14" ht="43.2" x14ac:dyDescent="0.3">
      <c r="C258" s="73" t="s">
        <v>497</v>
      </c>
      <c r="D258" s="74" t="s">
        <v>498</v>
      </c>
      <c r="E258" s="73" t="s">
        <v>495</v>
      </c>
      <c r="F258" s="75">
        <v>456</v>
      </c>
      <c r="G258" s="76">
        <v>2369.0100000000002</v>
      </c>
      <c r="H258" s="76">
        <v>0</v>
      </c>
      <c r="I258" s="83" t="s">
        <v>499</v>
      </c>
      <c r="J258" s="76">
        <v>1080268.56</v>
      </c>
      <c r="K258" s="76">
        <v>0</v>
      </c>
      <c r="L258"/>
      <c r="M258"/>
      <c r="N258"/>
    </row>
    <row r="259" spans="3:14" ht="43.2" x14ac:dyDescent="0.3">
      <c r="C259" s="73" t="s">
        <v>569</v>
      </c>
      <c r="D259" s="74" t="s">
        <v>570</v>
      </c>
      <c r="E259" s="73" t="s">
        <v>495</v>
      </c>
      <c r="F259" s="75">
        <v>304</v>
      </c>
      <c r="G259" s="76">
        <v>3660.18</v>
      </c>
      <c r="H259" s="76">
        <v>0</v>
      </c>
      <c r="I259" s="83" t="s">
        <v>502</v>
      </c>
      <c r="J259" s="76">
        <v>1112694.72</v>
      </c>
      <c r="K259" s="76">
        <v>0</v>
      </c>
      <c r="L259"/>
      <c r="M259"/>
      <c r="N259"/>
    </row>
    <row r="260" spans="3:14" ht="43.2" x14ac:dyDescent="0.3">
      <c r="C260" s="73" t="s">
        <v>509</v>
      </c>
      <c r="D260" s="74" t="s">
        <v>547</v>
      </c>
      <c r="E260" s="73" t="s">
        <v>495</v>
      </c>
      <c r="F260" s="75">
        <v>152</v>
      </c>
      <c r="G260" s="76">
        <v>3947.93</v>
      </c>
      <c r="H260" s="76">
        <v>0</v>
      </c>
      <c r="I260" s="83" t="s">
        <v>511</v>
      </c>
      <c r="J260" s="76">
        <v>600085.36</v>
      </c>
      <c r="K260" s="76">
        <v>0</v>
      </c>
      <c r="L260"/>
      <c r="M260"/>
      <c r="N260"/>
    </row>
    <row r="261" spans="3:14" ht="43.2" x14ac:dyDescent="0.3">
      <c r="C261" s="73" t="s">
        <v>517</v>
      </c>
      <c r="D261" s="74" t="s">
        <v>571</v>
      </c>
      <c r="E261" s="73" t="s">
        <v>495</v>
      </c>
      <c r="F261" s="75">
        <v>76</v>
      </c>
      <c r="G261" s="76">
        <v>4962.2299999999996</v>
      </c>
      <c r="H261" s="76">
        <v>0</v>
      </c>
      <c r="I261" s="83" t="s">
        <v>519</v>
      </c>
      <c r="J261" s="76">
        <v>377129.48</v>
      </c>
      <c r="K261" s="76">
        <v>0</v>
      </c>
      <c r="L261"/>
      <c r="M261"/>
      <c r="N261"/>
    </row>
    <row r="262" spans="3:14" ht="43.2" x14ac:dyDescent="0.3">
      <c r="C262" s="73" t="s">
        <v>524</v>
      </c>
      <c r="D262" s="74" t="s">
        <v>525</v>
      </c>
      <c r="E262" s="73" t="s">
        <v>495</v>
      </c>
      <c r="F262" s="75">
        <v>38</v>
      </c>
      <c r="G262" s="76">
        <v>5397.2</v>
      </c>
      <c r="H262" s="76">
        <v>0</v>
      </c>
      <c r="I262" s="83" t="s">
        <v>526</v>
      </c>
      <c r="J262" s="76">
        <v>205093.6</v>
      </c>
      <c r="K262" s="76">
        <v>0</v>
      </c>
      <c r="L262"/>
      <c r="M262"/>
      <c r="N262"/>
    </row>
    <row r="263" spans="3:14" ht="43.2" x14ac:dyDescent="0.3">
      <c r="C263" s="73"/>
      <c r="D263" s="74" t="s">
        <v>572</v>
      </c>
      <c r="E263" s="73"/>
      <c r="F263" s="75"/>
      <c r="G263" s="76"/>
      <c r="H263" s="76"/>
      <c r="I263" s="83"/>
      <c r="J263" s="76"/>
      <c r="K263" s="76"/>
      <c r="L263"/>
      <c r="M263"/>
      <c r="N263"/>
    </row>
    <row r="264" spans="3:14" ht="43.2" x14ac:dyDescent="0.3">
      <c r="C264" s="73" t="s">
        <v>532</v>
      </c>
      <c r="D264" s="74" t="s">
        <v>533</v>
      </c>
      <c r="E264" s="73" t="s">
        <v>495</v>
      </c>
      <c r="F264" s="75">
        <v>76</v>
      </c>
      <c r="G264" s="76">
        <v>4283.63</v>
      </c>
      <c r="H264" s="76">
        <v>0</v>
      </c>
      <c r="I264" s="83" t="s">
        <v>534</v>
      </c>
      <c r="J264" s="76">
        <v>325555.88</v>
      </c>
      <c r="K264" s="76">
        <v>0</v>
      </c>
      <c r="L264"/>
      <c r="M264"/>
      <c r="N264"/>
    </row>
    <row r="265" spans="3:14" ht="43.2" x14ac:dyDescent="0.3">
      <c r="C265" s="73"/>
      <c r="D265" s="74" t="s">
        <v>573</v>
      </c>
      <c r="E265" s="73"/>
      <c r="F265" s="75"/>
      <c r="G265" s="76"/>
      <c r="H265" s="76"/>
      <c r="I265" s="83"/>
      <c r="J265" s="76">
        <v>3924818.07</v>
      </c>
      <c r="K265" s="76">
        <v>0</v>
      </c>
      <c r="L265"/>
      <c r="M265"/>
      <c r="N265"/>
    </row>
    <row r="266" spans="3:14" ht="57.6" x14ac:dyDescent="0.3">
      <c r="C266" s="73" t="s">
        <v>574</v>
      </c>
      <c r="D266" s="74" t="s">
        <v>575</v>
      </c>
      <c r="E266" s="73"/>
      <c r="F266" s="75"/>
      <c r="G266" s="76"/>
      <c r="H266" s="76"/>
      <c r="I266" s="83"/>
      <c r="J266" s="76"/>
      <c r="K266" s="76"/>
      <c r="L266"/>
      <c r="M266"/>
      <c r="N266"/>
    </row>
    <row r="267" spans="3:14" ht="43.2" x14ac:dyDescent="0.3">
      <c r="C267" s="73"/>
      <c r="D267" s="74" t="s">
        <v>576</v>
      </c>
      <c r="E267" s="73"/>
      <c r="F267" s="75"/>
      <c r="G267" s="76"/>
      <c r="H267" s="76"/>
      <c r="I267" s="83"/>
      <c r="J267" s="76"/>
      <c r="K267" s="76"/>
      <c r="L267"/>
      <c r="M267"/>
      <c r="N267"/>
    </row>
    <row r="268" spans="3:14" ht="72" x14ac:dyDescent="0.3">
      <c r="C268" s="73" t="s">
        <v>577</v>
      </c>
      <c r="D268" s="74" t="s">
        <v>578</v>
      </c>
      <c r="E268" s="73" t="s">
        <v>495</v>
      </c>
      <c r="F268" s="75">
        <v>1140</v>
      </c>
      <c r="G268" s="76">
        <v>1125</v>
      </c>
      <c r="H268" s="76">
        <v>0</v>
      </c>
      <c r="I268" s="83" t="s">
        <v>579</v>
      </c>
      <c r="J268" s="76">
        <v>1282500</v>
      </c>
      <c r="K268" s="76">
        <v>0</v>
      </c>
      <c r="L268"/>
      <c r="M268"/>
      <c r="N268"/>
    </row>
    <row r="269" spans="3:14" ht="57.6" x14ac:dyDescent="0.3">
      <c r="C269" s="73" t="s">
        <v>580</v>
      </c>
      <c r="D269" s="74" t="s">
        <v>581</v>
      </c>
      <c r="E269" s="73" t="s">
        <v>495</v>
      </c>
      <c r="F269" s="75">
        <v>1140</v>
      </c>
      <c r="G269" s="76">
        <v>124.95</v>
      </c>
      <c r="H269" s="76">
        <v>0</v>
      </c>
      <c r="I269" s="83" t="s">
        <v>582</v>
      </c>
      <c r="J269" s="76">
        <v>142443</v>
      </c>
      <c r="K269" s="76">
        <v>0</v>
      </c>
      <c r="L269"/>
      <c r="M269"/>
      <c r="N269"/>
    </row>
    <row r="270" spans="3:14" ht="43.2" x14ac:dyDescent="0.3">
      <c r="C270" s="73" t="s">
        <v>583</v>
      </c>
      <c r="D270" s="74" t="s">
        <v>584</v>
      </c>
      <c r="E270" s="73" t="s">
        <v>495</v>
      </c>
      <c r="F270" s="75">
        <v>1216</v>
      </c>
      <c r="G270" s="76">
        <v>84.9</v>
      </c>
      <c r="H270" s="76">
        <v>0</v>
      </c>
      <c r="I270" s="83" t="s">
        <v>585</v>
      </c>
      <c r="J270" s="76">
        <v>103238.39999999999</v>
      </c>
      <c r="K270" s="76">
        <v>0</v>
      </c>
      <c r="L270"/>
      <c r="M270"/>
      <c r="N270"/>
    </row>
    <row r="271" spans="3:14" ht="86.4" x14ac:dyDescent="0.3">
      <c r="C271" s="73" t="s">
        <v>586</v>
      </c>
      <c r="D271" s="74" t="s">
        <v>587</v>
      </c>
      <c r="E271" s="73" t="s">
        <v>495</v>
      </c>
      <c r="F271" s="75">
        <v>270</v>
      </c>
      <c r="G271" s="76">
        <v>685.05</v>
      </c>
      <c r="H271" s="76">
        <v>0</v>
      </c>
      <c r="I271" s="83" t="s">
        <v>588</v>
      </c>
      <c r="J271" s="76">
        <v>184963.5</v>
      </c>
      <c r="K271" s="76">
        <v>0</v>
      </c>
      <c r="L271"/>
      <c r="M271"/>
      <c r="N271"/>
    </row>
    <row r="272" spans="3:14" ht="43.2" x14ac:dyDescent="0.3">
      <c r="C272" s="73"/>
      <c r="D272" s="74" t="s">
        <v>589</v>
      </c>
      <c r="E272" s="73"/>
      <c r="F272" s="75"/>
      <c r="G272" s="76"/>
      <c r="H272" s="76"/>
      <c r="I272" s="83"/>
      <c r="J272" s="76"/>
      <c r="K272" s="76"/>
      <c r="L272"/>
      <c r="M272"/>
      <c r="N272"/>
    </row>
    <row r="273" spans="3:14" ht="43.2" x14ac:dyDescent="0.3">
      <c r="C273" s="73" t="s">
        <v>590</v>
      </c>
      <c r="D273" s="74" t="s">
        <v>591</v>
      </c>
      <c r="E273" s="73" t="s">
        <v>495</v>
      </c>
      <c r="F273" s="75">
        <v>360</v>
      </c>
      <c r="G273" s="76">
        <v>34.950000000000003</v>
      </c>
      <c r="H273" s="76">
        <v>0</v>
      </c>
      <c r="I273" s="83" t="s">
        <v>592</v>
      </c>
      <c r="J273" s="76">
        <v>12582</v>
      </c>
      <c r="K273" s="76">
        <v>0</v>
      </c>
      <c r="L273"/>
      <c r="M273"/>
      <c r="N273"/>
    </row>
    <row r="274" spans="3:14" ht="43.2" x14ac:dyDescent="0.3">
      <c r="C274" s="73" t="s">
        <v>593</v>
      </c>
      <c r="D274" s="74" t="s">
        <v>594</v>
      </c>
      <c r="E274" s="73" t="s">
        <v>495</v>
      </c>
      <c r="F274" s="75">
        <v>360</v>
      </c>
      <c r="G274" s="76">
        <v>54.9</v>
      </c>
      <c r="H274" s="76">
        <v>0</v>
      </c>
      <c r="I274" s="83" t="s">
        <v>595</v>
      </c>
      <c r="J274" s="76">
        <v>19764</v>
      </c>
      <c r="K274" s="76">
        <v>0</v>
      </c>
      <c r="L274"/>
      <c r="M274"/>
      <c r="N274"/>
    </row>
    <row r="275" spans="3:14" ht="43.2" x14ac:dyDescent="0.3">
      <c r="C275" s="73" t="s">
        <v>596</v>
      </c>
      <c r="D275" s="74" t="s">
        <v>597</v>
      </c>
      <c r="E275" s="73" t="s">
        <v>495</v>
      </c>
      <c r="F275" s="75">
        <v>180</v>
      </c>
      <c r="G275" s="76">
        <v>162.9</v>
      </c>
      <c r="H275" s="76">
        <v>0</v>
      </c>
      <c r="I275" s="83" t="s">
        <v>598</v>
      </c>
      <c r="J275" s="76">
        <v>29322</v>
      </c>
      <c r="K275" s="76">
        <v>0</v>
      </c>
      <c r="L275"/>
      <c r="M275"/>
      <c r="N275"/>
    </row>
    <row r="276" spans="3:14" ht="43.2" x14ac:dyDescent="0.3">
      <c r="C276" s="73"/>
      <c r="D276" s="74" t="s">
        <v>599</v>
      </c>
      <c r="E276" s="73"/>
      <c r="F276" s="75"/>
      <c r="G276" s="76"/>
      <c r="H276" s="76"/>
      <c r="I276" s="83"/>
      <c r="J276" s="76"/>
      <c r="K276" s="76"/>
      <c r="L276"/>
      <c r="M276"/>
      <c r="N276"/>
    </row>
    <row r="277" spans="3:14" ht="43.2" x14ac:dyDescent="0.3">
      <c r="C277" s="73" t="s">
        <v>600</v>
      </c>
      <c r="D277" s="74" t="s">
        <v>601</v>
      </c>
      <c r="E277" s="73" t="s">
        <v>495</v>
      </c>
      <c r="F277" s="75">
        <v>360</v>
      </c>
      <c r="G277" s="76">
        <v>175.35</v>
      </c>
      <c r="H277" s="76">
        <v>0</v>
      </c>
      <c r="I277" s="83" t="s">
        <v>602</v>
      </c>
      <c r="J277" s="76">
        <v>63126</v>
      </c>
      <c r="K277" s="76">
        <v>0</v>
      </c>
      <c r="L277"/>
      <c r="M277"/>
      <c r="N277"/>
    </row>
    <row r="278" spans="3:14" ht="43.2" x14ac:dyDescent="0.3">
      <c r="C278" s="73" t="s">
        <v>603</v>
      </c>
      <c r="D278" s="74" t="s">
        <v>604</v>
      </c>
      <c r="E278" s="73" t="s">
        <v>495</v>
      </c>
      <c r="F278" s="75">
        <v>360</v>
      </c>
      <c r="G278" s="76">
        <v>205.5</v>
      </c>
      <c r="H278" s="76">
        <v>0</v>
      </c>
      <c r="I278" s="83" t="s">
        <v>605</v>
      </c>
      <c r="J278" s="76">
        <v>73980</v>
      </c>
      <c r="K278" s="76">
        <v>0</v>
      </c>
      <c r="L278"/>
      <c r="M278"/>
      <c r="N278"/>
    </row>
    <row r="279" spans="3:14" ht="43.2" x14ac:dyDescent="0.3">
      <c r="C279" s="73" t="s">
        <v>606</v>
      </c>
      <c r="D279" s="74" t="s">
        <v>607</v>
      </c>
      <c r="E279" s="73" t="s">
        <v>495</v>
      </c>
      <c r="F279" s="75">
        <v>180</v>
      </c>
      <c r="G279" s="76">
        <v>349.95</v>
      </c>
      <c r="H279" s="76">
        <v>0</v>
      </c>
      <c r="I279" s="83" t="s">
        <v>608</v>
      </c>
      <c r="J279" s="76">
        <v>62991</v>
      </c>
      <c r="K279" s="76">
        <v>0</v>
      </c>
      <c r="L279"/>
      <c r="M279"/>
      <c r="N279"/>
    </row>
    <row r="280" spans="3:14" ht="43.2" x14ac:dyDescent="0.3">
      <c r="C280" s="73"/>
      <c r="D280" s="74" t="s">
        <v>609</v>
      </c>
      <c r="E280" s="73"/>
      <c r="F280" s="75"/>
      <c r="G280" s="76"/>
      <c r="H280" s="76"/>
      <c r="I280" s="83"/>
      <c r="J280" s="76"/>
      <c r="K280" s="76"/>
      <c r="L280"/>
      <c r="M280"/>
      <c r="N280"/>
    </row>
    <row r="281" spans="3:14" ht="43.2" x14ac:dyDescent="0.3">
      <c r="C281" s="73" t="s">
        <v>610</v>
      </c>
      <c r="D281" s="74" t="s">
        <v>611</v>
      </c>
      <c r="E281" s="73" t="s">
        <v>495</v>
      </c>
      <c r="F281" s="75">
        <v>360</v>
      </c>
      <c r="G281" s="76">
        <v>31.65</v>
      </c>
      <c r="H281" s="76">
        <v>0</v>
      </c>
      <c r="I281" s="83" t="s">
        <v>612</v>
      </c>
      <c r="J281" s="76">
        <v>11394</v>
      </c>
      <c r="K281" s="76">
        <v>0</v>
      </c>
      <c r="L281"/>
      <c r="M281"/>
      <c r="N281"/>
    </row>
    <row r="282" spans="3:14" ht="43.2" x14ac:dyDescent="0.3">
      <c r="C282" s="73" t="s">
        <v>613</v>
      </c>
      <c r="D282" s="74" t="s">
        <v>614</v>
      </c>
      <c r="E282" s="73" t="s">
        <v>495</v>
      </c>
      <c r="F282" s="75">
        <v>360</v>
      </c>
      <c r="G282" s="76">
        <v>49.05</v>
      </c>
      <c r="H282" s="76">
        <v>0</v>
      </c>
      <c r="I282" s="83" t="s">
        <v>615</v>
      </c>
      <c r="J282" s="76">
        <v>17658</v>
      </c>
      <c r="K282" s="76">
        <v>0</v>
      </c>
      <c r="L282"/>
      <c r="M282"/>
      <c r="N282"/>
    </row>
    <row r="283" spans="3:14" ht="43.2" x14ac:dyDescent="0.3">
      <c r="C283" s="73"/>
      <c r="D283" s="74" t="s">
        <v>616</v>
      </c>
      <c r="E283" s="73"/>
      <c r="F283" s="75"/>
      <c r="G283" s="76"/>
      <c r="H283" s="76"/>
      <c r="I283" s="83"/>
      <c r="J283" s="76"/>
      <c r="K283" s="76"/>
      <c r="L283"/>
      <c r="M283"/>
      <c r="N283"/>
    </row>
    <row r="284" spans="3:14" ht="43.2" x14ac:dyDescent="0.3">
      <c r="C284" s="73" t="s">
        <v>617</v>
      </c>
      <c r="D284" s="74" t="s">
        <v>618</v>
      </c>
      <c r="E284" s="73" t="s">
        <v>495</v>
      </c>
      <c r="F284" s="75">
        <v>90</v>
      </c>
      <c r="G284" s="76">
        <v>2850</v>
      </c>
      <c r="H284" s="76">
        <v>0</v>
      </c>
      <c r="I284" s="83" t="s">
        <v>619</v>
      </c>
      <c r="J284" s="76">
        <v>256500</v>
      </c>
      <c r="K284" s="76">
        <v>0</v>
      </c>
      <c r="L284"/>
      <c r="M284"/>
      <c r="N284"/>
    </row>
    <row r="285" spans="3:14" ht="43.2" x14ac:dyDescent="0.3">
      <c r="C285" s="73" t="s">
        <v>620</v>
      </c>
      <c r="D285" s="74" t="s">
        <v>621</v>
      </c>
      <c r="E285" s="73" t="s">
        <v>495</v>
      </c>
      <c r="F285" s="75">
        <v>180</v>
      </c>
      <c r="G285" s="76">
        <v>124.95</v>
      </c>
      <c r="H285" s="76">
        <v>0</v>
      </c>
      <c r="I285" s="83" t="s">
        <v>582</v>
      </c>
      <c r="J285" s="76">
        <v>22491</v>
      </c>
      <c r="K285" s="76">
        <v>0</v>
      </c>
      <c r="L285"/>
      <c r="M285"/>
      <c r="N285"/>
    </row>
    <row r="286" spans="3:14" ht="57.6" x14ac:dyDescent="0.3">
      <c r="C286" s="73" t="s">
        <v>622</v>
      </c>
      <c r="D286" s="74" t="s">
        <v>623</v>
      </c>
      <c r="E286" s="73" t="s">
        <v>495</v>
      </c>
      <c r="F286" s="75">
        <v>25</v>
      </c>
      <c r="G286" s="76">
        <v>13399.95</v>
      </c>
      <c r="H286" s="76">
        <v>0</v>
      </c>
      <c r="I286" s="83" t="s">
        <v>624</v>
      </c>
      <c r="J286" s="76">
        <v>334998.75</v>
      </c>
      <c r="K286" s="76">
        <v>0</v>
      </c>
      <c r="L286"/>
      <c r="M286"/>
      <c r="N286"/>
    </row>
    <row r="287" spans="3:14" ht="43.2" x14ac:dyDescent="0.3">
      <c r="C287" s="73" t="s">
        <v>625</v>
      </c>
      <c r="D287" s="74" t="s">
        <v>626</v>
      </c>
      <c r="E287" s="73" t="s">
        <v>495</v>
      </c>
      <c r="F287" s="75">
        <v>90</v>
      </c>
      <c r="G287" s="76">
        <v>2687.4</v>
      </c>
      <c r="H287" s="76">
        <v>0</v>
      </c>
      <c r="I287" s="83" t="s">
        <v>627</v>
      </c>
      <c r="J287" s="76">
        <v>241866</v>
      </c>
      <c r="K287" s="76">
        <v>0</v>
      </c>
      <c r="L287"/>
      <c r="M287"/>
      <c r="N287"/>
    </row>
    <row r="288" spans="3:14" ht="86.4" x14ac:dyDescent="0.3">
      <c r="C288" s="73" t="s">
        <v>628</v>
      </c>
      <c r="D288" s="74" t="s">
        <v>629</v>
      </c>
      <c r="E288" s="73" t="s">
        <v>495</v>
      </c>
      <c r="F288" s="75">
        <v>225</v>
      </c>
      <c r="G288" s="76">
        <v>249.9</v>
      </c>
      <c r="H288" s="76">
        <v>0</v>
      </c>
      <c r="I288" s="83" t="s">
        <v>630</v>
      </c>
      <c r="J288" s="76">
        <v>56227.5</v>
      </c>
      <c r="K288" s="76">
        <v>0</v>
      </c>
      <c r="L288"/>
      <c r="M288"/>
      <c r="N288"/>
    </row>
    <row r="289" spans="3:14" ht="86.4" x14ac:dyDescent="0.3">
      <c r="C289" s="73"/>
      <c r="D289" s="74" t="s">
        <v>631</v>
      </c>
      <c r="E289" s="73"/>
      <c r="F289" s="75"/>
      <c r="G289" s="76"/>
      <c r="H289" s="76"/>
      <c r="I289" s="83"/>
      <c r="J289" s="76"/>
      <c r="K289" s="76"/>
      <c r="L289"/>
      <c r="M289"/>
      <c r="N289"/>
    </row>
    <row r="290" spans="3:14" ht="57.6" x14ac:dyDescent="0.3">
      <c r="C290" s="73" t="s">
        <v>632</v>
      </c>
      <c r="D290" s="74" t="s">
        <v>633</v>
      </c>
      <c r="E290" s="73" t="s">
        <v>495</v>
      </c>
      <c r="F290" s="75">
        <v>80</v>
      </c>
      <c r="G290" s="76">
        <v>17437.5</v>
      </c>
      <c r="H290" s="76">
        <v>0</v>
      </c>
      <c r="I290" s="83" t="s">
        <v>634</v>
      </c>
      <c r="J290" s="76">
        <v>1395000</v>
      </c>
      <c r="K290" s="76">
        <v>0</v>
      </c>
      <c r="L290"/>
      <c r="M290"/>
      <c r="N290"/>
    </row>
    <row r="291" spans="3:14" ht="72" x14ac:dyDescent="0.3">
      <c r="C291" s="73" t="s">
        <v>635</v>
      </c>
      <c r="D291" s="74" t="s">
        <v>636</v>
      </c>
      <c r="E291" s="73" t="s">
        <v>495</v>
      </c>
      <c r="F291" s="75">
        <v>20</v>
      </c>
      <c r="G291" s="76">
        <v>1713.45</v>
      </c>
      <c r="H291" s="76">
        <v>0</v>
      </c>
      <c r="I291" s="83" t="s">
        <v>637</v>
      </c>
      <c r="J291" s="76">
        <v>34269</v>
      </c>
      <c r="K291" s="76">
        <v>0</v>
      </c>
      <c r="L291"/>
      <c r="M291"/>
      <c r="N291"/>
    </row>
    <row r="292" spans="3:14" ht="43.2" x14ac:dyDescent="0.3">
      <c r="C292" s="73" t="s">
        <v>638</v>
      </c>
      <c r="D292" s="74" t="s">
        <v>639</v>
      </c>
      <c r="E292" s="73" t="s">
        <v>495</v>
      </c>
      <c r="F292" s="75">
        <v>720</v>
      </c>
      <c r="G292" s="76">
        <v>388.5</v>
      </c>
      <c r="H292" s="76">
        <v>0</v>
      </c>
      <c r="I292" s="83" t="s">
        <v>640</v>
      </c>
      <c r="J292" s="76">
        <v>279720</v>
      </c>
      <c r="K292" s="76">
        <v>0</v>
      </c>
      <c r="L292"/>
      <c r="M292"/>
      <c r="N292"/>
    </row>
    <row r="293" spans="3:14" ht="43.2" x14ac:dyDescent="0.3">
      <c r="C293" s="73"/>
      <c r="D293" s="74" t="s">
        <v>641</v>
      </c>
      <c r="E293" s="73"/>
      <c r="F293" s="75"/>
      <c r="G293" s="76"/>
      <c r="H293" s="76"/>
      <c r="I293" s="83"/>
      <c r="J293" s="76"/>
      <c r="K293" s="76"/>
      <c r="L293"/>
      <c r="M293"/>
      <c r="N293"/>
    </row>
    <row r="294" spans="3:14" ht="57.6" x14ac:dyDescent="0.3">
      <c r="C294" s="73" t="s">
        <v>642</v>
      </c>
      <c r="D294" s="74" t="s">
        <v>643</v>
      </c>
      <c r="E294" s="73" t="s">
        <v>495</v>
      </c>
      <c r="F294" s="75">
        <v>90</v>
      </c>
      <c r="G294" s="76">
        <v>15702.3</v>
      </c>
      <c r="H294" s="76">
        <v>0</v>
      </c>
      <c r="I294" s="83" t="s">
        <v>644</v>
      </c>
      <c r="J294" s="76">
        <v>1413207</v>
      </c>
      <c r="K294" s="76">
        <v>0</v>
      </c>
      <c r="L294"/>
      <c r="M294"/>
      <c r="N294"/>
    </row>
    <row r="295" spans="3:14" ht="57.6" x14ac:dyDescent="0.3">
      <c r="C295" s="73" t="s">
        <v>645</v>
      </c>
      <c r="D295" s="74" t="s">
        <v>646</v>
      </c>
      <c r="E295" s="73" t="s">
        <v>495</v>
      </c>
      <c r="F295" s="75">
        <v>40</v>
      </c>
      <c r="G295" s="76">
        <v>1500</v>
      </c>
      <c r="H295" s="76">
        <v>0</v>
      </c>
      <c r="I295" s="83" t="s">
        <v>647</v>
      </c>
      <c r="J295" s="76">
        <v>60000</v>
      </c>
      <c r="K295" s="76">
        <v>0</v>
      </c>
      <c r="L295"/>
      <c r="M295"/>
      <c r="N295"/>
    </row>
    <row r="296" spans="3:14" ht="43.2" x14ac:dyDescent="0.3">
      <c r="C296" s="73"/>
      <c r="D296" s="74" t="s">
        <v>648</v>
      </c>
      <c r="E296" s="73"/>
      <c r="F296" s="75"/>
      <c r="G296" s="76"/>
      <c r="H296" s="76"/>
      <c r="I296" s="83"/>
      <c r="J296" s="76"/>
      <c r="K296" s="76"/>
      <c r="L296"/>
      <c r="M296"/>
      <c r="N296"/>
    </row>
    <row r="297" spans="3:14" ht="43.2" x14ac:dyDescent="0.3">
      <c r="C297" s="73" t="s">
        <v>649</v>
      </c>
      <c r="D297" s="74" t="s">
        <v>650</v>
      </c>
      <c r="E297" s="73" t="s">
        <v>41</v>
      </c>
      <c r="F297" s="75">
        <v>16</v>
      </c>
      <c r="G297" s="76">
        <v>0</v>
      </c>
      <c r="H297" s="76">
        <v>11718.75</v>
      </c>
      <c r="I297" s="83" t="s">
        <v>651</v>
      </c>
      <c r="J297" s="76">
        <v>0</v>
      </c>
      <c r="K297" s="76">
        <v>187500</v>
      </c>
      <c r="L297"/>
      <c r="M297"/>
      <c r="N297"/>
    </row>
    <row r="298" spans="3:14" ht="43.2" x14ac:dyDescent="0.3">
      <c r="C298" s="73"/>
      <c r="D298" s="74" t="s">
        <v>652</v>
      </c>
      <c r="E298" s="73"/>
      <c r="F298" s="75"/>
      <c r="G298" s="76"/>
      <c r="H298" s="76"/>
      <c r="I298" s="83"/>
      <c r="J298" s="76"/>
      <c r="K298" s="76"/>
      <c r="L298"/>
      <c r="M298"/>
      <c r="N298"/>
    </row>
    <row r="299" spans="3:14" ht="43.2" x14ac:dyDescent="0.3">
      <c r="C299" s="73"/>
      <c r="D299" s="74" t="s">
        <v>653</v>
      </c>
      <c r="E299" s="73"/>
      <c r="F299" s="75"/>
      <c r="G299" s="76"/>
      <c r="H299" s="76"/>
      <c r="I299" s="83"/>
      <c r="J299" s="76"/>
      <c r="K299" s="76"/>
      <c r="L299"/>
      <c r="M299"/>
      <c r="N299"/>
    </row>
    <row r="300" spans="3:14" ht="57.6" x14ac:dyDescent="0.3">
      <c r="C300" s="73" t="s">
        <v>654</v>
      </c>
      <c r="D300" s="74" t="s">
        <v>655</v>
      </c>
      <c r="E300" s="73" t="s">
        <v>656</v>
      </c>
      <c r="F300" s="75">
        <v>690</v>
      </c>
      <c r="G300" s="76">
        <v>2500</v>
      </c>
      <c r="H300" s="76">
        <v>0</v>
      </c>
      <c r="I300" s="83" t="s">
        <v>657</v>
      </c>
      <c r="J300" s="76">
        <v>1725000</v>
      </c>
      <c r="K300" s="76">
        <v>0</v>
      </c>
      <c r="L300"/>
      <c r="M300"/>
      <c r="N300"/>
    </row>
    <row r="301" spans="3:14" ht="57.6" x14ac:dyDescent="0.3">
      <c r="C301" s="73" t="s">
        <v>658</v>
      </c>
      <c r="D301" s="74" t="s">
        <v>659</v>
      </c>
      <c r="E301" s="73" t="s">
        <v>656</v>
      </c>
      <c r="F301" s="75">
        <v>345</v>
      </c>
      <c r="G301" s="76">
        <v>4687.5</v>
      </c>
      <c r="H301" s="76">
        <v>0</v>
      </c>
      <c r="I301" s="83" t="s">
        <v>660</v>
      </c>
      <c r="J301" s="76">
        <v>1617187.5</v>
      </c>
      <c r="K301" s="76">
        <v>0</v>
      </c>
      <c r="L301"/>
      <c r="M301"/>
      <c r="N301"/>
    </row>
    <row r="302" spans="3:14" ht="43.2" x14ac:dyDescent="0.3">
      <c r="C302" s="73"/>
      <c r="D302" s="74" t="s">
        <v>661</v>
      </c>
      <c r="E302" s="73"/>
      <c r="F302" s="75"/>
      <c r="G302" s="76"/>
      <c r="H302" s="76"/>
      <c r="I302" s="83"/>
      <c r="J302" s="76"/>
      <c r="K302" s="76"/>
      <c r="L302"/>
      <c r="M302"/>
      <c r="N302"/>
    </row>
    <row r="303" spans="3:14" ht="43.2" x14ac:dyDescent="0.3">
      <c r="C303" s="73" t="s">
        <v>662</v>
      </c>
      <c r="D303" s="74" t="s">
        <v>663</v>
      </c>
      <c r="E303" s="73" t="s">
        <v>495</v>
      </c>
      <c r="F303" s="75">
        <v>60</v>
      </c>
      <c r="G303" s="76">
        <v>25000</v>
      </c>
      <c r="H303" s="76">
        <v>0</v>
      </c>
      <c r="I303" s="83" t="s">
        <v>664</v>
      </c>
      <c r="J303" s="76">
        <v>1500000</v>
      </c>
      <c r="K303" s="76">
        <v>0</v>
      </c>
      <c r="L303"/>
      <c r="M303"/>
      <c r="N303"/>
    </row>
    <row r="304" spans="3:14" ht="43.2" x14ac:dyDescent="0.3">
      <c r="C304" s="73" t="s">
        <v>665</v>
      </c>
      <c r="D304" s="74" t="s">
        <v>666</v>
      </c>
      <c r="E304" s="73" t="s">
        <v>495</v>
      </c>
      <c r="F304" s="75">
        <v>15</v>
      </c>
      <c r="G304" s="76">
        <v>68750</v>
      </c>
      <c r="H304" s="76">
        <v>0</v>
      </c>
      <c r="I304" s="83" t="s">
        <v>667</v>
      </c>
      <c r="J304" s="76">
        <v>1031250</v>
      </c>
      <c r="K304" s="76">
        <v>0</v>
      </c>
      <c r="L304"/>
      <c r="M304"/>
      <c r="N304"/>
    </row>
    <row r="305" spans="3:14" ht="43.2" x14ac:dyDescent="0.3">
      <c r="C305" s="73"/>
      <c r="D305" s="74" t="s">
        <v>668</v>
      </c>
      <c r="E305" s="73"/>
      <c r="F305" s="75"/>
      <c r="G305" s="76"/>
      <c r="H305" s="76"/>
      <c r="I305" s="83"/>
      <c r="J305" s="76"/>
      <c r="K305" s="76"/>
      <c r="L305"/>
      <c r="M305"/>
      <c r="N305"/>
    </row>
    <row r="306" spans="3:14" ht="43.2" x14ac:dyDescent="0.3">
      <c r="C306" s="73" t="s">
        <v>669</v>
      </c>
      <c r="D306" s="74" t="s">
        <v>670</v>
      </c>
      <c r="E306" s="73" t="s">
        <v>495</v>
      </c>
      <c r="F306" s="75">
        <v>15</v>
      </c>
      <c r="G306" s="76">
        <v>312.5</v>
      </c>
      <c r="H306" s="76">
        <v>0</v>
      </c>
      <c r="I306" s="83" t="s">
        <v>671</v>
      </c>
      <c r="J306" s="76">
        <v>4687.5</v>
      </c>
      <c r="K306" s="76">
        <v>0</v>
      </c>
      <c r="L306"/>
      <c r="M306"/>
      <c r="N306"/>
    </row>
    <row r="307" spans="3:14" ht="86.4" x14ac:dyDescent="0.3">
      <c r="C307" s="73" t="s">
        <v>672</v>
      </c>
      <c r="D307" s="74" t="s">
        <v>673</v>
      </c>
      <c r="E307" s="73" t="s">
        <v>495</v>
      </c>
      <c r="F307" s="75">
        <v>2</v>
      </c>
      <c r="G307" s="76">
        <v>12960</v>
      </c>
      <c r="H307" s="76">
        <v>0</v>
      </c>
      <c r="I307" s="83" t="s">
        <v>674</v>
      </c>
      <c r="J307" s="76">
        <v>25920</v>
      </c>
      <c r="K307" s="76">
        <v>0</v>
      </c>
      <c r="L307"/>
      <c r="M307"/>
      <c r="N307"/>
    </row>
    <row r="308" spans="3:14" ht="43.2" x14ac:dyDescent="0.3">
      <c r="C308" s="73" t="s">
        <v>675</v>
      </c>
      <c r="D308" s="74" t="s">
        <v>676</v>
      </c>
      <c r="E308" s="73" t="s">
        <v>495</v>
      </c>
      <c r="F308" s="75">
        <v>15</v>
      </c>
      <c r="G308" s="76">
        <v>2280</v>
      </c>
      <c r="H308" s="76">
        <v>0</v>
      </c>
      <c r="I308" s="83" t="s">
        <v>677</v>
      </c>
      <c r="J308" s="76">
        <v>34200</v>
      </c>
      <c r="K308" s="76">
        <v>0</v>
      </c>
      <c r="L308"/>
      <c r="M308"/>
      <c r="N308"/>
    </row>
    <row r="309" spans="3:14" ht="57.6" x14ac:dyDescent="0.3">
      <c r="C309" s="73" t="s">
        <v>678</v>
      </c>
      <c r="D309" s="74" t="s">
        <v>679</v>
      </c>
      <c r="E309" s="73" t="s">
        <v>495</v>
      </c>
      <c r="F309" s="75">
        <v>15</v>
      </c>
      <c r="G309" s="76">
        <v>2775</v>
      </c>
      <c r="H309" s="76">
        <v>0</v>
      </c>
      <c r="I309" s="83" t="s">
        <v>680</v>
      </c>
      <c r="J309" s="76">
        <v>41625</v>
      </c>
      <c r="K309" s="76">
        <v>0</v>
      </c>
      <c r="L309"/>
      <c r="M309"/>
      <c r="N309"/>
    </row>
    <row r="310" spans="3:14" ht="57.6" x14ac:dyDescent="0.3">
      <c r="C310" s="73" t="s">
        <v>681</v>
      </c>
      <c r="D310" s="74" t="s">
        <v>682</v>
      </c>
      <c r="E310" s="73" t="s">
        <v>495</v>
      </c>
      <c r="F310" s="75">
        <v>15</v>
      </c>
      <c r="G310" s="76">
        <v>2025</v>
      </c>
      <c r="H310" s="76">
        <v>0</v>
      </c>
      <c r="I310" s="83" t="s">
        <v>683</v>
      </c>
      <c r="J310" s="76">
        <v>30375</v>
      </c>
      <c r="K310" s="76">
        <v>0</v>
      </c>
      <c r="L310"/>
      <c r="M310"/>
      <c r="N310"/>
    </row>
    <row r="311" spans="3:14" ht="43.2" x14ac:dyDescent="0.3">
      <c r="C311" s="73"/>
      <c r="D311" s="74" t="s">
        <v>684</v>
      </c>
      <c r="E311" s="73"/>
      <c r="F311" s="75"/>
      <c r="G311" s="76"/>
      <c r="H311" s="76"/>
      <c r="I311" s="83"/>
      <c r="J311" s="76">
        <v>12108486.15</v>
      </c>
      <c r="K311" s="76">
        <v>187500</v>
      </c>
      <c r="L311"/>
      <c r="M311"/>
      <c r="N311"/>
    </row>
    <row r="312" spans="3:14" ht="43.2" x14ac:dyDescent="0.3">
      <c r="C312" s="73" t="s">
        <v>577</v>
      </c>
      <c r="D312" s="74" t="s">
        <v>685</v>
      </c>
      <c r="E312" s="73"/>
      <c r="F312" s="75"/>
      <c r="G312" s="76"/>
      <c r="H312" s="76"/>
      <c r="I312" s="83"/>
      <c r="J312" s="76"/>
      <c r="K312" s="76"/>
      <c r="L312"/>
      <c r="M312"/>
      <c r="N312"/>
    </row>
    <row r="313" spans="3:14" ht="72" x14ac:dyDescent="0.3">
      <c r="C313" s="73" t="s">
        <v>577</v>
      </c>
      <c r="D313" s="74" t="s">
        <v>578</v>
      </c>
      <c r="E313" s="73" t="s">
        <v>495</v>
      </c>
      <c r="F313" s="75">
        <v>38</v>
      </c>
      <c r="G313" s="76">
        <v>1125</v>
      </c>
      <c r="H313" s="76">
        <v>0</v>
      </c>
      <c r="I313" s="83" t="s">
        <v>579</v>
      </c>
      <c r="J313" s="76">
        <v>42750</v>
      </c>
      <c r="K313" s="76">
        <v>0</v>
      </c>
      <c r="L313"/>
      <c r="M313"/>
      <c r="N313"/>
    </row>
    <row r="314" spans="3:14" ht="43.2" x14ac:dyDescent="0.3">
      <c r="C314" s="73" t="s">
        <v>583</v>
      </c>
      <c r="D314" s="74" t="s">
        <v>584</v>
      </c>
      <c r="E314" s="73" t="s">
        <v>495</v>
      </c>
      <c r="F314" s="75">
        <v>38</v>
      </c>
      <c r="G314" s="76">
        <v>84.9</v>
      </c>
      <c r="H314" s="76">
        <v>0</v>
      </c>
      <c r="I314" s="83" t="s">
        <v>585</v>
      </c>
      <c r="J314" s="76">
        <v>3226.2</v>
      </c>
      <c r="K314" s="76">
        <v>0</v>
      </c>
      <c r="L314"/>
      <c r="M314"/>
      <c r="N314"/>
    </row>
    <row r="315" spans="3:14" ht="86.4" x14ac:dyDescent="0.3">
      <c r="C315" s="73" t="s">
        <v>586</v>
      </c>
      <c r="D315" s="74" t="s">
        <v>587</v>
      </c>
      <c r="E315" s="73" t="s">
        <v>495</v>
      </c>
      <c r="F315" s="75">
        <v>76</v>
      </c>
      <c r="G315" s="76">
        <v>685.05</v>
      </c>
      <c r="H315" s="76">
        <v>0</v>
      </c>
      <c r="I315" s="83" t="s">
        <v>588</v>
      </c>
      <c r="J315" s="76">
        <v>52063.8</v>
      </c>
      <c r="K315" s="76">
        <v>0</v>
      </c>
      <c r="L315"/>
      <c r="M315"/>
      <c r="N315"/>
    </row>
    <row r="316" spans="3:14" ht="43.2" x14ac:dyDescent="0.3">
      <c r="C316" s="73" t="s">
        <v>590</v>
      </c>
      <c r="D316" s="74" t="s">
        <v>591</v>
      </c>
      <c r="E316" s="73" t="s">
        <v>495</v>
      </c>
      <c r="F316" s="75">
        <v>76</v>
      </c>
      <c r="G316" s="76">
        <v>34.950000000000003</v>
      </c>
      <c r="H316" s="76">
        <v>0</v>
      </c>
      <c r="I316" s="83" t="s">
        <v>592</v>
      </c>
      <c r="J316" s="76">
        <v>2656.2</v>
      </c>
      <c r="K316" s="76">
        <v>0</v>
      </c>
      <c r="L316"/>
      <c r="M316"/>
      <c r="N316"/>
    </row>
    <row r="317" spans="3:14" ht="43.2" x14ac:dyDescent="0.3">
      <c r="C317" s="73" t="s">
        <v>593</v>
      </c>
      <c r="D317" s="74" t="s">
        <v>594</v>
      </c>
      <c r="E317" s="73" t="s">
        <v>495</v>
      </c>
      <c r="F317" s="75">
        <v>76</v>
      </c>
      <c r="G317" s="76">
        <v>54.9</v>
      </c>
      <c r="H317" s="76">
        <v>0</v>
      </c>
      <c r="I317" s="83" t="s">
        <v>595</v>
      </c>
      <c r="J317" s="76">
        <v>4172.3999999999996</v>
      </c>
      <c r="K317" s="76">
        <v>0</v>
      </c>
      <c r="L317"/>
      <c r="M317"/>
      <c r="N317"/>
    </row>
    <row r="318" spans="3:14" ht="43.2" x14ac:dyDescent="0.3">
      <c r="C318" s="73" t="s">
        <v>600</v>
      </c>
      <c r="D318" s="74" t="s">
        <v>601</v>
      </c>
      <c r="E318" s="73" t="s">
        <v>495</v>
      </c>
      <c r="F318" s="75">
        <v>76</v>
      </c>
      <c r="G318" s="76">
        <v>175.35</v>
      </c>
      <c r="H318" s="76">
        <v>0</v>
      </c>
      <c r="I318" s="83" t="s">
        <v>602</v>
      </c>
      <c r="J318" s="76">
        <v>13326.6</v>
      </c>
      <c r="K318" s="76">
        <v>0</v>
      </c>
      <c r="L318"/>
      <c r="M318"/>
      <c r="N318"/>
    </row>
    <row r="319" spans="3:14" ht="43.2" x14ac:dyDescent="0.3">
      <c r="C319" s="73" t="s">
        <v>603</v>
      </c>
      <c r="D319" s="74" t="s">
        <v>604</v>
      </c>
      <c r="E319" s="73" t="s">
        <v>495</v>
      </c>
      <c r="F319" s="75">
        <v>76</v>
      </c>
      <c r="G319" s="76">
        <v>205.5</v>
      </c>
      <c r="H319" s="76">
        <v>0</v>
      </c>
      <c r="I319" s="83" t="s">
        <v>605</v>
      </c>
      <c r="J319" s="76">
        <v>15618</v>
      </c>
      <c r="K319" s="76">
        <v>0</v>
      </c>
      <c r="L319"/>
      <c r="M319"/>
      <c r="N319"/>
    </row>
    <row r="320" spans="3:14" ht="43.2" x14ac:dyDescent="0.3">
      <c r="C320" s="73" t="s">
        <v>610</v>
      </c>
      <c r="D320" s="74" t="s">
        <v>611</v>
      </c>
      <c r="E320" s="73" t="s">
        <v>495</v>
      </c>
      <c r="F320" s="75">
        <v>76</v>
      </c>
      <c r="G320" s="76">
        <v>31.65</v>
      </c>
      <c r="H320" s="76">
        <v>0</v>
      </c>
      <c r="I320" s="83" t="s">
        <v>612</v>
      </c>
      <c r="J320" s="76">
        <v>2405.4</v>
      </c>
      <c r="K320" s="76">
        <v>0</v>
      </c>
      <c r="L320"/>
      <c r="M320"/>
      <c r="N320"/>
    </row>
    <row r="321" spans="3:14" ht="43.2" x14ac:dyDescent="0.3">
      <c r="C321" s="73" t="s">
        <v>613</v>
      </c>
      <c r="D321" s="74" t="s">
        <v>614</v>
      </c>
      <c r="E321" s="73" t="s">
        <v>495</v>
      </c>
      <c r="F321" s="75">
        <v>114</v>
      </c>
      <c r="G321" s="76">
        <v>49.05</v>
      </c>
      <c r="H321" s="76">
        <v>0</v>
      </c>
      <c r="I321" s="83" t="s">
        <v>615</v>
      </c>
      <c r="J321" s="76">
        <v>5591.7</v>
      </c>
      <c r="K321" s="76">
        <v>0</v>
      </c>
      <c r="L321"/>
      <c r="M321"/>
      <c r="N321"/>
    </row>
    <row r="322" spans="3:14" ht="43.2" x14ac:dyDescent="0.3">
      <c r="C322" s="73" t="s">
        <v>638</v>
      </c>
      <c r="D322" s="74" t="s">
        <v>639</v>
      </c>
      <c r="E322" s="73" t="s">
        <v>495</v>
      </c>
      <c r="F322" s="75">
        <v>76</v>
      </c>
      <c r="G322" s="76">
        <v>388.5</v>
      </c>
      <c r="H322" s="76">
        <v>0</v>
      </c>
      <c r="I322" s="83" t="s">
        <v>640</v>
      </c>
      <c r="J322" s="76">
        <v>29526</v>
      </c>
      <c r="K322" s="76">
        <v>0</v>
      </c>
      <c r="L322"/>
      <c r="M322"/>
      <c r="N322"/>
    </row>
    <row r="323" spans="3:14" ht="43.2" x14ac:dyDescent="0.3">
      <c r="C323" s="73"/>
      <c r="D323" s="74" t="s">
        <v>686</v>
      </c>
      <c r="E323" s="73"/>
      <c r="F323" s="75"/>
      <c r="G323" s="76"/>
      <c r="H323" s="76"/>
      <c r="I323" s="83"/>
      <c r="J323" s="76">
        <v>171336.3</v>
      </c>
      <c r="K323" s="76">
        <v>0</v>
      </c>
      <c r="L323"/>
      <c r="M323"/>
      <c r="N323"/>
    </row>
    <row r="324" spans="3:14" ht="43.2" x14ac:dyDescent="0.3">
      <c r="C324" s="73" t="s">
        <v>687</v>
      </c>
      <c r="D324" s="74" t="s">
        <v>688</v>
      </c>
      <c r="E324" s="73"/>
      <c r="F324" s="75"/>
      <c r="G324" s="76"/>
      <c r="H324" s="76"/>
      <c r="I324" s="83"/>
      <c r="J324" s="76"/>
      <c r="K324" s="76"/>
      <c r="L324"/>
      <c r="M324"/>
      <c r="N324"/>
    </row>
    <row r="325" spans="3:14" ht="43.2" x14ac:dyDescent="0.3">
      <c r="C325" s="73" t="s">
        <v>689</v>
      </c>
      <c r="D325" s="74" t="s">
        <v>690</v>
      </c>
      <c r="E325" s="73" t="s">
        <v>691</v>
      </c>
      <c r="F325" s="75">
        <v>8626</v>
      </c>
      <c r="G325" s="76">
        <v>475</v>
      </c>
      <c r="H325" s="76">
        <v>0</v>
      </c>
      <c r="I325" s="83" t="s">
        <v>692</v>
      </c>
      <c r="J325" s="76">
        <v>4097350</v>
      </c>
      <c r="K325" s="76">
        <v>0</v>
      </c>
      <c r="L325"/>
      <c r="M325"/>
      <c r="N325"/>
    </row>
    <row r="326" spans="3:14" ht="43.2" x14ac:dyDescent="0.3">
      <c r="C326" s="73"/>
      <c r="D326" s="74" t="s">
        <v>693</v>
      </c>
      <c r="E326" s="73"/>
      <c r="F326" s="75"/>
      <c r="G326" s="76"/>
      <c r="H326" s="76"/>
      <c r="I326" s="83"/>
      <c r="J326" s="76">
        <v>4097350</v>
      </c>
      <c r="K326" s="76">
        <v>0</v>
      </c>
      <c r="L326"/>
      <c r="M326"/>
      <c r="N326"/>
    </row>
    <row r="327" spans="3:14" ht="57.6" x14ac:dyDescent="0.3">
      <c r="C327" s="73"/>
      <c r="D327" s="74" t="s">
        <v>694</v>
      </c>
      <c r="E327" s="73"/>
      <c r="F327" s="75"/>
      <c r="G327" s="76"/>
      <c r="H327" s="76"/>
      <c r="I327" s="83"/>
      <c r="J327" s="76"/>
      <c r="K327" s="76"/>
      <c r="L327"/>
      <c r="M327" t="s">
        <v>695</v>
      </c>
      <c r="N327" t="s">
        <v>696</v>
      </c>
    </row>
    <row r="328" spans="3:14" ht="115.2" x14ac:dyDescent="0.3">
      <c r="C328" s="73" t="s">
        <v>697</v>
      </c>
      <c r="D328" s="74" t="s">
        <v>698</v>
      </c>
      <c r="E328" s="73" t="s">
        <v>699</v>
      </c>
      <c r="F328" s="75">
        <v>450</v>
      </c>
      <c r="G328" s="76">
        <v>11903.21</v>
      </c>
      <c r="H328" s="76">
        <v>0</v>
      </c>
      <c r="I328" s="83" t="s">
        <v>700</v>
      </c>
      <c r="J328" s="76">
        <v>5356444.5</v>
      </c>
      <c r="K328" s="76">
        <v>0</v>
      </c>
      <c r="L328"/>
      <c r="M328">
        <v>0</v>
      </c>
      <c r="N328">
        <v>0</v>
      </c>
    </row>
    <row r="329" spans="3:14" ht="72" x14ac:dyDescent="0.3">
      <c r="C329" s="73" t="s">
        <v>701</v>
      </c>
      <c r="D329" s="74" t="s">
        <v>702</v>
      </c>
      <c r="E329" s="73" t="s">
        <v>50</v>
      </c>
      <c r="F329" s="75">
        <v>1.8808</v>
      </c>
      <c r="G329" s="76">
        <v>391050.8</v>
      </c>
      <c r="H329" s="76">
        <v>867.83</v>
      </c>
      <c r="I329" s="83" t="s">
        <v>703</v>
      </c>
      <c r="J329" s="76">
        <v>735488.34</v>
      </c>
      <c r="K329" s="76">
        <v>1632.21</v>
      </c>
      <c r="L329"/>
      <c r="M329">
        <v>1632.21</v>
      </c>
      <c r="N329">
        <v>1632.21</v>
      </c>
    </row>
    <row r="330" spans="3:14" ht="72" x14ac:dyDescent="0.3">
      <c r="C330" s="73" t="s">
        <v>704</v>
      </c>
      <c r="D330" s="74" t="s">
        <v>705</v>
      </c>
      <c r="E330" s="73" t="s">
        <v>50</v>
      </c>
      <c r="F330" s="75">
        <v>4.4328000000000003</v>
      </c>
      <c r="G330" s="76">
        <v>339356.21</v>
      </c>
      <c r="H330" s="76">
        <v>624.83000000000004</v>
      </c>
      <c r="I330" s="83" t="s">
        <v>706</v>
      </c>
      <c r="J330" s="76">
        <v>1504298.21</v>
      </c>
      <c r="K330" s="76">
        <v>2769.75</v>
      </c>
      <c r="L330"/>
      <c r="M330">
        <v>4401.96</v>
      </c>
      <c r="N330">
        <v>4401.96</v>
      </c>
    </row>
    <row r="331" spans="3:14" ht="72" x14ac:dyDescent="0.3">
      <c r="C331" s="73" t="s">
        <v>707</v>
      </c>
      <c r="D331" s="74" t="s">
        <v>708</v>
      </c>
      <c r="E331" s="73" t="s">
        <v>50</v>
      </c>
      <c r="F331" s="75">
        <v>0.36299999999999999</v>
      </c>
      <c r="G331" s="76">
        <v>374821.36</v>
      </c>
      <c r="H331" s="76">
        <v>0</v>
      </c>
      <c r="I331" s="83" t="s">
        <v>709</v>
      </c>
      <c r="J331" s="76">
        <v>136060.15</v>
      </c>
      <c r="K331" s="76">
        <v>0</v>
      </c>
      <c r="L331"/>
      <c r="M331">
        <v>4401.96</v>
      </c>
      <c r="N331">
        <v>4401.96</v>
      </c>
    </row>
    <row r="332" spans="3:14" ht="72" x14ac:dyDescent="0.3">
      <c r="C332" s="73" t="s">
        <v>710</v>
      </c>
      <c r="D332" s="74" t="s">
        <v>711</v>
      </c>
      <c r="E332" s="73" t="s">
        <v>712</v>
      </c>
      <c r="F332" s="75">
        <v>1.56</v>
      </c>
      <c r="G332" s="76">
        <v>9385.77</v>
      </c>
      <c r="H332" s="76">
        <v>0</v>
      </c>
      <c r="I332" s="83" t="s">
        <v>713</v>
      </c>
      <c r="J332" s="76">
        <v>14641.8</v>
      </c>
      <c r="K332" s="76">
        <v>0</v>
      </c>
      <c r="L332"/>
      <c r="M332">
        <v>4401.96</v>
      </c>
      <c r="N332">
        <v>4401.96</v>
      </c>
    </row>
    <row r="333" spans="3:14" ht="57.6" x14ac:dyDescent="0.3">
      <c r="C333" s="73" t="s">
        <v>714</v>
      </c>
      <c r="D333" s="74" t="s">
        <v>715</v>
      </c>
      <c r="E333" s="73" t="s">
        <v>58</v>
      </c>
      <c r="F333" s="75">
        <v>42.57</v>
      </c>
      <c r="G333" s="76">
        <v>2990.74</v>
      </c>
      <c r="H333" s="76">
        <v>3899.01</v>
      </c>
      <c r="I333" s="83" t="s">
        <v>716</v>
      </c>
      <c r="J333" s="76">
        <v>127315.8</v>
      </c>
      <c r="K333" s="76">
        <v>165980.85999999999</v>
      </c>
      <c r="L333"/>
      <c r="M333">
        <v>170382.82</v>
      </c>
      <c r="N333">
        <v>170382.82</v>
      </c>
    </row>
    <row r="334" spans="3:14" ht="86.4" x14ac:dyDescent="0.3">
      <c r="C334" s="73" t="s">
        <v>717</v>
      </c>
      <c r="D334" s="74" t="s">
        <v>718</v>
      </c>
      <c r="E334" s="73" t="s">
        <v>58</v>
      </c>
      <c r="F334" s="75">
        <v>31.5</v>
      </c>
      <c r="G334" s="76">
        <v>13228.53</v>
      </c>
      <c r="H334" s="76">
        <v>5870.23</v>
      </c>
      <c r="I334" s="83" t="s">
        <v>719</v>
      </c>
      <c r="J334" s="76">
        <v>416698.7</v>
      </c>
      <c r="K334" s="76">
        <v>184912.25</v>
      </c>
      <c r="L334"/>
      <c r="M334">
        <v>355295.07</v>
      </c>
      <c r="N334">
        <v>355295.07</v>
      </c>
    </row>
    <row r="335" spans="3:14" ht="86.4" x14ac:dyDescent="0.3">
      <c r="C335" s="73" t="s">
        <v>720</v>
      </c>
      <c r="D335" s="74" t="s">
        <v>721</v>
      </c>
      <c r="E335" s="73" t="s">
        <v>68</v>
      </c>
      <c r="F335" s="75">
        <v>1</v>
      </c>
      <c r="G335" s="76">
        <v>57783.43</v>
      </c>
      <c r="H335" s="76">
        <v>78.099999999999994</v>
      </c>
      <c r="I335" s="83" t="s">
        <v>722</v>
      </c>
      <c r="J335" s="76">
        <v>57783.43</v>
      </c>
      <c r="K335" s="76">
        <v>78.099999999999994</v>
      </c>
      <c r="L335"/>
      <c r="M335">
        <v>355373.17</v>
      </c>
      <c r="N335">
        <v>355373.17</v>
      </c>
    </row>
    <row r="336" spans="3:14" ht="86.4" x14ac:dyDescent="0.3">
      <c r="C336" s="73" t="s">
        <v>723</v>
      </c>
      <c r="D336" s="74" t="s">
        <v>724</v>
      </c>
      <c r="E336" s="73" t="s">
        <v>68</v>
      </c>
      <c r="F336" s="75">
        <v>6</v>
      </c>
      <c r="G336" s="76">
        <v>67601.820000000007</v>
      </c>
      <c r="H336" s="76">
        <v>173.56</v>
      </c>
      <c r="I336" s="83" t="s">
        <v>725</v>
      </c>
      <c r="J336" s="76">
        <v>405610.92</v>
      </c>
      <c r="K336" s="76">
        <v>1041.3599999999999</v>
      </c>
      <c r="L336"/>
      <c r="M336">
        <v>356414.53</v>
      </c>
      <c r="N336">
        <v>356414.53</v>
      </c>
    </row>
    <row r="337" spans="3:14" ht="72" x14ac:dyDescent="0.3">
      <c r="C337" s="73" t="s">
        <v>726</v>
      </c>
      <c r="D337" s="74" t="s">
        <v>727</v>
      </c>
      <c r="E337" s="73" t="s">
        <v>50</v>
      </c>
      <c r="F337" s="75">
        <v>0.44619999999999999</v>
      </c>
      <c r="G337" s="76">
        <v>238961.43</v>
      </c>
      <c r="H337" s="76">
        <v>0</v>
      </c>
      <c r="I337" s="83" t="s">
        <v>728</v>
      </c>
      <c r="J337" s="76">
        <v>106624.59</v>
      </c>
      <c r="K337" s="76">
        <v>0</v>
      </c>
      <c r="L337"/>
      <c r="M337">
        <v>356414.53</v>
      </c>
      <c r="N337">
        <v>356414.53</v>
      </c>
    </row>
    <row r="338" spans="3:14" ht="72" x14ac:dyDescent="0.3">
      <c r="C338" s="73" t="s">
        <v>729</v>
      </c>
      <c r="D338" s="74" t="s">
        <v>730</v>
      </c>
      <c r="E338" s="73" t="s">
        <v>50</v>
      </c>
      <c r="F338" s="75">
        <v>16.605</v>
      </c>
      <c r="G338" s="76">
        <v>482965.02</v>
      </c>
      <c r="H338" s="76">
        <v>0</v>
      </c>
      <c r="I338" s="83" t="s">
        <v>731</v>
      </c>
      <c r="J338" s="76">
        <v>8019634.1600000001</v>
      </c>
      <c r="K338" s="76">
        <v>0</v>
      </c>
      <c r="L338"/>
      <c r="M338">
        <v>356414.53</v>
      </c>
      <c r="N338">
        <v>356414.53</v>
      </c>
    </row>
    <row r="339" spans="3:14" ht="72" x14ac:dyDescent="0.3">
      <c r="C339" s="73" t="s">
        <v>732</v>
      </c>
      <c r="D339" s="74" t="s">
        <v>733</v>
      </c>
      <c r="E339" s="73" t="s">
        <v>50</v>
      </c>
      <c r="F339" s="75">
        <v>1.1319999999999999</v>
      </c>
      <c r="G339" s="76">
        <v>222002.05</v>
      </c>
      <c r="H339" s="76">
        <v>0</v>
      </c>
      <c r="I339" s="83" t="s">
        <v>734</v>
      </c>
      <c r="J339" s="76">
        <v>251306.32</v>
      </c>
      <c r="K339" s="76">
        <v>0</v>
      </c>
      <c r="L339"/>
      <c r="M339">
        <v>356414.53</v>
      </c>
      <c r="N339">
        <v>356414.53</v>
      </c>
    </row>
    <row r="340" spans="3:14" ht="72" x14ac:dyDescent="0.3">
      <c r="C340" s="73" t="s">
        <v>735</v>
      </c>
      <c r="D340" s="74" t="s">
        <v>736</v>
      </c>
      <c r="E340" s="73" t="s">
        <v>50</v>
      </c>
      <c r="F340" s="75">
        <v>0.19020000000000001</v>
      </c>
      <c r="G340" s="76">
        <v>263388.51</v>
      </c>
      <c r="H340" s="76">
        <v>0</v>
      </c>
      <c r="I340" s="83" t="s">
        <v>737</v>
      </c>
      <c r="J340" s="76">
        <v>50096.49</v>
      </c>
      <c r="K340" s="76">
        <v>0</v>
      </c>
      <c r="L340"/>
      <c r="M340">
        <v>356414.53</v>
      </c>
      <c r="N340">
        <v>356414.53</v>
      </c>
    </row>
    <row r="341" spans="3:14" ht="72" x14ac:dyDescent="0.3">
      <c r="C341" s="73" t="s">
        <v>738</v>
      </c>
      <c r="D341" s="74" t="s">
        <v>739</v>
      </c>
      <c r="E341" s="73" t="s">
        <v>50</v>
      </c>
      <c r="F341" s="75">
        <v>13.801299999999999</v>
      </c>
      <c r="G341" s="76">
        <v>275395.38</v>
      </c>
      <c r="H341" s="76">
        <v>0</v>
      </c>
      <c r="I341" s="83" t="s">
        <v>740</v>
      </c>
      <c r="J341" s="76">
        <v>3800814.26</v>
      </c>
      <c r="K341" s="76">
        <v>0</v>
      </c>
      <c r="L341"/>
      <c r="M341">
        <v>356414.53</v>
      </c>
      <c r="N341">
        <v>356414.53</v>
      </c>
    </row>
    <row r="342" spans="3:14" ht="72" x14ac:dyDescent="0.3">
      <c r="C342" s="73" t="s">
        <v>741</v>
      </c>
      <c r="D342" s="74" t="s">
        <v>742</v>
      </c>
      <c r="E342" s="73" t="s">
        <v>50</v>
      </c>
      <c r="F342" s="75">
        <v>0.2742</v>
      </c>
      <c r="G342" s="76">
        <v>176527.34</v>
      </c>
      <c r="H342" s="76">
        <v>0</v>
      </c>
      <c r="I342" s="83" t="s">
        <v>743</v>
      </c>
      <c r="J342" s="76">
        <v>48403.8</v>
      </c>
      <c r="K342" s="76">
        <v>0</v>
      </c>
      <c r="L342"/>
      <c r="M342">
        <v>356414.53</v>
      </c>
      <c r="N342">
        <v>356414.53</v>
      </c>
    </row>
    <row r="343" spans="3:14" ht="72" x14ac:dyDescent="0.3">
      <c r="C343" s="73" t="s">
        <v>744</v>
      </c>
      <c r="D343" s="74" t="s">
        <v>745</v>
      </c>
      <c r="E343" s="73" t="s">
        <v>50</v>
      </c>
      <c r="F343" s="75">
        <v>0.30099999999999999</v>
      </c>
      <c r="G343" s="76">
        <v>291563.09000000003</v>
      </c>
      <c r="H343" s="76">
        <v>0</v>
      </c>
      <c r="I343" s="83" t="s">
        <v>746</v>
      </c>
      <c r="J343" s="76">
        <v>87760.49</v>
      </c>
      <c r="K343" s="76">
        <v>0</v>
      </c>
      <c r="L343"/>
      <c r="M343">
        <v>356414.53</v>
      </c>
      <c r="N343">
        <v>356414.53</v>
      </c>
    </row>
    <row r="344" spans="3:14" ht="72" x14ac:dyDescent="0.3">
      <c r="C344" s="73" t="s">
        <v>747</v>
      </c>
      <c r="D344" s="74" t="s">
        <v>748</v>
      </c>
      <c r="E344" s="73" t="s">
        <v>50</v>
      </c>
      <c r="F344" s="75">
        <v>0.86399999999999999</v>
      </c>
      <c r="G344" s="76">
        <v>274007.90999999997</v>
      </c>
      <c r="H344" s="76">
        <v>0</v>
      </c>
      <c r="I344" s="83" t="s">
        <v>749</v>
      </c>
      <c r="J344" s="76">
        <v>236742.83</v>
      </c>
      <c r="K344" s="76">
        <v>0</v>
      </c>
      <c r="L344"/>
      <c r="M344">
        <v>356414.53</v>
      </c>
      <c r="N344">
        <v>356414.53</v>
      </c>
    </row>
    <row r="345" spans="3:14" ht="72" x14ac:dyDescent="0.3">
      <c r="C345" s="73" t="s">
        <v>750</v>
      </c>
      <c r="D345" s="74" t="s">
        <v>751</v>
      </c>
      <c r="E345" s="73" t="s">
        <v>50</v>
      </c>
      <c r="F345" s="75">
        <v>9.7000000000000003E-2</v>
      </c>
      <c r="G345" s="76">
        <v>291607.13</v>
      </c>
      <c r="H345" s="76">
        <v>0</v>
      </c>
      <c r="I345" s="83" t="s">
        <v>752</v>
      </c>
      <c r="J345" s="76">
        <v>28285.89</v>
      </c>
      <c r="K345" s="76">
        <v>0</v>
      </c>
      <c r="L345"/>
      <c r="M345">
        <v>356414.53</v>
      </c>
      <c r="N345">
        <v>356414.53</v>
      </c>
    </row>
    <row r="346" spans="3:14" ht="72" x14ac:dyDescent="0.3">
      <c r="C346" s="73" t="s">
        <v>753</v>
      </c>
      <c r="D346" s="74" t="s">
        <v>754</v>
      </c>
      <c r="E346" s="73" t="s">
        <v>50</v>
      </c>
      <c r="F346" s="75">
        <v>0.28000000000000003</v>
      </c>
      <c r="G346" s="76">
        <v>291464.21999999997</v>
      </c>
      <c r="H346" s="76">
        <v>0</v>
      </c>
      <c r="I346" s="83" t="s">
        <v>755</v>
      </c>
      <c r="J346" s="76">
        <v>81609.98</v>
      </c>
      <c r="K346" s="76">
        <v>0</v>
      </c>
      <c r="L346"/>
      <c r="M346">
        <v>356414.53</v>
      </c>
      <c r="N346">
        <v>356414.53</v>
      </c>
    </row>
    <row r="347" spans="3:14" ht="72" x14ac:dyDescent="0.3">
      <c r="C347" s="73" t="s">
        <v>756</v>
      </c>
      <c r="D347" s="74" t="s">
        <v>757</v>
      </c>
      <c r="E347" s="73" t="s">
        <v>50</v>
      </c>
      <c r="F347" s="75">
        <v>0.432</v>
      </c>
      <c r="G347" s="76">
        <v>217128.13</v>
      </c>
      <c r="H347" s="76">
        <v>0</v>
      </c>
      <c r="I347" s="83" t="s">
        <v>758</v>
      </c>
      <c r="J347" s="76">
        <v>93799.35</v>
      </c>
      <c r="K347" s="76">
        <v>0</v>
      </c>
      <c r="L347"/>
      <c r="M347">
        <v>356414.53</v>
      </c>
      <c r="N347">
        <v>356414.53</v>
      </c>
    </row>
    <row r="348" spans="3:14" ht="72" x14ac:dyDescent="0.3">
      <c r="C348" s="73" t="s">
        <v>759</v>
      </c>
      <c r="D348" s="74" t="s">
        <v>760</v>
      </c>
      <c r="E348" s="73" t="s">
        <v>50</v>
      </c>
      <c r="F348" s="75">
        <v>7.0000000000000007E-2</v>
      </c>
      <c r="G348" s="76">
        <v>327808.15000000002</v>
      </c>
      <c r="H348" s="76">
        <v>0</v>
      </c>
      <c r="I348" s="83" t="s">
        <v>761</v>
      </c>
      <c r="J348" s="76">
        <v>22946.57</v>
      </c>
      <c r="K348" s="76">
        <v>0</v>
      </c>
      <c r="L348"/>
      <c r="M348">
        <v>356414.53</v>
      </c>
      <c r="N348">
        <v>356414.53</v>
      </c>
    </row>
    <row r="349" spans="3:14" ht="72" x14ac:dyDescent="0.3">
      <c r="C349" s="73" t="s">
        <v>762</v>
      </c>
      <c r="D349" s="74" t="s">
        <v>763</v>
      </c>
      <c r="E349" s="73" t="s">
        <v>50</v>
      </c>
      <c r="F349" s="75">
        <v>4.5600000000000002E-2</v>
      </c>
      <c r="G349" s="76">
        <v>337099.85</v>
      </c>
      <c r="H349" s="76">
        <v>0</v>
      </c>
      <c r="I349" s="83" t="s">
        <v>764</v>
      </c>
      <c r="J349" s="76">
        <v>15371.75</v>
      </c>
      <c r="K349" s="76">
        <v>0</v>
      </c>
      <c r="L349"/>
      <c r="M349">
        <v>356414.53</v>
      </c>
      <c r="N349">
        <v>356414.53</v>
      </c>
    </row>
    <row r="350" spans="3:14" ht="72" x14ac:dyDescent="0.3">
      <c r="C350" s="73" t="s">
        <v>765</v>
      </c>
      <c r="D350" s="74" t="s">
        <v>766</v>
      </c>
      <c r="E350" s="73" t="s">
        <v>50</v>
      </c>
      <c r="F350" s="75">
        <v>1.4999999999999999E-2</v>
      </c>
      <c r="G350" s="76">
        <v>362321.38</v>
      </c>
      <c r="H350" s="76">
        <v>0</v>
      </c>
      <c r="I350" s="83" t="s">
        <v>767</v>
      </c>
      <c r="J350" s="76">
        <v>5434.82</v>
      </c>
      <c r="K350" s="76">
        <v>0</v>
      </c>
      <c r="L350"/>
      <c r="M350">
        <v>356414.53</v>
      </c>
      <c r="N350">
        <v>356414.53</v>
      </c>
    </row>
    <row r="351" spans="3:14" ht="72" x14ac:dyDescent="0.3">
      <c r="C351" s="73" t="s">
        <v>768</v>
      </c>
      <c r="D351" s="74" t="s">
        <v>769</v>
      </c>
      <c r="E351" s="73" t="s">
        <v>50</v>
      </c>
      <c r="F351" s="75">
        <v>1.6589</v>
      </c>
      <c r="G351" s="76">
        <v>362321.38</v>
      </c>
      <c r="H351" s="76">
        <v>0</v>
      </c>
      <c r="I351" s="83" t="s">
        <v>767</v>
      </c>
      <c r="J351" s="76">
        <v>601054.93999999994</v>
      </c>
      <c r="K351" s="76">
        <v>0</v>
      </c>
      <c r="L351"/>
      <c r="M351">
        <v>356414.53</v>
      </c>
      <c r="N351">
        <v>356414.53</v>
      </c>
    </row>
    <row r="352" spans="3:14" ht="72" x14ac:dyDescent="0.3">
      <c r="C352" s="73" t="s">
        <v>770</v>
      </c>
      <c r="D352" s="74" t="s">
        <v>771</v>
      </c>
      <c r="E352" s="73" t="s">
        <v>50</v>
      </c>
      <c r="F352" s="75">
        <v>0.46479999999999999</v>
      </c>
      <c r="G352" s="76">
        <v>232947.62</v>
      </c>
      <c r="H352" s="76">
        <v>0</v>
      </c>
      <c r="I352" s="83" t="s">
        <v>772</v>
      </c>
      <c r="J352" s="76">
        <v>108274.05</v>
      </c>
      <c r="K352" s="76">
        <v>0</v>
      </c>
      <c r="L352"/>
      <c r="M352">
        <v>356414.53</v>
      </c>
      <c r="N352">
        <v>356414.53</v>
      </c>
    </row>
    <row r="353" spans="3:14" ht="72" x14ac:dyDescent="0.3">
      <c r="C353" s="73" t="s">
        <v>773</v>
      </c>
      <c r="D353" s="74" t="s">
        <v>774</v>
      </c>
      <c r="E353" s="73" t="s">
        <v>50</v>
      </c>
      <c r="F353" s="75">
        <v>1.675</v>
      </c>
      <c r="G353" s="76">
        <v>428468.52</v>
      </c>
      <c r="H353" s="76">
        <v>0</v>
      </c>
      <c r="I353" s="83" t="s">
        <v>775</v>
      </c>
      <c r="J353" s="76">
        <v>717684.77</v>
      </c>
      <c r="K353" s="76">
        <v>0</v>
      </c>
      <c r="L353"/>
      <c r="M353">
        <v>356414.53</v>
      </c>
      <c r="N353">
        <v>356414.53</v>
      </c>
    </row>
    <row r="354" spans="3:14" ht="72" x14ac:dyDescent="0.3">
      <c r="C354" s="73" t="s">
        <v>776</v>
      </c>
      <c r="D354" s="74" t="s">
        <v>777</v>
      </c>
      <c r="E354" s="73" t="s">
        <v>50</v>
      </c>
      <c r="F354" s="75">
        <v>3.8559999999999999</v>
      </c>
      <c r="G354" s="76">
        <v>399402.84</v>
      </c>
      <c r="H354" s="76">
        <v>624.83000000000004</v>
      </c>
      <c r="I354" s="83" t="s">
        <v>778</v>
      </c>
      <c r="J354" s="76">
        <v>1540097.35</v>
      </c>
      <c r="K354" s="76">
        <v>2409.34</v>
      </c>
      <c r="L354"/>
      <c r="M354">
        <v>358823.87</v>
      </c>
      <c r="N354">
        <v>358823.87</v>
      </c>
    </row>
    <row r="355" spans="3:14" ht="100.8" x14ac:dyDescent="0.3">
      <c r="C355" s="73" t="s">
        <v>779</v>
      </c>
      <c r="D355" s="74" t="s">
        <v>780</v>
      </c>
      <c r="E355" s="73" t="s">
        <v>58</v>
      </c>
      <c r="F355" s="75">
        <v>18</v>
      </c>
      <c r="G355" s="76">
        <v>12818.98</v>
      </c>
      <c r="H355" s="76">
        <v>0</v>
      </c>
      <c r="I355" s="83" t="s">
        <v>781</v>
      </c>
      <c r="J355" s="76">
        <v>230741.64</v>
      </c>
      <c r="K355" s="76">
        <v>0</v>
      </c>
      <c r="L355"/>
      <c r="M355">
        <v>358823.87</v>
      </c>
      <c r="N355">
        <v>358823.87</v>
      </c>
    </row>
    <row r="356" spans="3:14" ht="100.8" x14ac:dyDescent="0.3">
      <c r="C356" s="73" t="s">
        <v>782</v>
      </c>
      <c r="D356" s="74" t="s">
        <v>783</v>
      </c>
      <c r="E356" s="73" t="s">
        <v>68</v>
      </c>
      <c r="F356" s="75">
        <v>3</v>
      </c>
      <c r="G356" s="76">
        <v>16062.53</v>
      </c>
      <c r="H356" s="76">
        <v>0</v>
      </c>
      <c r="I356" s="83" t="s">
        <v>784</v>
      </c>
      <c r="J356" s="76">
        <v>48187.59</v>
      </c>
      <c r="K356" s="76">
        <v>0</v>
      </c>
      <c r="L356"/>
      <c r="M356">
        <v>358823.87</v>
      </c>
      <c r="N356">
        <v>358823.87</v>
      </c>
    </row>
    <row r="357" spans="3:14" ht="100.8" x14ac:dyDescent="0.3">
      <c r="C357" s="73" t="s">
        <v>785</v>
      </c>
      <c r="D357" s="74" t="s">
        <v>786</v>
      </c>
      <c r="E357" s="73" t="s">
        <v>68</v>
      </c>
      <c r="F357" s="75">
        <v>1</v>
      </c>
      <c r="G357" s="76">
        <v>49994.6</v>
      </c>
      <c r="H357" s="76">
        <v>0</v>
      </c>
      <c r="I357" s="83" t="s">
        <v>787</v>
      </c>
      <c r="J357" s="76">
        <v>49994.6</v>
      </c>
      <c r="K357" s="76">
        <v>0</v>
      </c>
      <c r="L357"/>
      <c r="M357">
        <v>358823.87</v>
      </c>
      <c r="N357">
        <v>358823.87</v>
      </c>
    </row>
    <row r="358" spans="3:14" ht="100.8" x14ac:dyDescent="0.3">
      <c r="C358" s="73" t="s">
        <v>788</v>
      </c>
      <c r="D358" s="74" t="s">
        <v>789</v>
      </c>
      <c r="E358" s="73" t="s">
        <v>68</v>
      </c>
      <c r="F358" s="75">
        <v>1</v>
      </c>
      <c r="G358" s="76">
        <v>154674.1</v>
      </c>
      <c r="H358" s="76">
        <v>13.01</v>
      </c>
      <c r="I358" s="83" t="s">
        <v>790</v>
      </c>
      <c r="J358" s="76">
        <v>154674.1</v>
      </c>
      <c r="K358" s="76">
        <v>13.01</v>
      </c>
      <c r="L358"/>
      <c r="M358">
        <v>358836.88</v>
      </c>
      <c r="N358">
        <v>358836.88</v>
      </c>
    </row>
    <row r="359" spans="3:14" ht="86.4" x14ac:dyDescent="0.3">
      <c r="C359" s="73" t="s">
        <v>791</v>
      </c>
      <c r="D359" s="74" t="s">
        <v>792</v>
      </c>
      <c r="E359" s="73" t="s">
        <v>68</v>
      </c>
      <c r="F359" s="75">
        <v>26</v>
      </c>
      <c r="G359" s="76">
        <v>13517.46</v>
      </c>
      <c r="H359" s="76">
        <v>0</v>
      </c>
      <c r="I359" s="83" t="s">
        <v>793</v>
      </c>
      <c r="J359" s="76">
        <v>351453.96</v>
      </c>
      <c r="K359" s="76">
        <v>0</v>
      </c>
      <c r="L359"/>
      <c r="M359">
        <v>358836.88</v>
      </c>
      <c r="N359">
        <v>358836.88</v>
      </c>
    </row>
    <row r="360" spans="3:14" ht="100.8" x14ac:dyDescent="0.3">
      <c r="C360" s="73" t="s">
        <v>794</v>
      </c>
      <c r="D360" s="74" t="s">
        <v>795</v>
      </c>
      <c r="E360" s="73" t="s">
        <v>68</v>
      </c>
      <c r="F360" s="75">
        <v>3</v>
      </c>
      <c r="G360" s="76">
        <v>34516.17</v>
      </c>
      <c r="H360" s="76">
        <v>39.049999999999997</v>
      </c>
      <c r="I360" s="83" t="s">
        <v>796</v>
      </c>
      <c r="J360" s="76">
        <v>103548.51</v>
      </c>
      <c r="K360" s="76">
        <v>117.15</v>
      </c>
      <c r="L360"/>
      <c r="M360">
        <v>358954.03</v>
      </c>
      <c r="N360">
        <v>358954.03</v>
      </c>
    </row>
    <row r="361" spans="3:14" ht="100.8" x14ac:dyDescent="0.3">
      <c r="C361" s="73" t="s">
        <v>797</v>
      </c>
      <c r="D361" s="74" t="s">
        <v>798</v>
      </c>
      <c r="E361" s="73" t="s">
        <v>68</v>
      </c>
      <c r="F361" s="75">
        <v>6</v>
      </c>
      <c r="G361" s="76">
        <v>23361.06</v>
      </c>
      <c r="H361" s="76">
        <v>52.07</v>
      </c>
      <c r="I361" s="83" t="s">
        <v>799</v>
      </c>
      <c r="J361" s="76">
        <v>140166.35999999999</v>
      </c>
      <c r="K361" s="76">
        <v>312.42</v>
      </c>
      <c r="L361"/>
      <c r="M361">
        <v>359266.45</v>
      </c>
      <c r="N361">
        <v>359266.45</v>
      </c>
    </row>
    <row r="362" spans="3:14" ht="100.8" x14ac:dyDescent="0.3">
      <c r="C362" s="73" t="s">
        <v>800</v>
      </c>
      <c r="D362" s="74" t="s">
        <v>801</v>
      </c>
      <c r="E362" s="73" t="s">
        <v>68</v>
      </c>
      <c r="F362" s="75">
        <v>2</v>
      </c>
      <c r="G362" s="76">
        <v>33080.22</v>
      </c>
      <c r="H362" s="76">
        <v>39.049999999999997</v>
      </c>
      <c r="I362" s="83" t="s">
        <v>802</v>
      </c>
      <c r="J362" s="76">
        <v>66160.44</v>
      </c>
      <c r="K362" s="76">
        <v>78.099999999999994</v>
      </c>
      <c r="L362"/>
      <c r="M362">
        <v>359344.55</v>
      </c>
      <c r="N362">
        <v>359344.55</v>
      </c>
    </row>
    <row r="363" spans="3:14" ht="86.4" x14ac:dyDescent="0.3">
      <c r="C363" s="73" t="s">
        <v>803</v>
      </c>
      <c r="D363" s="74" t="s">
        <v>804</v>
      </c>
      <c r="E363" s="73" t="s">
        <v>68</v>
      </c>
      <c r="F363" s="75">
        <v>9</v>
      </c>
      <c r="G363" s="76">
        <v>22975.73</v>
      </c>
      <c r="H363" s="76">
        <v>0</v>
      </c>
      <c r="I363" s="83" t="s">
        <v>805</v>
      </c>
      <c r="J363" s="76">
        <v>206781.57</v>
      </c>
      <c r="K363" s="76">
        <v>0</v>
      </c>
      <c r="L363"/>
      <c r="M363">
        <v>359344.55</v>
      </c>
      <c r="N363">
        <v>359344.55</v>
      </c>
    </row>
    <row r="364" spans="3:14" ht="100.8" x14ac:dyDescent="0.3">
      <c r="C364" s="73" t="s">
        <v>806</v>
      </c>
      <c r="D364" s="74" t="s">
        <v>807</v>
      </c>
      <c r="E364" s="73" t="s">
        <v>68</v>
      </c>
      <c r="F364" s="75">
        <v>3</v>
      </c>
      <c r="G364" s="76">
        <v>19108.37</v>
      </c>
      <c r="H364" s="76">
        <v>0</v>
      </c>
      <c r="I364" s="83" t="s">
        <v>808</v>
      </c>
      <c r="J364" s="76">
        <v>57325.11</v>
      </c>
      <c r="K364" s="76">
        <v>0</v>
      </c>
      <c r="L364"/>
      <c r="M364">
        <v>359344.55</v>
      </c>
      <c r="N364">
        <v>359344.55</v>
      </c>
    </row>
    <row r="365" spans="3:14" ht="100.8" x14ac:dyDescent="0.3">
      <c r="C365" s="73" t="s">
        <v>809</v>
      </c>
      <c r="D365" s="74" t="s">
        <v>810</v>
      </c>
      <c r="E365" s="73" t="s">
        <v>68</v>
      </c>
      <c r="F365" s="75">
        <v>4</v>
      </c>
      <c r="G365" s="76">
        <v>41656.76</v>
      </c>
      <c r="H365" s="76">
        <v>52.07</v>
      </c>
      <c r="I365" s="83" t="s">
        <v>811</v>
      </c>
      <c r="J365" s="76">
        <v>166627.04</v>
      </c>
      <c r="K365" s="76">
        <v>208.28</v>
      </c>
      <c r="L365"/>
      <c r="M365">
        <v>359552.83</v>
      </c>
      <c r="N365">
        <v>359552.83</v>
      </c>
    </row>
    <row r="366" spans="3:14" ht="100.8" x14ac:dyDescent="0.3">
      <c r="C366" s="73" t="s">
        <v>812</v>
      </c>
      <c r="D366" s="74" t="s">
        <v>813</v>
      </c>
      <c r="E366" s="73" t="s">
        <v>68</v>
      </c>
      <c r="F366" s="75">
        <v>1</v>
      </c>
      <c r="G366" s="76">
        <v>20483.02</v>
      </c>
      <c r="H366" s="76">
        <v>4641.21</v>
      </c>
      <c r="I366" s="83" t="s">
        <v>814</v>
      </c>
      <c r="J366" s="76">
        <v>20483.02</v>
      </c>
      <c r="K366" s="76">
        <v>4641.21</v>
      </c>
      <c r="L366"/>
      <c r="M366">
        <v>364194.04</v>
      </c>
      <c r="N366">
        <v>364194.04</v>
      </c>
    </row>
    <row r="367" spans="3:14" ht="72" x14ac:dyDescent="0.3">
      <c r="C367" s="73" t="s">
        <v>815</v>
      </c>
      <c r="D367" s="74" t="s">
        <v>816</v>
      </c>
      <c r="E367" s="73" t="s">
        <v>68</v>
      </c>
      <c r="F367" s="75">
        <v>2</v>
      </c>
      <c r="G367" s="76">
        <v>1321.24</v>
      </c>
      <c r="H367" s="76">
        <v>0</v>
      </c>
      <c r="I367" s="83" t="s">
        <v>817</v>
      </c>
      <c r="J367" s="76">
        <v>2642.48</v>
      </c>
      <c r="K367" s="76">
        <v>0</v>
      </c>
      <c r="L367"/>
      <c r="M367">
        <v>364194.04</v>
      </c>
      <c r="N367">
        <v>364194.04</v>
      </c>
    </row>
    <row r="368" spans="3:14" ht="86.4" x14ac:dyDescent="0.3">
      <c r="C368" s="73" t="s">
        <v>818</v>
      </c>
      <c r="D368" s="74" t="s">
        <v>819</v>
      </c>
      <c r="E368" s="73" t="s">
        <v>68</v>
      </c>
      <c r="F368" s="75">
        <v>1</v>
      </c>
      <c r="G368" s="76">
        <v>4037.24</v>
      </c>
      <c r="H368" s="76">
        <v>0</v>
      </c>
      <c r="I368" s="83" t="s">
        <v>820</v>
      </c>
      <c r="J368" s="76">
        <v>4037.24</v>
      </c>
      <c r="K368" s="76">
        <v>0</v>
      </c>
      <c r="L368"/>
      <c r="M368">
        <v>364194.04</v>
      </c>
      <c r="N368">
        <v>364194.04</v>
      </c>
    </row>
    <row r="369" spans="3:14" ht="100.8" x14ac:dyDescent="0.3">
      <c r="C369" s="73" t="s">
        <v>821</v>
      </c>
      <c r="D369" s="74" t="s">
        <v>822</v>
      </c>
      <c r="E369" s="73" t="s">
        <v>68</v>
      </c>
      <c r="F369" s="75">
        <v>1</v>
      </c>
      <c r="G369" s="76">
        <v>1854</v>
      </c>
      <c r="H369" s="76">
        <v>0</v>
      </c>
      <c r="I369" s="83" t="s">
        <v>823</v>
      </c>
      <c r="J369" s="76">
        <v>1854</v>
      </c>
      <c r="K369" s="76">
        <v>0</v>
      </c>
      <c r="L369"/>
      <c r="M369">
        <v>364194.04</v>
      </c>
      <c r="N369">
        <v>364194.04</v>
      </c>
    </row>
    <row r="370" spans="3:14" ht="100.8" x14ac:dyDescent="0.3">
      <c r="C370" s="73" t="s">
        <v>824</v>
      </c>
      <c r="D370" s="74" t="s">
        <v>825</v>
      </c>
      <c r="E370" s="73" t="s">
        <v>68</v>
      </c>
      <c r="F370" s="75">
        <v>2</v>
      </c>
      <c r="G370" s="76">
        <v>1976.66</v>
      </c>
      <c r="H370" s="76">
        <v>0</v>
      </c>
      <c r="I370" s="83" t="s">
        <v>826</v>
      </c>
      <c r="J370" s="76">
        <v>3953.32</v>
      </c>
      <c r="K370" s="76">
        <v>0</v>
      </c>
      <c r="L370"/>
      <c r="M370">
        <v>364194.04</v>
      </c>
      <c r="N370">
        <v>364194.04</v>
      </c>
    </row>
    <row r="371" spans="3:14" ht="72" x14ac:dyDescent="0.3">
      <c r="C371" s="73" t="s">
        <v>827</v>
      </c>
      <c r="D371" s="74" t="s">
        <v>828</v>
      </c>
      <c r="E371" s="73" t="s">
        <v>68</v>
      </c>
      <c r="F371" s="75">
        <v>2</v>
      </c>
      <c r="G371" s="76">
        <v>1270.42</v>
      </c>
      <c r="H371" s="76">
        <v>0</v>
      </c>
      <c r="I371" s="83" t="s">
        <v>829</v>
      </c>
      <c r="J371" s="76">
        <v>2540.84</v>
      </c>
      <c r="K371" s="76">
        <v>0</v>
      </c>
      <c r="L371"/>
      <c r="M371">
        <v>364194.04</v>
      </c>
      <c r="N371">
        <v>364194.04</v>
      </c>
    </row>
    <row r="372" spans="3:14" ht="115.2" x14ac:dyDescent="0.3">
      <c r="C372" s="73" t="s">
        <v>830</v>
      </c>
      <c r="D372" s="74" t="s">
        <v>831</v>
      </c>
      <c r="E372" s="73" t="s">
        <v>68</v>
      </c>
      <c r="F372" s="75">
        <v>3</v>
      </c>
      <c r="G372" s="76">
        <v>8576.5</v>
      </c>
      <c r="H372" s="76">
        <v>0</v>
      </c>
      <c r="I372" s="83" t="s">
        <v>832</v>
      </c>
      <c r="J372" s="76">
        <v>25729.5</v>
      </c>
      <c r="K372" s="76">
        <v>0</v>
      </c>
      <c r="L372"/>
      <c r="M372">
        <v>364194.04</v>
      </c>
      <c r="N372">
        <v>364194.04</v>
      </c>
    </row>
    <row r="373" spans="3:14" ht="72" x14ac:dyDescent="0.3">
      <c r="C373" s="73" t="s">
        <v>833</v>
      </c>
      <c r="D373" s="74" t="s">
        <v>834</v>
      </c>
      <c r="E373" s="73" t="s">
        <v>68</v>
      </c>
      <c r="F373" s="75">
        <v>2</v>
      </c>
      <c r="G373" s="76">
        <v>806.64</v>
      </c>
      <c r="H373" s="76">
        <v>286</v>
      </c>
      <c r="I373" s="83" t="s">
        <v>835</v>
      </c>
      <c r="J373" s="76">
        <v>1613.28</v>
      </c>
      <c r="K373" s="76">
        <v>572</v>
      </c>
      <c r="L373"/>
      <c r="M373">
        <v>364766.04</v>
      </c>
      <c r="N373">
        <v>364766.04</v>
      </c>
    </row>
    <row r="374" spans="3:14" ht="100.8" x14ac:dyDescent="0.3">
      <c r="C374" s="73" t="s">
        <v>836</v>
      </c>
      <c r="D374" s="74" t="s">
        <v>837</v>
      </c>
      <c r="E374" s="73" t="s">
        <v>58</v>
      </c>
      <c r="F374" s="75">
        <v>6.1</v>
      </c>
      <c r="G374" s="76">
        <v>2296.86</v>
      </c>
      <c r="H374" s="76">
        <v>0</v>
      </c>
      <c r="I374" s="83" t="s">
        <v>838</v>
      </c>
      <c r="J374" s="76">
        <v>14010.85</v>
      </c>
      <c r="K374" s="76">
        <v>0</v>
      </c>
      <c r="L374"/>
      <c r="M374">
        <v>364766.04</v>
      </c>
      <c r="N374">
        <v>364766.04</v>
      </c>
    </row>
    <row r="375" spans="3:14" ht="100.8" x14ac:dyDescent="0.3">
      <c r="C375" s="73" t="s">
        <v>839</v>
      </c>
      <c r="D375" s="74" t="s">
        <v>840</v>
      </c>
      <c r="E375" s="73" t="s">
        <v>58</v>
      </c>
      <c r="F375" s="75">
        <v>6.1</v>
      </c>
      <c r="G375" s="76">
        <v>3056.12</v>
      </c>
      <c r="H375" s="76">
        <v>0</v>
      </c>
      <c r="I375" s="83" t="s">
        <v>841</v>
      </c>
      <c r="J375" s="76">
        <v>18642.330000000002</v>
      </c>
      <c r="K375" s="76">
        <v>0</v>
      </c>
      <c r="L375"/>
      <c r="M375">
        <v>364766.04</v>
      </c>
      <c r="N375">
        <v>364766.04</v>
      </c>
    </row>
    <row r="376" spans="3:14" ht="100.8" x14ac:dyDescent="0.3">
      <c r="C376" s="73" t="s">
        <v>842</v>
      </c>
      <c r="D376" s="74" t="s">
        <v>843</v>
      </c>
      <c r="E376" s="73" t="s">
        <v>58</v>
      </c>
      <c r="F376" s="75">
        <v>6.1</v>
      </c>
      <c r="G376" s="76">
        <v>12220.38</v>
      </c>
      <c r="H376" s="76">
        <v>0</v>
      </c>
      <c r="I376" s="83" t="s">
        <v>844</v>
      </c>
      <c r="J376" s="76">
        <v>74544.320000000007</v>
      </c>
      <c r="K376" s="76">
        <v>0</v>
      </c>
      <c r="L376"/>
      <c r="M376">
        <v>364766.04</v>
      </c>
      <c r="N376">
        <v>364766.04</v>
      </c>
    </row>
    <row r="377" spans="3:14" ht="100.8" x14ac:dyDescent="0.3">
      <c r="C377" s="73" t="s">
        <v>845</v>
      </c>
      <c r="D377" s="74" t="s">
        <v>846</v>
      </c>
      <c r="E377" s="73" t="s">
        <v>58</v>
      </c>
      <c r="F377" s="75">
        <v>17.5</v>
      </c>
      <c r="G377" s="76">
        <v>10353.99</v>
      </c>
      <c r="H377" s="76">
        <v>0</v>
      </c>
      <c r="I377" s="83" t="s">
        <v>847</v>
      </c>
      <c r="J377" s="76">
        <v>181194.83</v>
      </c>
      <c r="K377" s="76">
        <v>0</v>
      </c>
      <c r="L377"/>
      <c r="M377">
        <v>364766.04</v>
      </c>
      <c r="N377">
        <v>364766.04</v>
      </c>
    </row>
    <row r="378" spans="3:14" ht="100.8" x14ac:dyDescent="0.3">
      <c r="C378" s="73" t="s">
        <v>848</v>
      </c>
      <c r="D378" s="74" t="s">
        <v>849</v>
      </c>
      <c r="E378" s="73" t="s">
        <v>68</v>
      </c>
      <c r="F378" s="75">
        <v>4</v>
      </c>
      <c r="G378" s="76">
        <v>2120.2399999999998</v>
      </c>
      <c r="H378" s="76">
        <v>0</v>
      </c>
      <c r="I378" s="83" t="s">
        <v>850</v>
      </c>
      <c r="J378" s="76">
        <v>8480.9599999999991</v>
      </c>
      <c r="K378" s="76">
        <v>0</v>
      </c>
      <c r="L378"/>
      <c r="M378">
        <v>364766.04</v>
      </c>
      <c r="N378">
        <v>364766.04</v>
      </c>
    </row>
    <row r="379" spans="3:14" ht="100.8" x14ac:dyDescent="0.3">
      <c r="C379" s="73" t="s">
        <v>851</v>
      </c>
      <c r="D379" s="74" t="s">
        <v>852</v>
      </c>
      <c r="E379" s="73" t="s">
        <v>68</v>
      </c>
      <c r="F379" s="75">
        <v>4</v>
      </c>
      <c r="G379" s="76">
        <v>2313.14</v>
      </c>
      <c r="H379" s="76">
        <v>0</v>
      </c>
      <c r="I379" s="83" t="s">
        <v>853</v>
      </c>
      <c r="J379" s="76">
        <v>9252.56</v>
      </c>
      <c r="K379" s="76">
        <v>0</v>
      </c>
      <c r="L379"/>
      <c r="M379">
        <v>364766.04</v>
      </c>
      <c r="N379">
        <v>364766.04</v>
      </c>
    </row>
    <row r="380" spans="3:14" ht="100.8" x14ac:dyDescent="0.3">
      <c r="C380" s="73" t="s">
        <v>854</v>
      </c>
      <c r="D380" s="74" t="s">
        <v>855</v>
      </c>
      <c r="E380" s="73" t="s">
        <v>68</v>
      </c>
      <c r="F380" s="75">
        <v>2</v>
      </c>
      <c r="G380" s="76">
        <v>5789.27</v>
      </c>
      <c r="H380" s="76">
        <v>0</v>
      </c>
      <c r="I380" s="83" t="s">
        <v>856</v>
      </c>
      <c r="J380" s="76">
        <v>11578.54</v>
      </c>
      <c r="K380" s="76">
        <v>0</v>
      </c>
      <c r="L380"/>
      <c r="M380">
        <v>364766.04</v>
      </c>
      <c r="N380">
        <v>364766.04</v>
      </c>
    </row>
    <row r="381" spans="3:14" ht="100.8" x14ac:dyDescent="0.3">
      <c r="C381" s="73" t="s">
        <v>857</v>
      </c>
      <c r="D381" s="74" t="s">
        <v>858</v>
      </c>
      <c r="E381" s="73" t="s">
        <v>68</v>
      </c>
      <c r="F381" s="75">
        <v>8</v>
      </c>
      <c r="G381" s="76">
        <v>4038.55</v>
      </c>
      <c r="H381" s="76">
        <v>0</v>
      </c>
      <c r="I381" s="83" t="s">
        <v>859</v>
      </c>
      <c r="J381" s="76">
        <v>32308.400000000001</v>
      </c>
      <c r="K381" s="76">
        <v>0</v>
      </c>
      <c r="L381"/>
      <c r="M381">
        <v>364766.04</v>
      </c>
      <c r="N381">
        <v>364766.04</v>
      </c>
    </row>
    <row r="382" spans="3:14" ht="100.8" x14ac:dyDescent="0.3">
      <c r="C382" s="73" t="s">
        <v>860</v>
      </c>
      <c r="D382" s="74" t="s">
        <v>861</v>
      </c>
      <c r="E382" s="73" t="s">
        <v>68</v>
      </c>
      <c r="F382" s="75">
        <v>6</v>
      </c>
      <c r="G382" s="76">
        <v>2210.46</v>
      </c>
      <c r="H382" s="76">
        <v>0</v>
      </c>
      <c r="I382" s="83" t="s">
        <v>862</v>
      </c>
      <c r="J382" s="76">
        <v>13262.76</v>
      </c>
      <c r="K382" s="76">
        <v>0</v>
      </c>
      <c r="L382"/>
      <c r="M382">
        <v>364766.04</v>
      </c>
      <c r="N382">
        <v>364766.04</v>
      </c>
    </row>
    <row r="383" spans="3:14" ht="100.8" x14ac:dyDescent="0.3">
      <c r="C383" s="73" t="s">
        <v>863</v>
      </c>
      <c r="D383" s="74" t="s">
        <v>864</v>
      </c>
      <c r="E383" s="73" t="s">
        <v>68</v>
      </c>
      <c r="F383" s="75">
        <v>6</v>
      </c>
      <c r="G383" s="76">
        <v>2397.09</v>
      </c>
      <c r="H383" s="76">
        <v>0</v>
      </c>
      <c r="I383" s="83" t="s">
        <v>865</v>
      </c>
      <c r="J383" s="76">
        <v>14382.54</v>
      </c>
      <c r="K383" s="76">
        <v>0</v>
      </c>
      <c r="L383"/>
      <c r="M383">
        <v>364766.04</v>
      </c>
      <c r="N383">
        <v>364766.04</v>
      </c>
    </row>
    <row r="384" spans="3:14" ht="100.8" x14ac:dyDescent="0.3">
      <c r="C384" s="73" t="s">
        <v>866</v>
      </c>
      <c r="D384" s="74" t="s">
        <v>867</v>
      </c>
      <c r="E384" s="73" t="s">
        <v>68</v>
      </c>
      <c r="F384" s="75">
        <v>2</v>
      </c>
      <c r="G384" s="76">
        <v>3578.07</v>
      </c>
      <c r="H384" s="76">
        <v>0</v>
      </c>
      <c r="I384" s="83" t="s">
        <v>868</v>
      </c>
      <c r="J384" s="76">
        <v>7156.14</v>
      </c>
      <c r="K384" s="76">
        <v>0</v>
      </c>
      <c r="L384"/>
      <c r="M384">
        <v>364766.04</v>
      </c>
      <c r="N384">
        <v>364766.04</v>
      </c>
    </row>
    <row r="385" spans="3:14" ht="100.8" x14ac:dyDescent="0.3">
      <c r="C385" s="73" t="s">
        <v>869</v>
      </c>
      <c r="D385" s="74" t="s">
        <v>870</v>
      </c>
      <c r="E385" s="73" t="s">
        <v>68</v>
      </c>
      <c r="F385" s="75">
        <v>2</v>
      </c>
      <c r="G385" s="76">
        <v>2642.27</v>
      </c>
      <c r="H385" s="76">
        <v>0</v>
      </c>
      <c r="I385" s="83" t="s">
        <v>871</v>
      </c>
      <c r="J385" s="76">
        <v>5284.54</v>
      </c>
      <c r="K385" s="76">
        <v>0</v>
      </c>
      <c r="L385"/>
      <c r="M385">
        <v>364766.04</v>
      </c>
      <c r="N385">
        <v>364766.04</v>
      </c>
    </row>
    <row r="386" spans="3:14" ht="100.8" x14ac:dyDescent="0.3">
      <c r="C386" s="73" t="s">
        <v>872</v>
      </c>
      <c r="D386" s="74" t="s">
        <v>873</v>
      </c>
      <c r="E386" s="73" t="s">
        <v>68</v>
      </c>
      <c r="F386" s="75">
        <v>4</v>
      </c>
      <c r="G386" s="76">
        <v>2854.68</v>
      </c>
      <c r="H386" s="76">
        <v>0</v>
      </c>
      <c r="I386" s="83" t="s">
        <v>874</v>
      </c>
      <c r="J386" s="76">
        <v>11418.72</v>
      </c>
      <c r="K386" s="76">
        <v>0</v>
      </c>
      <c r="L386"/>
      <c r="M386">
        <v>364766.04</v>
      </c>
      <c r="N386">
        <v>364766.04</v>
      </c>
    </row>
    <row r="387" spans="3:14" ht="100.8" x14ac:dyDescent="0.3">
      <c r="C387" s="73" t="s">
        <v>875</v>
      </c>
      <c r="D387" s="74" t="s">
        <v>876</v>
      </c>
      <c r="E387" s="73" t="s">
        <v>68</v>
      </c>
      <c r="F387" s="75">
        <v>1</v>
      </c>
      <c r="G387" s="76">
        <v>14881.67</v>
      </c>
      <c r="H387" s="76">
        <v>0</v>
      </c>
      <c r="I387" s="83" t="s">
        <v>877</v>
      </c>
      <c r="J387" s="76">
        <v>14881.67</v>
      </c>
      <c r="K387" s="76">
        <v>0</v>
      </c>
      <c r="L387"/>
      <c r="M387">
        <v>364766.04</v>
      </c>
      <c r="N387">
        <v>364766.04</v>
      </c>
    </row>
    <row r="388" spans="3:14" ht="100.8" x14ac:dyDescent="0.3">
      <c r="C388" s="73" t="s">
        <v>878</v>
      </c>
      <c r="D388" s="74" t="s">
        <v>879</v>
      </c>
      <c r="E388" s="73" t="s">
        <v>68</v>
      </c>
      <c r="F388" s="75">
        <v>1</v>
      </c>
      <c r="G388" s="76">
        <v>14881.7</v>
      </c>
      <c r="H388" s="76">
        <v>0</v>
      </c>
      <c r="I388" s="83" t="s">
        <v>880</v>
      </c>
      <c r="J388" s="76">
        <v>14881.7</v>
      </c>
      <c r="K388" s="76">
        <v>0</v>
      </c>
      <c r="L388"/>
      <c r="M388">
        <v>364766.04</v>
      </c>
      <c r="N388">
        <v>364766.04</v>
      </c>
    </row>
    <row r="389" spans="3:14" ht="100.8" x14ac:dyDescent="0.3">
      <c r="C389" s="73" t="s">
        <v>881</v>
      </c>
      <c r="D389" s="74" t="s">
        <v>882</v>
      </c>
      <c r="E389" s="73" t="s">
        <v>68</v>
      </c>
      <c r="F389" s="75">
        <v>1</v>
      </c>
      <c r="G389" s="76">
        <v>8108.15</v>
      </c>
      <c r="H389" s="76">
        <v>0</v>
      </c>
      <c r="I389" s="83" t="s">
        <v>883</v>
      </c>
      <c r="J389" s="76">
        <v>8108.15</v>
      </c>
      <c r="K389" s="76">
        <v>0</v>
      </c>
      <c r="L389"/>
      <c r="M389">
        <v>364766.04</v>
      </c>
      <c r="N389">
        <v>364766.04</v>
      </c>
    </row>
    <row r="390" spans="3:14" ht="100.8" x14ac:dyDescent="0.3">
      <c r="C390" s="73" t="s">
        <v>884</v>
      </c>
      <c r="D390" s="74" t="s">
        <v>885</v>
      </c>
      <c r="E390" s="73" t="s">
        <v>68</v>
      </c>
      <c r="F390" s="75">
        <v>1</v>
      </c>
      <c r="G390" s="76">
        <v>3678.48</v>
      </c>
      <c r="H390" s="76">
        <v>0</v>
      </c>
      <c r="I390" s="83" t="s">
        <v>886</v>
      </c>
      <c r="J390" s="76">
        <v>3678.48</v>
      </c>
      <c r="K390" s="76">
        <v>0</v>
      </c>
      <c r="L390"/>
      <c r="M390">
        <v>364766.04</v>
      </c>
      <c r="N390">
        <v>364766.04</v>
      </c>
    </row>
    <row r="391" spans="3:14" ht="100.8" x14ac:dyDescent="0.3">
      <c r="C391" s="73" t="s">
        <v>887</v>
      </c>
      <c r="D391" s="74" t="s">
        <v>888</v>
      </c>
      <c r="E391" s="73" t="s">
        <v>68</v>
      </c>
      <c r="F391" s="75">
        <v>1</v>
      </c>
      <c r="G391" s="76">
        <v>10249</v>
      </c>
      <c r="H391" s="76">
        <v>0</v>
      </c>
      <c r="I391" s="83" t="s">
        <v>889</v>
      </c>
      <c r="J391" s="76">
        <v>10249</v>
      </c>
      <c r="K391" s="76">
        <v>0</v>
      </c>
      <c r="L391"/>
      <c r="M391">
        <v>364766.04</v>
      </c>
      <c r="N391">
        <v>364766.04</v>
      </c>
    </row>
    <row r="392" spans="3:14" ht="72" x14ac:dyDescent="0.3">
      <c r="C392" s="73" t="s">
        <v>890</v>
      </c>
      <c r="D392" s="74" t="s">
        <v>891</v>
      </c>
      <c r="E392" s="73" t="s">
        <v>68</v>
      </c>
      <c r="F392" s="75">
        <v>6</v>
      </c>
      <c r="G392" s="76">
        <v>5093.91</v>
      </c>
      <c r="H392" s="76">
        <v>0</v>
      </c>
      <c r="I392" s="83" t="s">
        <v>892</v>
      </c>
      <c r="J392" s="76">
        <v>30563.46</v>
      </c>
      <c r="K392" s="76">
        <v>0</v>
      </c>
      <c r="L392"/>
      <c r="M392">
        <v>364766.04</v>
      </c>
      <c r="N392">
        <v>364766.04</v>
      </c>
    </row>
    <row r="393" spans="3:14" ht="100.8" x14ac:dyDescent="0.3">
      <c r="C393" s="73" t="s">
        <v>893</v>
      </c>
      <c r="D393" s="74" t="s">
        <v>894</v>
      </c>
      <c r="E393" s="73" t="s">
        <v>68</v>
      </c>
      <c r="F393" s="75">
        <v>1</v>
      </c>
      <c r="G393" s="76">
        <v>6274.71</v>
      </c>
      <c r="H393" s="76">
        <v>0</v>
      </c>
      <c r="I393" s="83" t="s">
        <v>895</v>
      </c>
      <c r="J393" s="76">
        <v>6274.71</v>
      </c>
      <c r="K393" s="76">
        <v>0</v>
      </c>
      <c r="L393"/>
      <c r="M393">
        <v>364766.04</v>
      </c>
      <c r="N393">
        <v>364766.04</v>
      </c>
    </row>
    <row r="394" spans="3:14" ht="100.8" x14ac:dyDescent="0.3">
      <c r="C394" s="73" t="s">
        <v>896</v>
      </c>
      <c r="D394" s="74" t="s">
        <v>897</v>
      </c>
      <c r="E394" s="73" t="s">
        <v>68</v>
      </c>
      <c r="F394" s="75">
        <v>2</v>
      </c>
      <c r="G394" s="76">
        <v>1329.12</v>
      </c>
      <c r="H394" s="76">
        <v>0</v>
      </c>
      <c r="I394" s="83" t="s">
        <v>898</v>
      </c>
      <c r="J394" s="76">
        <v>2658.24</v>
      </c>
      <c r="K394" s="76">
        <v>0</v>
      </c>
      <c r="L394"/>
      <c r="M394">
        <v>364766.04</v>
      </c>
      <c r="N394">
        <v>364766.04</v>
      </c>
    </row>
    <row r="395" spans="3:14" ht="100.8" x14ac:dyDescent="0.3">
      <c r="C395" s="73" t="s">
        <v>899</v>
      </c>
      <c r="D395" s="74" t="s">
        <v>900</v>
      </c>
      <c r="E395" s="73" t="s">
        <v>68</v>
      </c>
      <c r="F395" s="75">
        <v>2</v>
      </c>
      <c r="G395" s="76">
        <v>1422.27</v>
      </c>
      <c r="H395" s="76">
        <v>0</v>
      </c>
      <c r="I395" s="83" t="s">
        <v>901</v>
      </c>
      <c r="J395" s="76">
        <v>2844.54</v>
      </c>
      <c r="K395" s="76">
        <v>0</v>
      </c>
      <c r="L395"/>
      <c r="M395">
        <v>364766.04</v>
      </c>
      <c r="N395">
        <v>364766.04</v>
      </c>
    </row>
    <row r="396" spans="3:14" ht="100.8" x14ac:dyDescent="0.3">
      <c r="C396" s="73" t="s">
        <v>902</v>
      </c>
      <c r="D396" s="74" t="s">
        <v>903</v>
      </c>
      <c r="E396" s="73" t="s">
        <v>68</v>
      </c>
      <c r="F396" s="75">
        <v>1</v>
      </c>
      <c r="G396" s="76">
        <v>6055.13</v>
      </c>
      <c r="H396" s="76">
        <v>0</v>
      </c>
      <c r="I396" s="83" t="s">
        <v>904</v>
      </c>
      <c r="J396" s="76">
        <v>6055.13</v>
      </c>
      <c r="K396" s="76">
        <v>0</v>
      </c>
      <c r="L396"/>
      <c r="M396">
        <v>364766.04</v>
      </c>
      <c r="N396">
        <v>364766.04</v>
      </c>
    </row>
    <row r="397" spans="3:14" ht="100.8" x14ac:dyDescent="0.3">
      <c r="C397" s="73" t="s">
        <v>905</v>
      </c>
      <c r="D397" s="74" t="s">
        <v>906</v>
      </c>
      <c r="E397" s="73" t="s">
        <v>68</v>
      </c>
      <c r="F397" s="75">
        <v>2</v>
      </c>
      <c r="G397" s="76">
        <v>827.28</v>
      </c>
      <c r="H397" s="76">
        <v>0</v>
      </c>
      <c r="I397" s="83" t="s">
        <v>907</v>
      </c>
      <c r="J397" s="76">
        <v>1654.56</v>
      </c>
      <c r="K397" s="76">
        <v>0</v>
      </c>
      <c r="L397"/>
      <c r="M397">
        <v>364766.04</v>
      </c>
      <c r="N397">
        <v>364766.04</v>
      </c>
    </row>
    <row r="398" spans="3:14" ht="72" x14ac:dyDescent="0.3">
      <c r="C398" s="73" t="s">
        <v>908</v>
      </c>
      <c r="D398" s="74" t="s">
        <v>909</v>
      </c>
      <c r="E398" s="73" t="s">
        <v>50</v>
      </c>
      <c r="F398" s="75">
        <v>3.282</v>
      </c>
      <c r="G398" s="76">
        <v>380461.76</v>
      </c>
      <c r="H398" s="76">
        <v>710.03</v>
      </c>
      <c r="I398" s="83" t="s">
        <v>910</v>
      </c>
      <c r="J398" s="76">
        <v>1248675.5</v>
      </c>
      <c r="K398" s="76">
        <v>2330.3200000000002</v>
      </c>
      <c r="L398"/>
      <c r="M398">
        <v>367096.36</v>
      </c>
      <c r="N398">
        <v>367096.36</v>
      </c>
    </row>
    <row r="399" spans="3:14" ht="72" x14ac:dyDescent="0.3">
      <c r="C399" s="73" t="s">
        <v>911</v>
      </c>
      <c r="D399" s="74" t="s">
        <v>912</v>
      </c>
      <c r="E399" s="73" t="s">
        <v>50</v>
      </c>
      <c r="F399" s="75">
        <v>5.9669999999999996</v>
      </c>
      <c r="G399" s="76">
        <v>419247.84</v>
      </c>
      <c r="H399" s="76">
        <v>624.83000000000004</v>
      </c>
      <c r="I399" s="83" t="s">
        <v>913</v>
      </c>
      <c r="J399" s="76">
        <v>2501651.86</v>
      </c>
      <c r="K399" s="76">
        <v>3728.36</v>
      </c>
      <c r="L399"/>
      <c r="M399">
        <v>370824.72</v>
      </c>
      <c r="N399">
        <v>370824.72</v>
      </c>
    </row>
    <row r="400" spans="3:14" ht="72" x14ac:dyDescent="0.3">
      <c r="C400" s="73" t="s">
        <v>914</v>
      </c>
      <c r="D400" s="74" t="s">
        <v>915</v>
      </c>
      <c r="E400" s="73" t="s">
        <v>50</v>
      </c>
      <c r="F400" s="75">
        <v>1.863</v>
      </c>
      <c r="G400" s="76">
        <v>410459.34</v>
      </c>
      <c r="H400" s="76">
        <v>624.83000000000004</v>
      </c>
      <c r="I400" s="83" t="s">
        <v>916</v>
      </c>
      <c r="J400" s="76">
        <v>764685.75</v>
      </c>
      <c r="K400" s="76">
        <v>1164.06</v>
      </c>
      <c r="L400"/>
      <c r="M400">
        <v>371988.78</v>
      </c>
      <c r="N400">
        <v>371988.78</v>
      </c>
    </row>
    <row r="401" spans="3:14" ht="86.4" x14ac:dyDescent="0.3">
      <c r="C401" s="73" t="s">
        <v>917</v>
      </c>
      <c r="D401" s="74" t="s">
        <v>918</v>
      </c>
      <c r="E401" s="73" t="s">
        <v>68</v>
      </c>
      <c r="F401" s="75">
        <v>3</v>
      </c>
      <c r="G401" s="76">
        <v>1257.08</v>
      </c>
      <c r="H401" s="76">
        <v>0</v>
      </c>
      <c r="I401" s="83" t="s">
        <v>919</v>
      </c>
      <c r="J401" s="76">
        <v>3771.24</v>
      </c>
      <c r="K401" s="76">
        <v>0</v>
      </c>
      <c r="L401"/>
      <c r="M401">
        <v>371988.78</v>
      </c>
      <c r="N401">
        <v>371988.78</v>
      </c>
    </row>
    <row r="402" spans="3:14" ht="100.8" x14ac:dyDescent="0.3">
      <c r="C402" s="73" t="s">
        <v>920</v>
      </c>
      <c r="D402" s="74" t="s">
        <v>921</v>
      </c>
      <c r="E402" s="73" t="s">
        <v>68</v>
      </c>
      <c r="F402" s="75">
        <v>1</v>
      </c>
      <c r="G402" s="76">
        <v>227126.02</v>
      </c>
      <c r="H402" s="76">
        <v>156.21</v>
      </c>
      <c r="I402" s="83" t="s">
        <v>922</v>
      </c>
      <c r="J402" s="76">
        <v>227126.02</v>
      </c>
      <c r="K402" s="76">
        <v>156.21</v>
      </c>
      <c r="L402"/>
      <c r="M402">
        <v>372144.99</v>
      </c>
      <c r="N402">
        <v>372144.99</v>
      </c>
    </row>
    <row r="403" spans="3:14" ht="100.8" x14ac:dyDescent="0.3">
      <c r="C403" s="73" t="s">
        <v>923</v>
      </c>
      <c r="D403" s="74" t="s">
        <v>924</v>
      </c>
      <c r="E403" s="73" t="s">
        <v>68</v>
      </c>
      <c r="F403" s="75">
        <v>1</v>
      </c>
      <c r="G403" s="76">
        <v>4066.31</v>
      </c>
      <c r="H403" s="76">
        <v>0</v>
      </c>
      <c r="I403" s="83" t="s">
        <v>925</v>
      </c>
      <c r="J403" s="76">
        <v>4066.31</v>
      </c>
      <c r="K403" s="76">
        <v>0</v>
      </c>
      <c r="L403"/>
      <c r="M403">
        <v>372144.99</v>
      </c>
      <c r="N403">
        <v>372144.99</v>
      </c>
    </row>
    <row r="404" spans="3:14" ht="100.8" x14ac:dyDescent="0.3">
      <c r="C404" s="73" t="s">
        <v>926</v>
      </c>
      <c r="D404" s="74" t="s">
        <v>927</v>
      </c>
      <c r="E404" s="73" t="s">
        <v>68</v>
      </c>
      <c r="F404" s="75">
        <v>2</v>
      </c>
      <c r="G404" s="76">
        <v>14446.15</v>
      </c>
      <c r="H404" s="76">
        <v>0</v>
      </c>
      <c r="I404" s="83" t="s">
        <v>928</v>
      </c>
      <c r="J404" s="76">
        <v>28892.3</v>
      </c>
      <c r="K404" s="76">
        <v>0</v>
      </c>
      <c r="L404"/>
      <c r="M404">
        <v>372144.99</v>
      </c>
      <c r="N404">
        <v>372144.99</v>
      </c>
    </row>
    <row r="405" spans="3:14" ht="86.4" x14ac:dyDescent="0.3">
      <c r="C405" s="73" t="s">
        <v>929</v>
      </c>
      <c r="D405" s="74" t="s">
        <v>930</v>
      </c>
      <c r="E405" s="73" t="s">
        <v>58</v>
      </c>
      <c r="F405" s="75">
        <v>15</v>
      </c>
      <c r="G405" s="76">
        <v>9500</v>
      </c>
      <c r="H405" s="76">
        <v>0</v>
      </c>
      <c r="I405" s="83" t="s">
        <v>931</v>
      </c>
      <c r="J405" s="76">
        <v>142500</v>
      </c>
      <c r="K405" s="76">
        <v>0</v>
      </c>
      <c r="L405"/>
      <c r="M405">
        <v>372144.99</v>
      </c>
      <c r="N405">
        <v>372144.99</v>
      </c>
    </row>
    <row r="406" spans="3:14" ht="57.6" x14ac:dyDescent="0.3">
      <c r="C406" s="73" t="s">
        <v>932</v>
      </c>
      <c r="D406" s="74" t="s">
        <v>933</v>
      </c>
      <c r="E406" s="73" t="s">
        <v>68</v>
      </c>
      <c r="F406" s="75">
        <v>1</v>
      </c>
      <c r="G406" s="76">
        <v>16574.91</v>
      </c>
      <c r="H406" s="76">
        <v>35.049999999999997</v>
      </c>
      <c r="I406" s="83" t="s">
        <v>934</v>
      </c>
      <c r="J406" s="76">
        <v>16574.91</v>
      </c>
      <c r="K406" s="76">
        <v>35.049999999999997</v>
      </c>
      <c r="L406"/>
      <c r="M406">
        <v>372180.04</v>
      </c>
      <c r="N406">
        <v>372180.04</v>
      </c>
    </row>
    <row r="407" spans="3:14" ht="72" x14ac:dyDescent="0.3">
      <c r="C407" s="73" t="s">
        <v>935</v>
      </c>
      <c r="D407" s="74" t="s">
        <v>936</v>
      </c>
      <c r="E407" s="73" t="s">
        <v>68</v>
      </c>
      <c r="F407" s="75">
        <v>10</v>
      </c>
      <c r="G407" s="76">
        <v>143933.60999999999</v>
      </c>
      <c r="H407" s="76">
        <v>0</v>
      </c>
      <c r="I407" s="83" t="s">
        <v>937</v>
      </c>
      <c r="J407" s="76">
        <v>1439336.1</v>
      </c>
      <c r="K407" s="76">
        <v>0</v>
      </c>
      <c r="L407"/>
      <c r="M407">
        <v>372180.04</v>
      </c>
      <c r="N407">
        <v>372180.04</v>
      </c>
    </row>
    <row r="408" spans="3:14" ht="57.6" x14ac:dyDescent="0.3">
      <c r="C408" s="73" t="s">
        <v>938</v>
      </c>
      <c r="D408" s="74" t="s">
        <v>939</v>
      </c>
      <c r="E408" s="73" t="s">
        <v>940</v>
      </c>
      <c r="F408" s="75">
        <v>55</v>
      </c>
      <c r="G408" s="76">
        <v>3894.41</v>
      </c>
      <c r="H408" s="76">
        <v>5.54</v>
      </c>
      <c r="I408" s="83" t="s">
        <v>941</v>
      </c>
      <c r="J408" s="76">
        <v>214192.55</v>
      </c>
      <c r="K408" s="76">
        <v>304.7</v>
      </c>
      <c r="L408"/>
      <c r="M408">
        <v>372484.74</v>
      </c>
      <c r="N408">
        <v>372484.74</v>
      </c>
    </row>
    <row r="409" spans="3:14" ht="57.6" x14ac:dyDescent="0.3">
      <c r="C409" s="73" t="s">
        <v>942</v>
      </c>
      <c r="D409" s="74" t="s">
        <v>943</v>
      </c>
      <c r="E409" s="73" t="s">
        <v>940</v>
      </c>
      <c r="F409" s="75">
        <v>26</v>
      </c>
      <c r="G409" s="76">
        <v>6340.9</v>
      </c>
      <c r="H409" s="76">
        <v>16.84</v>
      </c>
      <c r="I409" s="83" t="s">
        <v>944</v>
      </c>
      <c r="J409" s="76">
        <v>164863.4</v>
      </c>
      <c r="K409" s="76">
        <v>437.84</v>
      </c>
      <c r="L409"/>
      <c r="M409">
        <v>372922.58</v>
      </c>
      <c r="N409">
        <v>372922.58</v>
      </c>
    </row>
    <row r="410" spans="3:14" ht="86.4" x14ac:dyDescent="0.3">
      <c r="C410" s="73" t="s">
        <v>945</v>
      </c>
      <c r="D410" s="74" t="s">
        <v>946</v>
      </c>
      <c r="E410" s="73" t="s">
        <v>58</v>
      </c>
      <c r="F410" s="75">
        <v>73.2</v>
      </c>
      <c r="G410" s="76">
        <v>12520.74</v>
      </c>
      <c r="H410" s="76">
        <v>0</v>
      </c>
      <c r="I410" s="83" t="s">
        <v>947</v>
      </c>
      <c r="J410" s="76">
        <v>916518.17</v>
      </c>
      <c r="K410" s="76">
        <v>0</v>
      </c>
      <c r="L410"/>
      <c r="M410">
        <v>372922.58</v>
      </c>
      <c r="N410">
        <v>372922.58</v>
      </c>
    </row>
    <row r="411" spans="3:14" ht="100.8" x14ac:dyDescent="0.3">
      <c r="C411" s="73" t="s">
        <v>948</v>
      </c>
      <c r="D411" s="74" t="s">
        <v>949</v>
      </c>
      <c r="E411" s="73" t="s">
        <v>68</v>
      </c>
      <c r="F411" s="75">
        <v>6</v>
      </c>
      <c r="G411" s="76">
        <v>50736.43</v>
      </c>
      <c r="H411" s="76">
        <v>0</v>
      </c>
      <c r="I411" s="83" t="s">
        <v>950</v>
      </c>
      <c r="J411" s="76">
        <v>304418.58</v>
      </c>
      <c r="K411" s="76">
        <v>0</v>
      </c>
      <c r="L411"/>
      <c r="M411">
        <v>372922.58</v>
      </c>
      <c r="N411">
        <v>372922.58</v>
      </c>
    </row>
    <row r="412" spans="3:14" ht="115.2" x14ac:dyDescent="0.3">
      <c r="C412" s="73" t="s">
        <v>951</v>
      </c>
      <c r="D412" s="74" t="s">
        <v>952</v>
      </c>
      <c r="E412" s="73" t="s">
        <v>68</v>
      </c>
      <c r="F412" s="75">
        <v>35</v>
      </c>
      <c r="G412" s="76">
        <v>62812.75</v>
      </c>
      <c r="H412" s="76">
        <v>0</v>
      </c>
      <c r="I412" s="83" t="s">
        <v>953</v>
      </c>
      <c r="J412" s="76">
        <v>2198446.25</v>
      </c>
      <c r="K412" s="76">
        <v>0</v>
      </c>
      <c r="L412"/>
      <c r="M412">
        <v>372922.58</v>
      </c>
      <c r="N412">
        <v>372922.58</v>
      </c>
    </row>
    <row r="413" spans="3:14" ht="43.2" x14ac:dyDescent="0.3">
      <c r="C413" s="73"/>
      <c r="D413" s="74" t="s">
        <v>954</v>
      </c>
      <c r="E413" s="73"/>
      <c r="F413" s="75"/>
      <c r="G413" s="76"/>
      <c r="H413" s="76"/>
      <c r="I413" s="83"/>
      <c r="J413" s="76">
        <v>36887884.93</v>
      </c>
      <c r="K413" s="76">
        <v>372922.58</v>
      </c>
      <c r="L413"/>
      <c r="M413"/>
      <c r="N413"/>
    </row>
    <row r="414" spans="3:14" ht="72" x14ac:dyDescent="0.3">
      <c r="C414" s="73"/>
      <c r="D414" s="74" t="s">
        <v>955</v>
      </c>
      <c r="E414" s="73"/>
      <c r="F414" s="75"/>
      <c r="G414" s="76"/>
      <c r="H414" s="76"/>
      <c r="I414" s="83"/>
      <c r="J414" s="76"/>
      <c r="K414" s="76"/>
      <c r="L414"/>
      <c r="M414"/>
      <c r="N414"/>
    </row>
    <row r="415" spans="3:14" ht="72" x14ac:dyDescent="0.3">
      <c r="C415" s="73" t="s">
        <v>956</v>
      </c>
      <c r="D415" s="74" t="s">
        <v>957</v>
      </c>
      <c r="E415" s="73" t="s">
        <v>68</v>
      </c>
      <c r="F415" s="75">
        <v>2</v>
      </c>
      <c r="G415" s="76">
        <v>1119.97</v>
      </c>
      <c r="H415" s="76">
        <v>0</v>
      </c>
      <c r="I415" s="83" t="s">
        <v>958</v>
      </c>
      <c r="J415" s="76">
        <v>2239.94</v>
      </c>
      <c r="K415" s="76">
        <v>0</v>
      </c>
      <c r="L415"/>
      <c r="M415"/>
      <c r="N415"/>
    </row>
    <row r="416" spans="3:14" ht="129.6" x14ac:dyDescent="0.3">
      <c r="C416" s="73" t="s">
        <v>959</v>
      </c>
      <c r="D416" s="74" t="s">
        <v>960</v>
      </c>
      <c r="E416" s="73" t="s">
        <v>68</v>
      </c>
      <c r="F416" s="75">
        <v>23</v>
      </c>
      <c r="G416" s="76">
        <v>558.97</v>
      </c>
      <c r="H416" s="76">
        <v>0</v>
      </c>
      <c r="I416" s="83" t="s">
        <v>961</v>
      </c>
      <c r="J416" s="76">
        <v>12856.31</v>
      </c>
      <c r="K416" s="76">
        <v>0</v>
      </c>
      <c r="L416"/>
      <c r="M416"/>
      <c r="N416"/>
    </row>
    <row r="417" spans="3:14" ht="72" x14ac:dyDescent="0.3">
      <c r="C417" s="73" t="s">
        <v>962</v>
      </c>
      <c r="D417" s="74" t="s">
        <v>963</v>
      </c>
      <c r="E417" s="73" t="s">
        <v>68</v>
      </c>
      <c r="F417" s="75">
        <v>1</v>
      </c>
      <c r="G417" s="76">
        <v>1122.46</v>
      </c>
      <c r="H417" s="76">
        <v>0</v>
      </c>
      <c r="I417" s="83" t="s">
        <v>964</v>
      </c>
      <c r="J417" s="76">
        <v>1122.46</v>
      </c>
      <c r="K417" s="76">
        <v>0</v>
      </c>
      <c r="L417"/>
      <c r="M417"/>
      <c r="N417"/>
    </row>
    <row r="418" spans="3:14" ht="72" x14ac:dyDescent="0.3">
      <c r="C418" s="73" t="s">
        <v>965</v>
      </c>
      <c r="D418" s="74" t="s">
        <v>966</v>
      </c>
      <c r="E418" s="73" t="s">
        <v>68</v>
      </c>
      <c r="F418" s="75">
        <v>2</v>
      </c>
      <c r="G418" s="76">
        <v>1602.96</v>
      </c>
      <c r="H418" s="76">
        <v>0</v>
      </c>
      <c r="I418" s="83" t="s">
        <v>967</v>
      </c>
      <c r="J418" s="76">
        <v>3205.92</v>
      </c>
      <c r="K418" s="76">
        <v>0</v>
      </c>
      <c r="L418"/>
      <c r="M418"/>
      <c r="N418"/>
    </row>
    <row r="419" spans="3:14" ht="129.6" x14ac:dyDescent="0.3">
      <c r="C419" s="73" t="s">
        <v>968</v>
      </c>
      <c r="D419" s="74" t="s">
        <v>969</v>
      </c>
      <c r="E419" s="73" t="s">
        <v>68</v>
      </c>
      <c r="F419" s="75">
        <v>3</v>
      </c>
      <c r="G419" s="76">
        <v>642.15</v>
      </c>
      <c r="H419" s="76">
        <v>0</v>
      </c>
      <c r="I419" s="83" t="s">
        <v>970</v>
      </c>
      <c r="J419" s="76">
        <v>1926.45</v>
      </c>
      <c r="K419" s="76">
        <v>0</v>
      </c>
      <c r="L419"/>
      <c r="M419"/>
      <c r="N419"/>
    </row>
    <row r="420" spans="3:14" ht="72" x14ac:dyDescent="0.3">
      <c r="C420" s="73" t="s">
        <v>971</v>
      </c>
      <c r="D420" s="74" t="s">
        <v>972</v>
      </c>
      <c r="E420" s="73" t="s">
        <v>68</v>
      </c>
      <c r="F420" s="75">
        <v>46</v>
      </c>
      <c r="G420" s="76">
        <v>1795.81</v>
      </c>
      <c r="H420" s="76">
        <v>0</v>
      </c>
      <c r="I420" s="83" t="s">
        <v>973</v>
      </c>
      <c r="J420" s="76">
        <v>82607.259999999995</v>
      </c>
      <c r="K420" s="76">
        <v>0</v>
      </c>
      <c r="L420"/>
      <c r="M420"/>
      <c r="N420"/>
    </row>
    <row r="421" spans="3:14" ht="72" x14ac:dyDescent="0.3">
      <c r="C421" s="73" t="s">
        <v>974</v>
      </c>
      <c r="D421" s="74" t="s">
        <v>975</v>
      </c>
      <c r="E421" s="73" t="s">
        <v>976</v>
      </c>
      <c r="F421" s="75">
        <v>42</v>
      </c>
      <c r="G421" s="76">
        <v>317.67</v>
      </c>
      <c r="H421" s="76">
        <v>0</v>
      </c>
      <c r="I421" s="83" t="s">
        <v>977</v>
      </c>
      <c r="J421" s="76">
        <v>13342.14</v>
      </c>
      <c r="K421" s="76">
        <v>0</v>
      </c>
      <c r="L421"/>
      <c r="M421"/>
      <c r="N421"/>
    </row>
    <row r="422" spans="3:14" ht="86.4" x14ac:dyDescent="0.3">
      <c r="C422" s="73" t="s">
        <v>978</v>
      </c>
      <c r="D422" s="74" t="s">
        <v>979</v>
      </c>
      <c r="E422" s="73" t="s">
        <v>68</v>
      </c>
      <c r="F422" s="75">
        <v>5</v>
      </c>
      <c r="G422" s="76">
        <v>442.98</v>
      </c>
      <c r="H422" s="76">
        <v>0</v>
      </c>
      <c r="I422" s="83" t="s">
        <v>980</v>
      </c>
      <c r="J422" s="76">
        <v>2214.9</v>
      </c>
      <c r="K422" s="76">
        <v>0</v>
      </c>
      <c r="L422"/>
      <c r="M422"/>
      <c r="N422"/>
    </row>
    <row r="423" spans="3:14" ht="72" x14ac:dyDescent="0.3">
      <c r="C423" s="73" t="s">
        <v>981</v>
      </c>
      <c r="D423" s="74" t="s">
        <v>982</v>
      </c>
      <c r="E423" s="73" t="s">
        <v>68</v>
      </c>
      <c r="F423" s="75">
        <v>6</v>
      </c>
      <c r="G423" s="76">
        <v>589.27</v>
      </c>
      <c r="H423" s="76">
        <v>0</v>
      </c>
      <c r="I423" s="83" t="s">
        <v>983</v>
      </c>
      <c r="J423" s="76">
        <v>3535.62</v>
      </c>
      <c r="K423" s="76">
        <v>0</v>
      </c>
      <c r="L423"/>
      <c r="M423"/>
      <c r="N423"/>
    </row>
    <row r="424" spans="3:14" ht="86.4" x14ac:dyDescent="0.3">
      <c r="C424" s="73" t="s">
        <v>984</v>
      </c>
      <c r="D424" s="74" t="s">
        <v>985</v>
      </c>
      <c r="E424" s="73" t="s">
        <v>68</v>
      </c>
      <c r="F424" s="75">
        <v>1</v>
      </c>
      <c r="G424" s="76">
        <v>0.55000000000000004</v>
      </c>
      <c r="H424" s="76">
        <v>18.63</v>
      </c>
      <c r="I424" s="83" t="s">
        <v>986</v>
      </c>
      <c r="J424" s="76">
        <v>0.55000000000000004</v>
      </c>
      <c r="K424" s="76">
        <v>18.63</v>
      </c>
      <c r="L424"/>
      <c r="M424"/>
      <c r="N424"/>
    </row>
    <row r="425" spans="3:14" ht="72" x14ac:dyDescent="0.3">
      <c r="C425" s="73" t="s">
        <v>987</v>
      </c>
      <c r="D425" s="74" t="s">
        <v>988</v>
      </c>
      <c r="E425" s="73" t="s">
        <v>68</v>
      </c>
      <c r="F425" s="75">
        <v>1</v>
      </c>
      <c r="G425" s="76">
        <v>21005.19</v>
      </c>
      <c r="H425" s="76">
        <v>0</v>
      </c>
      <c r="I425" s="83" t="s">
        <v>989</v>
      </c>
      <c r="J425" s="76">
        <v>21005.19</v>
      </c>
      <c r="K425" s="76">
        <v>0</v>
      </c>
      <c r="L425"/>
      <c r="M425"/>
      <c r="N425"/>
    </row>
    <row r="426" spans="3:14" ht="86.4" x14ac:dyDescent="0.3">
      <c r="C426" s="73" t="s">
        <v>990</v>
      </c>
      <c r="D426" s="74" t="s">
        <v>991</v>
      </c>
      <c r="E426" s="73" t="s">
        <v>68</v>
      </c>
      <c r="F426" s="75">
        <v>1</v>
      </c>
      <c r="G426" s="76">
        <v>5591.77</v>
      </c>
      <c r="H426" s="76">
        <v>0</v>
      </c>
      <c r="I426" s="83" t="s">
        <v>992</v>
      </c>
      <c r="J426" s="76">
        <v>5591.77</v>
      </c>
      <c r="K426" s="76">
        <v>0</v>
      </c>
      <c r="L426"/>
      <c r="M426"/>
      <c r="N426"/>
    </row>
    <row r="427" spans="3:14" ht="57.6" x14ac:dyDescent="0.3">
      <c r="C427" s="73" t="s">
        <v>993</v>
      </c>
      <c r="D427" s="74" t="s">
        <v>994</v>
      </c>
      <c r="E427" s="73" t="s">
        <v>995</v>
      </c>
      <c r="F427" s="75">
        <v>2</v>
      </c>
      <c r="G427" s="76">
        <v>0</v>
      </c>
      <c r="H427" s="76">
        <v>75667.8</v>
      </c>
      <c r="I427" s="83" t="s">
        <v>996</v>
      </c>
      <c r="J427" s="76">
        <v>0</v>
      </c>
      <c r="K427" s="76">
        <v>151335.6</v>
      </c>
      <c r="L427"/>
      <c r="M427"/>
      <c r="N427"/>
    </row>
    <row r="428" spans="3:14" ht="57.6" x14ac:dyDescent="0.3">
      <c r="C428" s="73" t="s">
        <v>997</v>
      </c>
      <c r="D428" s="74" t="s">
        <v>998</v>
      </c>
      <c r="E428" s="73" t="s">
        <v>995</v>
      </c>
      <c r="F428" s="75">
        <v>2</v>
      </c>
      <c r="G428" s="76">
        <v>0</v>
      </c>
      <c r="H428" s="76">
        <v>65657.53</v>
      </c>
      <c r="I428" s="83" t="s">
        <v>999</v>
      </c>
      <c r="J428" s="76">
        <v>0</v>
      </c>
      <c r="K428" s="76">
        <v>131315.06</v>
      </c>
      <c r="L428"/>
      <c r="M428"/>
      <c r="N428"/>
    </row>
    <row r="429" spans="3:14" ht="86.4" x14ac:dyDescent="0.3">
      <c r="C429" s="73" t="s">
        <v>1000</v>
      </c>
      <c r="D429" s="74" t="s">
        <v>1001</v>
      </c>
      <c r="E429" s="73" t="s">
        <v>68</v>
      </c>
      <c r="F429" s="75">
        <v>1</v>
      </c>
      <c r="G429" s="76">
        <v>45236.52</v>
      </c>
      <c r="H429" s="76">
        <v>0</v>
      </c>
      <c r="I429" s="83" t="s">
        <v>1002</v>
      </c>
      <c r="J429" s="76">
        <v>45236.52</v>
      </c>
      <c r="K429" s="76">
        <v>0</v>
      </c>
      <c r="L429"/>
      <c r="M429"/>
      <c r="N429"/>
    </row>
    <row r="430" spans="3:14" ht="72" x14ac:dyDescent="0.3">
      <c r="C430" s="73" t="s">
        <v>1003</v>
      </c>
      <c r="D430" s="74" t="s">
        <v>1004</v>
      </c>
      <c r="E430" s="73" t="s">
        <v>68</v>
      </c>
      <c r="F430" s="75">
        <v>204</v>
      </c>
      <c r="G430" s="76">
        <v>58.41</v>
      </c>
      <c r="H430" s="76">
        <v>0</v>
      </c>
      <c r="I430" s="83" t="s">
        <v>1005</v>
      </c>
      <c r="J430" s="76">
        <v>11915.64</v>
      </c>
      <c r="K430" s="76">
        <v>0</v>
      </c>
      <c r="L430"/>
      <c r="M430"/>
      <c r="N430"/>
    </row>
    <row r="431" spans="3:14" ht="86.4" x14ac:dyDescent="0.3">
      <c r="C431" s="73" t="s">
        <v>1006</v>
      </c>
      <c r="D431" s="74" t="s">
        <v>1007</v>
      </c>
      <c r="E431" s="73" t="s">
        <v>68</v>
      </c>
      <c r="F431" s="75">
        <v>126</v>
      </c>
      <c r="G431" s="76">
        <v>102.57</v>
      </c>
      <c r="H431" s="76">
        <v>0</v>
      </c>
      <c r="I431" s="83" t="s">
        <v>1008</v>
      </c>
      <c r="J431" s="76">
        <v>12923.82</v>
      </c>
      <c r="K431" s="76">
        <v>0</v>
      </c>
      <c r="L431"/>
      <c r="M431"/>
      <c r="N431"/>
    </row>
    <row r="432" spans="3:14" ht="86.4" x14ac:dyDescent="0.3">
      <c r="C432" s="73" t="s">
        <v>1009</v>
      </c>
      <c r="D432" s="74" t="s">
        <v>1010</v>
      </c>
      <c r="E432" s="73" t="s">
        <v>68</v>
      </c>
      <c r="F432" s="75">
        <v>10</v>
      </c>
      <c r="G432" s="76">
        <v>106.62</v>
      </c>
      <c r="H432" s="76">
        <v>0</v>
      </c>
      <c r="I432" s="83" t="s">
        <v>1011</v>
      </c>
      <c r="J432" s="76">
        <v>1066.2</v>
      </c>
      <c r="K432" s="76">
        <v>0</v>
      </c>
      <c r="L432"/>
      <c r="M432"/>
      <c r="N432"/>
    </row>
    <row r="433" spans="3:14" ht="72" x14ac:dyDescent="0.3">
      <c r="C433" s="73" t="s">
        <v>1012</v>
      </c>
      <c r="D433" s="74" t="s">
        <v>1013</v>
      </c>
      <c r="E433" s="73" t="s">
        <v>68</v>
      </c>
      <c r="F433" s="75">
        <v>8</v>
      </c>
      <c r="G433" s="76">
        <v>108.55</v>
      </c>
      <c r="H433" s="76">
        <v>0</v>
      </c>
      <c r="I433" s="83" t="s">
        <v>1014</v>
      </c>
      <c r="J433" s="76">
        <v>868.4</v>
      </c>
      <c r="K433" s="76">
        <v>0</v>
      </c>
      <c r="L433"/>
      <c r="M433"/>
      <c r="N433"/>
    </row>
    <row r="434" spans="3:14" ht="100.8" x14ac:dyDescent="0.3">
      <c r="C434" s="73" t="s">
        <v>1015</v>
      </c>
      <c r="D434" s="74" t="s">
        <v>1016</v>
      </c>
      <c r="E434" s="73" t="s">
        <v>68</v>
      </c>
      <c r="F434" s="75">
        <v>24</v>
      </c>
      <c r="G434" s="76">
        <v>13.07</v>
      </c>
      <c r="H434" s="76">
        <v>39</v>
      </c>
      <c r="I434" s="83" t="s">
        <v>1017</v>
      </c>
      <c r="J434" s="76">
        <v>313.68</v>
      </c>
      <c r="K434" s="76">
        <v>936</v>
      </c>
      <c r="L434"/>
      <c r="M434"/>
      <c r="N434"/>
    </row>
    <row r="435" spans="3:14" ht="100.8" x14ac:dyDescent="0.3">
      <c r="C435" s="73" t="s">
        <v>1018</v>
      </c>
      <c r="D435" s="74" t="s">
        <v>1019</v>
      </c>
      <c r="E435" s="73" t="s">
        <v>68</v>
      </c>
      <c r="F435" s="75">
        <v>24</v>
      </c>
      <c r="G435" s="76">
        <v>13.07</v>
      </c>
      <c r="H435" s="76">
        <v>52</v>
      </c>
      <c r="I435" s="83" t="s">
        <v>1020</v>
      </c>
      <c r="J435" s="76">
        <v>313.68</v>
      </c>
      <c r="K435" s="76">
        <v>1248</v>
      </c>
      <c r="L435"/>
      <c r="M435"/>
      <c r="N435"/>
    </row>
    <row r="436" spans="3:14" ht="100.8" x14ac:dyDescent="0.3">
      <c r="C436" s="73" t="s">
        <v>1021</v>
      </c>
      <c r="D436" s="74" t="s">
        <v>1022</v>
      </c>
      <c r="E436" s="73" t="s">
        <v>68</v>
      </c>
      <c r="F436" s="75">
        <v>72</v>
      </c>
      <c r="G436" s="76">
        <v>13.07</v>
      </c>
      <c r="H436" s="76">
        <v>52</v>
      </c>
      <c r="I436" s="83" t="s">
        <v>1020</v>
      </c>
      <c r="J436" s="76">
        <v>941.04</v>
      </c>
      <c r="K436" s="76">
        <v>3744</v>
      </c>
      <c r="L436"/>
      <c r="M436"/>
      <c r="N436"/>
    </row>
    <row r="437" spans="3:14" ht="115.2" x14ac:dyDescent="0.3">
      <c r="C437" s="73" t="s">
        <v>1023</v>
      </c>
      <c r="D437" s="74" t="s">
        <v>1024</v>
      </c>
      <c r="E437" s="73" t="s">
        <v>68</v>
      </c>
      <c r="F437" s="75">
        <v>8</v>
      </c>
      <c r="G437" s="76">
        <v>70.27</v>
      </c>
      <c r="H437" s="76">
        <v>0</v>
      </c>
      <c r="I437" s="83" t="s">
        <v>1025</v>
      </c>
      <c r="J437" s="76">
        <v>562.16</v>
      </c>
      <c r="K437" s="76">
        <v>0</v>
      </c>
      <c r="L437"/>
      <c r="M437"/>
      <c r="N437"/>
    </row>
    <row r="438" spans="3:14" ht="100.8" x14ac:dyDescent="0.3">
      <c r="C438" s="73" t="s">
        <v>1026</v>
      </c>
      <c r="D438" s="74" t="s">
        <v>1027</v>
      </c>
      <c r="E438" s="73" t="s">
        <v>68</v>
      </c>
      <c r="F438" s="75">
        <v>130</v>
      </c>
      <c r="G438" s="76">
        <v>1025.57</v>
      </c>
      <c r="H438" s="76">
        <v>0</v>
      </c>
      <c r="I438" s="83" t="s">
        <v>1028</v>
      </c>
      <c r="J438" s="76">
        <v>133324.1</v>
      </c>
      <c r="K438" s="76">
        <v>0</v>
      </c>
      <c r="L438"/>
      <c r="M438"/>
      <c r="N438"/>
    </row>
    <row r="439" spans="3:14" ht="115.2" x14ac:dyDescent="0.3">
      <c r="C439" s="73" t="s">
        <v>1029</v>
      </c>
      <c r="D439" s="74" t="s">
        <v>1030</v>
      </c>
      <c r="E439" s="73" t="s">
        <v>68</v>
      </c>
      <c r="F439" s="75">
        <v>172</v>
      </c>
      <c r="G439" s="76">
        <v>193.7</v>
      </c>
      <c r="H439" s="76">
        <v>0</v>
      </c>
      <c r="I439" s="83" t="s">
        <v>1031</v>
      </c>
      <c r="J439" s="76">
        <v>33316.400000000001</v>
      </c>
      <c r="K439" s="76">
        <v>0</v>
      </c>
      <c r="L439"/>
      <c r="M439"/>
      <c r="N439"/>
    </row>
    <row r="440" spans="3:14" ht="115.2" x14ac:dyDescent="0.3">
      <c r="C440" s="73" t="s">
        <v>1032</v>
      </c>
      <c r="D440" s="74" t="s">
        <v>1033</v>
      </c>
      <c r="E440" s="73" t="s">
        <v>68</v>
      </c>
      <c r="F440" s="75">
        <v>204</v>
      </c>
      <c r="G440" s="76">
        <v>407.77</v>
      </c>
      <c r="H440" s="76">
        <v>0</v>
      </c>
      <c r="I440" s="83" t="s">
        <v>1034</v>
      </c>
      <c r="J440" s="76">
        <v>83185.08</v>
      </c>
      <c r="K440" s="76">
        <v>0</v>
      </c>
      <c r="L440"/>
      <c r="M440"/>
      <c r="N440"/>
    </row>
    <row r="441" spans="3:14" ht="100.8" x14ac:dyDescent="0.3">
      <c r="C441" s="73" t="s">
        <v>1035</v>
      </c>
      <c r="D441" s="74" t="s">
        <v>1036</v>
      </c>
      <c r="E441" s="73" t="s">
        <v>68</v>
      </c>
      <c r="F441" s="75">
        <v>12</v>
      </c>
      <c r="G441" s="76">
        <v>1147.07</v>
      </c>
      <c r="H441" s="76">
        <v>0</v>
      </c>
      <c r="I441" s="83" t="s">
        <v>1037</v>
      </c>
      <c r="J441" s="76">
        <v>13764.84</v>
      </c>
      <c r="K441" s="76">
        <v>0</v>
      </c>
      <c r="L441"/>
      <c r="M441"/>
      <c r="N441"/>
    </row>
    <row r="442" spans="3:14" ht="115.2" x14ac:dyDescent="0.3">
      <c r="C442" s="73" t="s">
        <v>1038</v>
      </c>
      <c r="D442" s="74" t="s">
        <v>1039</v>
      </c>
      <c r="E442" s="73" t="s">
        <v>68</v>
      </c>
      <c r="F442" s="75">
        <v>144</v>
      </c>
      <c r="G442" s="76">
        <v>577.48</v>
      </c>
      <c r="H442" s="76">
        <v>0</v>
      </c>
      <c r="I442" s="83" t="s">
        <v>1040</v>
      </c>
      <c r="J442" s="76">
        <v>83157.119999999995</v>
      </c>
      <c r="K442" s="76">
        <v>0</v>
      </c>
      <c r="L442"/>
      <c r="M442"/>
      <c r="N442"/>
    </row>
    <row r="443" spans="3:14" ht="115.2" x14ac:dyDescent="0.3">
      <c r="C443" s="73" t="s">
        <v>1041</v>
      </c>
      <c r="D443" s="74" t="s">
        <v>1042</v>
      </c>
      <c r="E443" s="73" t="s">
        <v>68</v>
      </c>
      <c r="F443" s="75">
        <v>48</v>
      </c>
      <c r="G443" s="76">
        <v>542.77</v>
      </c>
      <c r="H443" s="76">
        <v>0</v>
      </c>
      <c r="I443" s="83" t="s">
        <v>1043</v>
      </c>
      <c r="J443" s="76">
        <v>26052.959999999999</v>
      </c>
      <c r="K443" s="76">
        <v>0</v>
      </c>
      <c r="L443"/>
      <c r="M443"/>
      <c r="N443"/>
    </row>
    <row r="444" spans="3:14" ht="115.2" x14ac:dyDescent="0.3">
      <c r="C444" s="73" t="s">
        <v>1044</v>
      </c>
      <c r="D444" s="74" t="s">
        <v>1045</v>
      </c>
      <c r="E444" s="73" t="s">
        <v>68</v>
      </c>
      <c r="F444" s="75">
        <v>8</v>
      </c>
      <c r="G444" s="76">
        <v>716.34</v>
      </c>
      <c r="H444" s="76">
        <v>0</v>
      </c>
      <c r="I444" s="83" t="s">
        <v>1046</v>
      </c>
      <c r="J444" s="76">
        <v>5730.72</v>
      </c>
      <c r="K444" s="76">
        <v>0</v>
      </c>
      <c r="L444"/>
      <c r="M444"/>
      <c r="N444"/>
    </row>
    <row r="445" spans="3:14" ht="115.2" x14ac:dyDescent="0.3">
      <c r="C445" s="73" t="s">
        <v>1047</v>
      </c>
      <c r="D445" s="74" t="s">
        <v>1048</v>
      </c>
      <c r="E445" s="73" t="s">
        <v>68</v>
      </c>
      <c r="F445" s="75">
        <v>16</v>
      </c>
      <c r="G445" s="76">
        <v>754.91</v>
      </c>
      <c r="H445" s="76">
        <v>0</v>
      </c>
      <c r="I445" s="83" t="s">
        <v>1049</v>
      </c>
      <c r="J445" s="76">
        <v>12078.56</v>
      </c>
      <c r="K445" s="76">
        <v>0</v>
      </c>
      <c r="L445"/>
      <c r="M445"/>
      <c r="N445"/>
    </row>
    <row r="446" spans="3:14" ht="115.2" x14ac:dyDescent="0.3">
      <c r="C446" s="73" t="s">
        <v>1050</v>
      </c>
      <c r="D446" s="74" t="s">
        <v>1051</v>
      </c>
      <c r="E446" s="73" t="s">
        <v>68</v>
      </c>
      <c r="F446" s="75">
        <v>20</v>
      </c>
      <c r="G446" s="76">
        <v>2259.1999999999998</v>
      </c>
      <c r="H446" s="76">
        <v>0</v>
      </c>
      <c r="I446" s="83" t="s">
        <v>1052</v>
      </c>
      <c r="J446" s="76">
        <v>45184</v>
      </c>
      <c r="K446" s="76">
        <v>0</v>
      </c>
      <c r="L446"/>
      <c r="M446"/>
      <c r="N446"/>
    </row>
    <row r="447" spans="3:14" ht="115.2" x14ac:dyDescent="0.3">
      <c r="C447" s="73" t="s">
        <v>1053</v>
      </c>
      <c r="D447" s="74" t="s">
        <v>1054</v>
      </c>
      <c r="E447" s="73" t="s">
        <v>68</v>
      </c>
      <c r="F447" s="75">
        <v>12</v>
      </c>
      <c r="G447" s="76">
        <v>1410.63</v>
      </c>
      <c r="H447" s="76">
        <v>0</v>
      </c>
      <c r="I447" s="83" t="s">
        <v>1055</v>
      </c>
      <c r="J447" s="76">
        <v>16927.560000000001</v>
      </c>
      <c r="K447" s="76">
        <v>0</v>
      </c>
      <c r="L447"/>
      <c r="M447"/>
      <c r="N447"/>
    </row>
    <row r="448" spans="3:14" ht="100.8" x14ac:dyDescent="0.3">
      <c r="C448" s="73" t="s">
        <v>1056</v>
      </c>
      <c r="D448" s="74" t="s">
        <v>1057</v>
      </c>
      <c r="E448" s="73" t="s">
        <v>68</v>
      </c>
      <c r="F448" s="75">
        <v>18</v>
      </c>
      <c r="G448" s="76">
        <v>4670.57</v>
      </c>
      <c r="H448" s="76">
        <v>0</v>
      </c>
      <c r="I448" s="83" t="s">
        <v>1058</v>
      </c>
      <c r="J448" s="76">
        <v>84070.26</v>
      </c>
      <c r="K448" s="76">
        <v>0</v>
      </c>
      <c r="L448"/>
      <c r="M448"/>
      <c r="N448"/>
    </row>
    <row r="449" spans="3:14" ht="100.8" x14ac:dyDescent="0.3">
      <c r="C449" s="73" t="s">
        <v>1059</v>
      </c>
      <c r="D449" s="74" t="s">
        <v>1060</v>
      </c>
      <c r="E449" s="73" t="s">
        <v>68</v>
      </c>
      <c r="F449" s="75">
        <v>3</v>
      </c>
      <c r="G449" s="76">
        <v>2195.1</v>
      </c>
      <c r="H449" s="76">
        <v>0</v>
      </c>
      <c r="I449" s="83" t="s">
        <v>1061</v>
      </c>
      <c r="J449" s="76">
        <v>6585.3</v>
      </c>
      <c r="K449" s="76">
        <v>0</v>
      </c>
      <c r="L449"/>
      <c r="M449"/>
      <c r="N449"/>
    </row>
    <row r="450" spans="3:14" ht="100.8" x14ac:dyDescent="0.3">
      <c r="C450" s="73" t="s">
        <v>1062</v>
      </c>
      <c r="D450" s="74" t="s">
        <v>1063</v>
      </c>
      <c r="E450" s="73" t="s">
        <v>68</v>
      </c>
      <c r="F450" s="75">
        <v>21</v>
      </c>
      <c r="G450" s="76">
        <v>4767.8100000000004</v>
      </c>
      <c r="H450" s="76">
        <v>0</v>
      </c>
      <c r="I450" s="83" t="s">
        <v>1064</v>
      </c>
      <c r="J450" s="76">
        <v>100124.01</v>
      </c>
      <c r="K450" s="76">
        <v>0</v>
      </c>
      <c r="L450"/>
      <c r="M450"/>
      <c r="N450"/>
    </row>
    <row r="451" spans="3:14" ht="100.8" x14ac:dyDescent="0.3">
      <c r="C451" s="73" t="s">
        <v>1065</v>
      </c>
      <c r="D451" s="74" t="s">
        <v>1066</v>
      </c>
      <c r="E451" s="73" t="s">
        <v>68</v>
      </c>
      <c r="F451" s="75">
        <v>6</v>
      </c>
      <c r="G451" s="76">
        <v>5982.81</v>
      </c>
      <c r="H451" s="76">
        <v>0</v>
      </c>
      <c r="I451" s="83" t="s">
        <v>1067</v>
      </c>
      <c r="J451" s="76">
        <v>35896.86</v>
      </c>
      <c r="K451" s="76">
        <v>0</v>
      </c>
      <c r="L451"/>
      <c r="M451"/>
      <c r="N451"/>
    </row>
    <row r="452" spans="3:14" ht="100.8" x14ac:dyDescent="0.3">
      <c r="C452" s="73" t="s">
        <v>1068</v>
      </c>
      <c r="D452" s="74" t="s">
        <v>1069</v>
      </c>
      <c r="E452" s="73" t="s">
        <v>68</v>
      </c>
      <c r="F452" s="75">
        <v>1</v>
      </c>
      <c r="G452" s="76">
        <v>14852.31</v>
      </c>
      <c r="H452" s="76">
        <v>0</v>
      </c>
      <c r="I452" s="83" t="s">
        <v>1070</v>
      </c>
      <c r="J452" s="76">
        <v>14852.31</v>
      </c>
      <c r="K452" s="76">
        <v>0</v>
      </c>
      <c r="L452"/>
      <c r="M452"/>
      <c r="N452"/>
    </row>
    <row r="453" spans="3:14" ht="100.8" x14ac:dyDescent="0.3">
      <c r="C453" s="73" t="s">
        <v>1071</v>
      </c>
      <c r="D453" s="74" t="s">
        <v>1072</v>
      </c>
      <c r="E453" s="73" t="s">
        <v>68</v>
      </c>
      <c r="F453" s="75">
        <v>2</v>
      </c>
      <c r="G453" s="76">
        <v>6980.77</v>
      </c>
      <c r="H453" s="76">
        <v>0</v>
      </c>
      <c r="I453" s="83" t="s">
        <v>1073</v>
      </c>
      <c r="J453" s="76">
        <v>13961.54</v>
      </c>
      <c r="K453" s="76">
        <v>0</v>
      </c>
      <c r="L453"/>
      <c r="M453"/>
      <c r="N453"/>
    </row>
    <row r="454" spans="3:14" ht="100.8" x14ac:dyDescent="0.3">
      <c r="C454" s="73" t="s">
        <v>1074</v>
      </c>
      <c r="D454" s="74" t="s">
        <v>1075</v>
      </c>
      <c r="E454" s="73" t="s">
        <v>68</v>
      </c>
      <c r="F454" s="75">
        <v>2</v>
      </c>
      <c r="G454" s="76">
        <v>9379.61</v>
      </c>
      <c r="H454" s="76">
        <v>0</v>
      </c>
      <c r="I454" s="83" t="s">
        <v>1076</v>
      </c>
      <c r="J454" s="76">
        <v>18759.22</v>
      </c>
      <c r="K454" s="76">
        <v>0</v>
      </c>
      <c r="L454"/>
      <c r="M454"/>
      <c r="N454"/>
    </row>
    <row r="455" spans="3:14" ht="100.8" x14ac:dyDescent="0.3">
      <c r="C455" s="73" t="s">
        <v>1077</v>
      </c>
      <c r="D455" s="74" t="s">
        <v>1078</v>
      </c>
      <c r="E455" s="73" t="s">
        <v>68</v>
      </c>
      <c r="F455" s="75">
        <v>2</v>
      </c>
      <c r="G455" s="76">
        <v>13801.37</v>
      </c>
      <c r="H455" s="76">
        <v>0</v>
      </c>
      <c r="I455" s="83" t="s">
        <v>1079</v>
      </c>
      <c r="J455" s="76">
        <v>27602.74</v>
      </c>
      <c r="K455" s="76">
        <v>0</v>
      </c>
      <c r="L455"/>
      <c r="M455"/>
      <c r="N455"/>
    </row>
    <row r="456" spans="3:14" ht="100.8" x14ac:dyDescent="0.3">
      <c r="C456" s="73" t="s">
        <v>1080</v>
      </c>
      <c r="D456" s="74" t="s">
        <v>1081</v>
      </c>
      <c r="E456" s="73" t="s">
        <v>68</v>
      </c>
      <c r="F456" s="75">
        <v>4</v>
      </c>
      <c r="G456" s="76">
        <v>17317.61</v>
      </c>
      <c r="H456" s="76">
        <v>0</v>
      </c>
      <c r="I456" s="83" t="s">
        <v>1082</v>
      </c>
      <c r="J456" s="76">
        <v>69270.44</v>
      </c>
      <c r="K456" s="76">
        <v>0</v>
      </c>
      <c r="L456"/>
      <c r="M456"/>
      <c r="N456"/>
    </row>
    <row r="457" spans="3:14" ht="129.6" x14ac:dyDescent="0.3">
      <c r="C457" s="73" t="s">
        <v>1083</v>
      </c>
      <c r="D457" s="74" t="s">
        <v>1084</v>
      </c>
      <c r="E457" s="73" t="s">
        <v>68</v>
      </c>
      <c r="F457" s="75">
        <v>41</v>
      </c>
      <c r="G457" s="76">
        <v>4592.3100000000004</v>
      </c>
      <c r="H457" s="76">
        <v>0</v>
      </c>
      <c r="I457" s="83" t="s">
        <v>1085</v>
      </c>
      <c r="J457" s="76">
        <v>188284.71</v>
      </c>
      <c r="K457" s="76">
        <v>0</v>
      </c>
      <c r="L457"/>
      <c r="M457"/>
      <c r="N457"/>
    </row>
    <row r="458" spans="3:14" ht="129.6" x14ac:dyDescent="0.3">
      <c r="C458" s="73" t="s">
        <v>1086</v>
      </c>
      <c r="D458" s="74" t="s">
        <v>1087</v>
      </c>
      <c r="E458" s="73" t="s">
        <v>68</v>
      </c>
      <c r="F458" s="75">
        <v>1</v>
      </c>
      <c r="G458" s="76">
        <v>10006.27</v>
      </c>
      <c r="H458" s="76">
        <v>0</v>
      </c>
      <c r="I458" s="83" t="s">
        <v>1088</v>
      </c>
      <c r="J458" s="76">
        <v>10006.27</v>
      </c>
      <c r="K458" s="76">
        <v>0</v>
      </c>
      <c r="L458"/>
      <c r="M458"/>
      <c r="N458"/>
    </row>
    <row r="459" spans="3:14" ht="129.6" x14ac:dyDescent="0.3">
      <c r="C459" s="73" t="s">
        <v>1089</v>
      </c>
      <c r="D459" s="74" t="s">
        <v>1090</v>
      </c>
      <c r="E459" s="73" t="s">
        <v>68</v>
      </c>
      <c r="F459" s="75">
        <v>2</v>
      </c>
      <c r="G459" s="76">
        <v>14494.06</v>
      </c>
      <c r="H459" s="76">
        <v>0</v>
      </c>
      <c r="I459" s="83" t="s">
        <v>1091</v>
      </c>
      <c r="J459" s="76">
        <v>28988.12</v>
      </c>
      <c r="K459" s="76">
        <v>0</v>
      </c>
      <c r="L459"/>
      <c r="M459"/>
      <c r="N459"/>
    </row>
    <row r="460" spans="3:14" ht="144" x14ac:dyDescent="0.3">
      <c r="C460" s="73" t="s">
        <v>1092</v>
      </c>
      <c r="D460" s="74" t="s">
        <v>1093</v>
      </c>
      <c r="E460" s="73" t="s">
        <v>68</v>
      </c>
      <c r="F460" s="75">
        <v>3</v>
      </c>
      <c r="G460" s="76">
        <v>52.24</v>
      </c>
      <c r="H460" s="76">
        <v>1300</v>
      </c>
      <c r="I460" s="83" t="s">
        <v>1094</v>
      </c>
      <c r="J460" s="76">
        <v>156.72</v>
      </c>
      <c r="K460" s="76">
        <v>3900</v>
      </c>
      <c r="L460"/>
      <c r="M460"/>
      <c r="N460"/>
    </row>
    <row r="461" spans="3:14" ht="144" x14ac:dyDescent="0.3">
      <c r="C461" s="73" t="s">
        <v>1095</v>
      </c>
      <c r="D461" s="74" t="s">
        <v>1096</v>
      </c>
      <c r="E461" s="73" t="s">
        <v>68</v>
      </c>
      <c r="F461" s="75">
        <v>10</v>
      </c>
      <c r="G461" s="76">
        <v>3897.18</v>
      </c>
      <c r="H461" s="76">
        <v>3554.54</v>
      </c>
      <c r="I461" s="83" t="s">
        <v>1097</v>
      </c>
      <c r="J461" s="76">
        <v>38971.800000000003</v>
      </c>
      <c r="K461" s="76">
        <v>35545.4</v>
      </c>
      <c r="L461"/>
      <c r="M461"/>
      <c r="N461"/>
    </row>
    <row r="462" spans="3:14" ht="316.8" x14ac:dyDescent="0.3">
      <c r="C462" s="73" t="s">
        <v>1098</v>
      </c>
      <c r="D462" s="74" t="s">
        <v>1099</v>
      </c>
      <c r="E462" s="73" t="s">
        <v>68</v>
      </c>
      <c r="F462" s="75">
        <v>14</v>
      </c>
      <c r="G462" s="76">
        <v>6346.43</v>
      </c>
      <c r="H462" s="76">
        <v>37443.839999999997</v>
      </c>
      <c r="I462" s="83" t="s">
        <v>1100</v>
      </c>
      <c r="J462" s="76">
        <v>88850.02</v>
      </c>
      <c r="K462" s="76">
        <v>524213.76000000001</v>
      </c>
      <c r="L462"/>
      <c r="M462"/>
      <c r="N462"/>
    </row>
    <row r="463" spans="3:14" ht="86.4" x14ac:dyDescent="0.3">
      <c r="C463" s="73" t="s">
        <v>1101</v>
      </c>
      <c r="D463" s="74" t="s">
        <v>1102</v>
      </c>
      <c r="E463" s="73" t="s">
        <v>68</v>
      </c>
      <c r="F463" s="75">
        <v>6</v>
      </c>
      <c r="G463" s="76">
        <v>3946.66</v>
      </c>
      <c r="H463" s="76">
        <v>1240.54</v>
      </c>
      <c r="I463" s="83" t="s">
        <v>1103</v>
      </c>
      <c r="J463" s="76">
        <v>23679.96</v>
      </c>
      <c r="K463" s="76">
        <v>7443.24</v>
      </c>
      <c r="L463"/>
      <c r="M463"/>
      <c r="N463"/>
    </row>
    <row r="464" spans="3:14" ht="129.6" x14ac:dyDescent="0.3">
      <c r="C464" s="73" t="s">
        <v>1104</v>
      </c>
      <c r="D464" s="74" t="s">
        <v>1105</v>
      </c>
      <c r="E464" s="73" t="s">
        <v>68</v>
      </c>
      <c r="F464" s="75">
        <v>19</v>
      </c>
      <c r="G464" s="76">
        <v>3897.85</v>
      </c>
      <c r="H464" s="76">
        <v>441.82</v>
      </c>
      <c r="I464" s="83" t="s">
        <v>1106</v>
      </c>
      <c r="J464" s="76">
        <v>74059.149999999994</v>
      </c>
      <c r="K464" s="76">
        <v>8394.58</v>
      </c>
      <c r="L464"/>
      <c r="M464"/>
      <c r="N464"/>
    </row>
    <row r="465" spans="3:14" ht="115.2" x14ac:dyDescent="0.3">
      <c r="C465" s="73" t="s">
        <v>1107</v>
      </c>
      <c r="D465" s="74" t="s">
        <v>1108</v>
      </c>
      <c r="E465" s="73" t="s">
        <v>68</v>
      </c>
      <c r="F465" s="75">
        <v>6</v>
      </c>
      <c r="G465" s="76">
        <v>3897.18</v>
      </c>
      <c r="H465" s="76">
        <v>872.64</v>
      </c>
      <c r="I465" s="83" t="s">
        <v>1109</v>
      </c>
      <c r="J465" s="76">
        <v>23383.08</v>
      </c>
      <c r="K465" s="76">
        <v>5235.84</v>
      </c>
      <c r="L465"/>
      <c r="M465"/>
      <c r="N465"/>
    </row>
    <row r="466" spans="3:14" ht="115.2" x14ac:dyDescent="0.3">
      <c r="C466" s="73" t="s">
        <v>1110</v>
      </c>
      <c r="D466" s="74" t="s">
        <v>1111</v>
      </c>
      <c r="E466" s="73" t="s">
        <v>68</v>
      </c>
      <c r="F466" s="75">
        <v>3</v>
      </c>
      <c r="G466" s="76">
        <v>3897.18</v>
      </c>
      <c r="H466" s="76">
        <v>2885.04</v>
      </c>
      <c r="I466" s="83" t="s">
        <v>1112</v>
      </c>
      <c r="J466" s="76">
        <v>11691.54</v>
      </c>
      <c r="K466" s="76">
        <v>8655.1200000000008</v>
      </c>
      <c r="L466"/>
      <c r="M466"/>
      <c r="N466"/>
    </row>
    <row r="467" spans="3:14" ht="129.6" x14ac:dyDescent="0.3">
      <c r="C467" s="73" t="s">
        <v>1113</v>
      </c>
      <c r="D467" s="74" t="s">
        <v>1114</v>
      </c>
      <c r="E467" s="73" t="s">
        <v>68</v>
      </c>
      <c r="F467" s="75">
        <v>3</v>
      </c>
      <c r="G467" s="76">
        <v>3897.18</v>
      </c>
      <c r="H467" s="76">
        <v>4185.04</v>
      </c>
      <c r="I467" s="83" t="s">
        <v>1115</v>
      </c>
      <c r="J467" s="76">
        <v>11691.54</v>
      </c>
      <c r="K467" s="76">
        <v>12555.12</v>
      </c>
      <c r="L467"/>
      <c r="M467"/>
      <c r="N467"/>
    </row>
    <row r="468" spans="3:14" ht="115.2" x14ac:dyDescent="0.3">
      <c r="C468" s="73" t="s">
        <v>1116</v>
      </c>
      <c r="D468" s="74" t="s">
        <v>1117</v>
      </c>
      <c r="E468" s="73" t="s">
        <v>68</v>
      </c>
      <c r="F468" s="75">
        <v>12</v>
      </c>
      <c r="G468" s="76">
        <v>6346.43</v>
      </c>
      <c r="H468" s="76">
        <v>14680.84</v>
      </c>
      <c r="I468" s="83" t="s">
        <v>1118</v>
      </c>
      <c r="J468" s="76">
        <v>76157.16</v>
      </c>
      <c r="K468" s="76">
        <v>176170.08</v>
      </c>
      <c r="L468"/>
      <c r="M468"/>
      <c r="N468"/>
    </row>
    <row r="469" spans="3:14" ht="144" x14ac:dyDescent="0.3">
      <c r="C469" s="73" t="s">
        <v>1119</v>
      </c>
      <c r="D469" s="74" t="s">
        <v>1120</v>
      </c>
      <c r="E469" s="73" t="s">
        <v>68</v>
      </c>
      <c r="F469" s="75">
        <v>1</v>
      </c>
      <c r="G469" s="76">
        <v>16593.349999999999</v>
      </c>
      <c r="H469" s="76">
        <v>55951.95</v>
      </c>
      <c r="I469" s="83" t="s">
        <v>1121</v>
      </c>
      <c r="J469" s="76">
        <v>16593.349999999999</v>
      </c>
      <c r="K469" s="76">
        <v>55951.95</v>
      </c>
      <c r="L469"/>
      <c r="M469"/>
      <c r="N469"/>
    </row>
    <row r="470" spans="3:14" ht="72" x14ac:dyDescent="0.3">
      <c r="C470" s="73" t="s">
        <v>1122</v>
      </c>
      <c r="D470" s="74" t="s">
        <v>1123</v>
      </c>
      <c r="E470" s="73" t="s">
        <v>68</v>
      </c>
      <c r="F470" s="75">
        <v>2</v>
      </c>
      <c r="G470" s="76">
        <v>3897.18</v>
      </c>
      <c r="H470" s="76">
        <v>4370.29</v>
      </c>
      <c r="I470" s="83" t="s">
        <v>1124</v>
      </c>
      <c r="J470" s="76">
        <v>7794.36</v>
      </c>
      <c r="K470" s="76">
        <v>8740.58</v>
      </c>
      <c r="L470"/>
      <c r="M470"/>
      <c r="N470"/>
    </row>
    <row r="471" spans="3:14" ht="115.2" x14ac:dyDescent="0.3">
      <c r="C471" s="73" t="s">
        <v>1125</v>
      </c>
      <c r="D471" s="74" t="s">
        <v>1126</v>
      </c>
      <c r="E471" s="73" t="s">
        <v>68</v>
      </c>
      <c r="F471" s="75">
        <v>3</v>
      </c>
      <c r="G471" s="76">
        <v>3897.18</v>
      </c>
      <c r="H471" s="76">
        <v>4741.4399999999996</v>
      </c>
      <c r="I471" s="83" t="s">
        <v>1127</v>
      </c>
      <c r="J471" s="76">
        <v>11691.54</v>
      </c>
      <c r="K471" s="76">
        <v>14224.32</v>
      </c>
      <c r="L471"/>
      <c r="M471"/>
      <c r="N471"/>
    </row>
    <row r="472" spans="3:14" ht="72" x14ac:dyDescent="0.3">
      <c r="C472" s="73" t="s">
        <v>1128</v>
      </c>
      <c r="D472" s="74" t="s">
        <v>1129</v>
      </c>
      <c r="E472" s="73" t="s">
        <v>68</v>
      </c>
      <c r="F472" s="75">
        <v>14</v>
      </c>
      <c r="G472" s="76">
        <v>1307.81</v>
      </c>
      <c r="H472" s="76">
        <v>0</v>
      </c>
      <c r="I472" s="83" t="s">
        <v>1130</v>
      </c>
      <c r="J472" s="76">
        <v>18309.34</v>
      </c>
      <c r="K472" s="76">
        <v>0</v>
      </c>
      <c r="L472"/>
      <c r="M472"/>
      <c r="N472"/>
    </row>
    <row r="473" spans="3:14" ht="72" x14ac:dyDescent="0.3">
      <c r="C473" s="73" t="s">
        <v>1131</v>
      </c>
      <c r="D473" s="74" t="s">
        <v>1132</v>
      </c>
      <c r="E473" s="73" t="s">
        <v>68</v>
      </c>
      <c r="F473" s="75">
        <v>26</v>
      </c>
      <c r="G473" s="76">
        <v>1470.89</v>
      </c>
      <c r="H473" s="76">
        <v>0</v>
      </c>
      <c r="I473" s="83" t="s">
        <v>1133</v>
      </c>
      <c r="J473" s="76">
        <v>38243.14</v>
      </c>
      <c r="K473" s="76">
        <v>0</v>
      </c>
      <c r="L473"/>
      <c r="M473"/>
      <c r="N473"/>
    </row>
    <row r="474" spans="3:14" ht="72" x14ac:dyDescent="0.3">
      <c r="C474" s="73" t="s">
        <v>1134</v>
      </c>
      <c r="D474" s="74" t="s">
        <v>1135</v>
      </c>
      <c r="E474" s="73" t="s">
        <v>68</v>
      </c>
      <c r="F474" s="75">
        <v>8</v>
      </c>
      <c r="G474" s="76">
        <v>1797.59</v>
      </c>
      <c r="H474" s="76">
        <v>0</v>
      </c>
      <c r="I474" s="83" t="s">
        <v>1136</v>
      </c>
      <c r="J474" s="76">
        <v>14380.72</v>
      </c>
      <c r="K474" s="76">
        <v>0</v>
      </c>
      <c r="L474"/>
      <c r="M474"/>
      <c r="N474"/>
    </row>
    <row r="475" spans="3:14" ht="72" x14ac:dyDescent="0.3">
      <c r="C475" s="73" t="s">
        <v>1137</v>
      </c>
      <c r="D475" s="74" t="s">
        <v>1138</v>
      </c>
      <c r="E475" s="73" t="s">
        <v>68</v>
      </c>
      <c r="F475" s="75">
        <v>4</v>
      </c>
      <c r="G475" s="76">
        <v>1960.27</v>
      </c>
      <c r="H475" s="76">
        <v>0</v>
      </c>
      <c r="I475" s="83" t="s">
        <v>1139</v>
      </c>
      <c r="J475" s="76">
        <v>7841.08</v>
      </c>
      <c r="K475" s="76">
        <v>0</v>
      </c>
      <c r="L475"/>
      <c r="M475"/>
      <c r="N475"/>
    </row>
    <row r="476" spans="3:14" ht="72" x14ac:dyDescent="0.3">
      <c r="C476" s="73" t="s">
        <v>1140</v>
      </c>
      <c r="D476" s="74" t="s">
        <v>1141</v>
      </c>
      <c r="E476" s="73" t="s">
        <v>68</v>
      </c>
      <c r="F476" s="75">
        <v>2</v>
      </c>
      <c r="G476" s="76">
        <v>26.14</v>
      </c>
      <c r="H476" s="76">
        <v>58.5</v>
      </c>
      <c r="I476" s="83" t="s">
        <v>1142</v>
      </c>
      <c r="J476" s="76">
        <v>52.28</v>
      </c>
      <c r="K476" s="76">
        <v>117</v>
      </c>
      <c r="L476"/>
      <c r="M476"/>
      <c r="N476"/>
    </row>
    <row r="477" spans="3:14" ht="72" x14ac:dyDescent="0.3">
      <c r="C477" s="73" t="s">
        <v>1143</v>
      </c>
      <c r="D477" s="74" t="s">
        <v>1144</v>
      </c>
      <c r="E477" s="73" t="s">
        <v>68</v>
      </c>
      <c r="F477" s="75">
        <v>32</v>
      </c>
      <c r="G477" s="76">
        <v>155.97</v>
      </c>
      <c r="H477" s="76">
        <v>0</v>
      </c>
      <c r="I477" s="83" t="s">
        <v>1145</v>
      </c>
      <c r="J477" s="76">
        <v>4991.04</v>
      </c>
      <c r="K477" s="76">
        <v>0</v>
      </c>
      <c r="L477"/>
      <c r="M477"/>
      <c r="N477"/>
    </row>
    <row r="478" spans="3:14" ht="72" x14ac:dyDescent="0.3">
      <c r="C478" s="73" t="s">
        <v>1146</v>
      </c>
      <c r="D478" s="74" t="s">
        <v>1147</v>
      </c>
      <c r="E478" s="73" t="s">
        <v>68</v>
      </c>
      <c r="F478" s="75">
        <v>5</v>
      </c>
      <c r="G478" s="76">
        <v>233.46</v>
      </c>
      <c r="H478" s="76">
        <v>0</v>
      </c>
      <c r="I478" s="83" t="s">
        <v>1148</v>
      </c>
      <c r="J478" s="76">
        <v>1167.3</v>
      </c>
      <c r="K478" s="76">
        <v>0</v>
      </c>
      <c r="L478"/>
      <c r="M478"/>
      <c r="N478"/>
    </row>
    <row r="479" spans="3:14" ht="72" x14ac:dyDescent="0.3">
      <c r="C479" s="73" t="s">
        <v>1149</v>
      </c>
      <c r="D479" s="74" t="s">
        <v>1150</v>
      </c>
      <c r="E479" s="73" t="s">
        <v>68</v>
      </c>
      <c r="F479" s="75">
        <v>3</v>
      </c>
      <c r="G479" s="76">
        <v>745.82</v>
      </c>
      <c r="H479" s="76">
        <v>0</v>
      </c>
      <c r="I479" s="83" t="s">
        <v>1151</v>
      </c>
      <c r="J479" s="76">
        <v>2237.46</v>
      </c>
      <c r="K479" s="76">
        <v>0</v>
      </c>
      <c r="L479"/>
      <c r="M479"/>
      <c r="N479"/>
    </row>
    <row r="480" spans="3:14" ht="72" x14ac:dyDescent="0.3">
      <c r="C480" s="73" t="s">
        <v>1152</v>
      </c>
      <c r="D480" s="74" t="s">
        <v>1153</v>
      </c>
      <c r="E480" s="73" t="s">
        <v>68</v>
      </c>
      <c r="F480" s="75">
        <v>3</v>
      </c>
      <c r="G480" s="76">
        <v>209.76</v>
      </c>
      <c r="H480" s="76">
        <v>0</v>
      </c>
      <c r="I480" s="83" t="s">
        <v>1154</v>
      </c>
      <c r="J480" s="76">
        <v>629.28</v>
      </c>
      <c r="K480" s="76">
        <v>0</v>
      </c>
      <c r="L480"/>
      <c r="M480"/>
      <c r="N480"/>
    </row>
    <row r="481" spans="3:14" ht="72" x14ac:dyDescent="0.3">
      <c r="C481" s="73" t="s">
        <v>1155</v>
      </c>
      <c r="D481" s="74" t="s">
        <v>1156</v>
      </c>
      <c r="E481" s="73" t="s">
        <v>68</v>
      </c>
      <c r="F481" s="75">
        <v>5</v>
      </c>
      <c r="G481" s="76">
        <v>301.7</v>
      </c>
      <c r="H481" s="76">
        <v>0</v>
      </c>
      <c r="I481" s="83" t="s">
        <v>1157</v>
      </c>
      <c r="J481" s="76">
        <v>1508.5</v>
      </c>
      <c r="K481" s="76">
        <v>0</v>
      </c>
      <c r="L481"/>
      <c r="M481"/>
      <c r="N481"/>
    </row>
    <row r="482" spans="3:14" ht="72" x14ac:dyDescent="0.3">
      <c r="C482" s="73" t="s">
        <v>1158</v>
      </c>
      <c r="D482" s="74" t="s">
        <v>1159</v>
      </c>
      <c r="E482" s="73" t="s">
        <v>712</v>
      </c>
      <c r="F482" s="75">
        <v>4.5</v>
      </c>
      <c r="G482" s="76">
        <v>30365.279999999999</v>
      </c>
      <c r="H482" s="76">
        <v>19929</v>
      </c>
      <c r="I482" s="83" t="s">
        <v>1160</v>
      </c>
      <c r="J482" s="76">
        <v>136643.76</v>
      </c>
      <c r="K482" s="76">
        <v>89680.5</v>
      </c>
      <c r="L482"/>
      <c r="M482"/>
      <c r="N482"/>
    </row>
    <row r="483" spans="3:14" ht="72" x14ac:dyDescent="0.3">
      <c r="C483" s="73" t="s">
        <v>1161</v>
      </c>
      <c r="D483" s="74" t="s">
        <v>1162</v>
      </c>
      <c r="E483" s="73" t="s">
        <v>712</v>
      </c>
      <c r="F483" s="75">
        <v>2.5</v>
      </c>
      <c r="G483" s="76">
        <v>30365.279999999999</v>
      </c>
      <c r="H483" s="76">
        <v>17062.5</v>
      </c>
      <c r="I483" s="83" t="s">
        <v>1163</v>
      </c>
      <c r="J483" s="76">
        <v>75913.2</v>
      </c>
      <c r="K483" s="76">
        <v>42656.25</v>
      </c>
      <c r="L483"/>
      <c r="M483"/>
      <c r="N483"/>
    </row>
    <row r="484" spans="3:14" ht="259.2" x14ac:dyDescent="0.3">
      <c r="C484" s="73" t="s">
        <v>1164</v>
      </c>
      <c r="D484" s="74" t="s">
        <v>1165</v>
      </c>
      <c r="E484" s="73" t="s">
        <v>1166</v>
      </c>
      <c r="F484" s="75">
        <v>1</v>
      </c>
      <c r="G484" s="76">
        <v>648031.91</v>
      </c>
      <c r="H484" s="76">
        <v>533000</v>
      </c>
      <c r="I484" s="83" t="s">
        <v>1167</v>
      </c>
      <c r="J484" s="76">
        <v>648031.91</v>
      </c>
      <c r="K484" s="76">
        <v>533000</v>
      </c>
      <c r="L484"/>
      <c r="M484"/>
      <c r="N484"/>
    </row>
    <row r="485" spans="3:14" ht="348" x14ac:dyDescent="0.3">
      <c r="C485" s="73" t="s">
        <v>1168</v>
      </c>
      <c r="D485" s="87" t="s">
        <v>1169</v>
      </c>
      <c r="E485" s="73" t="s">
        <v>1170</v>
      </c>
      <c r="F485" s="75">
        <v>1</v>
      </c>
      <c r="G485" s="76">
        <v>269896.90999999997</v>
      </c>
      <c r="H485" s="76">
        <v>318500</v>
      </c>
      <c r="I485" s="83" t="s">
        <v>1171</v>
      </c>
      <c r="J485" s="76">
        <v>269896.90999999997</v>
      </c>
      <c r="K485" s="76">
        <v>318500</v>
      </c>
      <c r="L485"/>
      <c r="M485"/>
      <c r="N485"/>
    </row>
    <row r="486" spans="3:14" ht="259.2" x14ac:dyDescent="0.3">
      <c r="C486" s="73" t="s">
        <v>1172</v>
      </c>
      <c r="D486" s="74" t="s">
        <v>1173</v>
      </c>
      <c r="E486" s="73" t="s">
        <v>68</v>
      </c>
      <c r="F486" s="75">
        <v>1</v>
      </c>
      <c r="G486" s="76">
        <v>692550.05</v>
      </c>
      <c r="H486" s="76">
        <v>454000.01</v>
      </c>
      <c r="I486" s="83" t="s">
        <v>1174</v>
      </c>
      <c r="J486" s="76">
        <v>692550.05</v>
      </c>
      <c r="K486" s="76">
        <v>454000.01</v>
      </c>
      <c r="L486"/>
      <c r="M486"/>
      <c r="N486"/>
    </row>
    <row r="487" spans="3:14" ht="86.4" x14ac:dyDescent="0.3">
      <c r="C487" s="73" t="s">
        <v>1175</v>
      </c>
      <c r="D487" s="74" t="s">
        <v>1176</v>
      </c>
      <c r="E487" s="73" t="s">
        <v>68</v>
      </c>
      <c r="F487" s="75">
        <v>2</v>
      </c>
      <c r="G487" s="76">
        <v>23491.39</v>
      </c>
      <c r="H487" s="76">
        <v>0</v>
      </c>
      <c r="I487" s="83" t="s">
        <v>1177</v>
      </c>
      <c r="J487" s="76">
        <v>46982.78</v>
      </c>
      <c r="K487" s="76">
        <v>0</v>
      </c>
      <c r="L487"/>
      <c r="M487"/>
      <c r="N487"/>
    </row>
    <row r="488" spans="3:14" ht="100.8" x14ac:dyDescent="0.3">
      <c r="C488" s="73" t="s">
        <v>1178</v>
      </c>
      <c r="D488" s="74" t="s">
        <v>1179</v>
      </c>
      <c r="E488" s="73" t="s">
        <v>68</v>
      </c>
      <c r="F488" s="75">
        <v>1</v>
      </c>
      <c r="G488" s="76">
        <v>5576.28</v>
      </c>
      <c r="H488" s="76">
        <v>0</v>
      </c>
      <c r="I488" s="83" t="s">
        <v>1180</v>
      </c>
      <c r="J488" s="76">
        <v>5576.28</v>
      </c>
      <c r="K488" s="76">
        <v>0</v>
      </c>
      <c r="L488"/>
      <c r="M488"/>
      <c r="N488"/>
    </row>
    <row r="489" spans="3:14" ht="100.8" x14ac:dyDescent="0.3">
      <c r="C489" s="73" t="s">
        <v>1181</v>
      </c>
      <c r="D489" s="74" t="s">
        <v>1182</v>
      </c>
      <c r="E489" s="73" t="s">
        <v>58</v>
      </c>
      <c r="F489" s="75">
        <v>55</v>
      </c>
      <c r="G489" s="76">
        <v>133.65</v>
      </c>
      <c r="H489" s="76">
        <v>0</v>
      </c>
      <c r="I489" s="83" t="s">
        <v>1183</v>
      </c>
      <c r="J489" s="76">
        <v>7350.75</v>
      </c>
      <c r="K489" s="76">
        <v>0</v>
      </c>
      <c r="L489"/>
      <c r="M489"/>
      <c r="N489"/>
    </row>
    <row r="490" spans="3:14" ht="100.8" x14ac:dyDescent="0.3">
      <c r="C490" s="73" t="s">
        <v>1184</v>
      </c>
      <c r="D490" s="74" t="s">
        <v>1185</v>
      </c>
      <c r="E490" s="73" t="s">
        <v>58</v>
      </c>
      <c r="F490" s="75">
        <v>55</v>
      </c>
      <c r="G490" s="76">
        <v>133.65</v>
      </c>
      <c r="H490" s="76">
        <v>0</v>
      </c>
      <c r="I490" s="83" t="s">
        <v>1183</v>
      </c>
      <c r="J490" s="76">
        <v>7350.75</v>
      </c>
      <c r="K490" s="76">
        <v>0</v>
      </c>
      <c r="L490"/>
      <c r="M490"/>
      <c r="N490"/>
    </row>
    <row r="491" spans="3:14" ht="72" x14ac:dyDescent="0.3">
      <c r="C491" s="73" t="s">
        <v>1186</v>
      </c>
      <c r="D491" s="74" t="s">
        <v>1187</v>
      </c>
      <c r="E491" s="73" t="s">
        <v>68</v>
      </c>
      <c r="F491" s="75">
        <v>50</v>
      </c>
      <c r="G491" s="76">
        <v>1795.81</v>
      </c>
      <c r="H491" s="76">
        <v>0</v>
      </c>
      <c r="I491" s="83" t="s">
        <v>973</v>
      </c>
      <c r="J491" s="76">
        <v>89790.5</v>
      </c>
      <c r="K491" s="76">
        <v>0</v>
      </c>
      <c r="L491"/>
      <c r="M491"/>
      <c r="N491"/>
    </row>
    <row r="492" spans="3:14" ht="72" x14ac:dyDescent="0.3">
      <c r="C492" s="73" t="s">
        <v>1188</v>
      </c>
      <c r="D492" s="74" t="s">
        <v>1189</v>
      </c>
      <c r="E492" s="73" t="s">
        <v>68</v>
      </c>
      <c r="F492" s="75">
        <v>100</v>
      </c>
      <c r="G492" s="76">
        <v>1119.19</v>
      </c>
      <c r="H492" s="76">
        <v>0</v>
      </c>
      <c r="I492" s="83" t="s">
        <v>1190</v>
      </c>
      <c r="J492" s="76">
        <v>111919</v>
      </c>
      <c r="K492" s="76">
        <v>0</v>
      </c>
      <c r="L492"/>
      <c r="M492"/>
      <c r="N492"/>
    </row>
    <row r="493" spans="3:14" ht="72" x14ac:dyDescent="0.3">
      <c r="C493" s="73" t="s">
        <v>1191</v>
      </c>
      <c r="D493" s="74" t="s">
        <v>1192</v>
      </c>
      <c r="E493" s="73" t="s">
        <v>68</v>
      </c>
      <c r="F493" s="75">
        <v>1</v>
      </c>
      <c r="G493" s="76">
        <v>1469.74</v>
      </c>
      <c r="H493" s="76">
        <v>0</v>
      </c>
      <c r="I493" s="83" t="s">
        <v>1193</v>
      </c>
      <c r="J493" s="76">
        <v>1469.74</v>
      </c>
      <c r="K493" s="76">
        <v>0</v>
      </c>
      <c r="L493"/>
      <c r="M493"/>
      <c r="N493"/>
    </row>
    <row r="494" spans="3:14" ht="72" x14ac:dyDescent="0.3">
      <c r="C494" s="73" t="s">
        <v>1194</v>
      </c>
      <c r="D494" s="74" t="s">
        <v>1195</v>
      </c>
      <c r="E494" s="73" t="s">
        <v>68</v>
      </c>
      <c r="F494" s="75">
        <v>1</v>
      </c>
      <c r="G494" s="76">
        <v>2279.7399999999998</v>
      </c>
      <c r="H494" s="76">
        <v>0</v>
      </c>
      <c r="I494" s="83" t="s">
        <v>1196</v>
      </c>
      <c r="J494" s="76">
        <v>2279.7399999999998</v>
      </c>
      <c r="K494" s="76">
        <v>0</v>
      </c>
      <c r="L494"/>
      <c r="M494"/>
      <c r="N494"/>
    </row>
    <row r="495" spans="3:14" ht="86.4" x14ac:dyDescent="0.3">
      <c r="C495" s="73" t="s">
        <v>1197</v>
      </c>
      <c r="D495" s="74" t="s">
        <v>1198</v>
      </c>
      <c r="E495" s="73" t="s">
        <v>68</v>
      </c>
      <c r="F495" s="75">
        <v>1</v>
      </c>
      <c r="G495" s="76">
        <v>13703.89</v>
      </c>
      <c r="H495" s="76">
        <v>0</v>
      </c>
      <c r="I495" s="83" t="s">
        <v>1199</v>
      </c>
      <c r="J495" s="76">
        <v>13703.89</v>
      </c>
      <c r="K495" s="76">
        <v>0</v>
      </c>
      <c r="L495"/>
      <c r="M495"/>
      <c r="N495"/>
    </row>
    <row r="496" spans="3:14" ht="72" x14ac:dyDescent="0.3">
      <c r="C496" s="73" t="s">
        <v>1200</v>
      </c>
      <c r="D496" s="74" t="s">
        <v>1201</v>
      </c>
      <c r="E496" s="73" t="s">
        <v>68</v>
      </c>
      <c r="F496" s="75">
        <v>25</v>
      </c>
      <c r="G496" s="76">
        <v>280.20999999999998</v>
      </c>
      <c r="H496" s="76">
        <v>0</v>
      </c>
      <c r="I496" s="83" t="s">
        <v>1202</v>
      </c>
      <c r="J496" s="76">
        <v>7005.25</v>
      </c>
      <c r="K496" s="76">
        <v>0</v>
      </c>
      <c r="L496"/>
      <c r="M496"/>
      <c r="N496"/>
    </row>
    <row r="497" spans="3:14" ht="86.4" x14ac:dyDescent="0.3">
      <c r="C497" s="73" t="s">
        <v>1203</v>
      </c>
      <c r="D497" s="74" t="s">
        <v>1204</v>
      </c>
      <c r="E497" s="73" t="s">
        <v>58</v>
      </c>
      <c r="F497" s="75">
        <v>7</v>
      </c>
      <c r="G497" s="76">
        <v>6080.53</v>
      </c>
      <c r="H497" s="76">
        <v>0</v>
      </c>
      <c r="I497" s="83" t="s">
        <v>1205</v>
      </c>
      <c r="J497" s="76">
        <v>42563.71</v>
      </c>
      <c r="K497" s="76">
        <v>0</v>
      </c>
      <c r="L497"/>
      <c r="M497"/>
      <c r="N497"/>
    </row>
    <row r="498" spans="3:14" ht="86.4" x14ac:dyDescent="0.3">
      <c r="C498" s="73" t="s">
        <v>1206</v>
      </c>
      <c r="D498" s="74" t="s">
        <v>1207</v>
      </c>
      <c r="E498" s="73" t="s">
        <v>68</v>
      </c>
      <c r="F498" s="75">
        <v>2</v>
      </c>
      <c r="G498" s="76">
        <v>19806.189999999999</v>
      </c>
      <c r="H498" s="76">
        <v>0</v>
      </c>
      <c r="I498" s="83" t="s">
        <v>1208</v>
      </c>
      <c r="J498" s="76">
        <v>39612.379999999997</v>
      </c>
      <c r="K498" s="76">
        <v>0</v>
      </c>
      <c r="L498"/>
      <c r="M498"/>
      <c r="N498"/>
    </row>
    <row r="499" spans="3:14" ht="86.4" x14ac:dyDescent="0.3">
      <c r="C499" s="73" t="s">
        <v>1209</v>
      </c>
      <c r="D499" s="74" t="s">
        <v>1210</v>
      </c>
      <c r="E499" s="73" t="s">
        <v>68</v>
      </c>
      <c r="F499" s="75">
        <v>4</v>
      </c>
      <c r="G499" s="76">
        <v>14276.99</v>
      </c>
      <c r="H499" s="76">
        <v>0</v>
      </c>
      <c r="I499" s="83" t="s">
        <v>1211</v>
      </c>
      <c r="J499" s="76">
        <v>57107.96</v>
      </c>
      <c r="K499" s="76">
        <v>0</v>
      </c>
      <c r="L499"/>
      <c r="M499"/>
      <c r="N499"/>
    </row>
    <row r="500" spans="3:14" ht="86.4" x14ac:dyDescent="0.3">
      <c r="C500" s="73" t="s">
        <v>1212</v>
      </c>
      <c r="D500" s="74" t="s">
        <v>1213</v>
      </c>
      <c r="E500" s="73" t="s">
        <v>68</v>
      </c>
      <c r="F500" s="75">
        <v>1</v>
      </c>
      <c r="G500" s="76">
        <v>14276.38</v>
      </c>
      <c r="H500" s="76">
        <v>0</v>
      </c>
      <c r="I500" s="83" t="s">
        <v>1214</v>
      </c>
      <c r="J500" s="76">
        <v>14276.38</v>
      </c>
      <c r="K500" s="76">
        <v>0</v>
      </c>
      <c r="L500"/>
      <c r="M500"/>
      <c r="N500"/>
    </row>
    <row r="501" spans="3:14" ht="72" x14ac:dyDescent="0.3">
      <c r="C501" s="73" t="s">
        <v>1215</v>
      </c>
      <c r="D501" s="74" t="s">
        <v>1216</v>
      </c>
      <c r="E501" s="73" t="s">
        <v>68</v>
      </c>
      <c r="F501" s="75">
        <v>14</v>
      </c>
      <c r="G501" s="76">
        <v>1262.97</v>
      </c>
      <c r="H501" s="76">
        <v>0</v>
      </c>
      <c r="I501" s="83" t="s">
        <v>1217</v>
      </c>
      <c r="J501" s="76">
        <v>17681.580000000002</v>
      </c>
      <c r="K501" s="76">
        <v>0</v>
      </c>
      <c r="L501"/>
      <c r="M501"/>
      <c r="N501"/>
    </row>
    <row r="502" spans="3:14" ht="72" x14ac:dyDescent="0.3">
      <c r="C502" s="73" t="s">
        <v>1218</v>
      </c>
      <c r="D502" s="74" t="s">
        <v>1219</v>
      </c>
      <c r="E502" s="73" t="s">
        <v>68</v>
      </c>
      <c r="F502" s="75">
        <v>56</v>
      </c>
      <c r="G502" s="76">
        <v>309.3</v>
      </c>
      <c r="H502" s="76">
        <v>0</v>
      </c>
      <c r="I502" s="83" t="s">
        <v>1220</v>
      </c>
      <c r="J502" s="76">
        <v>17320.8</v>
      </c>
      <c r="K502" s="76">
        <v>0</v>
      </c>
      <c r="L502"/>
      <c r="M502"/>
      <c r="N502"/>
    </row>
    <row r="503" spans="3:14" ht="72" x14ac:dyDescent="0.3">
      <c r="C503" s="73" t="s">
        <v>1221</v>
      </c>
      <c r="D503" s="74" t="s">
        <v>1222</v>
      </c>
      <c r="E503" s="73" t="s">
        <v>68</v>
      </c>
      <c r="F503" s="75">
        <v>7</v>
      </c>
      <c r="G503" s="76">
        <v>529.20000000000005</v>
      </c>
      <c r="H503" s="76">
        <v>0</v>
      </c>
      <c r="I503" s="83" t="s">
        <v>1223</v>
      </c>
      <c r="J503" s="76">
        <v>3704.4</v>
      </c>
      <c r="K503" s="76">
        <v>0</v>
      </c>
      <c r="L503"/>
      <c r="M503"/>
      <c r="N503"/>
    </row>
    <row r="504" spans="3:14" ht="57.6" x14ac:dyDescent="0.3">
      <c r="C504" s="73" t="s">
        <v>1224</v>
      </c>
      <c r="D504" s="74" t="s">
        <v>1225</v>
      </c>
      <c r="E504" s="73" t="s">
        <v>58</v>
      </c>
      <c r="F504" s="75">
        <v>35</v>
      </c>
      <c r="G504" s="76">
        <v>52.24</v>
      </c>
      <c r="H504" s="76">
        <v>157.30000000000001</v>
      </c>
      <c r="I504" s="83" t="s">
        <v>1226</v>
      </c>
      <c r="J504" s="76">
        <v>1828.4</v>
      </c>
      <c r="K504" s="76">
        <v>5505.5</v>
      </c>
      <c r="L504"/>
      <c r="M504"/>
      <c r="N504"/>
    </row>
    <row r="505" spans="3:14" ht="187.2" x14ac:dyDescent="0.3">
      <c r="C505" s="73" t="s">
        <v>1227</v>
      </c>
      <c r="D505" s="74" t="s">
        <v>1228</v>
      </c>
      <c r="E505" s="73" t="s">
        <v>68</v>
      </c>
      <c r="F505" s="75">
        <v>1</v>
      </c>
      <c r="G505" s="76">
        <v>652225.43999999994</v>
      </c>
      <c r="H505" s="76">
        <v>1282188.1399999999</v>
      </c>
      <c r="I505" s="83" t="s">
        <v>1229</v>
      </c>
      <c r="J505" s="76">
        <v>652225.43999999994</v>
      </c>
      <c r="K505" s="76">
        <v>1282188.1399999999</v>
      </c>
      <c r="L505"/>
      <c r="M505"/>
      <c r="N505"/>
    </row>
    <row r="506" spans="3:14" ht="388.8" x14ac:dyDescent="0.3">
      <c r="C506" s="73" t="s">
        <v>1230</v>
      </c>
      <c r="D506" s="74" t="s">
        <v>1231</v>
      </c>
      <c r="E506" s="73" t="s">
        <v>68</v>
      </c>
      <c r="F506" s="75">
        <v>9</v>
      </c>
      <c r="G506" s="76">
        <v>16984.84</v>
      </c>
      <c r="H506" s="76">
        <v>16967.28</v>
      </c>
      <c r="I506" s="83" t="s">
        <v>1232</v>
      </c>
      <c r="J506" s="76">
        <v>152863.56</v>
      </c>
      <c r="K506" s="76">
        <v>152705.51999999999</v>
      </c>
      <c r="L506"/>
      <c r="M506"/>
      <c r="N506"/>
    </row>
    <row r="507" spans="3:14" ht="388.8" x14ac:dyDescent="0.3">
      <c r="C507" s="73" t="s">
        <v>1233</v>
      </c>
      <c r="D507" s="74" t="s">
        <v>1234</v>
      </c>
      <c r="E507" s="73" t="s">
        <v>68</v>
      </c>
      <c r="F507" s="75">
        <v>3</v>
      </c>
      <c r="G507" s="76">
        <v>16984.84</v>
      </c>
      <c r="H507" s="76">
        <v>16967.28</v>
      </c>
      <c r="I507" s="83" t="s">
        <v>1232</v>
      </c>
      <c r="J507" s="76">
        <v>50954.52</v>
      </c>
      <c r="K507" s="76">
        <v>50901.84</v>
      </c>
      <c r="L507"/>
      <c r="M507"/>
      <c r="N507"/>
    </row>
    <row r="508" spans="3:14" ht="316.8" x14ac:dyDescent="0.3">
      <c r="C508" s="73" t="s">
        <v>1235</v>
      </c>
      <c r="D508" s="74" t="s">
        <v>1236</v>
      </c>
      <c r="E508" s="73" t="s">
        <v>68</v>
      </c>
      <c r="F508" s="75">
        <v>6</v>
      </c>
      <c r="G508" s="76">
        <v>15678.29</v>
      </c>
      <c r="H508" s="76">
        <v>53167.27</v>
      </c>
      <c r="I508" s="83" t="s">
        <v>1237</v>
      </c>
      <c r="J508" s="76">
        <v>94069.74</v>
      </c>
      <c r="K508" s="76">
        <v>319003.62</v>
      </c>
      <c r="L508"/>
      <c r="M508"/>
      <c r="N508"/>
    </row>
    <row r="509" spans="3:14" ht="172.8" x14ac:dyDescent="0.3">
      <c r="C509" s="73" t="s">
        <v>1238</v>
      </c>
      <c r="D509" s="74" t="s">
        <v>1239</v>
      </c>
      <c r="E509" s="73" t="s">
        <v>68</v>
      </c>
      <c r="F509" s="75">
        <v>9</v>
      </c>
      <c r="G509" s="76">
        <v>7969.79</v>
      </c>
      <c r="H509" s="76">
        <v>7236.74</v>
      </c>
      <c r="I509" s="83" t="s">
        <v>1240</v>
      </c>
      <c r="J509" s="76">
        <v>71728.11</v>
      </c>
      <c r="K509" s="76">
        <v>65130.66</v>
      </c>
      <c r="L509"/>
      <c r="M509"/>
      <c r="N509"/>
    </row>
    <row r="510" spans="3:14" ht="172.8" x14ac:dyDescent="0.3">
      <c r="C510" s="73" t="s">
        <v>1241</v>
      </c>
      <c r="D510" s="74" t="s">
        <v>1242</v>
      </c>
      <c r="E510" s="73" t="s">
        <v>68</v>
      </c>
      <c r="F510" s="75">
        <v>3</v>
      </c>
      <c r="G510" s="76">
        <v>7969.79</v>
      </c>
      <c r="H510" s="76">
        <v>6281.73</v>
      </c>
      <c r="I510" s="83" t="s">
        <v>1243</v>
      </c>
      <c r="J510" s="76">
        <v>23909.37</v>
      </c>
      <c r="K510" s="76">
        <v>18845.189999999999</v>
      </c>
      <c r="L510"/>
      <c r="M510"/>
      <c r="N510"/>
    </row>
    <row r="511" spans="3:14" ht="172.8" x14ac:dyDescent="0.3">
      <c r="C511" s="73" t="s">
        <v>1244</v>
      </c>
      <c r="D511" s="74" t="s">
        <v>1245</v>
      </c>
      <c r="E511" s="73" t="s">
        <v>68</v>
      </c>
      <c r="F511" s="75">
        <v>2</v>
      </c>
      <c r="G511" s="76">
        <v>7969.79</v>
      </c>
      <c r="H511" s="76">
        <v>6057.73</v>
      </c>
      <c r="I511" s="83" t="s">
        <v>1246</v>
      </c>
      <c r="J511" s="76">
        <v>15939.58</v>
      </c>
      <c r="K511" s="76">
        <v>12115.46</v>
      </c>
      <c r="L511"/>
      <c r="M511"/>
      <c r="N511"/>
    </row>
    <row r="512" spans="3:14" ht="144" x14ac:dyDescent="0.3">
      <c r="C512" s="73" t="s">
        <v>1247</v>
      </c>
      <c r="D512" s="74" t="s">
        <v>1248</v>
      </c>
      <c r="E512" s="73" t="s">
        <v>68</v>
      </c>
      <c r="F512" s="75">
        <v>3</v>
      </c>
      <c r="G512" s="76">
        <v>32924.410000000003</v>
      </c>
      <c r="H512" s="76">
        <v>80034.570000000007</v>
      </c>
      <c r="I512" s="83" t="s">
        <v>1249</v>
      </c>
      <c r="J512" s="76">
        <v>98773.23</v>
      </c>
      <c r="K512" s="76">
        <v>240103.71</v>
      </c>
      <c r="L512"/>
      <c r="M512"/>
      <c r="N512"/>
    </row>
    <row r="513" spans="3:14" ht="259.2" x14ac:dyDescent="0.3">
      <c r="C513" s="73" t="s">
        <v>1250</v>
      </c>
      <c r="D513" s="74" t="s">
        <v>1251</v>
      </c>
      <c r="E513" s="73" t="s">
        <v>68</v>
      </c>
      <c r="F513" s="75">
        <v>3</v>
      </c>
      <c r="G513" s="76">
        <v>32924.410000000003</v>
      </c>
      <c r="H513" s="76">
        <v>50534.58</v>
      </c>
      <c r="I513" s="83" t="s">
        <v>1252</v>
      </c>
      <c r="J513" s="76">
        <v>98773.23</v>
      </c>
      <c r="K513" s="76">
        <v>151603.74</v>
      </c>
      <c r="L513"/>
      <c r="M513"/>
      <c r="N513"/>
    </row>
    <row r="514" spans="3:14" ht="158.4" x14ac:dyDescent="0.3">
      <c r="C514" s="73" t="s">
        <v>1253</v>
      </c>
      <c r="D514" s="74" t="s">
        <v>1254</v>
      </c>
      <c r="E514" s="73" t="s">
        <v>68</v>
      </c>
      <c r="F514" s="75">
        <v>3</v>
      </c>
      <c r="G514" s="76">
        <v>32924.410000000003</v>
      </c>
      <c r="H514" s="76">
        <v>34500</v>
      </c>
      <c r="I514" s="83" t="s">
        <v>1255</v>
      </c>
      <c r="J514" s="76">
        <v>98773.23</v>
      </c>
      <c r="K514" s="76">
        <v>103500</v>
      </c>
      <c r="L514"/>
      <c r="M514"/>
      <c r="N514"/>
    </row>
    <row r="515" spans="3:14" ht="172.8" x14ac:dyDescent="0.3">
      <c r="C515" s="73" t="s">
        <v>1256</v>
      </c>
      <c r="D515" s="74" t="s">
        <v>1257</v>
      </c>
      <c r="E515" s="73" t="s">
        <v>68</v>
      </c>
      <c r="F515" s="75">
        <v>3</v>
      </c>
      <c r="G515" s="76">
        <v>5748.7</v>
      </c>
      <c r="H515" s="76">
        <v>9620</v>
      </c>
      <c r="I515" s="83" t="s">
        <v>1258</v>
      </c>
      <c r="J515" s="76">
        <v>17246.099999999999</v>
      </c>
      <c r="K515" s="76">
        <v>28860</v>
      </c>
      <c r="L515"/>
      <c r="M515"/>
      <c r="N515"/>
    </row>
    <row r="516" spans="3:14" ht="316.8" x14ac:dyDescent="0.3">
      <c r="C516" s="73" t="s">
        <v>1259</v>
      </c>
      <c r="D516" s="74" t="s">
        <v>1260</v>
      </c>
      <c r="E516" s="73" t="s">
        <v>68</v>
      </c>
      <c r="F516" s="75">
        <v>1</v>
      </c>
      <c r="G516" s="76">
        <v>25607.88</v>
      </c>
      <c r="H516" s="76">
        <v>37250.01</v>
      </c>
      <c r="I516" s="83" t="s">
        <v>1261</v>
      </c>
      <c r="J516" s="76">
        <v>25607.88</v>
      </c>
      <c r="K516" s="76">
        <v>37250.01</v>
      </c>
      <c r="L516"/>
      <c r="M516"/>
      <c r="N516"/>
    </row>
    <row r="517" spans="3:14" ht="72" x14ac:dyDescent="0.3">
      <c r="C517" s="73" t="s">
        <v>1262</v>
      </c>
      <c r="D517" s="74" t="s">
        <v>1263</v>
      </c>
      <c r="E517" s="73" t="s">
        <v>58</v>
      </c>
      <c r="F517" s="75">
        <v>525</v>
      </c>
      <c r="G517" s="76">
        <v>522.61</v>
      </c>
      <c r="H517" s="76">
        <v>116.03</v>
      </c>
      <c r="I517" s="83" t="s">
        <v>1264</v>
      </c>
      <c r="J517" s="76">
        <v>274370.25</v>
      </c>
      <c r="K517" s="76">
        <v>60915.75</v>
      </c>
      <c r="L517"/>
      <c r="M517"/>
      <c r="N517"/>
    </row>
    <row r="518" spans="3:14" ht="72" x14ac:dyDescent="0.3">
      <c r="C518" s="73" t="s">
        <v>1265</v>
      </c>
      <c r="D518" s="74" t="s">
        <v>1266</v>
      </c>
      <c r="E518" s="73" t="s">
        <v>58</v>
      </c>
      <c r="F518" s="75">
        <v>60</v>
      </c>
      <c r="G518" s="76">
        <v>2531.8200000000002</v>
      </c>
      <c r="H518" s="76">
        <v>0</v>
      </c>
      <c r="I518" s="83" t="s">
        <v>1267</v>
      </c>
      <c r="J518" s="76">
        <v>151909.20000000001</v>
      </c>
      <c r="K518" s="76">
        <v>0</v>
      </c>
      <c r="L518"/>
      <c r="M518"/>
      <c r="N518"/>
    </row>
    <row r="519" spans="3:14" ht="72" x14ac:dyDescent="0.3">
      <c r="C519" s="73" t="s">
        <v>1268</v>
      </c>
      <c r="D519" s="74" t="s">
        <v>1269</v>
      </c>
      <c r="E519" s="73" t="s">
        <v>68</v>
      </c>
      <c r="F519" s="75">
        <v>48</v>
      </c>
      <c r="G519" s="76">
        <v>5638.1</v>
      </c>
      <c r="H519" s="76">
        <v>0</v>
      </c>
      <c r="I519" s="83" t="s">
        <v>1270</v>
      </c>
      <c r="J519" s="76">
        <v>270628.8</v>
      </c>
      <c r="K519" s="76">
        <v>0</v>
      </c>
      <c r="L519"/>
      <c r="M519"/>
      <c r="N519"/>
    </row>
    <row r="520" spans="3:14" ht="57.6" x14ac:dyDescent="0.3">
      <c r="C520" s="73" t="s">
        <v>1271</v>
      </c>
      <c r="D520" s="74" t="s">
        <v>1272</v>
      </c>
      <c r="E520" s="73" t="s">
        <v>68</v>
      </c>
      <c r="F520" s="75">
        <v>1</v>
      </c>
      <c r="G520" s="76">
        <v>8483.7000000000007</v>
      </c>
      <c r="H520" s="76">
        <v>0</v>
      </c>
      <c r="I520" s="83" t="s">
        <v>1273</v>
      </c>
      <c r="J520" s="76">
        <v>8483.7000000000007</v>
      </c>
      <c r="K520" s="76">
        <v>0</v>
      </c>
      <c r="L520"/>
      <c r="M520"/>
      <c r="N520"/>
    </row>
    <row r="521" spans="3:14" ht="72" x14ac:dyDescent="0.3">
      <c r="C521" s="73" t="s">
        <v>1274</v>
      </c>
      <c r="D521" s="74" t="s">
        <v>1275</v>
      </c>
      <c r="E521" s="73" t="s">
        <v>68</v>
      </c>
      <c r="F521" s="75">
        <v>6</v>
      </c>
      <c r="G521" s="76">
        <v>108009.21</v>
      </c>
      <c r="H521" s="76">
        <v>0</v>
      </c>
      <c r="I521" s="83" t="s">
        <v>1276</v>
      </c>
      <c r="J521" s="76">
        <v>648055.26</v>
      </c>
      <c r="K521" s="76">
        <v>0</v>
      </c>
      <c r="L521"/>
      <c r="M521"/>
      <c r="N521"/>
    </row>
    <row r="522" spans="3:14" ht="72" x14ac:dyDescent="0.3">
      <c r="C522" s="73" t="s">
        <v>1277</v>
      </c>
      <c r="D522" s="74" t="s">
        <v>1278</v>
      </c>
      <c r="E522" s="73" t="s">
        <v>68</v>
      </c>
      <c r="F522" s="75">
        <v>27</v>
      </c>
      <c r="G522" s="76">
        <v>1575.52</v>
      </c>
      <c r="H522" s="76">
        <v>0</v>
      </c>
      <c r="I522" s="83" t="s">
        <v>1279</v>
      </c>
      <c r="J522" s="76">
        <v>42539.040000000001</v>
      </c>
      <c r="K522" s="76">
        <v>0</v>
      </c>
      <c r="L522"/>
      <c r="M522"/>
      <c r="N522"/>
    </row>
    <row r="523" spans="3:14" ht="72" x14ac:dyDescent="0.3">
      <c r="C523" s="73" t="s">
        <v>1280</v>
      </c>
      <c r="D523" s="74" t="s">
        <v>1281</v>
      </c>
      <c r="E523" s="73" t="s">
        <v>68</v>
      </c>
      <c r="F523" s="75">
        <v>12</v>
      </c>
      <c r="G523" s="76">
        <v>130.63999999999999</v>
      </c>
      <c r="H523" s="76">
        <v>149.5</v>
      </c>
      <c r="I523" s="83" t="s">
        <v>1282</v>
      </c>
      <c r="J523" s="76">
        <v>1567.68</v>
      </c>
      <c r="K523" s="76">
        <v>1794</v>
      </c>
      <c r="L523"/>
      <c r="M523"/>
      <c r="N523"/>
    </row>
    <row r="524" spans="3:14" ht="72" x14ac:dyDescent="0.3">
      <c r="C524" s="73" t="s">
        <v>1283</v>
      </c>
      <c r="D524" s="74" t="s">
        <v>1284</v>
      </c>
      <c r="E524" s="73" t="s">
        <v>68</v>
      </c>
      <c r="F524" s="75">
        <v>2</v>
      </c>
      <c r="G524" s="76">
        <v>1980.52</v>
      </c>
      <c r="H524" s="76">
        <v>0</v>
      </c>
      <c r="I524" s="83" t="s">
        <v>1285</v>
      </c>
      <c r="J524" s="76">
        <v>3961.04</v>
      </c>
      <c r="K524" s="76">
        <v>0</v>
      </c>
      <c r="L524"/>
      <c r="M524"/>
      <c r="N524"/>
    </row>
    <row r="525" spans="3:14" ht="72" x14ac:dyDescent="0.3">
      <c r="C525" s="73" t="s">
        <v>1286</v>
      </c>
      <c r="D525" s="74" t="s">
        <v>1287</v>
      </c>
      <c r="E525" s="73" t="s">
        <v>68</v>
      </c>
      <c r="F525" s="75">
        <v>90</v>
      </c>
      <c r="G525" s="76">
        <v>1126.3699999999999</v>
      </c>
      <c r="H525" s="76">
        <v>0</v>
      </c>
      <c r="I525" s="83" t="s">
        <v>1288</v>
      </c>
      <c r="J525" s="76">
        <v>101373.3</v>
      </c>
      <c r="K525" s="76">
        <v>0</v>
      </c>
      <c r="L525"/>
      <c r="M525"/>
      <c r="N525"/>
    </row>
    <row r="526" spans="3:14" ht="72" x14ac:dyDescent="0.3">
      <c r="C526" s="73" t="s">
        <v>1289</v>
      </c>
      <c r="D526" s="74" t="s">
        <v>1290</v>
      </c>
      <c r="E526" s="73" t="s">
        <v>68</v>
      </c>
      <c r="F526" s="75">
        <v>12</v>
      </c>
      <c r="G526" s="76">
        <v>1261.3699999999999</v>
      </c>
      <c r="H526" s="76">
        <v>0</v>
      </c>
      <c r="I526" s="83" t="s">
        <v>1291</v>
      </c>
      <c r="J526" s="76">
        <v>15136.44</v>
      </c>
      <c r="K526" s="76">
        <v>0</v>
      </c>
      <c r="L526"/>
      <c r="M526"/>
      <c r="N526"/>
    </row>
    <row r="527" spans="3:14" ht="72" x14ac:dyDescent="0.3">
      <c r="C527" s="73" t="s">
        <v>1292</v>
      </c>
      <c r="D527" s="74" t="s">
        <v>1293</v>
      </c>
      <c r="E527" s="73" t="s">
        <v>68</v>
      </c>
      <c r="F527" s="75">
        <v>28</v>
      </c>
      <c r="G527" s="76">
        <v>1341.22</v>
      </c>
      <c r="H527" s="76">
        <v>0</v>
      </c>
      <c r="I527" s="83" t="s">
        <v>1294</v>
      </c>
      <c r="J527" s="76">
        <v>37554.160000000003</v>
      </c>
      <c r="K527" s="76">
        <v>0</v>
      </c>
      <c r="L527"/>
      <c r="M527"/>
      <c r="N527"/>
    </row>
    <row r="528" spans="3:14" ht="72" x14ac:dyDescent="0.3">
      <c r="C528" s="73" t="s">
        <v>1295</v>
      </c>
      <c r="D528" s="74" t="s">
        <v>1296</v>
      </c>
      <c r="E528" s="73" t="s">
        <v>68</v>
      </c>
      <c r="F528" s="75">
        <v>9</v>
      </c>
      <c r="G528" s="76">
        <v>130.63999999999999</v>
      </c>
      <c r="H528" s="76">
        <v>132.6</v>
      </c>
      <c r="I528" s="83" t="s">
        <v>1297</v>
      </c>
      <c r="J528" s="76">
        <v>1175.76</v>
      </c>
      <c r="K528" s="76">
        <v>1193.4000000000001</v>
      </c>
      <c r="L528"/>
      <c r="M528"/>
      <c r="N528"/>
    </row>
    <row r="529" spans="3:14" ht="72" x14ac:dyDescent="0.3">
      <c r="C529" s="73" t="s">
        <v>1298</v>
      </c>
      <c r="D529" s="74" t="s">
        <v>1299</v>
      </c>
      <c r="E529" s="73" t="s">
        <v>68</v>
      </c>
      <c r="F529" s="75">
        <v>84</v>
      </c>
      <c r="G529" s="76">
        <v>1746.52</v>
      </c>
      <c r="H529" s="76">
        <v>0</v>
      </c>
      <c r="I529" s="83" t="s">
        <v>1300</v>
      </c>
      <c r="J529" s="76">
        <v>146707.68</v>
      </c>
      <c r="K529" s="76">
        <v>0</v>
      </c>
      <c r="L529"/>
      <c r="M529"/>
      <c r="N529"/>
    </row>
    <row r="530" spans="3:14" ht="57.6" x14ac:dyDescent="0.3">
      <c r="C530" s="73" t="s">
        <v>1301</v>
      </c>
      <c r="D530" s="74" t="s">
        <v>1302</v>
      </c>
      <c r="E530" s="73" t="s">
        <v>68</v>
      </c>
      <c r="F530" s="75">
        <v>15</v>
      </c>
      <c r="G530" s="76">
        <v>400.53</v>
      </c>
      <c r="H530" s="76">
        <v>0</v>
      </c>
      <c r="I530" s="83" t="s">
        <v>1303</v>
      </c>
      <c r="J530" s="76">
        <v>6007.95</v>
      </c>
      <c r="K530" s="76">
        <v>0</v>
      </c>
      <c r="L530"/>
      <c r="M530"/>
      <c r="N530"/>
    </row>
    <row r="531" spans="3:14" ht="57.6" x14ac:dyDescent="0.3">
      <c r="C531" s="73" t="s">
        <v>1304</v>
      </c>
      <c r="D531" s="74" t="s">
        <v>1305</v>
      </c>
      <c r="E531" s="73" t="s">
        <v>68</v>
      </c>
      <c r="F531" s="75">
        <v>29</v>
      </c>
      <c r="G531" s="76">
        <v>441.71</v>
      </c>
      <c r="H531" s="76">
        <v>0</v>
      </c>
      <c r="I531" s="83" t="s">
        <v>1306</v>
      </c>
      <c r="J531" s="76">
        <v>12809.59</v>
      </c>
      <c r="K531" s="76">
        <v>0</v>
      </c>
      <c r="L531"/>
      <c r="M531"/>
      <c r="N531"/>
    </row>
    <row r="532" spans="3:14" ht="57.6" x14ac:dyDescent="0.3">
      <c r="C532" s="73" t="s">
        <v>1307</v>
      </c>
      <c r="D532" s="74" t="s">
        <v>1308</v>
      </c>
      <c r="E532" s="73" t="s">
        <v>68</v>
      </c>
      <c r="F532" s="75">
        <v>8</v>
      </c>
      <c r="G532" s="76">
        <v>485.58</v>
      </c>
      <c r="H532" s="76">
        <v>0</v>
      </c>
      <c r="I532" s="83" t="s">
        <v>1309</v>
      </c>
      <c r="J532" s="76">
        <v>3884.64</v>
      </c>
      <c r="K532" s="76">
        <v>0</v>
      </c>
      <c r="L532"/>
      <c r="M532"/>
      <c r="N532"/>
    </row>
    <row r="533" spans="3:14" ht="72" x14ac:dyDescent="0.3">
      <c r="C533" s="73" t="s">
        <v>1310</v>
      </c>
      <c r="D533" s="74" t="s">
        <v>1311</v>
      </c>
      <c r="E533" s="73" t="s">
        <v>68</v>
      </c>
      <c r="F533" s="75">
        <v>24</v>
      </c>
      <c r="G533" s="76">
        <v>441.71</v>
      </c>
      <c r="H533" s="76">
        <v>0</v>
      </c>
      <c r="I533" s="83" t="s">
        <v>1306</v>
      </c>
      <c r="J533" s="76">
        <v>10601.04</v>
      </c>
      <c r="K533" s="76">
        <v>0</v>
      </c>
      <c r="L533"/>
      <c r="M533"/>
      <c r="N533"/>
    </row>
    <row r="534" spans="3:14" ht="72" x14ac:dyDescent="0.3">
      <c r="C534" s="73" t="s">
        <v>1312</v>
      </c>
      <c r="D534" s="74" t="s">
        <v>1313</v>
      </c>
      <c r="E534" s="73" t="s">
        <v>68</v>
      </c>
      <c r="F534" s="75">
        <v>41</v>
      </c>
      <c r="G534" s="76">
        <v>549.71</v>
      </c>
      <c r="H534" s="76">
        <v>0</v>
      </c>
      <c r="I534" s="83" t="s">
        <v>1314</v>
      </c>
      <c r="J534" s="76">
        <v>22538.11</v>
      </c>
      <c r="K534" s="76">
        <v>0</v>
      </c>
      <c r="L534"/>
      <c r="M534"/>
      <c r="N534"/>
    </row>
    <row r="535" spans="3:14" ht="57.6" x14ac:dyDescent="0.3">
      <c r="C535" s="73" t="s">
        <v>1315</v>
      </c>
      <c r="D535" s="74" t="s">
        <v>1316</v>
      </c>
      <c r="E535" s="73" t="s">
        <v>68</v>
      </c>
      <c r="F535" s="75">
        <v>2</v>
      </c>
      <c r="G535" s="76">
        <v>122.26</v>
      </c>
      <c r="H535" s="76">
        <v>0</v>
      </c>
      <c r="I535" s="83" t="s">
        <v>1317</v>
      </c>
      <c r="J535" s="76">
        <v>244.52</v>
      </c>
      <c r="K535" s="76">
        <v>0</v>
      </c>
      <c r="L535"/>
      <c r="M535"/>
      <c r="N535"/>
    </row>
    <row r="536" spans="3:14" ht="57.6" x14ac:dyDescent="0.3">
      <c r="C536" s="73" t="s">
        <v>1318</v>
      </c>
      <c r="D536" s="74" t="s">
        <v>1319</v>
      </c>
      <c r="E536" s="73" t="s">
        <v>58</v>
      </c>
      <c r="F536" s="75">
        <v>2.8</v>
      </c>
      <c r="G536" s="76">
        <v>407.77</v>
      </c>
      <c r="H536" s="76">
        <v>0</v>
      </c>
      <c r="I536" s="83" t="s">
        <v>1034</v>
      </c>
      <c r="J536" s="76">
        <v>1141.76</v>
      </c>
      <c r="K536" s="76">
        <v>0</v>
      </c>
      <c r="L536"/>
      <c r="M536"/>
      <c r="N536"/>
    </row>
    <row r="537" spans="3:14" ht="57.6" x14ac:dyDescent="0.3">
      <c r="C537" s="73" t="s">
        <v>1320</v>
      </c>
      <c r="D537" s="74" t="s">
        <v>1321</v>
      </c>
      <c r="E537" s="73" t="s">
        <v>58</v>
      </c>
      <c r="F537" s="75">
        <v>105.6</v>
      </c>
      <c r="G537" s="76">
        <v>342.04</v>
      </c>
      <c r="H537" s="76">
        <v>0</v>
      </c>
      <c r="I537" s="83" t="s">
        <v>1322</v>
      </c>
      <c r="J537" s="76">
        <v>36119.42</v>
      </c>
      <c r="K537" s="76">
        <v>0</v>
      </c>
      <c r="L537"/>
      <c r="M537"/>
      <c r="N537"/>
    </row>
    <row r="538" spans="3:14" ht="57.6" x14ac:dyDescent="0.3">
      <c r="C538" s="73" t="s">
        <v>1323</v>
      </c>
      <c r="D538" s="74" t="s">
        <v>1324</v>
      </c>
      <c r="E538" s="73" t="s">
        <v>68</v>
      </c>
      <c r="F538" s="75">
        <v>277</v>
      </c>
      <c r="G538" s="76">
        <v>69.59</v>
      </c>
      <c r="H538" s="76">
        <v>0</v>
      </c>
      <c r="I538" s="83" t="s">
        <v>1325</v>
      </c>
      <c r="J538" s="76">
        <v>19276.43</v>
      </c>
      <c r="K538" s="76">
        <v>0</v>
      </c>
      <c r="L538"/>
      <c r="M538"/>
      <c r="N538"/>
    </row>
    <row r="539" spans="3:14" ht="57.6" x14ac:dyDescent="0.3">
      <c r="C539" s="73" t="s">
        <v>1326</v>
      </c>
      <c r="D539" s="74" t="s">
        <v>1327</v>
      </c>
      <c r="E539" s="73" t="s">
        <v>68</v>
      </c>
      <c r="F539" s="75">
        <v>8</v>
      </c>
      <c r="G539" s="76">
        <v>36.19</v>
      </c>
      <c r="H539" s="76">
        <v>0</v>
      </c>
      <c r="I539" s="83" t="s">
        <v>1328</v>
      </c>
      <c r="J539" s="76">
        <v>289.52</v>
      </c>
      <c r="K539" s="76">
        <v>0</v>
      </c>
      <c r="L539"/>
      <c r="M539"/>
      <c r="N539"/>
    </row>
    <row r="540" spans="3:14" ht="57.6" x14ac:dyDescent="0.3">
      <c r="C540" s="73" t="s">
        <v>1329</v>
      </c>
      <c r="D540" s="74" t="s">
        <v>1330</v>
      </c>
      <c r="E540" s="73" t="s">
        <v>699</v>
      </c>
      <c r="F540" s="75">
        <v>0.82</v>
      </c>
      <c r="G540" s="76">
        <v>16636.7</v>
      </c>
      <c r="H540" s="76">
        <v>0</v>
      </c>
      <c r="I540" s="83" t="s">
        <v>1331</v>
      </c>
      <c r="J540" s="76">
        <v>13642.09</v>
      </c>
      <c r="K540" s="76">
        <v>0</v>
      </c>
      <c r="L540"/>
      <c r="M540"/>
      <c r="N540"/>
    </row>
    <row r="541" spans="3:14" ht="86.4" x14ac:dyDescent="0.3">
      <c r="C541" s="73" t="s">
        <v>1332</v>
      </c>
      <c r="D541" s="74" t="s">
        <v>1333</v>
      </c>
      <c r="E541" s="73" t="s">
        <v>68</v>
      </c>
      <c r="F541" s="75">
        <v>33</v>
      </c>
      <c r="G541" s="76">
        <v>130.63999999999999</v>
      </c>
      <c r="H541" s="76">
        <v>84.5</v>
      </c>
      <c r="I541" s="83" t="s">
        <v>1334</v>
      </c>
      <c r="J541" s="76">
        <v>4311.12</v>
      </c>
      <c r="K541" s="76">
        <v>2788.5</v>
      </c>
      <c r="L541"/>
      <c r="M541"/>
      <c r="N541"/>
    </row>
    <row r="542" spans="3:14" ht="57.6" x14ac:dyDescent="0.3">
      <c r="C542" s="73" t="s">
        <v>1335</v>
      </c>
      <c r="D542" s="74" t="s">
        <v>1336</v>
      </c>
      <c r="E542" s="73" t="s">
        <v>495</v>
      </c>
      <c r="F542" s="75">
        <v>8</v>
      </c>
      <c r="G542" s="76">
        <v>0</v>
      </c>
      <c r="H542" s="76">
        <v>9750</v>
      </c>
      <c r="I542" s="83" t="s">
        <v>1337</v>
      </c>
      <c r="J542" s="76">
        <v>0</v>
      </c>
      <c r="K542" s="76">
        <v>78000</v>
      </c>
      <c r="L542"/>
      <c r="M542"/>
      <c r="N542"/>
    </row>
    <row r="543" spans="3:14" ht="144" x14ac:dyDescent="0.3">
      <c r="C543" s="73" t="s">
        <v>1338</v>
      </c>
      <c r="D543" s="74" t="s">
        <v>1339</v>
      </c>
      <c r="E543" s="73" t="s">
        <v>68</v>
      </c>
      <c r="F543" s="75">
        <v>4</v>
      </c>
      <c r="G543" s="76">
        <v>14436.32</v>
      </c>
      <c r="H543" s="76">
        <v>0</v>
      </c>
      <c r="I543" s="83" t="s">
        <v>1340</v>
      </c>
      <c r="J543" s="76">
        <v>57745.279999999999</v>
      </c>
      <c r="K543" s="76">
        <v>0</v>
      </c>
      <c r="L543"/>
      <c r="M543"/>
      <c r="N543"/>
    </row>
    <row r="544" spans="3:14" ht="100.8" x14ac:dyDescent="0.3">
      <c r="C544" s="73" t="s">
        <v>1341</v>
      </c>
      <c r="D544" s="74" t="s">
        <v>1342</v>
      </c>
      <c r="E544" s="73" t="s">
        <v>68</v>
      </c>
      <c r="F544" s="75">
        <v>6</v>
      </c>
      <c r="G544" s="76">
        <v>130.63999999999999</v>
      </c>
      <c r="H544" s="76">
        <v>364</v>
      </c>
      <c r="I544" s="83" t="s">
        <v>1343</v>
      </c>
      <c r="J544" s="76">
        <v>783.84</v>
      </c>
      <c r="K544" s="76">
        <v>2184</v>
      </c>
      <c r="L544"/>
      <c r="M544"/>
      <c r="N544"/>
    </row>
    <row r="545" spans="3:14" ht="115.2" x14ac:dyDescent="0.3">
      <c r="C545" s="73" t="s">
        <v>1344</v>
      </c>
      <c r="D545" s="74" t="s">
        <v>1345</v>
      </c>
      <c r="E545" s="73" t="s">
        <v>68</v>
      </c>
      <c r="F545" s="75">
        <v>2</v>
      </c>
      <c r="G545" s="76">
        <v>3303.14</v>
      </c>
      <c r="H545" s="76">
        <v>0</v>
      </c>
      <c r="I545" s="83" t="s">
        <v>1346</v>
      </c>
      <c r="J545" s="76">
        <v>6606.28</v>
      </c>
      <c r="K545" s="76">
        <v>0</v>
      </c>
      <c r="L545"/>
      <c r="M545"/>
      <c r="N545"/>
    </row>
    <row r="546" spans="3:14" ht="115.2" x14ac:dyDescent="0.3">
      <c r="C546" s="73" t="s">
        <v>1347</v>
      </c>
      <c r="D546" s="74" t="s">
        <v>1348</v>
      </c>
      <c r="E546" s="73" t="s">
        <v>68</v>
      </c>
      <c r="F546" s="75">
        <v>2</v>
      </c>
      <c r="G546" s="76">
        <v>3303.14</v>
      </c>
      <c r="H546" s="76">
        <v>0</v>
      </c>
      <c r="I546" s="83" t="s">
        <v>1346</v>
      </c>
      <c r="J546" s="76">
        <v>6606.28</v>
      </c>
      <c r="K546" s="76">
        <v>0</v>
      </c>
      <c r="L546"/>
      <c r="M546"/>
      <c r="N546"/>
    </row>
    <row r="547" spans="3:14" ht="115.2" x14ac:dyDescent="0.3">
      <c r="C547" s="73" t="s">
        <v>1349</v>
      </c>
      <c r="D547" s="74" t="s">
        <v>1350</v>
      </c>
      <c r="E547" s="73" t="s">
        <v>68</v>
      </c>
      <c r="F547" s="75">
        <v>2</v>
      </c>
      <c r="G547" s="76">
        <v>3303.14</v>
      </c>
      <c r="H547" s="76">
        <v>0</v>
      </c>
      <c r="I547" s="83" t="s">
        <v>1346</v>
      </c>
      <c r="J547" s="76">
        <v>6606.28</v>
      </c>
      <c r="K547" s="76">
        <v>0</v>
      </c>
      <c r="L547"/>
      <c r="M547"/>
      <c r="N547"/>
    </row>
    <row r="548" spans="3:14" ht="115.2" x14ac:dyDescent="0.3">
      <c r="C548" s="73" t="s">
        <v>1351</v>
      </c>
      <c r="D548" s="74" t="s">
        <v>1352</v>
      </c>
      <c r="E548" s="73" t="s">
        <v>68</v>
      </c>
      <c r="F548" s="75">
        <v>1</v>
      </c>
      <c r="G548" s="76">
        <v>3303.14</v>
      </c>
      <c r="H548" s="76">
        <v>0</v>
      </c>
      <c r="I548" s="83" t="s">
        <v>1346</v>
      </c>
      <c r="J548" s="76">
        <v>3303.14</v>
      </c>
      <c r="K548" s="76">
        <v>0</v>
      </c>
      <c r="L548"/>
      <c r="M548"/>
      <c r="N548"/>
    </row>
    <row r="549" spans="3:14" ht="57.6" x14ac:dyDescent="0.3">
      <c r="C549" s="73" t="s">
        <v>1353</v>
      </c>
      <c r="D549" s="74" t="s">
        <v>1354</v>
      </c>
      <c r="E549" s="73" t="s">
        <v>995</v>
      </c>
      <c r="F549" s="75">
        <v>2</v>
      </c>
      <c r="G549" s="76">
        <v>0</v>
      </c>
      <c r="H549" s="76">
        <v>70657.47</v>
      </c>
      <c r="I549" s="83" t="s">
        <v>1355</v>
      </c>
      <c r="J549" s="76">
        <v>0</v>
      </c>
      <c r="K549" s="76">
        <v>141314.94</v>
      </c>
      <c r="L549"/>
      <c r="M549"/>
      <c r="N549"/>
    </row>
    <row r="550" spans="3:14" ht="57.6" x14ac:dyDescent="0.3">
      <c r="C550" s="73" t="s">
        <v>1356</v>
      </c>
      <c r="D550" s="74" t="s">
        <v>1357</v>
      </c>
      <c r="E550" s="73" t="s">
        <v>995</v>
      </c>
      <c r="F550" s="75">
        <v>2</v>
      </c>
      <c r="G550" s="76">
        <v>0</v>
      </c>
      <c r="H550" s="76">
        <v>40050.75</v>
      </c>
      <c r="I550" s="83" t="s">
        <v>1358</v>
      </c>
      <c r="J550" s="76">
        <v>0</v>
      </c>
      <c r="K550" s="76">
        <v>80101.5</v>
      </c>
      <c r="L550"/>
      <c r="M550"/>
      <c r="N550"/>
    </row>
    <row r="551" spans="3:14" ht="358.8" x14ac:dyDescent="0.3">
      <c r="C551" s="73" t="s">
        <v>1359</v>
      </c>
      <c r="D551" s="72" t="s">
        <v>1360</v>
      </c>
      <c r="E551" s="73" t="s">
        <v>68</v>
      </c>
      <c r="F551" s="75">
        <v>6</v>
      </c>
      <c r="G551" s="76">
        <v>15678.29</v>
      </c>
      <c r="H551" s="76">
        <v>16967.28</v>
      </c>
      <c r="I551" s="83" t="s">
        <v>1361</v>
      </c>
      <c r="J551" s="76">
        <v>94069.74</v>
      </c>
      <c r="K551" s="76">
        <v>101803.68</v>
      </c>
      <c r="L551"/>
      <c r="M551"/>
      <c r="N551"/>
    </row>
    <row r="552" spans="3:14" ht="172.8" x14ac:dyDescent="0.3">
      <c r="C552" s="73" t="s">
        <v>1362</v>
      </c>
      <c r="D552" s="74" t="s">
        <v>1363</v>
      </c>
      <c r="E552" s="73" t="s">
        <v>68</v>
      </c>
      <c r="F552" s="75">
        <v>4</v>
      </c>
      <c r="G552" s="76">
        <v>7408</v>
      </c>
      <c r="H552" s="76">
        <v>6057.73</v>
      </c>
      <c r="I552" s="83" t="s">
        <v>1364</v>
      </c>
      <c r="J552" s="76">
        <v>29632</v>
      </c>
      <c r="K552" s="76">
        <v>24230.92</v>
      </c>
      <c r="L552"/>
      <c r="M552"/>
      <c r="N552"/>
    </row>
    <row r="553" spans="3:14" ht="72" x14ac:dyDescent="0.3">
      <c r="C553" s="73" t="s">
        <v>1365</v>
      </c>
      <c r="D553" s="74" t="s">
        <v>1366</v>
      </c>
      <c r="E553" s="73" t="s">
        <v>68</v>
      </c>
      <c r="F553" s="75">
        <v>4</v>
      </c>
      <c r="G553" s="76">
        <v>159.72</v>
      </c>
      <c r="H553" s="76">
        <v>0</v>
      </c>
      <c r="I553" s="83" t="s">
        <v>1367</v>
      </c>
      <c r="J553" s="76">
        <v>638.88</v>
      </c>
      <c r="K553" s="76">
        <v>0</v>
      </c>
      <c r="L553"/>
      <c r="M553"/>
      <c r="N553"/>
    </row>
    <row r="554" spans="3:14" ht="100.8" x14ac:dyDescent="0.3">
      <c r="C554" s="73" t="s">
        <v>1368</v>
      </c>
      <c r="D554" s="74" t="s">
        <v>1369</v>
      </c>
      <c r="E554" s="73" t="s">
        <v>1370</v>
      </c>
      <c r="F554" s="75">
        <v>6</v>
      </c>
      <c r="G554" s="76">
        <v>87750</v>
      </c>
      <c r="H554" s="76">
        <v>0</v>
      </c>
      <c r="I554" s="83" t="s">
        <v>1371</v>
      </c>
      <c r="J554" s="76">
        <v>526500</v>
      </c>
      <c r="K554" s="76">
        <v>0</v>
      </c>
      <c r="L554"/>
      <c r="M554"/>
      <c r="N554"/>
    </row>
    <row r="555" spans="3:14" ht="201.6" x14ac:dyDescent="0.3">
      <c r="C555" s="73" t="s">
        <v>1372</v>
      </c>
      <c r="D555" s="74" t="s">
        <v>1373</v>
      </c>
      <c r="E555" s="73" t="s">
        <v>1370</v>
      </c>
      <c r="F555" s="75">
        <v>1</v>
      </c>
      <c r="G555" s="76">
        <v>0</v>
      </c>
      <c r="H555" s="76">
        <v>123500</v>
      </c>
      <c r="I555" s="83" t="s">
        <v>1374</v>
      </c>
      <c r="J555" s="76">
        <v>0</v>
      </c>
      <c r="K555" s="76">
        <v>123500</v>
      </c>
      <c r="L555"/>
      <c r="M555"/>
      <c r="N555"/>
    </row>
    <row r="556" spans="3:14" ht="86.4" x14ac:dyDescent="0.3">
      <c r="C556" s="73" t="s">
        <v>1375</v>
      </c>
      <c r="D556" s="74" t="s">
        <v>1376</v>
      </c>
      <c r="E556" s="73" t="s">
        <v>68</v>
      </c>
      <c r="F556" s="75">
        <v>1</v>
      </c>
      <c r="G556" s="76">
        <v>5595.9</v>
      </c>
      <c r="H556" s="76">
        <v>0</v>
      </c>
      <c r="I556" s="83" t="s">
        <v>1377</v>
      </c>
      <c r="J556" s="76">
        <v>5595.9</v>
      </c>
      <c r="K556" s="76">
        <v>0</v>
      </c>
      <c r="L556"/>
      <c r="M556"/>
      <c r="N556"/>
    </row>
    <row r="557" spans="3:14" ht="100.8" x14ac:dyDescent="0.3">
      <c r="C557" s="73" t="s">
        <v>1378</v>
      </c>
      <c r="D557" s="74" t="s">
        <v>1379</v>
      </c>
      <c r="E557" s="73" t="s">
        <v>68</v>
      </c>
      <c r="F557" s="75">
        <v>3</v>
      </c>
      <c r="G557" s="76">
        <v>2199.69</v>
      </c>
      <c r="H557" s="76">
        <v>0</v>
      </c>
      <c r="I557" s="83" t="s">
        <v>1380</v>
      </c>
      <c r="J557" s="76">
        <v>6599.07</v>
      </c>
      <c r="K557" s="76">
        <v>0</v>
      </c>
      <c r="L557"/>
      <c r="M557"/>
      <c r="N557"/>
    </row>
    <row r="558" spans="3:14" ht="100.8" x14ac:dyDescent="0.3">
      <c r="C558" s="73" t="s">
        <v>1381</v>
      </c>
      <c r="D558" s="74" t="s">
        <v>1382</v>
      </c>
      <c r="E558" s="73" t="s">
        <v>68</v>
      </c>
      <c r="F558" s="75">
        <v>21</v>
      </c>
      <c r="G558" s="76">
        <v>4772.3999999999996</v>
      </c>
      <c r="H558" s="76">
        <v>0</v>
      </c>
      <c r="I558" s="83" t="s">
        <v>1383</v>
      </c>
      <c r="J558" s="76">
        <v>100220.4</v>
      </c>
      <c r="K558" s="76">
        <v>0</v>
      </c>
      <c r="L558"/>
      <c r="M558"/>
      <c r="N558"/>
    </row>
    <row r="559" spans="3:14" ht="100.8" x14ac:dyDescent="0.3">
      <c r="C559" s="73" t="s">
        <v>1384</v>
      </c>
      <c r="D559" s="74" t="s">
        <v>1385</v>
      </c>
      <c r="E559" s="73" t="s">
        <v>68</v>
      </c>
      <c r="F559" s="75">
        <v>1</v>
      </c>
      <c r="G559" s="76">
        <v>14856.9</v>
      </c>
      <c r="H559" s="76">
        <v>0</v>
      </c>
      <c r="I559" s="83" t="s">
        <v>1386</v>
      </c>
      <c r="J559" s="76">
        <v>14856.9</v>
      </c>
      <c r="K559" s="76">
        <v>0</v>
      </c>
      <c r="L559"/>
      <c r="M559"/>
      <c r="N559"/>
    </row>
    <row r="560" spans="3:14" ht="86.4" x14ac:dyDescent="0.3">
      <c r="C560" s="73" t="s">
        <v>1387</v>
      </c>
      <c r="D560" s="74" t="s">
        <v>1388</v>
      </c>
      <c r="E560" s="73" t="s">
        <v>495</v>
      </c>
      <c r="F560" s="75">
        <v>10</v>
      </c>
      <c r="G560" s="76">
        <v>0</v>
      </c>
      <c r="H560" s="76">
        <v>30550</v>
      </c>
      <c r="I560" s="83" t="s">
        <v>1389</v>
      </c>
      <c r="J560" s="76">
        <v>0</v>
      </c>
      <c r="K560" s="76">
        <v>305500</v>
      </c>
      <c r="L560"/>
      <c r="M560"/>
      <c r="N560"/>
    </row>
    <row r="561" spans="3:14" ht="86.4" x14ac:dyDescent="0.3">
      <c r="C561" s="73" t="s">
        <v>1390</v>
      </c>
      <c r="D561" s="74" t="s">
        <v>1391</v>
      </c>
      <c r="E561" s="73" t="s">
        <v>1370</v>
      </c>
      <c r="F561" s="75">
        <v>2</v>
      </c>
      <c r="G561" s="76">
        <v>0</v>
      </c>
      <c r="H561" s="76">
        <v>29250</v>
      </c>
      <c r="I561" s="83" t="s">
        <v>1392</v>
      </c>
      <c r="J561" s="76">
        <v>0</v>
      </c>
      <c r="K561" s="76">
        <v>58500</v>
      </c>
      <c r="L561"/>
      <c r="M561"/>
      <c r="N561"/>
    </row>
    <row r="562" spans="3:14" ht="43.2" x14ac:dyDescent="0.3">
      <c r="C562" s="73"/>
      <c r="D562" s="74" t="s">
        <v>1393</v>
      </c>
      <c r="E562" s="73"/>
      <c r="F562" s="75"/>
      <c r="G562" s="76"/>
      <c r="H562" s="76"/>
      <c r="I562" s="83"/>
      <c r="J562" s="76">
        <v>8154509.7300000004</v>
      </c>
      <c r="K562" s="76">
        <v>6037121.1200000001</v>
      </c>
      <c r="L562"/>
      <c r="M562"/>
      <c r="N562"/>
    </row>
    <row r="563" spans="3:14" ht="43.2" x14ac:dyDescent="0.3">
      <c r="C563" s="73"/>
      <c r="D563" s="74" t="s">
        <v>1394</v>
      </c>
      <c r="E563" s="73"/>
      <c r="F563" s="75"/>
      <c r="G563" s="76"/>
      <c r="H563" s="76"/>
      <c r="I563" s="83"/>
      <c r="J563" s="76">
        <v>150199325.63</v>
      </c>
      <c r="K563" s="76">
        <v>10212885.1</v>
      </c>
      <c r="L563"/>
      <c r="M563"/>
      <c r="N563"/>
    </row>
    <row r="564" spans="3:14" ht="14.4" x14ac:dyDescent="0.3">
      <c r="C564" s="73"/>
      <c r="D564" s="77" t="str" cm="1">
        <f t="array" ref="D564">Pesos(J563)</f>
        <v>( CIENTO CINCUENTA MILLONES CIENTO NOVENTA Y NUEVE MIL TRESCIENTOS VEINTICINCO  PESOS 63/100 M.N. )</v>
      </c>
      <c r="E564" s="73"/>
      <c r="F564" s="75"/>
      <c r="G564" s="76"/>
      <c r="H564" s="76"/>
      <c r="I564" s="83"/>
      <c r="J564" s="76"/>
      <c r="K564" s="76"/>
      <c r="L564"/>
      <c r="M564"/>
      <c r="N564"/>
    </row>
    <row r="565" spans="3:14" ht="30" customHeight="1" x14ac:dyDescent="0.3">
      <c r="C565" s="78"/>
      <c r="D565" s="77" t="str" cm="1">
        <f t="array" ref="D565">Dolares(K563)</f>
        <v>( DIEZ MILLONES DOSCIENTOS DOCE MIL OCHOCIENTOS OCHENTA Y CINCO  DÓLARES 10/100 USD )</v>
      </c>
      <c r="E565" s="78"/>
      <c r="F565" s="78"/>
      <c r="G565" s="79"/>
      <c r="H565" s="78"/>
      <c r="I565" s="88"/>
      <c r="J565" s="80"/>
      <c r="K565" s="80"/>
      <c r="L565" s="80"/>
      <c r="M565" s="80"/>
      <c r="N565" s="80"/>
    </row>
    <row r="566" spans="3:14" x14ac:dyDescent="0.3">
      <c r="C566" s="84"/>
      <c r="D566" s="84"/>
      <c r="E566" s="84"/>
      <c r="F566" s="84"/>
      <c r="G566" s="85"/>
      <c r="H566" s="84"/>
      <c r="I566" s="88"/>
      <c r="J566" s="86"/>
      <c r="K566" s="86"/>
      <c r="L566" s="86"/>
      <c r="M566" s="86"/>
      <c r="N566" s="86"/>
    </row>
    <row r="567" spans="3:14" x14ac:dyDescent="0.3">
      <c r="C567" s="84"/>
      <c r="D567" s="84"/>
      <c r="E567" s="84"/>
      <c r="F567" s="84"/>
      <c r="G567" s="85"/>
      <c r="H567" s="84"/>
      <c r="I567" s="88"/>
      <c r="J567" s="86"/>
      <c r="K567" s="86"/>
      <c r="L567" s="86"/>
      <c r="M567" s="86"/>
      <c r="N567" s="86"/>
    </row>
    <row r="568" spans="3:14" x14ac:dyDescent="0.3">
      <c r="C568" s="84"/>
      <c r="D568" s="84"/>
      <c r="E568" s="84"/>
      <c r="F568" s="84"/>
      <c r="G568" s="85"/>
      <c r="H568" s="84"/>
      <c r="I568" s="88"/>
      <c r="J568" s="86"/>
      <c r="K568" s="86"/>
      <c r="L568" s="86"/>
      <c r="M568" s="86"/>
      <c r="N568" s="86"/>
    </row>
    <row r="569" spans="3:14" x14ac:dyDescent="0.3">
      <c r="C569" s="84"/>
      <c r="D569" s="84"/>
      <c r="E569" s="84"/>
      <c r="F569" s="84"/>
      <c r="G569" s="85"/>
      <c r="H569" s="84"/>
      <c r="I569" s="88"/>
      <c r="J569" s="86"/>
      <c r="K569" s="86"/>
      <c r="L569" s="86"/>
      <c r="M569" s="86"/>
      <c r="N569" s="86"/>
    </row>
    <row r="570" spans="3:14" x14ac:dyDescent="0.3">
      <c r="C570" s="84"/>
      <c r="D570" s="84"/>
      <c r="E570" s="84"/>
      <c r="F570" s="84"/>
      <c r="G570" s="85"/>
      <c r="H570" s="84"/>
      <c r="I570" s="88"/>
      <c r="J570" s="86"/>
      <c r="K570" s="86"/>
      <c r="L570" s="86"/>
      <c r="M570" s="86"/>
      <c r="N570" s="86"/>
    </row>
    <row r="571" spans="3:14" x14ac:dyDescent="0.3">
      <c r="C571" s="84"/>
      <c r="D571" s="84"/>
      <c r="E571" s="84"/>
      <c r="F571" s="84"/>
      <c r="G571" s="85"/>
      <c r="H571" s="84"/>
      <c r="I571" s="88"/>
      <c r="J571" s="86"/>
      <c r="K571" s="86"/>
      <c r="L571" s="86"/>
      <c r="M571" s="86"/>
      <c r="N571" s="86"/>
    </row>
    <row r="572" spans="3:14" x14ac:dyDescent="0.3">
      <c r="C572" s="84"/>
      <c r="D572" s="84"/>
      <c r="E572" s="84"/>
      <c r="F572" s="84"/>
      <c r="G572" s="85"/>
      <c r="H572" s="84"/>
      <c r="I572" s="88"/>
      <c r="J572" s="86"/>
      <c r="K572" s="86"/>
      <c r="L572" s="86"/>
      <c r="M572" s="86"/>
      <c r="N572" s="86"/>
    </row>
    <row r="573" spans="3:14" x14ac:dyDescent="0.3">
      <c r="C573" s="84"/>
      <c r="D573" s="84"/>
      <c r="E573" s="84"/>
      <c r="F573" s="84"/>
      <c r="G573" s="85"/>
      <c r="H573" s="84"/>
      <c r="I573" s="89"/>
      <c r="J573" s="86"/>
      <c r="K573" s="86"/>
      <c r="L573" s="86"/>
      <c r="M573" s="86"/>
      <c r="N573" s="86"/>
    </row>
    <row r="574" spans="3:14" x14ac:dyDescent="0.3">
      <c r="C574" s="84"/>
      <c r="D574" s="84"/>
      <c r="E574" s="84"/>
      <c r="F574" s="84"/>
      <c r="G574" s="85"/>
      <c r="H574" s="84"/>
      <c r="I574" s="89"/>
      <c r="J574" s="86"/>
      <c r="K574" s="86"/>
      <c r="L574" s="86"/>
      <c r="M574" s="86"/>
      <c r="N574" s="86"/>
    </row>
    <row r="575" spans="3:14" x14ac:dyDescent="0.3">
      <c r="C575" s="84"/>
      <c r="D575" s="84"/>
      <c r="E575" s="84"/>
      <c r="F575" s="84"/>
      <c r="G575" s="85"/>
      <c r="H575" s="84"/>
      <c r="I575" s="89"/>
      <c r="J575" s="86"/>
      <c r="K575" s="86"/>
      <c r="L575" s="86"/>
      <c r="M575" s="86"/>
      <c r="N575" s="86"/>
    </row>
    <row r="576" spans="3:14" x14ac:dyDescent="0.3">
      <c r="C576" s="84"/>
      <c r="D576" s="84"/>
      <c r="E576" s="84"/>
      <c r="F576" s="84"/>
      <c r="G576" s="85"/>
      <c r="H576" s="84"/>
      <c r="I576" s="89"/>
      <c r="J576" s="86"/>
      <c r="K576" s="86"/>
      <c r="L576" s="86"/>
      <c r="M576" s="86"/>
      <c r="N576" s="86"/>
    </row>
    <row r="577" spans="3:14" x14ac:dyDescent="0.3">
      <c r="C577" s="84"/>
      <c r="D577" s="84"/>
      <c r="E577" s="84"/>
      <c r="F577" s="84"/>
      <c r="G577" s="85"/>
      <c r="H577" s="84"/>
      <c r="I577" s="89"/>
      <c r="J577" s="86"/>
      <c r="K577" s="86"/>
      <c r="L577" s="86"/>
      <c r="M577" s="86"/>
      <c r="N577" s="86"/>
    </row>
    <row r="578" spans="3:14" x14ac:dyDescent="0.3">
      <c r="C578" s="84"/>
      <c r="D578" s="84"/>
      <c r="E578" s="84"/>
      <c r="F578" s="84"/>
      <c r="G578" s="85"/>
      <c r="H578" s="84"/>
      <c r="I578" s="89"/>
      <c r="J578" s="86"/>
      <c r="K578" s="86"/>
      <c r="L578" s="86"/>
      <c r="M578" s="86"/>
      <c r="N578" s="86"/>
    </row>
    <row r="579" spans="3:14" x14ac:dyDescent="0.3">
      <c r="C579" s="84"/>
      <c r="D579" s="84"/>
      <c r="E579" s="84"/>
      <c r="F579" s="84"/>
      <c r="G579" s="85"/>
      <c r="H579" s="84"/>
      <c r="I579" s="89"/>
      <c r="J579" s="86"/>
      <c r="K579" s="86"/>
      <c r="L579" s="86"/>
      <c r="M579" s="86"/>
      <c r="N579" s="86"/>
    </row>
    <row r="580" spans="3:14" x14ac:dyDescent="0.3">
      <c r="C580" s="84"/>
      <c r="D580" s="84"/>
      <c r="E580" s="84"/>
      <c r="F580" s="84"/>
      <c r="G580" s="85"/>
      <c r="H580" s="84"/>
      <c r="I580" s="89"/>
      <c r="J580" s="86"/>
      <c r="K580" s="86"/>
      <c r="L580" s="86"/>
      <c r="M580" s="86"/>
      <c r="N580" s="86"/>
    </row>
    <row r="581" spans="3:14" x14ac:dyDescent="0.3">
      <c r="C581" s="84"/>
      <c r="D581" s="84"/>
      <c r="E581" s="84"/>
      <c r="F581" s="84"/>
      <c r="G581" s="85"/>
      <c r="H581" s="84"/>
      <c r="I581" s="89"/>
      <c r="J581" s="86"/>
      <c r="K581" s="86"/>
      <c r="L581" s="86"/>
      <c r="M581" s="86"/>
      <c r="N581" s="86"/>
    </row>
    <row r="582" spans="3:14" x14ac:dyDescent="0.3">
      <c r="C582" s="84"/>
      <c r="D582" s="84"/>
      <c r="E582" s="84"/>
      <c r="F582" s="84"/>
      <c r="G582" s="85"/>
      <c r="H582" s="84"/>
      <c r="I582" s="89"/>
      <c r="J582" s="86"/>
      <c r="K582" s="86"/>
      <c r="L582" s="86"/>
      <c r="M582" s="86"/>
      <c r="N582" s="86"/>
    </row>
    <row r="583" spans="3:14" x14ac:dyDescent="0.3">
      <c r="C583" s="84"/>
      <c r="D583" s="84"/>
      <c r="E583" s="84"/>
      <c r="F583" s="84"/>
      <c r="G583" s="85"/>
      <c r="H583" s="84"/>
      <c r="I583" s="8"/>
      <c r="J583" s="86"/>
      <c r="K583" s="86"/>
      <c r="L583" s="86"/>
      <c r="M583" s="86"/>
      <c r="N583" s="86"/>
    </row>
    <row r="584" spans="3:14" x14ac:dyDescent="0.3">
      <c r="C584" s="84"/>
      <c r="D584" s="84"/>
      <c r="E584" s="84"/>
      <c r="F584" s="84"/>
      <c r="G584" s="85"/>
      <c r="H584" s="84"/>
      <c r="I584" s="8"/>
      <c r="J584" s="86"/>
      <c r="K584" s="86"/>
      <c r="L584" s="86"/>
      <c r="M584" s="86"/>
      <c r="N584" s="86"/>
    </row>
    <row r="585" spans="3:14" x14ac:dyDescent="0.3">
      <c r="C585" s="84"/>
      <c r="D585" s="84"/>
      <c r="E585" s="84"/>
      <c r="F585" s="84"/>
      <c r="G585" s="85"/>
      <c r="H585" s="84"/>
      <c r="I585" s="8"/>
      <c r="J585" s="86"/>
      <c r="K585" s="86"/>
      <c r="L585" s="86"/>
      <c r="M585" s="86"/>
      <c r="N585" s="86"/>
    </row>
    <row r="586" spans="3:14" x14ac:dyDescent="0.3">
      <c r="C586" s="84"/>
      <c r="D586" s="84"/>
      <c r="E586" s="84"/>
      <c r="F586" s="84"/>
      <c r="G586" s="85"/>
      <c r="H586" s="84"/>
      <c r="I586" s="8"/>
      <c r="J586" s="86"/>
      <c r="K586" s="86"/>
      <c r="L586" s="86"/>
      <c r="M586" s="86"/>
      <c r="N586" s="86"/>
    </row>
    <row r="587" spans="3:14" x14ac:dyDescent="0.3">
      <c r="C587" s="84"/>
      <c r="D587" s="84"/>
      <c r="E587" s="84"/>
      <c r="F587" s="84"/>
      <c r="G587" s="85"/>
      <c r="H587" s="84"/>
      <c r="I587" s="8"/>
      <c r="J587" s="86"/>
      <c r="K587" s="86"/>
      <c r="L587" s="86"/>
      <c r="M587" s="86"/>
      <c r="N587" s="86"/>
    </row>
    <row r="588" spans="3:14" x14ac:dyDescent="0.3">
      <c r="C588" s="84"/>
      <c r="D588" s="84"/>
      <c r="E588" s="84"/>
      <c r="F588" s="84"/>
      <c r="G588" s="85"/>
      <c r="H588" s="84"/>
      <c r="I588" s="8"/>
      <c r="J588" s="86"/>
      <c r="K588" s="86"/>
      <c r="L588" s="86"/>
      <c r="M588" s="86"/>
      <c r="N588" s="86"/>
    </row>
    <row r="589" spans="3:14" x14ac:dyDescent="0.3">
      <c r="C589" s="84"/>
      <c r="D589" s="84"/>
      <c r="E589" s="84"/>
      <c r="F589" s="84"/>
      <c r="G589" s="85"/>
      <c r="H589" s="84"/>
      <c r="I589" s="8"/>
      <c r="J589" s="86"/>
      <c r="K589" s="86"/>
      <c r="L589" s="86"/>
      <c r="M589" s="86"/>
      <c r="N589" s="86"/>
    </row>
    <row r="590" spans="3:14" x14ac:dyDescent="0.3">
      <c r="C590" s="84"/>
      <c r="D590" s="84"/>
      <c r="E590" s="84"/>
      <c r="F590" s="84"/>
      <c r="G590" s="85"/>
      <c r="H590" s="84"/>
      <c r="I590" s="8"/>
      <c r="J590" s="86"/>
      <c r="K590" s="86"/>
      <c r="L590" s="86"/>
      <c r="M590" s="86"/>
      <c r="N590" s="86"/>
    </row>
    <row r="591" spans="3:14" x14ac:dyDescent="0.3">
      <c r="C591" s="84"/>
      <c r="D591" s="84"/>
      <c r="E591" s="84"/>
      <c r="F591" s="84"/>
      <c r="G591" s="85"/>
      <c r="H591" s="84"/>
      <c r="I591" s="8"/>
      <c r="J591" s="86"/>
      <c r="K591" s="86"/>
      <c r="L591" s="86"/>
      <c r="M591" s="86"/>
      <c r="N591" s="86"/>
    </row>
  </sheetData>
  <mergeCells count="14">
    <mergeCell ref="I8:I9"/>
    <mergeCell ref="J8:K8"/>
    <mergeCell ref="C8:C9"/>
    <mergeCell ref="D8:D9"/>
    <mergeCell ref="E8:E9"/>
    <mergeCell ref="F8:F9"/>
    <mergeCell ref="G8:H8"/>
    <mergeCell ref="C7:K7"/>
    <mergeCell ref="C6:K6"/>
    <mergeCell ref="C1:K1"/>
    <mergeCell ref="C2:K2"/>
    <mergeCell ref="C4:K4"/>
    <mergeCell ref="C5:K5"/>
    <mergeCell ref="C3:K3"/>
  </mergeCells>
  <phoneticPr fontId="5" type="noConversion"/>
  <conditionalFormatting sqref="F565:N591 F564:K564">
    <cfRule type="expression" dxfId="90" priority="1">
      <formula>$I564=""</formula>
    </cfRule>
  </conditionalFormatting>
  <conditionalFormatting sqref="C565:N949 C12:K564">
    <cfRule type="expression" dxfId="89" priority="2">
      <formula>$F12=""</formula>
    </cfRule>
  </conditionalFormatting>
  <conditionalFormatting sqref="D563 F563 D108 F108 D118 F118 H563:K563 H108:K108 H118:K118 D555 F555 H555:K555 D561 F561 H561:K561">
    <cfRule type="expression" dxfId="88" priority="13">
      <formula>#REF!=""</formula>
    </cfRule>
  </conditionalFormatting>
  <printOptions horizontalCentered="1"/>
  <pageMargins left="0.31496062992125984" right="0.31496062992125984" top="0.59055118110236227" bottom="0.86614173228346458" header="0.31496062992125984" footer="0.31496062992125984"/>
  <pageSetup scale="53" fitToHeight="100" orientation="landscape" r:id="rId1"/>
  <headerFooter>
    <oddHeader>&amp;L&amp;G&amp;C&amp;"Arial Nova,Negrita"&amp;11SUBDIRECCIÓN DE MANTENIMIENTO, LOGÍSTICA E INFRAESTRUCTURA COMPLEMENTARIA
 GERENCIA DE MANTENIMIENTO E INFRAESTRUCTURA COMPLEMENTARIA MARINA &amp;R&amp;G</oddHeader>
    <oddFooter>&amp;CPágina &amp;P de &amp;N&amp;RC. EMILIO JOSÉ SEGURA
REPRESENTANTE TÉCNICO-ADMINISTRATIVO 
BME SUBTEC S.A. de C.V.</oddFooter>
  </headerFooter>
  <rowBreaks count="8" manualBreakCount="8">
    <brk id="22" min="2" max="10" man="1"/>
    <brk id="43" min="2" max="10" man="1"/>
    <brk id="72" min="2" max="10" man="1"/>
    <brk id="126" min="2" max="10" man="1"/>
    <brk id="151" min="2" max="10" man="1"/>
    <brk id="171" min="2" max="10" man="1"/>
    <brk id="205" min="2" max="10" man="1"/>
    <brk id="217" min="2" max="10" man="1"/>
  </rowBreaks>
  <legacyDrawing r:id="rId2"/>
  <legacyDrawingHF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E453E-292E-4121-A62D-07047752ECC1}">
  <sheetPr codeName="Hoja3"/>
  <dimension ref="A1:BY2306"/>
  <sheetViews>
    <sheetView view="pageBreakPreview" topLeftCell="C542" zoomScaleNormal="90" zoomScaleSheetLayoutView="100" workbookViewId="0">
      <selection activeCell="N546" sqref="N546"/>
    </sheetView>
  </sheetViews>
  <sheetFormatPr baseColWidth="10" defaultColWidth="11.44140625" defaultRowHeight="13.8" x14ac:dyDescent="0.3"/>
  <cols>
    <col min="1" max="2" width="11.44140625" style="22"/>
    <col min="3" max="3" width="11.6640625" style="22" bestFit="1" customWidth="1"/>
    <col min="4" max="4" width="80.88671875" style="22" bestFit="1" customWidth="1"/>
    <col min="5" max="5" width="12" style="22" bestFit="1" customWidth="1"/>
    <col min="6" max="6" width="16.109375" style="22" bestFit="1" customWidth="1"/>
    <col min="7" max="7" width="13.109375" style="22" bestFit="1" customWidth="1"/>
    <col min="8" max="8" width="20.109375" style="22" bestFit="1" customWidth="1"/>
    <col min="9" max="14" width="22.88671875" style="22" bestFit="1" customWidth="1"/>
    <col min="15" max="17" width="11.44140625" style="22" bestFit="1" customWidth="1"/>
    <col min="18" max="19" width="10.44140625" style="22" bestFit="1" customWidth="1"/>
    <col min="20" max="20" width="11.109375" style="22" bestFit="1" customWidth="1"/>
    <col min="21" max="21" width="81.109375" style="22" bestFit="1" customWidth="1"/>
    <col min="22" max="22" width="11.44140625" style="22"/>
    <col min="23" max="23" width="14.33203125" style="22" bestFit="1" customWidth="1"/>
    <col min="24" max="24" width="11.44140625" style="22"/>
    <col min="25" max="25" width="12" style="22" bestFit="1" customWidth="1"/>
    <col min="26" max="26" width="81.109375" style="22" bestFit="1" customWidth="1"/>
    <col min="27" max="35" width="11.6640625" style="22" bestFit="1" customWidth="1"/>
    <col min="36" max="38" width="12.6640625" style="22" bestFit="1" customWidth="1"/>
    <col min="39" max="39" width="18.109375" style="22" bestFit="1" customWidth="1"/>
    <col min="40" max="40" width="18" style="22" bestFit="1" customWidth="1"/>
    <col min="41" max="41" width="21.88671875" style="22" bestFit="1" customWidth="1"/>
    <col min="42" max="42" width="21.6640625" style="22" bestFit="1" customWidth="1"/>
    <col min="43" max="43" width="21.88671875" style="22" bestFit="1" customWidth="1"/>
    <col min="44" max="44" width="21.6640625" style="22" bestFit="1" customWidth="1"/>
    <col min="45" max="45" width="21.88671875" style="22" bestFit="1" customWidth="1"/>
    <col min="46" max="46" width="21.6640625" style="22" bestFit="1" customWidth="1"/>
    <col min="47" max="47" width="21.88671875" style="22" bestFit="1" customWidth="1"/>
    <col min="48" max="48" width="21.6640625" style="22" bestFit="1" customWidth="1"/>
    <col min="49" max="49" width="21.88671875" style="22" bestFit="1" customWidth="1"/>
    <col min="50" max="50" width="21.6640625" style="22" bestFit="1" customWidth="1"/>
    <col min="51" max="51" width="21.88671875" style="22" bestFit="1" customWidth="1"/>
    <col min="52" max="52" width="21.6640625" style="22" bestFit="1" customWidth="1"/>
    <col min="53" max="53" width="21.88671875" style="22" bestFit="1" customWidth="1"/>
    <col min="54" max="54" width="21.6640625" style="22" bestFit="1" customWidth="1"/>
    <col min="55" max="55" width="21.88671875" style="22" bestFit="1" customWidth="1"/>
    <col min="56" max="56" width="21.6640625" style="22" bestFit="1" customWidth="1"/>
    <col min="57" max="57" width="21.88671875" style="22" bestFit="1" customWidth="1"/>
    <col min="58" max="58" width="21.6640625" style="22" bestFit="1" customWidth="1"/>
    <col min="59" max="59" width="22.88671875" style="22" bestFit="1" customWidth="1"/>
    <col min="60" max="60" width="22.6640625" style="22" bestFit="1" customWidth="1"/>
    <col min="61" max="61" width="22.88671875" style="22" bestFit="1" customWidth="1"/>
    <col min="62" max="62" width="22.6640625" style="22" bestFit="1" customWidth="1"/>
    <col min="63" max="63" width="22.88671875" style="22" bestFit="1" customWidth="1"/>
    <col min="64" max="64" width="22.6640625" style="22" bestFit="1" customWidth="1"/>
    <col min="65" max="65" width="23.33203125" style="22" bestFit="1" customWidth="1"/>
    <col min="66" max="66" width="23.109375" style="22" bestFit="1" customWidth="1"/>
    <col min="67" max="67" width="13.44140625" style="22" bestFit="1" customWidth="1"/>
    <col min="68" max="68" width="13.33203125" style="22" bestFit="1" customWidth="1"/>
    <col min="69" max="69" width="12.33203125" style="15" bestFit="1" customWidth="1"/>
    <col min="70" max="70" width="80.6640625" style="22" bestFit="1" customWidth="1"/>
    <col min="71" max="71" width="12.44140625" style="15" bestFit="1" customWidth="1"/>
    <col min="72" max="76" width="18.6640625" style="22" customWidth="1"/>
    <col min="77" max="77" width="11.5546875" style="19" customWidth="1"/>
    <col min="78" max="16384" width="11.44140625" style="22"/>
  </cols>
  <sheetData>
    <row r="1" spans="1:71" s="5" customFormat="1" ht="20.100000000000001" customHeight="1" x14ac:dyDescent="0.3">
      <c r="A1" s="16"/>
      <c r="B1" s="16"/>
      <c r="C1" s="105" t="s">
        <v>12</v>
      </c>
      <c r="D1" s="105"/>
      <c r="E1" s="105"/>
      <c r="F1" s="105"/>
      <c r="G1" s="105"/>
      <c r="H1" s="105"/>
      <c r="I1" s="105"/>
      <c r="J1" s="105"/>
      <c r="K1" s="105"/>
      <c r="L1" s="105"/>
      <c r="M1" s="105"/>
      <c r="N1" s="105"/>
      <c r="O1" s="53"/>
      <c r="P1" s="53"/>
      <c r="Q1" s="53"/>
    </row>
    <row r="2" spans="1:71" s="5" customFormat="1" ht="20.100000000000001" customHeight="1" x14ac:dyDescent="0.3">
      <c r="A2" s="16"/>
      <c r="B2" s="16"/>
      <c r="C2" s="106" t="s">
        <v>13</v>
      </c>
      <c r="D2" s="106"/>
      <c r="E2" s="106"/>
      <c r="F2" s="106"/>
      <c r="G2" s="106"/>
      <c r="H2" s="106"/>
      <c r="I2" s="106"/>
      <c r="J2" s="106"/>
      <c r="K2" s="106"/>
      <c r="L2" s="106"/>
      <c r="M2" s="106"/>
      <c r="N2" s="106"/>
      <c r="O2" s="54"/>
      <c r="P2" s="54"/>
      <c r="Q2" s="54"/>
    </row>
    <row r="3" spans="1:71" s="5" customFormat="1" ht="20.100000000000001" customHeight="1" x14ac:dyDescent="0.3">
      <c r="A3" s="16"/>
      <c r="B3" s="16"/>
      <c r="C3" s="99" t="s">
        <v>5</v>
      </c>
      <c r="D3" s="99"/>
      <c r="E3" s="99"/>
      <c r="F3" s="99"/>
      <c r="G3" s="99"/>
      <c r="H3" s="99"/>
      <c r="I3" s="99"/>
      <c r="J3" s="99"/>
      <c r="K3" s="99"/>
      <c r="L3" s="99"/>
      <c r="M3" s="99"/>
      <c r="N3" s="99"/>
      <c r="O3" s="55"/>
      <c r="P3" s="55"/>
      <c r="Q3" s="55"/>
    </row>
    <row r="4" spans="1:71" s="5" customFormat="1" ht="34.5" customHeight="1" x14ac:dyDescent="0.3">
      <c r="A4" s="85"/>
      <c r="B4" s="85"/>
      <c r="C4" s="106" t="s">
        <v>1395</v>
      </c>
      <c r="D4" s="106"/>
      <c r="E4" s="106"/>
      <c r="F4" s="106"/>
      <c r="G4" s="106"/>
      <c r="H4" s="106"/>
      <c r="I4" s="106"/>
      <c r="J4" s="106"/>
      <c r="K4" s="106"/>
      <c r="L4" s="106"/>
      <c r="M4" s="106"/>
      <c r="N4" s="106"/>
      <c r="O4" s="54"/>
      <c r="P4" s="54"/>
      <c r="Q4" s="54"/>
    </row>
    <row r="5" spans="1:71" s="5" customFormat="1" ht="33" customHeight="1" x14ac:dyDescent="0.3">
      <c r="A5" s="16"/>
      <c r="B5" s="16"/>
      <c r="C5" s="106" t="s">
        <v>7</v>
      </c>
      <c r="D5" s="106"/>
      <c r="E5" s="106"/>
      <c r="F5" s="106"/>
      <c r="G5" s="106"/>
      <c r="H5" s="106"/>
      <c r="I5" s="106"/>
      <c r="J5" s="106"/>
      <c r="K5" s="106"/>
      <c r="L5" s="106"/>
      <c r="M5" s="106"/>
      <c r="N5" s="106"/>
      <c r="O5" s="54"/>
      <c r="P5" s="54"/>
      <c r="Q5" s="54"/>
    </row>
    <row r="6" spans="1:71" s="5" customFormat="1" ht="20.100000000000001" customHeight="1" x14ac:dyDescent="0.3">
      <c r="A6" s="16"/>
      <c r="B6" s="16"/>
      <c r="C6" s="107" t="s">
        <v>9</v>
      </c>
      <c r="D6" s="107"/>
      <c r="E6" s="107"/>
      <c r="F6" s="107"/>
      <c r="G6" s="107"/>
      <c r="H6" s="107"/>
      <c r="I6" s="107"/>
      <c r="J6" s="107"/>
      <c r="K6" s="107"/>
      <c r="L6" s="107"/>
      <c r="M6" s="107"/>
      <c r="N6" s="107"/>
      <c r="O6" s="56"/>
      <c r="P6" s="56"/>
      <c r="Q6" s="56"/>
    </row>
    <row r="7" spans="1:71" s="5" customFormat="1" ht="19.95" customHeight="1" x14ac:dyDescent="0.3">
      <c r="A7" s="16"/>
      <c r="B7" s="16"/>
      <c r="C7" s="102" t="s">
        <v>8</v>
      </c>
      <c r="D7" s="102"/>
      <c r="E7" s="102"/>
      <c r="F7" s="102"/>
      <c r="G7" s="102"/>
      <c r="H7" s="102"/>
      <c r="I7" s="102"/>
      <c r="J7" s="102"/>
      <c r="K7" s="102"/>
      <c r="L7" s="102"/>
      <c r="M7" s="102"/>
      <c r="N7" s="102"/>
      <c r="O7" s="64"/>
      <c r="P7" s="64"/>
      <c r="Q7" s="64"/>
    </row>
    <row r="8" spans="1:71" s="5" customFormat="1" ht="39" customHeight="1" x14ac:dyDescent="0.3">
      <c r="A8" s="4"/>
      <c r="B8" s="4"/>
      <c r="C8" s="17" t="s">
        <v>20</v>
      </c>
      <c r="D8" s="17" t="s">
        <v>21</v>
      </c>
      <c r="E8" s="17" t="s">
        <v>22</v>
      </c>
      <c r="F8" s="18" t="s">
        <v>1396</v>
      </c>
      <c r="G8" s="17" t="s">
        <v>1397</v>
      </c>
      <c r="H8" s="7" t="s">
        <v>1398</v>
      </c>
      <c r="I8" s="17" t="s">
        <v>1399</v>
      </c>
      <c r="J8" s="17" t="s">
        <v>1400</v>
      </c>
      <c r="K8" s="17" t="s">
        <v>1401</v>
      </c>
      <c r="L8" s="17" t="s">
        <v>1402</v>
      </c>
      <c r="M8" s="17" t="s">
        <v>1403</v>
      </c>
      <c r="N8" s="17" t="s">
        <v>1404</v>
      </c>
      <c r="O8" s="66"/>
      <c r="P8" s="66"/>
      <c r="Q8" s="66"/>
    </row>
    <row r="9" spans="1:71" s="19" customFormat="1" ht="15" hidden="1" customHeight="1" x14ac:dyDescent="0.3">
      <c r="BQ9" s="20"/>
      <c r="BS9" s="20"/>
    </row>
    <row r="10" spans="1:71" s="5" customFormat="1" hidden="1" x14ac:dyDescent="0.3">
      <c r="A10" s="84"/>
      <c r="B10" s="84"/>
      <c r="C10" s="9" t="s">
        <v>20</v>
      </c>
      <c r="D10" s="9" t="s">
        <v>21</v>
      </c>
      <c r="E10" s="21" t="s">
        <v>22</v>
      </c>
      <c r="F10" s="10" t="s">
        <v>29</v>
      </c>
      <c r="G10" s="11" t="s">
        <v>30</v>
      </c>
      <c r="H10" s="11" t="s">
        <v>32</v>
      </c>
      <c r="I10" s="11" t="s">
        <v>1405</v>
      </c>
      <c r="J10" s="11" t="s">
        <v>1406</v>
      </c>
      <c r="K10" s="11" t="s">
        <v>1407</v>
      </c>
      <c r="L10" s="11" t="s">
        <v>1408</v>
      </c>
      <c r="M10" s="11" t="s">
        <v>1409</v>
      </c>
      <c r="N10" s="11" t="s">
        <v>1410</v>
      </c>
      <c r="O10" t="s">
        <v>34</v>
      </c>
      <c r="P10" t="s">
        <v>35</v>
      </c>
      <c r="Q10" t="s">
        <v>36</v>
      </c>
    </row>
    <row r="11" spans="1:71" s="5" customFormat="1" ht="48" x14ac:dyDescent="0.3">
      <c r="A11" s="84"/>
      <c r="B11" s="84"/>
      <c r="C11" s="90" t="s">
        <v>44</v>
      </c>
      <c r="D11" s="87" t="s">
        <v>45</v>
      </c>
      <c r="E11" s="91"/>
      <c r="F11" s="92"/>
      <c r="G11" s="93"/>
      <c r="H11" s="93"/>
      <c r="I11" s="93"/>
      <c r="J11" s="93"/>
      <c r="K11" s="25"/>
      <c r="L11" s="25"/>
      <c r="M11" s="25"/>
      <c r="N11" s="25"/>
      <c r="O11"/>
      <c r="P11"/>
      <c r="Q11"/>
    </row>
    <row r="12" spans="1:71" s="5" customFormat="1" ht="36" x14ac:dyDescent="0.3">
      <c r="A12" s="84"/>
      <c r="B12" s="84"/>
      <c r="C12" s="90"/>
      <c r="D12" s="87" t="s">
        <v>46</v>
      </c>
      <c r="E12" s="91"/>
      <c r="F12" s="92"/>
      <c r="G12" s="93"/>
      <c r="H12" s="93"/>
      <c r="I12" s="93"/>
      <c r="J12" s="93"/>
      <c r="K12" s="25"/>
      <c r="L12" s="25"/>
      <c r="M12" s="25"/>
      <c r="N12" s="25"/>
      <c r="O12"/>
      <c r="P12"/>
      <c r="Q12"/>
    </row>
    <row r="13" spans="1:71" s="5" customFormat="1" ht="72" x14ac:dyDescent="0.3">
      <c r="A13" s="84"/>
      <c r="B13" s="84"/>
      <c r="C13" s="90"/>
      <c r="D13" s="87" t="s">
        <v>47</v>
      </c>
      <c r="E13" s="91"/>
      <c r="F13" s="92"/>
      <c r="G13" s="93"/>
      <c r="H13" s="93"/>
      <c r="I13" s="93"/>
      <c r="J13" s="93"/>
      <c r="K13" s="25"/>
      <c r="L13" s="25"/>
      <c r="M13" s="25"/>
      <c r="N13" s="25"/>
      <c r="O13"/>
      <c r="P13"/>
      <c r="Q13"/>
    </row>
    <row r="14" spans="1:71" s="5" customFormat="1" ht="36" x14ac:dyDescent="0.3">
      <c r="A14" s="84"/>
      <c r="B14" s="84"/>
      <c r="C14" s="90" t="s">
        <v>48</v>
      </c>
      <c r="D14" s="87" t="s">
        <v>49</v>
      </c>
      <c r="E14" s="91" t="s">
        <v>50</v>
      </c>
      <c r="F14" s="92">
        <v>2.8889999999999998</v>
      </c>
      <c r="G14" s="93">
        <v>138775.26</v>
      </c>
      <c r="H14" s="93">
        <v>400921.73</v>
      </c>
      <c r="I14" s="93">
        <v>0</v>
      </c>
      <c r="J14" s="93">
        <v>0</v>
      </c>
      <c r="K14" s="25">
        <v>400921.73</v>
      </c>
      <c r="L14" s="25">
        <v>0</v>
      </c>
      <c r="M14" s="25">
        <v>0</v>
      </c>
      <c r="N14" s="25">
        <v>0</v>
      </c>
      <c r="O14"/>
      <c r="P14"/>
      <c r="Q14"/>
    </row>
    <row r="15" spans="1:71" s="5" customFormat="1" ht="36" x14ac:dyDescent="0.3">
      <c r="A15" s="84"/>
      <c r="B15" s="84"/>
      <c r="C15" s="90" t="s">
        <v>52</v>
      </c>
      <c r="D15" s="87" t="s">
        <v>53</v>
      </c>
      <c r="E15" s="91" t="s">
        <v>50</v>
      </c>
      <c r="F15" s="92">
        <v>18.3613</v>
      </c>
      <c r="G15" s="93">
        <v>185818.23999999999</v>
      </c>
      <c r="H15" s="93">
        <v>3411864.45</v>
      </c>
      <c r="I15" s="93">
        <v>0</v>
      </c>
      <c r="J15" s="93">
        <v>0</v>
      </c>
      <c r="K15" s="25">
        <v>3411864.45</v>
      </c>
      <c r="L15" s="25">
        <v>0</v>
      </c>
      <c r="M15" s="25">
        <v>0</v>
      </c>
      <c r="N15" s="25">
        <v>0</v>
      </c>
      <c r="O15"/>
      <c r="P15"/>
      <c r="Q15"/>
    </row>
    <row r="16" spans="1:71" s="5" customFormat="1" ht="72" x14ac:dyDescent="0.3">
      <c r="A16" s="84"/>
      <c r="B16" s="84"/>
      <c r="C16" s="90"/>
      <c r="D16" s="87" t="s">
        <v>55</v>
      </c>
      <c r="E16" s="91"/>
      <c r="F16" s="92"/>
      <c r="G16" s="93"/>
      <c r="H16" s="93"/>
      <c r="I16" s="93"/>
      <c r="J16" s="93"/>
      <c r="K16" s="25"/>
      <c r="L16" s="25"/>
      <c r="M16" s="25"/>
      <c r="N16" s="25"/>
      <c r="O16"/>
      <c r="P16"/>
      <c r="Q16"/>
    </row>
    <row r="17" spans="1:17" s="5" customFormat="1" ht="36" x14ac:dyDescent="0.3">
      <c r="A17" s="84"/>
      <c r="B17" s="84"/>
      <c r="C17" s="90" t="s">
        <v>56</v>
      </c>
      <c r="D17" s="87" t="s">
        <v>57</v>
      </c>
      <c r="E17" s="91" t="s">
        <v>58</v>
      </c>
      <c r="F17" s="92">
        <v>12.2</v>
      </c>
      <c r="G17" s="93">
        <v>1041.3</v>
      </c>
      <c r="H17" s="93">
        <v>12703.86</v>
      </c>
      <c r="I17" s="93">
        <v>0</v>
      </c>
      <c r="J17" s="93">
        <v>0</v>
      </c>
      <c r="K17" s="25">
        <v>0</v>
      </c>
      <c r="L17" s="25">
        <v>12703.86</v>
      </c>
      <c r="M17" s="25">
        <v>0</v>
      </c>
      <c r="N17" s="25">
        <v>0</v>
      </c>
      <c r="O17"/>
      <c r="P17"/>
      <c r="Q17"/>
    </row>
    <row r="18" spans="1:17" s="5" customFormat="1" ht="36" x14ac:dyDescent="0.3">
      <c r="A18" s="84"/>
      <c r="B18" s="84"/>
      <c r="C18" s="90" t="s">
        <v>60</v>
      </c>
      <c r="D18" s="87" t="s">
        <v>61</v>
      </c>
      <c r="E18" s="91" t="s">
        <v>58</v>
      </c>
      <c r="F18" s="92">
        <v>61</v>
      </c>
      <c r="G18" s="93">
        <v>8495.0499999999993</v>
      </c>
      <c r="H18" s="93">
        <v>518198.05</v>
      </c>
      <c r="I18" s="93">
        <v>0</v>
      </c>
      <c r="J18" s="93">
        <v>0</v>
      </c>
      <c r="K18" s="25">
        <v>518198.05</v>
      </c>
      <c r="L18" s="25">
        <v>0</v>
      </c>
      <c r="M18" s="25">
        <v>0</v>
      </c>
      <c r="N18" s="25">
        <v>0</v>
      </c>
      <c r="O18"/>
      <c r="P18"/>
      <c r="Q18"/>
    </row>
    <row r="19" spans="1:17" s="5" customFormat="1" ht="36" x14ac:dyDescent="0.3">
      <c r="A19" s="84"/>
      <c r="B19" s="84"/>
      <c r="C19" s="90"/>
      <c r="D19" s="87" t="s">
        <v>63</v>
      </c>
      <c r="E19" s="91"/>
      <c r="F19" s="92"/>
      <c r="G19" s="93"/>
      <c r="H19" s="93"/>
      <c r="I19" s="93"/>
      <c r="J19" s="93"/>
      <c r="K19" s="25"/>
      <c r="L19" s="25"/>
      <c r="M19" s="25"/>
      <c r="N19" s="25"/>
      <c r="O19"/>
      <c r="P19"/>
      <c r="Q19"/>
    </row>
    <row r="20" spans="1:17" s="5" customFormat="1" ht="60" x14ac:dyDescent="0.3">
      <c r="A20" s="84"/>
      <c r="B20" s="84"/>
      <c r="C20" s="90"/>
      <c r="D20" s="87" t="s">
        <v>64</v>
      </c>
      <c r="E20" s="91"/>
      <c r="F20" s="92"/>
      <c r="G20" s="93"/>
      <c r="H20" s="93"/>
      <c r="I20" s="93"/>
      <c r="J20" s="93"/>
      <c r="K20" s="25"/>
      <c r="L20" s="25"/>
      <c r="M20" s="25"/>
      <c r="N20" s="25"/>
      <c r="O20"/>
      <c r="P20"/>
      <c r="Q20"/>
    </row>
    <row r="21" spans="1:17" s="5" customFormat="1" ht="48" x14ac:dyDescent="0.3">
      <c r="A21" s="84"/>
      <c r="B21" s="84"/>
      <c r="C21" s="90"/>
      <c r="D21" s="87" t="s">
        <v>65</v>
      </c>
      <c r="E21" s="91"/>
      <c r="F21" s="92"/>
      <c r="G21" s="93"/>
      <c r="H21" s="93"/>
      <c r="I21" s="93"/>
      <c r="J21" s="93"/>
      <c r="K21" s="25"/>
      <c r="L21" s="25"/>
      <c r="M21" s="25"/>
      <c r="N21" s="25"/>
      <c r="O21"/>
      <c r="P21"/>
      <c r="Q21"/>
    </row>
    <row r="22" spans="1:17" s="5" customFormat="1" ht="36" x14ac:dyDescent="0.3">
      <c r="A22" s="84"/>
      <c r="B22" s="84"/>
      <c r="C22" s="90" t="s">
        <v>66</v>
      </c>
      <c r="D22" s="87" t="s">
        <v>67</v>
      </c>
      <c r="E22" s="91" t="s">
        <v>68</v>
      </c>
      <c r="F22" s="92">
        <v>9</v>
      </c>
      <c r="G22" s="93">
        <v>1406.18</v>
      </c>
      <c r="H22" s="93">
        <v>12655.62</v>
      </c>
      <c r="I22" s="93">
        <v>0</v>
      </c>
      <c r="J22" s="93">
        <v>0</v>
      </c>
      <c r="K22" s="25">
        <v>0</v>
      </c>
      <c r="L22" s="25">
        <v>12655.62</v>
      </c>
      <c r="M22" s="25">
        <v>0</v>
      </c>
      <c r="N22" s="25">
        <v>0</v>
      </c>
      <c r="O22"/>
      <c r="P22"/>
      <c r="Q22"/>
    </row>
    <row r="23" spans="1:17" s="5" customFormat="1" ht="60" x14ac:dyDescent="0.3">
      <c r="A23" s="84"/>
      <c r="B23" s="84"/>
      <c r="C23" s="90"/>
      <c r="D23" s="87" t="s">
        <v>70</v>
      </c>
      <c r="E23" s="91"/>
      <c r="F23" s="92"/>
      <c r="G23" s="93"/>
      <c r="H23" s="93"/>
      <c r="I23" s="93"/>
      <c r="J23" s="93"/>
      <c r="K23" s="25"/>
      <c r="L23" s="25"/>
      <c r="M23" s="25"/>
      <c r="N23" s="25"/>
      <c r="O23"/>
      <c r="P23"/>
      <c r="Q23"/>
    </row>
    <row r="24" spans="1:17" s="5" customFormat="1" ht="48" x14ac:dyDescent="0.3">
      <c r="A24" s="84"/>
      <c r="B24" s="84"/>
      <c r="C24" s="90" t="s">
        <v>71</v>
      </c>
      <c r="D24" s="87" t="s">
        <v>72</v>
      </c>
      <c r="E24" s="91" t="s">
        <v>68</v>
      </c>
      <c r="F24" s="92">
        <v>35</v>
      </c>
      <c r="G24" s="93">
        <v>8335.35</v>
      </c>
      <c r="H24" s="93">
        <v>291737.25</v>
      </c>
      <c r="I24" s="93">
        <v>0</v>
      </c>
      <c r="J24" s="93">
        <v>166707</v>
      </c>
      <c r="K24" s="25">
        <v>125030.25</v>
      </c>
      <c r="L24" s="25">
        <v>0</v>
      </c>
      <c r="M24" s="25">
        <v>0</v>
      </c>
      <c r="N24" s="25">
        <v>0</v>
      </c>
      <c r="O24"/>
      <c r="P24"/>
      <c r="Q24"/>
    </row>
    <row r="25" spans="1:17" s="5" customFormat="1" ht="48" x14ac:dyDescent="0.3">
      <c r="A25" s="84"/>
      <c r="B25" s="84"/>
      <c r="C25" s="90" t="s">
        <v>74</v>
      </c>
      <c r="D25" s="87" t="s">
        <v>75</v>
      </c>
      <c r="E25" s="91" t="s">
        <v>68</v>
      </c>
      <c r="F25" s="92">
        <v>1</v>
      </c>
      <c r="G25" s="93">
        <v>57574.73</v>
      </c>
      <c r="H25" s="93">
        <v>57574.73</v>
      </c>
      <c r="I25" s="93">
        <v>0</v>
      </c>
      <c r="J25" s="93">
        <v>57574.73</v>
      </c>
      <c r="K25" s="25">
        <v>0</v>
      </c>
      <c r="L25" s="25">
        <v>0</v>
      </c>
      <c r="M25" s="25">
        <v>0</v>
      </c>
      <c r="N25" s="25">
        <v>0</v>
      </c>
      <c r="O25"/>
      <c r="P25"/>
      <c r="Q25"/>
    </row>
    <row r="26" spans="1:17" s="5" customFormat="1" ht="48" x14ac:dyDescent="0.3">
      <c r="A26" s="84"/>
      <c r="B26" s="84"/>
      <c r="C26" s="90"/>
      <c r="D26" s="87" t="s">
        <v>77</v>
      </c>
      <c r="E26" s="91"/>
      <c r="F26" s="92"/>
      <c r="G26" s="93"/>
      <c r="H26" s="93"/>
      <c r="I26" s="93"/>
      <c r="J26" s="93"/>
      <c r="K26" s="25"/>
      <c r="L26" s="25"/>
      <c r="M26" s="25"/>
      <c r="N26" s="25"/>
      <c r="O26"/>
      <c r="P26"/>
      <c r="Q26"/>
    </row>
    <row r="27" spans="1:17" s="5" customFormat="1" ht="60" x14ac:dyDescent="0.3">
      <c r="A27" s="84"/>
      <c r="B27" s="84"/>
      <c r="C27" s="90" t="s">
        <v>78</v>
      </c>
      <c r="D27" s="87" t="s">
        <v>79</v>
      </c>
      <c r="E27" s="91" t="s">
        <v>68</v>
      </c>
      <c r="F27" s="92">
        <v>35</v>
      </c>
      <c r="G27" s="93">
        <v>62216.639999999999</v>
      </c>
      <c r="H27" s="93">
        <v>2177582.4</v>
      </c>
      <c r="I27" s="93">
        <v>0</v>
      </c>
      <c r="J27" s="93">
        <v>0</v>
      </c>
      <c r="K27" s="25">
        <v>1244332.8</v>
      </c>
      <c r="L27" s="25">
        <v>933249.6</v>
      </c>
      <c r="M27" s="25">
        <v>0</v>
      </c>
      <c r="N27" s="25">
        <v>0</v>
      </c>
      <c r="O27"/>
      <c r="P27"/>
      <c r="Q27"/>
    </row>
    <row r="28" spans="1:17" s="5" customFormat="1" ht="48" x14ac:dyDescent="0.3">
      <c r="A28" s="84"/>
      <c r="B28" s="84"/>
      <c r="C28" s="90"/>
      <c r="D28" s="87" t="s">
        <v>81</v>
      </c>
      <c r="E28" s="91"/>
      <c r="F28" s="92"/>
      <c r="G28" s="93"/>
      <c r="H28" s="93"/>
      <c r="I28" s="93"/>
      <c r="J28" s="93"/>
      <c r="K28" s="25"/>
      <c r="L28" s="25"/>
      <c r="M28" s="25"/>
      <c r="N28" s="25"/>
      <c r="O28"/>
      <c r="P28"/>
      <c r="Q28"/>
    </row>
    <row r="29" spans="1:17" s="5" customFormat="1" ht="36" x14ac:dyDescent="0.3">
      <c r="A29" s="84"/>
      <c r="B29" s="84"/>
      <c r="C29" s="90" t="s">
        <v>82</v>
      </c>
      <c r="D29" s="87" t="s">
        <v>83</v>
      </c>
      <c r="E29" s="91" t="s">
        <v>68</v>
      </c>
      <c r="F29" s="92">
        <v>28</v>
      </c>
      <c r="G29" s="93">
        <v>4324.79</v>
      </c>
      <c r="H29" s="93">
        <v>121094.12</v>
      </c>
      <c r="I29" s="93">
        <v>0</v>
      </c>
      <c r="J29" s="93">
        <v>0</v>
      </c>
      <c r="K29" s="25">
        <v>121094.12</v>
      </c>
      <c r="L29" s="25">
        <v>0</v>
      </c>
      <c r="M29" s="25">
        <v>0</v>
      </c>
      <c r="N29" s="25">
        <v>0</v>
      </c>
      <c r="O29"/>
      <c r="P29"/>
      <c r="Q29"/>
    </row>
    <row r="30" spans="1:17" s="5" customFormat="1" ht="36" x14ac:dyDescent="0.3">
      <c r="A30" s="84"/>
      <c r="B30" s="84"/>
      <c r="C30" s="90" t="s">
        <v>85</v>
      </c>
      <c r="D30" s="87" t="s">
        <v>86</v>
      </c>
      <c r="E30" s="91" t="s">
        <v>68</v>
      </c>
      <c r="F30" s="92">
        <v>1</v>
      </c>
      <c r="G30" s="93">
        <v>20832.259999999998</v>
      </c>
      <c r="H30" s="93">
        <v>20832.259999999998</v>
      </c>
      <c r="I30" s="93">
        <v>0</v>
      </c>
      <c r="J30" s="93">
        <v>0</v>
      </c>
      <c r="K30" s="25">
        <v>20832.259999999998</v>
      </c>
      <c r="L30" s="25">
        <v>0</v>
      </c>
      <c r="M30" s="25">
        <v>0</v>
      </c>
      <c r="N30" s="25">
        <v>0</v>
      </c>
      <c r="O30"/>
      <c r="P30"/>
      <c r="Q30"/>
    </row>
    <row r="31" spans="1:17" s="5" customFormat="1" ht="48" x14ac:dyDescent="0.3">
      <c r="A31" s="84"/>
      <c r="B31" s="84"/>
      <c r="C31" s="90"/>
      <c r="D31" s="87" t="s">
        <v>88</v>
      </c>
      <c r="E31" s="91"/>
      <c r="F31" s="92"/>
      <c r="G31" s="93"/>
      <c r="H31" s="93"/>
      <c r="I31" s="93"/>
      <c r="J31" s="93"/>
      <c r="K31" s="25"/>
      <c r="L31" s="25"/>
      <c r="M31" s="25"/>
      <c r="N31" s="25"/>
      <c r="O31"/>
      <c r="P31"/>
      <c r="Q31"/>
    </row>
    <row r="32" spans="1:17" s="5" customFormat="1" ht="36" x14ac:dyDescent="0.3">
      <c r="A32" s="84"/>
      <c r="B32" s="84"/>
      <c r="C32" s="90" t="s">
        <v>89</v>
      </c>
      <c r="D32" s="87" t="s">
        <v>90</v>
      </c>
      <c r="E32" s="91" t="s">
        <v>68</v>
      </c>
      <c r="F32" s="92">
        <v>13</v>
      </c>
      <c r="G32" s="93">
        <v>12501.98</v>
      </c>
      <c r="H32" s="93">
        <v>162525.74</v>
      </c>
      <c r="I32" s="93">
        <v>0</v>
      </c>
      <c r="J32" s="93">
        <v>0</v>
      </c>
      <c r="K32" s="25">
        <v>0</v>
      </c>
      <c r="L32" s="25">
        <v>162525.74</v>
      </c>
      <c r="M32" s="25">
        <v>0</v>
      </c>
      <c r="N32" s="25">
        <v>0</v>
      </c>
      <c r="O32"/>
      <c r="P32"/>
      <c r="Q32"/>
    </row>
    <row r="33" spans="1:17" s="5" customFormat="1" ht="36" x14ac:dyDescent="0.3">
      <c r="A33" s="84"/>
      <c r="B33" s="84"/>
      <c r="C33" s="90"/>
      <c r="D33" s="87" t="s">
        <v>92</v>
      </c>
      <c r="E33" s="91"/>
      <c r="F33" s="92"/>
      <c r="G33" s="93"/>
      <c r="H33" s="93"/>
      <c r="I33" s="93"/>
      <c r="J33" s="93"/>
      <c r="K33" s="25"/>
      <c r="L33" s="25"/>
      <c r="M33" s="25"/>
      <c r="N33" s="25"/>
      <c r="O33"/>
      <c r="P33"/>
      <c r="Q33"/>
    </row>
    <row r="34" spans="1:17" s="5" customFormat="1" ht="48" x14ac:dyDescent="0.3">
      <c r="A34" s="84"/>
      <c r="B34" s="84"/>
      <c r="C34" s="90" t="s">
        <v>93</v>
      </c>
      <c r="D34" s="87" t="s">
        <v>94</v>
      </c>
      <c r="E34" s="91" t="s">
        <v>68</v>
      </c>
      <c r="F34" s="92">
        <v>6</v>
      </c>
      <c r="G34" s="93">
        <v>7468.94</v>
      </c>
      <c r="H34" s="93">
        <v>44813.64</v>
      </c>
      <c r="I34" s="93">
        <v>0</v>
      </c>
      <c r="J34" s="93">
        <v>0</v>
      </c>
      <c r="K34" s="25">
        <v>0</v>
      </c>
      <c r="L34" s="25">
        <v>44813.64</v>
      </c>
      <c r="M34" s="25">
        <v>0</v>
      </c>
      <c r="N34" s="25">
        <v>0</v>
      </c>
      <c r="O34"/>
      <c r="P34"/>
      <c r="Q34"/>
    </row>
    <row r="35" spans="1:17" s="5" customFormat="1" ht="48" x14ac:dyDescent="0.3">
      <c r="A35" s="84"/>
      <c r="B35" s="84"/>
      <c r="C35" s="90"/>
      <c r="D35" s="87" t="s">
        <v>96</v>
      </c>
      <c r="E35" s="91"/>
      <c r="F35" s="92"/>
      <c r="G35" s="93"/>
      <c r="H35" s="93"/>
      <c r="I35" s="93"/>
      <c r="J35" s="93"/>
      <c r="K35" s="25"/>
      <c r="L35" s="25"/>
      <c r="M35" s="25"/>
      <c r="N35" s="25"/>
      <c r="O35"/>
      <c r="P35"/>
      <c r="Q35"/>
    </row>
    <row r="36" spans="1:17" s="5" customFormat="1" ht="48" x14ac:dyDescent="0.3">
      <c r="A36" s="84"/>
      <c r="B36" s="84"/>
      <c r="C36" s="90" t="s">
        <v>97</v>
      </c>
      <c r="D36" s="87" t="s">
        <v>98</v>
      </c>
      <c r="E36" s="91" t="s">
        <v>68</v>
      </c>
      <c r="F36" s="92">
        <v>6</v>
      </c>
      <c r="G36" s="93">
        <v>852.04</v>
      </c>
      <c r="H36" s="93">
        <v>5112.24</v>
      </c>
      <c r="I36" s="93">
        <v>0</v>
      </c>
      <c r="J36" s="93">
        <v>0</v>
      </c>
      <c r="K36" s="25">
        <v>0</v>
      </c>
      <c r="L36" s="25">
        <v>5112.24</v>
      </c>
      <c r="M36" s="25">
        <v>0</v>
      </c>
      <c r="N36" s="25">
        <v>0</v>
      </c>
      <c r="O36"/>
      <c r="P36"/>
      <c r="Q36"/>
    </row>
    <row r="37" spans="1:17" s="5" customFormat="1" ht="48" x14ac:dyDescent="0.3">
      <c r="A37" s="84"/>
      <c r="B37" s="84"/>
      <c r="C37" s="90" t="s">
        <v>100</v>
      </c>
      <c r="D37" s="87" t="s">
        <v>101</v>
      </c>
      <c r="E37" s="91" t="s">
        <v>68</v>
      </c>
      <c r="F37" s="92">
        <v>4</v>
      </c>
      <c r="G37" s="93">
        <v>1464.36</v>
      </c>
      <c r="H37" s="93">
        <v>5857.44</v>
      </c>
      <c r="I37" s="93">
        <v>0</v>
      </c>
      <c r="J37" s="93">
        <v>0</v>
      </c>
      <c r="K37" s="25">
        <v>0</v>
      </c>
      <c r="L37" s="25">
        <v>5857.44</v>
      </c>
      <c r="M37" s="25">
        <v>0</v>
      </c>
      <c r="N37" s="25">
        <v>0</v>
      </c>
      <c r="O37"/>
      <c r="P37"/>
      <c r="Q37"/>
    </row>
    <row r="38" spans="1:17" s="5" customFormat="1" ht="48" x14ac:dyDescent="0.3">
      <c r="A38" s="84"/>
      <c r="B38" s="84"/>
      <c r="C38" s="90"/>
      <c r="D38" s="87" t="s">
        <v>103</v>
      </c>
      <c r="E38" s="91"/>
      <c r="F38" s="92"/>
      <c r="G38" s="93"/>
      <c r="H38" s="93"/>
      <c r="I38" s="93"/>
      <c r="J38" s="93"/>
      <c r="K38" s="25"/>
      <c r="L38" s="25"/>
      <c r="M38" s="25"/>
      <c r="N38" s="25"/>
      <c r="O38"/>
      <c r="P38"/>
      <c r="Q38"/>
    </row>
    <row r="39" spans="1:17" s="5" customFormat="1" ht="60" x14ac:dyDescent="0.3">
      <c r="A39" s="84"/>
      <c r="B39" s="84"/>
      <c r="C39" s="90" t="s">
        <v>104</v>
      </c>
      <c r="D39" s="87" t="s">
        <v>105</v>
      </c>
      <c r="E39" s="91" t="s">
        <v>68</v>
      </c>
      <c r="F39" s="92">
        <v>18</v>
      </c>
      <c r="G39" s="93">
        <v>5320.09</v>
      </c>
      <c r="H39" s="93">
        <v>95761.62</v>
      </c>
      <c r="I39" s="93">
        <v>0</v>
      </c>
      <c r="J39" s="93">
        <v>0</v>
      </c>
      <c r="K39" s="25">
        <v>0</v>
      </c>
      <c r="L39" s="25">
        <v>95761.62</v>
      </c>
      <c r="M39" s="25">
        <v>0</v>
      </c>
      <c r="N39" s="25">
        <v>0</v>
      </c>
      <c r="O39"/>
      <c r="P39"/>
      <c r="Q39"/>
    </row>
    <row r="40" spans="1:17" s="5" customFormat="1" ht="48" x14ac:dyDescent="0.3">
      <c r="A40" s="84"/>
      <c r="B40" s="84"/>
      <c r="C40" s="90"/>
      <c r="D40" s="87" t="s">
        <v>107</v>
      </c>
      <c r="E40" s="91"/>
      <c r="F40" s="92"/>
      <c r="G40" s="93"/>
      <c r="H40" s="93"/>
      <c r="I40" s="93"/>
      <c r="J40" s="93"/>
      <c r="K40" s="25"/>
      <c r="L40" s="25"/>
      <c r="M40" s="25"/>
      <c r="N40" s="25"/>
      <c r="O40"/>
      <c r="P40"/>
      <c r="Q40"/>
    </row>
    <row r="41" spans="1:17" s="5" customFormat="1" ht="36" x14ac:dyDescent="0.3">
      <c r="A41" s="84"/>
      <c r="B41" s="84"/>
      <c r="C41" s="90" t="s">
        <v>108</v>
      </c>
      <c r="D41" s="87" t="s">
        <v>109</v>
      </c>
      <c r="E41" s="91" t="s">
        <v>50</v>
      </c>
      <c r="F41" s="92">
        <v>2.15</v>
      </c>
      <c r="G41" s="93">
        <v>128025</v>
      </c>
      <c r="H41" s="93">
        <v>275253.75</v>
      </c>
      <c r="I41" s="93">
        <v>275253.75</v>
      </c>
      <c r="J41" s="93">
        <v>0</v>
      </c>
      <c r="K41" s="25">
        <v>0</v>
      </c>
      <c r="L41" s="25">
        <v>0</v>
      </c>
      <c r="M41" s="25">
        <v>0</v>
      </c>
      <c r="N41" s="25">
        <v>0</v>
      </c>
      <c r="O41"/>
      <c r="P41"/>
      <c r="Q41"/>
    </row>
    <row r="42" spans="1:17" s="5" customFormat="1" ht="36" x14ac:dyDescent="0.3">
      <c r="A42" s="84"/>
      <c r="B42" s="84"/>
      <c r="C42" s="90" t="s">
        <v>111</v>
      </c>
      <c r="D42" s="87" t="s">
        <v>112</v>
      </c>
      <c r="E42" s="91" t="s">
        <v>50</v>
      </c>
      <c r="F42" s="92">
        <v>1.6420999999999999</v>
      </c>
      <c r="G42" s="93">
        <v>152996.70000000001</v>
      </c>
      <c r="H42" s="93">
        <v>251235.88</v>
      </c>
      <c r="I42" s="93">
        <v>0</v>
      </c>
      <c r="J42" s="93">
        <v>251235.88</v>
      </c>
      <c r="K42" s="25">
        <v>0</v>
      </c>
      <c r="L42" s="25">
        <v>0</v>
      </c>
      <c r="M42" s="25">
        <v>0</v>
      </c>
      <c r="N42" s="25">
        <v>0</v>
      </c>
      <c r="O42"/>
      <c r="P42"/>
      <c r="Q42"/>
    </row>
    <row r="43" spans="1:17" s="5" customFormat="1" ht="48" x14ac:dyDescent="0.3">
      <c r="A43" s="84"/>
      <c r="B43" s="84"/>
      <c r="C43" s="90"/>
      <c r="D43" s="87" t="s">
        <v>114</v>
      </c>
      <c r="E43" s="91"/>
      <c r="F43" s="92"/>
      <c r="G43" s="93"/>
      <c r="H43" s="93"/>
      <c r="I43" s="93"/>
      <c r="J43" s="93"/>
      <c r="K43" s="25"/>
      <c r="L43" s="25"/>
      <c r="M43" s="25"/>
      <c r="N43" s="25"/>
      <c r="O43"/>
      <c r="P43"/>
      <c r="Q43"/>
    </row>
    <row r="44" spans="1:17" s="5" customFormat="1" ht="36" x14ac:dyDescent="0.3">
      <c r="A44" s="84"/>
      <c r="B44" s="84"/>
      <c r="C44" s="90" t="s">
        <v>115</v>
      </c>
      <c r="D44" s="87" t="s">
        <v>116</v>
      </c>
      <c r="E44" s="91" t="s">
        <v>50</v>
      </c>
      <c r="F44" s="92">
        <v>1.46</v>
      </c>
      <c r="G44" s="93">
        <v>169137.19</v>
      </c>
      <c r="H44" s="93">
        <v>246940.3</v>
      </c>
      <c r="I44" s="93">
        <v>0</v>
      </c>
      <c r="J44" s="93">
        <v>0</v>
      </c>
      <c r="K44" s="25">
        <v>0</v>
      </c>
      <c r="L44" s="25">
        <v>246940.3</v>
      </c>
      <c r="M44" s="25">
        <v>0</v>
      </c>
      <c r="N44" s="25">
        <v>0</v>
      </c>
      <c r="O44"/>
      <c r="P44"/>
      <c r="Q44"/>
    </row>
    <row r="45" spans="1:17" s="5" customFormat="1" ht="36" x14ac:dyDescent="0.3">
      <c r="A45" s="84"/>
      <c r="B45" s="84"/>
      <c r="C45" s="90" t="s">
        <v>118</v>
      </c>
      <c r="D45" s="87" t="s">
        <v>119</v>
      </c>
      <c r="E45" s="91" t="s">
        <v>50</v>
      </c>
      <c r="F45" s="92">
        <v>0.25890000000000002</v>
      </c>
      <c r="G45" s="93">
        <v>157943.45000000001</v>
      </c>
      <c r="H45" s="93">
        <v>40891.56</v>
      </c>
      <c r="I45" s="93">
        <v>0</v>
      </c>
      <c r="J45" s="93">
        <v>0</v>
      </c>
      <c r="K45" s="25">
        <v>40891.56</v>
      </c>
      <c r="L45" s="25">
        <v>0</v>
      </c>
      <c r="M45" s="25">
        <v>0</v>
      </c>
      <c r="N45" s="25">
        <v>0</v>
      </c>
      <c r="O45"/>
      <c r="P45"/>
      <c r="Q45"/>
    </row>
    <row r="46" spans="1:17" s="5" customFormat="1" ht="36" x14ac:dyDescent="0.3">
      <c r="A46" s="84"/>
      <c r="B46" s="84"/>
      <c r="C46" s="90" t="s">
        <v>121</v>
      </c>
      <c r="D46" s="87" t="s">
        <v>122</v>
      </c>
      <c r="E46" s="91" t="s">
        <v>50</v>
      </c>
      <c r="F46" s="92">
        <v>1.49E-2</v>
      </c>
      <c r="G46" s="93">
        <v>127908.76</v>
      </c>
      <c r="H46" s="93">
        <v>1905.84</v>
      </c>
      <c r="I46" s="93">
        <v>0</v>
      </c>
      <c r="J46" s="93">
        <v>0</v>
      </c>
      <c r="K46" s="25">
        <v>1905.84</v>
      </c>
      <c r="L46" s="25">
        <v>0</v>
      </c>
      <c r="M46" s="25">
        <v>0</v>
      </c>
      <c r="N46" s="25">
        <v>0</v>
      </c>
      <c r="O46"/>
      <c r="P46"/>
      <c r="Q46"/>
    </row>
    <row r="47" spans="1:17" s="5" customFormat="1" ht="36" x14ac:dyDescent="0.3">
      <c r="A47" s="84"/>
      <c r="B47" s="84"/>
      <c r="C47" s="90" t="s">
        <v>124</v>
      </c>
      <c r="D47" s="87" t="s">
        <v>125</v>
      </c>
      <c r="E47" s="91" t="s">
        <v>50</v>
      </c>
      <c r="F47" s="92">
        <v>0.2102</v>
      </c>
      <c r="G47" s="93">
        <v>135035.84</v>
      </c>
      <c r="H47" s="93">
        <v>28384.53</v>
      </c>
      <c r="I47" s="93">
        <v>0</v>
      </c>
      <c r="J47" s="93">
        <v>0</v>
      </c>
      <c r="K47" s="25">
        <v>28384.53</v>
      </c>
      <c r="L47" s="25">
        <v>0</v>
      </c>
      <c r="M47" s="25">
        <v>0</v>
      </c>
      <c r="N47" s="25">
        <v>0</v>
      </c>
      <c r="O47"/>
      <c r="P47"/>
      <c r="Q47"/>
    </row>
    <row r="48" spans="1:17" s="5" customFormat="1" ht="36" x14ac:dyDescent="0.3">
      <c r="A48" s="84"/>
      <c r="B48" s="84"/>
      <c r="C48" s="90" t="s">
        <v>127</v>
      </c>
      <c r="D48" s="87" t="s">
        <v>128</v>
      </c>
      <c r="E48" s="91" t="s">
        <v>50</v>
      </c>
      <c r="F48" s="92">
        <v>0.66600000000000004</v>
      </c>
      <c r="G48" s="93">
        <v>135572.14000000001</v>
      </c>
      <c r="H48" s="93">
        <v>90291.05</v>
      </c>
      <c r="I48" s="93">
        <v>0</v>
      </c>
      <c r="J48" s="93">
        <v>0</v>
      </c>
      <c r="K48" s="25">
        <v>90291.05</v>
      </c>
      <c r="L48" s="25">
        <v>0</v>
      </c>
      <c r="M48" s="25">
        <v>0</v>
      </c>
      <c r="N48" s="25">
        <v>0</v>
      </c>
      <c r="O48"/>
      <c r="P48"/>
      <c r="Q48"/>
    </row>
    <row r="49" spans="1:17" s="5" customFormat="1" ht="36" x14ac:dyDescent="0.3">
      <c r="A49" s="84"/>
      <c r="B49" s="84"/>
      <c r="C49" s="90" t="s">
        <v>130</v>
      </c>
      <c r="D49" s="87" t="s">
        <v>131</v>
      </c>
      <c r="E49" s="91" t="s">
        <v>50</v>
      </c>
      <c r="F49" s="92">
        <v>1.46</v>
      </c>
      <c r="G49" s="93">
        <v>123048.23</v>
      </c>
      <c r="H49" s="93">
        <v>179650.42</v>
      </c>
      <c r="I49" s="93">
        <v>0</v>
      </c>
      <c r="J49" s="93">
        <v>179650.42</v>
      </c>
      <c r="K49" s="25">
        <v>0</v>
      </c>
      <c r="L49" s="25">
        <v>0</v>
      </c>
      <c r="M49" s="25">
        <v>0</v>
      </c>
      <c r="N49" s="25">
        <v>0</v>
      </c>
      <c r="O49"/>
      <c r="P49"/>
      <c r="Q49"/>
    </row>
    <row r="50" spans="1:17" s="5" customFormat="1" ht="36" x14ac:dyDescent="0.3">
      <c r="A50" s="84"/>
      <c r="B50" s="84"/>
      <c r="C50" s="90" t="s">
        <v>133</v>
      </c>
      <c r="D50" s="87" t="s">
        <v>109</v>
      </c>
      <c r="E50" s="91" t="s">
        <v>50</v>
      </c>
      <c r="F50" s="92">
        <v>3.097</v>
      </c>
      <c r="G50" s="93">
        <v>118810.34</v>
      </c>
      <c r="H50" s="93">
        <v>367955.62</v>
      </c>
      <c r="I50" s="93">
        <v>0</v>
      </c>
      <c r="J50" s="93">
        <v>0</v>
      </c>
      <c r="K50" s="25">
        <v>367955.62</v>
      </c>
      <c r="L50" s="25">
        <v>0</v>
      </c>
      <c r="M50" s="25">
        <v>0</v>
      </c>
      <c r="N50" s="25">
        <v>0</v>
      </c>
      <c r="O50"/>
      <c r="P50"/>
      <c r="Q50"/>
    </row>
    <row r="51" spans="1:17" s="5" customFormat="1" ht="36" x14ac:dyDescent="0.3">
      <c r="A51" s="84"/>
      <c r="B51" s="84"/>
      <c r="C51" s="90" t="s">
        <v>135</v>
      </c>
      <c r="D51" s="87" t="s">
        <v>136</v>
      </c>
      <c r="E51" s="91" t="s">
        <v>50</v>
      </c>
      <c r="F51" s="92">
        <v>0.51300000000000001</v>
      </c>
      <c r="G51" s="93">
        <v>107808.48</v>
      </c>
      <c r="H51" s="93">
        <v>55305.75</v>
      </c>
      <c r="I51" s="93">
        <v>0</v>
      </c>
      <c r="J51" s="93">
        <v>0</v>
      </c>
      <c r="K51" s="25">
        <v>55305.75</v>
      </c>
      <c r="L51" s="25">
        <v>0</v>
      </c>
      <c r="M51" s="25">
        <v>0</v>
      </c>
      <c r="N51" s="25">
        <v>0</v>
      </c>
      <c r="O51"/>
      <c r="P51"/>
      <c r="Q51"/>
    </row>
    <row r="52" spans="1:17" s="5" customFormat="1" ht="36" x14ac:dyDescent="0.3">
      <c r="A52" s="84"/>
      <c r="B52" s="84"/>
      <c r="C52" s="90" t="s">
        <v>138</v>
      </c>
      <c r="D52" s="87" t="s">
        <v>139</v>
      </c>
      <c r="E52" s="91" t="s">
        <v>50</v>
      </c>
      <c r="F52" s="92">
        <v>1.91</v>
      </c>
      <c r="G52" s="93">
        <v>139360.56</v>
      </c>
      <c r="H52" s="93">
        <v>266178.67</v>
      </c>
      <c r="I52" s="93">
        <v>266178.67</v>
      </c>
      <c r="J52" s="93">
        <v>0</v>
      </c>
      <c r="K52" s="25">
        <v>0</v>
      </c>
      <c r="L52" s="25">
        <v>0</v>
      </c>
      <c r="M52" s="25">
        <v>0</v>
      </c>
      <c r="N52" s="25">
        <v>0</v>
      </c>
      <c r="O52"/>
      <c r="P52"/>
      <c r="Q52"/>
    </row>
    <row r="53" spans="1:17" s="5" customFormat="1" ht="48" x14ac:dyDescent="0.3">
      <c r="A53" s="84"/>
      <c r="B53" s="84"/>
      <c r="C53" s="90"/>
      <c r="D53" s="87" t="s">
        <v>141</v>
      </c>
      <c r="E53" s="91"/>
      <c r="F53" s="92"/>
      <c r="G53" s="93"/>
      <c r="H53" s="93"/>
      <c r="I53" s="93"/>
      <c r="J53" s="93"/>
      <c r="K53" s="25"/>
      <c r="L53" s="25"/>
      <c r="M53" s="25"/>
      <c r="N53" s="25"/>
      <c r="O53"/>
      <c r="P53"/>
      <c r="Q53"/>
    </row>
    <row r="54" spans="1:17" s="5" customFormat="1" ht="36" x14ac:dyDescent="0.3">
      <c r="A54" s="84"/>
      <c r="B54" s="84"/>
      <c r="C54" s="90" t="s">
        <v>142</v>
      </c>
      <c r="D54" s="87" t="s">
        <v>143</v>
      </c>
      <c r="E54" s="91" t="s">
        <v>50</v>
      </c>
      <c r="F54" s="92">
        <v>2.3300000000000001E-2</v>
      </c>
      <c r="G54" s="93">
        <v>64499.89</v>
      </c>
      <c r="H54" s="93">
        <v>1502.85</v>
      </c>
      <c r="I54" s="93">
        <v>0</v>
      </c>
      <c r="J54" s="93">
        <v>0</v>
      </c>
      <c r="K54" s="25">
        <v>1502.85</v>
      </c>
      <c r="L54" s="25">
        <v>0</v>
      </c>
      <c r="M54" s="25">
        <v>0</v>
      </c>
      <c r="N54" s="25">
        <v>0</v>
      </c>
      <c r="O54"/>
      <c r="P54"/>
      <c r="Q54"/>
    </row>
    <row r="55" spans="1:17" s="5" customFormat="1" ht="36" x14ac:dyDescent="0.3">
      <c r="A55" s="84"/>
      <c r="B55" s="84"/>
      <c r="C55" s="90" t="s">
        <v>145</v>
      </c>
      <c r="D55" s="87" t="s">
        <v>146</v>
      </c>
      <c r="E55" s="91" t="s">
        <v>50</v>
      </c>
      <c r="F55" s="92">
        <v>0.7</v>
      </c>
      <c r="G55" s="93">
        <v>63658.3</v>
      </c>
      <c r="H55" s="93">
        <v>44560.81</v>
      </c>
      <c r="I55" s="93">
        <v>0</v>
      </c>
      <c r="J55" s="93">
        <v>0</v>
      </c>
      <c r="K55" s="25">
        <v>44560.81</v>
      </c>
      <c r="L55" s="25">
        <v>0</v>
      </c>
      <c r="M55" s="25">
        <v>0</v>
      </c>
      <c r="N55" s="25">
        <v>0</v>
      </c>
      <c r="O55"/>
      <c r="P55"/>
      <c r="Q55"/>
    </row>
    <row r="56" spans="1:17" s="5" customFormat="1" ht="36" x14ac:dyDescent="0.3">
      <c r="A56" s="84"/>
      <c r="B56" s="84"/>
      <c r="C56" s="90" t="s">
        <v>148</v>
      </c>
      <c r="D56" s="87" t="s">
        <v>149</v>
      </c>
      <c r="E56" s="91" t="s">
        <v>50</v>
      </c>
      <c r="F56" s="92">
        <v>4.4900000000000002E-2</v>
      </c>
      <c r="G56" s="93">
        <v>63587.51</v>
      </c>
      <c r="H56" s="93">
        <v>2855.08</v>
      </c>
      <c r="I56" s="93">
        <v>0</v>
      </c>
      <c r="J56" s="93">
        <v>0</v>
      </c>
      <c r="K56" s="25">
        <v>2855.08</v>
      </c>
      <c r="L56" s="25">
        <v>0</v>
      </c>
      <c r="M56" s="25">
        <v>0</v>
      </c>
      <c r="N56" s="25">
        <v>0</v>
      </c>
      <c r="O56"/>
      <c r="P56"/>
      <c r="Q56"/>
    </row>
    <row r="57" spans="1:17" s="5" customFormat="1" ht="36" x14ac:dyDescent="0.3">
      <c r="A57" s="84"/>
      <c r="B57" s="84"/>
      <c r="C57" s="90" t="s">
        <v>151</v>
      </c>
      <c r="D57" s="87" t="s">
        <v>152</v>
      </c>
      <c r="E57" s="91" t="s">
        <v>50</v>
      </c>
      <c r="F57" s="92">
        <v>9.6199999999999994E-2</v>
      </c>
      <c r="G57" s="93">
        <v>70326.23</v>
      </c>
      <c r="H57" s="93">
        <v>6765.38</v>
      </c>
      <c r="I57" s="93">
        <v>0</v>
      </c>
      <c r="J57" s="93">
        <v>0</v>
      </c>
      <c r="K57" s="25">
        <v>6765.38</v>
      </c>
      <c r="L57" s="25">
        <v>0</v>
      </c>
      <c r="M57" s="25">
        <v>0</v>
      </c>
      <c r="N57" s="25">
        <v>0</v>
      </c>
      <c r="O57"/>
      <c r="P57"/>
      <c r="Q57"/>
    </row>
    <row r="58" spans="1:17" s="5" customFormat="1" ht="48" x14ac:dyDescent="0.3">
      <c r="A58" s="84"/>
      <c r="B58" s="84"/>
      <c r="C58" s="90"/>
      <c r="D58" s="87" t="s">
        <v>154</v>
      </c>
      <c r="E58" s="91"/>
      <c r="F58" s="92"/>
      <c r="G58" s="93"/>
      <c r="H58" s="93"/>
      <c r="I58" s="93"/>
      <c r="J58" s="93"/>
      <c r="K58" s="25"/>
      <c r="L58" s="25"/>
      <c r="M58" s="25"/>
      <c r="N58" s="25"/>
      <c r="O58"/>
      <c r="P58"/>
      <c r="Q58"/>
    </row>
    <row r="59" spans="1:17" s="5" customFormat="1" ht="36" x14ac:dyDescent="0.3">
      <c r="A59" s="84"/>
      <c r="B59" s="84"/>
      <c r="C59" s="90" t="s">
        <v>155</v>
      </c>
      <c r="D59" s="87" t="s">
        <v>156</v>
      </c>
      <c r="E59" s="91" t="s">
        <v>50</v>
      </c>
      <c r="F59" s="92">
        <v>1.4188000000000001</v>
      </c>
      <c r="G59" s="93">
        <v>45830.69</v>
      </c>
      <c r="H59" s="93">
        <v>65024.58</v>
      </c>
      <c r="I59" s="93">
        <v>0</v>
      </c>
      <c r="J59" s="93">
        <v>0</v>
      </c>
      <c r="K59" s="25">
        <v>65024.58</v>
      </c>
      <c r="L59" s="25">
        <v>0</v>
      </c>
      <c r="M59" s="25">
        <v>0</v>
      </c>
      <c r="N59" s="25">
        <v>0</v>
      </c>
      <c r="O59"/>
      <c r="P59"/>
      <c r="Q59"/>
    </row>
    <row r="60" spans="1:17" s="5" customFormat="1" ht="36" x14ac:dyDescent="0.3">
      <c r="A60" s="84"/>
      <c r="B60" s="84"/>
      <c r="C60" s="90" t="s">
        <v>158</v>
      </c>
      <c r="D60" s="87" t="s">
        <v>159</v>
      </c>
      <c r="E60" s="91" t="s">
        <v>50</v>
      </c>
      <c r="F60" s="92">
        <v>3.6223999999999998</v>
      </c>
      <c r="G60" s="93">
        <v>43098.51</v>
      </c>
      <c r="H60" s="93">
        <v>156120.04</v>
      </c>
      <c r="I60" s="93">
        <v>0</v>
      </c>
      <c r="J60" s="93">
        <v>0</v>
      </c>
      <c r="K60" s="25">
        <v>156120.04</v>
      </c>
      <c r="L60" s="25">
        <v>0</v>
      </c>
      <c r="M60" s="25">
        <v>0</v>
      </c>
      <c r="N60" s="25">
        <v>0</v>
      </c>
      <c r="O60"/>
      <c r="P60"/>
      <c r="Q60"/>
    </row>
    <row r="61" spans="1:17" s="5" customFormat="1" ht="36" x14ac:dyDescent="0.3">
      <c r="A61" s="84"/>
      <c r="B61" s="84"/>
      <c r="C61" s="90" t="s">
        <v>161</v>
      </c>
      <c r="D61" s="87" t="s">
        <v>162</v>
      </c>
      <c r="E61" s="91" t="s">
        <v>50</v>
      </c>
      <c r="F61" s="92">
        <v>1.7749999999999999</v>
      </c>
      <c r="G61" s="93">
        <v>48965.760000000002</v>
      </c>
      <c r="H61" s="93">
        <v>86914.22</v>
      </c>
      <c r="I61" s="93">
        <v>0</v>
      </c>
      <c r="J61" s="93">
        <v>0</v>
      </c>
      <c r="K61" s="25">
        <v>86914.22</v>
      </c>
      <c r="L61" s="25">
        <v>0</v>
      </c>
      <c r="M61" s="25">
        <v>0</v>
      </c>
      <c r="N61" s="25">
        <v>0</v>
      </c>
      <c r="O61"/>
      <c r="P61"/>
      <c r="Q61"/>
    </row>
    <row r="62" spans="1:17" s="5" customFormat="1" ht="36" x14ac:dyDescent="0.3">
      <c r="A62" s="84"/>
      <c r="B62" s="84"/>
      <c r="C62" s="90" t="s">
        <v>164</v>
      </c>
      <c r="D62" s="87" t="s">
        <v>165</v>
      </c>
      <c r="E62" s="91" t="s">
        <v>50</v>
      </c>
      <c r="F62" s="92">
        <v>1.4950000000000001</v>
      </c>
      <c r="G62" s="93">
        <v>59119.14</v>
      </c>
      <c r="H62" s="93">
        <v>88383.11</v>
      </c>
      <c r="I62" s="93">
        <v>0</v>
      </c>
      <c r="J62" s="93">
        <v>0</v>
      </c>
      <c r="K62" s="25">
        <v>88383.11</v>
      </c>
      <c r="L62" s="25">
        <v>0</v>
      </c>
      <c r="M62" s="25">
        <v>0</v>
      </c>
      <c r="N62" s="25">
        <v>0</v>
      </c>
      <c r="O62"/>
      <c r="P62"/>
      <c r="Q62"/>
    </row>
    <row r="63" spans="1:17" s="5" customFormat="1" ht="36" x14ac:dyDescent="0.3">
      <c r="A63" s="84"/>
      <c r="B63" s="84"/>
      <c r="C63" s="90" t="s">
        <v>167</v>
      </c>
      <c r="D63" s="87" t="s">
        <v>168</v>
      </c>
      <c r="E63" s="91" t="s">
        <v>50</v>
      </c>
      <c r="F63" s="92">
        <v>7.7160000000000002</v>
      </c>
      <c r="G63" s="93">
        <v>73063.44</v>
      </c>
      <c r="H63" s="93">
        <v>563757.5</v>
      </c>
      <c r="I63" s="93">
        <v>0</v>
      </c>
      <c r="J63" s="93">
        <v>0</v>
      </c>
      <c r="K63" s="25">
        <v>563757.5</v>
      </c>
      <c r="L63" s="25">
        <v>0</v>
      </c>
      <c r="M63" s="25">
        <v>0</v>
      </c>
      <c r="N63" s="25">
        <v>0</v>
      </c>
      <c r="O63"/>
      <c r="P63"/>
      <c r="Q63"/>
    </row>
    <row r="64" spans="1:17" s="5" customFormat="1" ht="36" x14ac:dyDescent="0.3">
      <c r="A64" s="84"/>
      <c r="B64" s="84"/>
      <c r="C64" s="90" t="s">
        <v>170</v>
      </c>
      <c r="D64" s="87" t="s">
        <v>171</v>
      </c>
      <c r="E64" s="91" t="s">
        <v>50</v>
      </c>
      <c r="F64" s="92">
        <v>0.215</v>
      </c>
      <c r="G64" s="93">
        <v>71449.56</v>
      </c>
      <c r="H64" s="93">
        <v>15361.66</v>
      </c>
      <c r="I64" s="93">
        <v>0</v>
      </c>
      <c r="J64" s="93">
        <v>0</v>
      </c>
      <c r="K64" s="25">
        <v>15361.66</v>
      </c>
      <c r="L64" s="25">
        <v>0</v>
      </c>
      <c r="M64" s="25">
        <v>0</v>
      </c>
      <c r="N64" s="25">
        <v>0</v>
      </c>
      <c r="O64"/>
      <c r="P64"/>
      <c r="Q64"/>
    </row>
    <row r="65" spans="1:17" s="5" customFormat="1" ht="48" x14ac:dyDescent="0.3">
      <c r="A65" s="84"/>
      <c r="B65" s="84"/>
      <c r="C65" s="90"/>
      <c r="D65" s="87" t="s">
        <v>173</v>
      </c>
      <c r="E65" s="91"/>
      <c r="F65" s="92"/>
      <c r="G65" s="93"/>
      <c r="H65" s="93"/>
      <c r="I65" s="93"/>
      <c r="J65" s="93"/>
      <c r="K65" s="25"/>
      <c r="L65" s="25"/>
      <c r="M65" s="25"/>
      <c r="N65" s="25"/>
      <c r="O65"/>
      <c r="P65"/>
      <c r="Q65"/>
    </row>
    <row r="66" spans="1:17" s="5" customFormat="1" ht="36" x14ac:dyDescent="0.3">
      <c r="A66" s="84"/>
      <c r="B66" s="84"/>
      <c r="C66" s="90" t="s">
        <v>174</v>
      </c>
      <c r="D66" s="87" t="s">
        <v>175</v>
      </c>
      <c r="E66" s="91" t="s">
        <v>50</v>
      </c>
      <c r="F66" s="92">
        <v>7.0000000000000001E-3</v>
      </c>
      <c r="G66" s="93">
        <v>80370.05</v>
      </c>
      <c r="H66" s="93">
        <v>562.59</v>
      </c>
      <c r="I66" s="93">
        <v>0</v>
      </c>
      <c r="J66" s="93">
        <v>0</v>
      </c>
      <c r="K66" s="25">
        <v>562.59</v>
      </c>
      <c r="L66" s="25">
        <v>0</v>
      </c>
      <c r="M66" s="25">
        <v>0</v>
      </c>
      <c r="N66" s="25">
        <v>0</v>
      </c>
      <c r="O66"/>
      <c r="P66"/>
      <c r="Q66"/>
    </row>
    <row r="67" spans="1:17" s="5" customFormat="1" ht="36" x14ac:dyDescent="0.3">
      <c r="A67" s="84"/>
      <c r="B67" s="84"/>
      <c r="C67" s="90" t="s">
        <v>177</v>
      </c>
      <c r="D67" s="87" t="s">
        <v>178</v>
      </c>
      <c r="E67" s="91" t="s">
        <v>50</v>
      </c>
      <c r="F67" s="92">
        <v>1.7999999999999999E-2</v>
      </c>
      <c r="G67" s="93">
        <v>104793.53</v>
      </c>
      <c r="H67" s="93">
        <v>1886.28</v>
      </c>
      <c r="I67" s="93">
        <v>0</v>
      </c>
      <c r="J67" s="93">
        <v>0</v>
      </c>
      <c r="K67" s="25">
        <v>1886.28</v>
      </c>
      <c r="L67" s="25">
        <v>0</v>
      </c>
      <c r="M67" s="25">
        <v>0</v>
      </c>
      <c r="N67" s="25">
        <v>0</v>
      </c>
      <c r="O67"/>
      <c r="P67"/>
      <c r="Q67"/>
    </row>
    <row r="68" spans="1:17" s="5" customFormat="1" ht="36" x14ac:dyDescent="0.3">
      <c r="A68" s="84"/>
      <c r="B68" s="84"/>
      <c r="C68" s="90" t="s">
        <v>180</v>
      </c>
      <c r="D68" s="87" t="s">
        <v>181</v>
      </c>
      <c r="E68" s="91" t="s">
        <v>50</v>
      </c>
      <c r="F68" s="92">
        <v>1.35E-2</v>
      </c>
      <c r="G68" s="93">
        <v>73833.3</v>
      </c>
      <c r="H68" s="93">
        <v>996.75</v>
      </c>
      <c r="I68" s="93">
        <v>0</v>
      </c>
      <c r="J68" s="93">
        <v>0</v>
      </c>
      <c r="K68" s="25">
        <v>996.75</v>
      </c>
      <c r="L68" s="25">
        <v>0</v>
      </c>
      <c r="M68" s="25">
        <v>0</v>
      </c>
      <c r="N68" s="25">
        <v>0</v>
      </c>
      <c r="O68"/>
      <c r="P68"/>
      <c r="Q68"/>
    </row>
    <row r="69" spans="1:17" s="5" customFormat="1" ht="36" x14ac:dyDescent="0.3">
      <c r="A69" s="84"/>
      <c r="B69" s="84"/>
      <c r="C69" s="90"/>
      <c r="D69" s="87" t="s">
        <v>183</v>
      </c>
      <c r="E69" s="91"/>
      <c r="F69" s="92"/>
      <c r="G69" s="93"/>
      <c r="H69" s="93"/>
      <c r="I69" s="93"/>
      <c r="J69" s="93"/>
      <c r="K69" s="25"/>
      <c r="L69" s="25"/>
      <c r="M69" s="25"/>
      <c r="N69" s="25"/>
      <c r="O69"/>
      <c r="P69"/>
      <c r="Q69"/>
    </row>
    <row r="70" spans="1:17" s="5" customFormat="1" ht="36" x14ac:dyDescent="0.3">
      <c r="A70" s="84"/>
      <c r="B70" s="84"/>
      <c r="C70" s="90"/>
      <c r="D70" s="87" t="s">
        <v>184</v>
      </c>
      <c r="E70" s="91"/>
      <c r="F70" s="92"/>
      <c r="G70" s="93"/>
      <c r="H70" s="93"/>
      <c r="I70" s="93"/>
      <c r="J70" s="93"/>
      <c r="K70" s="25"/>
      <c r="L70" s="25"/>
      <c r="M70" s="25"/>
      <c r="N70" s="25"/>
      <c r="O70"/>
      <c r="P70"/>
      <c r="Q70"/>
    </row>
    <row r="71" spans="1:17" s="5" customFormat="1" ht="36" x14ac:dyDescent="0.3">
      <c r="A71" s="84"/>
      <c r="B71" s="84"/>
      <c r="C71" s="90" t="s">
        <v>185</v>
      </c>
      <c r="D71" s="87" t="s">
        <v>186</v>
      </c>
      <c r="E71" s="91" t="s">
        <v>50</v>
      </c>
      <c r="F71" s="92">
        <v>7.2599999999999998E-2</v>
      </c>
      <c r="G71" s="93">
        <v>79267.149999999994</v>
      </c>
      <c r="H71" s="93">
        <v>5754.8</v>
      </c>
      <c r="I71" s="93">
        <v>0</v>
      </c>
      <c r="J71" s="93">
        <v>0</v>
      </c>
      <c r="K71" s="25">
        <v>5754.8</v>
      </c>
      <c r="L71" s="25">
        <v>0</v>
      </c>
      <c r="M71" s="25">
        <v>0</v>
      </c>
      <c r="N71" s="25">
        <v>0</v>
      </c>
      <c r="O71"/>
      <c r="P71"/>
      <c r="Q71"/>
    </row>
    <row r="72" spans="1:17" s="5" customFormat="1" ht="36" x14ac:dyDescent="0.3">
      <c r="A72" s="84"/>
      <c r="B72" s="84"/>
      <c r="C72" s="90" t="s">
        <v>188</v>
      </c>
      <c r="D72" s="87" t="s">
        <v>189</v>
      </c>
      <c r="E72" s="91" t="s">
        <v>50</v>
      </c>
      <c r="F72" s="92">
        <v>0.7</v>
      </c>
      <c r="G72" s="93">
        <v>69432.259999999995</v>
      </c>
      <c r="H72" s="93">
        <v>48602.58</v>
      </c>
      <c r="I72" s="93">
        <v>0</v>
      </c>
      <c r="J72" s="93">
        <v>0</v>
      </c>
      <c r="K72" s="25">
        <v>48602.58</v>
      </c>
      <c r="L72" s="25">
        <v>0</v>
      </c>
      <c r="M72" s="25">
        <v>0</v>
      </c>
      <c r="N72" s="25">
        <v>0</v>
      </c>
      <c r="O72"/>
      <c r="P72"/>
      <c r="Q72"/>
    </row>
    <row r="73" spans="1:17" s="5" customFormat="1" ht="36" x14ac:dyDescent="0.3">
      <c r="A73" s="84"/>
      <c r="B73" s="84"/>
      <c r="C73" s="90"/>
      <c r="D73" s="87" t="s">
        <v>191</v>
      </c>
      <c r="E73" s="91"/>
      <c r="F73" s="92"/>
      <c r="G73" s="93"/>
      <c r="H73" s="93"/>
      <c r="I73" s="93"/>
      <c r="J73" s="93"/>
      <c r="K73" s="25"/>
      <c r="L73" s="25"/>
      <c r="M73" s="25"/>
      <c r="N73" s="25"/>
      <c r="O73"/>
      <c r="P73"/>
      <c r="Q73"/>
    </row>
    <row r="74" spans="1:17" s="5" customFormat="1" ht="36" x14ac:dyDescent="0.3">
      <c r="A74" s="84"/>
      <c r="B74" s="84"/>
      <c r="C74" s="90" t="s">
        <v>192</v>
      </c>
      <c r="D74" s="87" t="s">
        <v>193</v>
      </c>
      <c r="E74" s="91" t="s">
        <v>58</v>
      </c>
      <c r="F74" s="92">
        <v>198</v>
      </c>
      <c r="G74" s="93">
        <v>746.25</v>
      </c>
      <c r="H74" s="93">
        <v>147757.5</v>
      </c>
      <c r="I74" s="93">
        <v>0</v>
      </c>
      <c r="J74" s="93">
        <v>44775</v>
      </c>
      <c r="K74" s="25">
        <v>89550</v>
      </c>
      <c r="L74" s="25">
        <v>13432.5</v>
      </c>
      <c r="M74" s="25">
        <v>0</v>
      </c>
      <c r="N74" s="25">
        <v>0</v>
      </c>
      <c r="O74"/>
      <c r="P74"/>
      <c r="Q74"/>
    </row>
    <row r="75" spans="1:17" s="5" customFormat="1" ht="36" x14ac:dyDescent="0.3">
      <c r="A75" s="84"/>
      <c r="B75" s="84"/>
      <c r="C75" s="90" t="s">
        <v>195</v>
      </c>
      <c r="D75" s="87" t="s">
        <v>196</v>
      </c>
      <c r="E75" s="91" t="s">
        <v>197</v>
      </c>
      <c r="F75" s="92">
        <v>150</v>
      </c>
      <c r="G75" s="93">
        <v>746.25</v>
      </c>
      <c r="H75" s="93">
        <v>111937.5</v>
      </c>
      <c r="I75" s="93">
        <v>0</v>
      </c>
      <c r="J75" s="93">
        <v>52237.5</v>
      </c>
      <c r="K75" s="25">
        <v>37312.5</v>
      </c>
      <c r="L75" s="25">
        <v>22387.5</v>
      </c>
      <c r="M75" s="25">
        <v>0</v>
      </c>
      <c r="N75" s="25">
        <v>0</v>
      </c>
      <c r="O75"/>
      <c r="P75"/>
      <c r="Q75"/>
    </row>
    <row r="76" spans="1:17" s="5" customFormat="1" ht="36" x14ac:dyDescent="0.3">
      <c r="A76" s="84"/>
      <c r="B76" s="84"/>
      <c r="C76" s="90" t="s">
        <v>198</v>
      </c>
      <c r="D76" s="87" t="s">
        <v>199</v>
      </c>
      <c r="E76" s="91" t="s">
        <v>197</v>
      </c>
      <c r="F76" s="92">
        <v>144</v>
      </c>
      <c r="G76" s="93">
        <v>746.25</v>
      </c>
      <c r="H76" s="93">
        <v>107460</v>
      </c>
      <c r="I76" s="93">
        <v>0</v>
      </c>
      <c r="J76" s="93">
        <v>59700</v>
      </c>
      <c r="K76" s="25">
        <v>29850</v>
      </c>
      <c r="L76" s="25">
        <v>17910</v>
      </c>
      <c r="M76" s="25">
        <v>0</v>
      </c>
      <c r="N76" s="25">
        <v>0</v>
      </c>
      <c r="O76"/>
      <c r="P76"/>
      <c r="Q76"/>
    </row>
    <row r="77" spans="1:17" s="5" customFormat="1" ht="36" x14ac:dyDescent="0.3">
      <c r="A77" s="84"/>
      <c r="B77" s="84"/>
      <c r="C77" s="90" t="s">
        <v>200</v>
      </c>
      <c r="D77" s="87" t="s">
        <v>201</v>
      </c>
      <c r="E77" s="91" t="s">
        <v>197</v>
      </c>
      <c r="F77" s="92">
        <v>26</v>
      </c>
      <c r="G77" s="93">
        <v>746.25</v>
      </c>
      <c r="H77" s="93">
        <v>19402.5</v>
      </c>
      <c r="I77" s="93">
        <v>0</v>
      </c>
      <c r="J77" s="93">
        <v>19402.5</v>
      </c>
      <c r="K77" s="25">
        <v>0</v>
      </c>
      <c r="L77" s="25">
        <v>0</v>
      </c>
      <c r="M77" s="25">
        <v>0</v>
      </c>
      <c r="N77" s="25">
        <v>0</v>
      </c>
      <c r="O77"/>
      <c r="P77"/>
      <c r="Q77"/>
    </row>
    <row r="78" spans="1:17" s="5" customFormat="1" ht="36" x14ac:dyDescent="0.3">
      <c r="A78" s="84"/>
      <c r="B78" s="84"/>
      <c r="C78" s="90"/>
      <c r="D78" s="87" t="s">
        <v>202</v>
      </c>
      <c r="E78" s="91"/>
      <c r="F78" s="92"/>
      <c r="G78" s="93"/>
      <c r="H78" s="93"/>
      <c r="I78" s="93"/>
      <c r="J78" s="93"/>
      <c r="K78" s="25"/>
      <c r="L78" s="25"/>
      <c r="M78" s="25"/>
      <c r="N78" s="25"/>
      <c r="O78"/>
      <c r="P78"/>
      <c r="Q78"/>
    </row>
    <row r="79" spans="1:17" s="5" customFormat="1" ht="36" x14ac:dyDescent="0.3">
      <c r="A79" s="84"/>
      <c r="B79" s="84"/>
      <c r="C79" s="90" t="s">
        <v>203</v>
      </c>
      <c r="D79" s="87" t="s">
        <v>204</v>
      </c>
      <c r="E79" s="91" t="s">
        <v>58</v>
      </c>
      <c r="F79" s="92">
        <v>385.72</v>
      </c>
      <c r="G79" s="93">
        <v>11193.75</v>
      </c>
      <c r="H79" s="93">
        <v>4317653.25</v>
      </c>
      <c r="I79" s="93">
        <v>0</v>
      </c>
      <c r="J79" s="93">
        <v>1791000</v>
      </c>
      <c r="K79" s="25">
        <v>1902937.5</v>
      </c>
      <c r="L79" s="25">
        <v>623715.75</v>
      </c>
      <c r="M79" s="25">
        <v>0</v>
      </c>
      <c r="N79" s="25">
        <v>0</v>
      </c>
      <c r="O79"/>
      <c r="P79"/>
      <c r="Q79"/>
    </row>
    <row r="80" spans="1:17" s="5" customFormat="1" ht="48" x14ac:dyDescent="0.3">
      <c r="A80" s="84"/>
      <c r="B80" s="84"/>
      <c r="C80" s="90" t="s">
        <v>206</v>
      </c>
      <c r="D80" s="87" t="s">
        <v>207</v>
      </c>
      <c r="E80" s="91" t="s">
        <v>197</v>
      </c>
      <c r="F80" s="92">
        <v>150</v>
      </c>
      <c r="G80" s="93">
        <v>11193.75</v>
      </c>
      <c r="H80" s="93">
        <v>1679062.5</v>
      </c>
      <c r="I80" s="93">
        <v>0</v>
      </c>
      <c r="J80" s="93">
        <v>0</v>
      </c>
      <c r="K80" s="25">
        <v>1007437.5</v>
      </c>
      <c r="L80" s="25">
        <v>671625</v>
      </c>
      <c r="M80" s="25">
        <v>0</v>
      </c>
      <c r="N80" s="25">
        <v>0</v>
      </c>
      <c r="O80"/>
      <c r="P80"/>
      <c r="Q80"/>
    </row>
    <row r="81" spans="1:17" s="5" customFormat="1" ht="36" x14ac:dyDescent="0.3">
      <c r="A81" s="84"/>
      <c r="B81" s="84"/>
      <c r="C81" s="90" t="s">
        <v>208</v>
      </c>
      <c r="D81" s="87" t="s">
        <v>209</v>
      </c>
      <c r="E81" s="91" t="s">
        <v>197</v>
      </c>
      <c r="F81" s="92">
        <v>12</v>
      </c>
      <c r="G81" s="93">
        <v>310.94</v>
      </c>
      <c r="H81" s="93">
        <v>3731.28</v>
      </c>
      <c r="I81" s="93">
        <v>0</v>
      </c>
      <c r="J81" s="93">
        <v>0</v>
      </c>
      <c r="K81" s="25">
        <v>0</v>
      </c>
      <c r="L81" s="25">
        <v>3731.28</v>
      </c>
      <c r="M81" s="25">
        <v>0</v>
      </c>
      <c r="N81" s="25">
        <v>0</v>
      </c>
      <c r="O81"/>
      <c r="P81"/>
      <c r="Q81"/>
    </row>
    <row r="82" spans="1:17" s="5" customFormat="1" ht="36" x14ac:dyDescent="0.3">
      <c r="A82" s="84"/>
      <c r="B82" s="84"/>
      <c r="C82" s="90" t="s">
        <v>211</v>
      </c>
      <c r="D82" s="87" t="s">
        <v>212</v>
      </c>
      <c r="E82" s="91" t="s">
        <v>197</v>
      </c>
      <c r="F82" s="92">
        <v>58</v>
      </c>
      <c r="G82" s="93">
        <v>11193.75</v>
      </c>
      <c r="H82" s="93">
        <v>649237.5</v>
      </c>
      <c r="I82" s="93">
        <v>0</v>
      </c>
      <c r="J82" s="93">
        <v>0</v>
      </c>
      <c r="K82" s="25">
        <v>335812.5</v>
      </c>
      <c r="L82" s="25">
        <v>313425</v>
      </c>
      <c r="M82" s="25">
        <v>0</v>
      </c>
      <c r="N82" s="25">
        <v>0</v>
      </c>
      <c r="O82"/>
      <c r="P82"/>
      <c r="Q82"/>
    </row>
    <row r="83" spans="1:17" s="5" customFormat="1" ht="36" x14ac:dyDescent="0.3">
      <c r="A83" s="84"/>
      <c r="B83" s="84"/>
      <c r="C83" s="90" t="s">
        <v>213</v>
      </c>
      <c r="D83" s="87" t="s">
        <v>199</v>
      </c>
      <c r="E83" s="91" t="s">
        <v>197</v>
      </c>
      <c r="F83" s="92">
        <v>215</v>
      </c>
      <c r="G83" s="93">
        <v>310.94</v>
      </c>
      <c r="H83" s="93">
        <v>66852.100000000006</v>
      </c>
      <c r="I83" s="93">
        <v>0</v>
      </c>
      <c r="J83" s="93">
        <v>24875.200000000001</v>
      </c>
      <c r="K83" s="25">
        <v>41976.9</v>
      </c>
      <c r="L83" s="25">
        <v>0</v>
      </c>
      <c r="M83" s="25">
        <v>0</v>
      </c>
      <c r="N83" s="25">
        <v>0</v>
      </c>
      <c r="O83"/>
      <c r="P83"/>
      <c r="Q83"/>
    </row>
    <row r="84" spans="1:17" s="5" customFormat="1" ht="36" x14ac:dyDescent="0.3">
      <c r="A84" s="84"/>
      <c r="B84" s="84"/>
      <c r="C84" s="90" t="s">
        <v>214</v>
      </c>
      <c r="D84" s="87" t="s">
        <v>201</v>
      </c>
      <c r="E84" s="91" t="s">
        <v>197</v>
      </c>
      <c r="F84" s="92">
        <v>65</v>
      </c>
      <c r="G84" s="93">
        <v>373.13</v>
      </c>
      <c r="H84" s="93">
        <v>24253.45</v>
      </c>
      <c r="I84" s="93">
        <v>0</v>
      </c>
      <c r="J84" s="93">
        <v>11193.9</v>
      </c>
      <c r="K84" s="25">
        <v>13059.55</v>
      </c>
      <c r="L84" s="25">
        <v>0</v>
      </c>
      <c r="M84" s="25">
        <v>0</v>
      </c>
      <c r="N84" s="25">
        <v>0</v>
      </c>
      <c r="O84"/>
      <c r="P84"/>
      <c r="Q84"/>
    </row>
    <row r="85" spans="1:17" s="5" customFormat="1" ht="36" x14ac:dyDescent="0.3">
      <c r="A85" s="84"/>
      <c r="B85" s="84"/>
      <c r="C85" s="90"/>
      <c r="D85" s="87" t="s">
        <v>216</v>
      </c>
      <c r="E85" s="91"/>
      <c r="F85" s="92"/>
      <c r="G85" s="93"/>
      <c r="H85" s="93"/>
      <c r="I85" s="93"/>
      <c r="J85" s="93"/>
      <c r="K85" s="25"/>
      <c r="L85" s="25"/>
      <c r="M85" s="25"/>
      <c r="N85" s="25"/>
      <c r="O85"/>
      <c r="P85"/>
      <c r="Q85"/>
    </row>
    <row r="86" spans="1:17" s="5" customFormat="1" ht="48" x14ac:dyDescent="0.3">
      <c r="A86" s="84"/>
      <c r="B86" s="84"/>
      <c r="C86" s="90" t="s">
        <v>217</v>
      </c>
      <c r="D86" s="87" t="s">
        <v>218</v>
      </c>
      <c r="E86" s="91" t="s">
        <v>219</v>
      </c>
      <c r="F86" s="92">
        <v>1700</v>
      </c>
      <c r="G86" s="93">
        <v>4125.53</v>
      </c>
      <c r="H86" s="93">
        <v>7013401</v>
      </c>
      <c r="I86" s="93">
        <v>0</v>
      </c>
      <c r="J86" s="93">
        <v>2590832.84</v>
      </c>
      <c r="K86" s="25">
        <v>2590832.84</v>
      </c>
      <c r="L86" s="25">
        <v>1831735.32</v>
      </c>
      <c r="M86" s="25">
        <v>0</v>
      </c>
      <c r="N86" s="25">
        <v>0</v>
      </c>
      <c r="O86"/>
      <c r="P86"/>
      <c r="Q86"/>
    </row>
    <row r="87" spans="1:17" s="5" customFormat="1" ht="84" x14ac:dyDescent="0.3">
      <c r="A87" s="84"/>
      <c r="B87" s="84"/>
      <c r="C87" s="90" t="s">
        <v>221</v>
      </c>
      <c r="D87" s="87" t="s">
        <v>222</v>
      </c>
      <c r="E87" s="91" t="s">
        <v>219</v>
      </c>
      <c r="F87" s="92">
        <v>1200</v>
      </c>
      <c r="G87" s="93">
        <v>8451.23</v>
      </c>
      <c r="H87" s="93">
        <v>10141476</v>
      </c>
      <c r="I87" s="93">
        <v>0</v>
      </c>
      <c r="J87" s="93">
        <v>3735443.66</v>
      </c>
      <c r="K87" s="25">
        <v>3735443.66</v>
      </c>
      <c r="L87" s="25">
        <v>2670588.6800000002</v>
      </c>
      <c r="M87" s="25">
        <v>0</v>
      </c>
      <c r="N87" s="25">
        <v>0</v>
      </c>
      <c r="O87"/>
      <c r="P87"/>
      <c r="Q87"/>
    </row>
    <row r="88" spans="1:17" s="5" customFormat="1" ht="84" x14ac:dyDescent="0.3">
      <c r="A88" s="84"/>
      <c r="B88" s="84"/>
      <c r="C88" s="90" t="s">
        <v>224</v>
      </c>
      <c r="D88" s="87" t="s">
        <v>225</v>
      </c>
      <c r="E88" s="91" t="s">
        <v>219</v>
      </c>
      <c r="F88" s="92">
        <v>1200</v>
      </c>
      <c r="G88" s="93">
        <v>2704.18</v>
      </c>
      <c r="H88" s="93">
        <v>3245016</v>
      </c>
      <c r="I88" s="93">
        <v>0</v>
      </c>
      <c r="J88" s="93">
        <v>1195247.56</v>
      </c>
      <c r="K88" s="25">
        <v>1195247.56</v>
      </c>
      <c r="L88" s="25">
        <v>854520.88</v>
      </c>
      <c r="M88" s="25">
        <v>0</v>
      </c>
      <c r="N88" s="25">
        <v>0</v>
      </c>
      <c r="O88"/>
      <c r="P88"/>
      <c r="Q88"/>
    </row>
    <row r="89" spans="1:17" s="5" customFormat="1" ht="48" x14ac:dyDescent="0.3">
      <c r="A89" s="84"/>
      <c r="B89" s="84"/>
      <c r="C89" s="90" t="s">
        <v>227</v>
      </c>
      <c r="D89" s="87" t="s">
        <v>228</v>
      </c>
      <c r="E89" s="91" t="s">
        <v>219</v>
      </c>
      <c r="F89" s="92">
        <v>1200</v>
      </c>
      <c r="G89" s="93">
        <v>2704.5</v>
      </c>
      <c r="H89" s="93">
        <v>3245400</v>
      </c>
      <c r="I89" s="93">
        <v>0</v>
      </c>
      <c r="J89" s="93">
        <v>1195389</v>
      </c>
      <c r="K89" s="25">
        <v>1195389</v>
      </c>
      <c r="L89" s="25">
        <v>854622</v>
      </c>
      <c r="M89" s="25">
        <v>0</v>
      </c>
      <c r="N89" s="25">
        <v>0</v>
      </c>
      <c r="O89"/>
      <c r="P89"/>
      <c r="Q89"/>
    </row>
    <row r="90" spans="1:17" s="5" customFormat="1" ht="36" x14ac:dyDescent="0.3">
      <c r="A90" s="84"/>
      <c r="B90" s="84"/>
      <c r="C90" s="90"/>
      <c r="D90" s="87" t="s">
        <v>230</v>
      </c>
      <c r="E90" s="91"/>
      <c r="F90" s="92"/>
      <c r="G90" s="93"/>
      <c r="H90" s="93"/>
      <c r="I90" s="93"/>
      <c r="J90" s="93"/>
      <c r="K90" s="25"/>
      <c r="L90" s="25"/>
      <c r="M90" s="25"/>
      <c r="N90" s="25"/>
      <c r="O90"/>
      <c r="P90"/>
      <c r="Q90"/>
    </row>
    <row r="91" spans="1:17" s="5" customFormat="1" ht="48" x14ac:dyDescent="0.3">
      <c r="A91" s="84"/>
      <c r="B91" s="84"/>
      <c r="C91" s="90" t="s">
        <v>231</v>
      </c>
      <c r="D91" s="87" t="s">
        <v>232</v>
      </c>
      <c r="E91" s="91" t="s">
        <v>68</v>
      </c>
      <c r="F91" s="92">
        <v>16</v>
      </c>
      <c r="G91" s="93">
        <v>14178.75</v>
      </c>
      <c r="H91" s="93">
        <v>226860</v>
      </c>
      <c r="I91" s="93">
        <v>0</v>
      </c>
      <c r="J91" s="93">
        <v>0</v>
      </c>
      <c r="K91" s="25">
        <v>0</v>
      </c>
      <c r="L91" s="25">
        <v>226860</v>
      </c>
      <c r="M91" s="25">
        <v>0</v>
      </c>
      <c r="N91" s="25">
        <v>0</v>
      </c>
      <c r="O91"/>
      <c r="P91"/>
      <c r="Q91"/>
    </row>
    <row r="92" spans="1:17" s="5" customFormat="1" ht="36" x14ac:dyDescent="0.3">
      <c r="A92" s="84"/>
      <c r="B92" s="84"/>
      <c r="C92" s="90"/>
      <c r="D92" s="87" t="s">
        <v>234</v>
      </c>
      <c r="E92" s="91"/>
      <c r="F92" s="92"/>
      <c r="G92" s="93"/>
      <c r="H92" s="93"/>
      <c r="I92" s="93"/>
      <c r="J92" s="93"/>
      <c r="K92" s="25"/>
      <c r="L92" s="25"/>
      <c r="M92" s="25"/>
      <c r="N92" s="25"/>
      <c r="O92"/>
      <c r="P92"/>
      <c r="Q92"/>
    </row>
    <row r="93" spans="1:17" s="5" customFormat="1" ht="48" x14ac:dyDescent="0.3">
      <c r="A93" s="84"/>
      <c r="B93" s="84"/>
      <c r="C93" s="90"/>
      <c r="D93" s="87" t="s">
        <v>235</v>
      </c>
      <c r="E93" s="91"/>
      <c r="F93" s="92"/>
      <c r="G93" s="93"/>
      <c r="H93" s="93"/>
      <c r="I93" s="93"/>
      <c r="J93" s="93"/>
      <c r="K93" s="25"/>
      <c r="L93" s="25"/>
      <c r="M93" s="25"/>
      <c r="N93" s="25"/>
      <c r="O93"/>
      <c r="P93"/>
      <c r="Q93"/>
    </row>
    <row r="94" spans="1:17" s="5" customFormat="1" ht="36" x14ac:dyDescent="0.3">
      <c r="A94" s="84"/>
      <c r="B94" s="84"/>
      <c r="C94" s="90" t="s">
        <v>236</v>
      </c>
      <c r="D94" s="87" t="s">
        <v>237</v>
      </c>
      <c r="E94" s="91" t="s">
        <v>68</v>
      </c>
      <c r="F94" s="92">
        <v>199</v>
      </c>
      <c r="G94" s="93">
        <v>1356.71</v>
      </c>
      <c r="H94" s="93">
        <v>269985.28999999998</v>
      </c>
      <c r="I94" s="93">
        <v>0</v>
      </c>
      <c r="J94" s="93">
        <v>0</v>
      </c>
      <c r="K94" s="25">
        <v>122103.9</v>
      </c>
      <c r="L94" s="25">
        <v>147881.39000000001</v>
      </c>
      <c r="M94" s="25">
        <v>0</v>
      </c>
      <c r="N94" s="25">
        <v>0</v>
      </c>
      <c r="O94"/>
      <c r="P94"/>
      <c r="Q94"/>
    </row>
    <row r="95" spans="1:17" s="5" customFormat="1" ht="36" x14ac:dyDescent="0.3">
      <c r="A95" s="84"/>
      <c r="B95" s="84"/>
      <c r="C95" s="90" t="s">
        <v>239</v>
      </c>
      <c r="D95" s="87" t="s">
        <v>240</v>
      </c>
      <c r="E95" s="91" t="s">
        <v>68</v>
      </c>
      <c r="F95" s="92">
        <v>9</v>
      </c>
      <c r="G95" s="93">
        <v>3022.09</v>
      </c>
      <c r="H95" s="93">
        <v>27198.81</v>
      </c>
      <c r="I95" s="93">
        <v>0</v>
      </c>
      <c r="J95" s="93">
        <v>0</v>
      </c>
      <c r="K95" s="25">
        <v>0</v>
      </c>
      <c r="L95" s="25">
        <v>27198.81</v>
      </c>
      <c r="M95" s="25">
        <v>0</v>
      </c>
      <c r="N95" s="25">
        <v>0</v>
      </c>
      <c r="O95"/>
      <c r="P95"/>
      <c r="Q95"/>
    </row>
    <row r="96" spans="1:17" s="5" customFormat="1" ht="36" x14ac:dyDescent="0.3">
      <c r="A96" s="84"/>
      <c r="B96" s="84"/>
      <c r="C96" s="90" t="s">
        <v>242</v>
      </c>
      <c r="D96" s="87" t="s">
        <v>243</v>
      </c>
      <c r="E96" s="91" t="s">
        <v>68</v>
      </c>
      <c r="F96" s="92">
        <v>98</v>
      </c>
      <c r="G96" s="93">
        <v>4165.1000000000004</v>
      </c>
      <c r="H96" s="93">
        <v>408179.8</v>
      </c>
      <c r="I96" s="93">
        <v>0</v>
      </c>
      <c r="J96" s="93">
        <v>0</v>
      </c>
      <c r="K96" s="25">
        <v>208255</v>
      </c>
      <c r="L96" s="25">
        <v>199924.8</v>
      </c>
      <c r="M96" s="25">
        <v>0</v>
      </c>
      <c r="N96" s="25">
        <v>0</v>
      </c>
      <c r="O96"/>
      <c r="P96"/>
      <c r="Q96"/>
    </row>
    <row r="97" spans="1:17" s="5" customFormat="1" ht="36" x14ac:dyDescent="0.3">
      <c r="A97" s="84"/>
      <c r="B97" s="84"/>
      <c r="C97" s="90" t="s">
        <v>245</v>
      </c>
      <c r="D97" s="87" t="s">
        <v>246</v>
      </c>
      <c r="E97" s="91" t="s">
        <v>68</v>
      </c>
      <c r="F97" s="92">
        <v>32</v>
      </c>
      <c r="G97" s="93">
        <v>4732.78</v>
      </c>
      <c r="H97" s="93">
        <v>151448.95999999999</v>
      </c>
      <c r="I97" s="93">
        <v>0</v>
      </c>
      <c r="J97" s="93">
        <v>0</v>
      </c>
      <c r="K97" s="25">
        <v>94655.6</v>
      </c>
      <c r="L97" s="25">
        <v>56793.36</v>
      </c>
      <c r="M97" s="25">
        <v>0</v>
      </c>
      <c r="N97" s="25">
        <v>0</v>
      </c>
      <c r="O97"/>
      <c r="P97"/>
      <c r="Q97"/>
    </row>
    <row r="98" spans="1:17" s="5" customFormat="1" ht="36" x14ac:dyDescent="0.3">
      <c r="A98" s="84"/>
      <c r="B98" s="84"/>
      <c r="C98" s="90" t="s">
        <v>248</v>
      </c>
      <c r="D98" s="87" t="s">
        <v>249</v>
      </c>
      <c r="E98" s="91" t="s">
        <v>68</v>
      </c>
      <c r="F98" s="92">
        <v>88</v>
      </c>
      <c r="G98" s="93">
        <v>6007.81</v>
      </c>
      <c r="H98" s="93">
        <v>528687.28</v>
      </c>
      <c r="I98" s="93">
        <v>0</v>
      </c>
      <c r="J98" s="93">
        <v>0</v>
      </c>
      <c r="K98" s="25">
        <v>288374.88</v>
      </c>
      <c r="L98" s="25">
        <v>240312.4</v>
      </c>
      <c r="M98" s="25">
        <v>0</v>
      </c>
      <c r="N98" s="25">
        <v>0</v>
      </c>
      <c r="O98"/>
      <c r="P98"/>
      <c r="Q98"/>
    </row>
    <row r="99" spans="1:17" s="5" customFormat="1" ht="36" x14ac:dyDescent="0.3">
      <c r="A99" s="84"/>
      <c r="B99" s="84"/>
      <c r="C99" s="90" t="s">
        <v>251</v>
      </c>
      <c r="D99" s="87" t="s">
        <v>252</v>
      </c>
      <c r="E99" s="91" t="s">
        <v>68</v>
      </c>
      <c r="F99" s="92">
        <v>57</v>
      </c>
      <c r="G99" s="93">
        <v>12252.26</v>
      </c>
      <c r="H99" s="93">
        <v>698378.82</v>
      </c>
      <c r="I99" s="93">
        <v>0</v>
      </c>
      <c r="J99" s="93">
        <v>0</v>
      </c>
      <c r="K99" s="25">
        <v>367567.8</v>
      </c>
      <c r="L99" s="25">
        <v>330811.02</v>
      </c>
      <c r="M99" s="25">
        <v>0</v>
      </c>
      <c r="N99" s="25">
        <v>0</v>
      </c>
      <c r="O99"/>
      <c r="P99"/>
      <c r="Q99"/>
    </row>
    <row r="100" spans="1:17" s="5" customFormat="1" ht="36" x14ac:dyDescent="0.3">
      <c r="A100" s="84"/>
      <c r="B100" s="84"/>
      <c r="C100" s="90" t="s">
        <v>254</v>
      </c>
      <c r="D100" s="87" t="s">
        <v>255</v>
      </c>
      <c r="E100" s="91" t="s">
        <v>68</v>
      </c>
      <c r="F100" s="92">
        <v>51</v>
      </c>
      <c r="G100" s="93">
        <v>12217.75</v>
      </c>
      <c r="H100" s="93">
        <v>623105.25</v>
      </c>
      <c r="I100" s="93">
        <v>0</v>
      </c>
      <c r="J100" s="93">
        <v>0</v>
      </c>
      <c r="K100" s="25">
        <v>378750.25</v>
      </c>
      <c r="L100" s="25">
        <v>244355</v>
      </c>
      <c r="M100" s="25">
        <v>0</v>
      </c>
      <c r="N100" s="25">
        <v>0</v>
      </c>
      <c r="O100"/>
      <c r="P100"/>
      <c r="Q100"/>
    </row>
    <row r="101" spans="1:17" s="5" customFormat="1" ht="36" x14ac:dyDescent="0.3">
      <c r="A101" s="84"/>
      <c r="B101" s="84"/>
      <c r="C101" s="90"/>
      <c r="D101" s="87" t="s">
        <v>257</v>
      </c>
      <c r="E101" s="91"/>
      <c r="F101" s="92"/>
      <c r="G101" s="93"/>
      <c r="H101" s="93"/>
      <c r="I101" s="93"/>
      <c r="J101" s="93"/>
      <c r="K101" s="25"/>
      <c r="L101" s="25"/>
      <c r="M101" s="25"/>
      <c r="N101" s="25"/>
      <c r="O101"/>
      <c r="P101"/>
      <c r="Q101"/>
    </row>
    <row r="102" spans="1:17" s="5" customFormat="1" ht="48" x14ac:dyDescent="0.3">
      <c r="A102" s="84"/>
      <c r="B102" s="84"/>
      <c r="C102" s="90"/>
      <c r="D102" s="87" t="s">
        <v>258</v>
      </c>
      <c r="E102" s="91"/>
      <c r="F102" s="92"/>
      <c r="G102" s="93"/>
      <c r="H102" s="93"/>
      <c r="I102" s="93"/>
      <c r="J102" s="93"/>
      <c r="K102" s="25"/>
      <c r="L102" s="25"/>
      <c r="M102" s="25"/>
      <c r="N102" s="25"/>
      <c r="O102"/>
      <c r="P102"/>
      <c r="Q102"/>
    </row>
    <row r="103" spans="1:17" s="5" customFormat="1" ht="36" x14ac:dyDescent="0.3">
      <c r="A103" s="84"/>
      <c r="B103" s="84"/>
      <c r="C103" s="90" t="s">
        <v>259</v>
      </c>
      <c r="D103" s="87" t="s">
        <v>260</v>
      </c>
      <c r="E103" s="91" t="s">
        <v>197</v>
      </c>
      <c r="F103" s="92">
        <v>58</v>
      </c>
      <c r="G103" s="93">
        <v>665.51</v>
      </c>
      <c r="H103" s="93">
        <v>38599.58</v>
      </c>
      <c r="I103" s="93">
        <v>0</v>
      </c>
      <c r="J103" s="93">
        <v>0</v>
      </c>
      <c r="K103" s="25">
        <v>0</v>
      </c>
      <c r="L103" s="25">
        <v>38599.58</v>
      </c>
      <c r="M103" s="25">
        <v>0</v>
      </c>
      <c r="N103" s="25">
        <v>0</v>
      </c>
      <c r="O103"/>
      <c r="P103"/>
      <c r="Q103"/>
    </row>
    <row r="104" spans="1:17" s="5" customFormat="1" ht="36" x14ac:dyDescent="0.3">
      <c r="A104" s="84"/>
      <c r="B104" s="84"/>
      <c r="C104" s="90" t="s">
        <v>262</v>
      </c>
      <c r="D104" s="87" t="s">
        <v>263</v>
      </c>
      <c r="E104" s="91" t="s">
        <v>197</v>
      </c>
      <c r="F104" s="92">
        <v>24</v>
      </c>
      <c r="G104" s="93">
        <v>861.36</v>
      </c>
      <c r="H104" s="93">
        <v>20672.64</v>
      </c>
      <c r="I104" s="93">
        <v>0</v>
      </c>
      <c r="J104" s="93">
        <v>0</v>
      </c>
      <c r="K104" s="25">
        <v>0</v>
      </c>
      <c r="L104" s="25">
        <v>20672.64</v>
      </c>
      <c r="M104" s="25">
        <v>0</v>
      </c>
      <c r="N104" s="25">
        <v>0</v>
      </c>
      <c r="O104"/>
      <c r="P104"/>
      <c r="Q104"/>
    </row>
    <row r="105" spans="1:17" s="5" customFormat="1" ht="36" x14ac:dyDescent="0.3">
      <c r="A105" s="84"/>
      <c r="B105" s="84"/>
      <c r="C105" s="90" t="s">
        <v>265</v>
      </c>
      <c r="D105" s="87" t="s">
        <v>266</v>
      </c>
      <c r="E105" s="91" t="s">
        <v>197</v>
      </c>
      <c r="F105" s="92">
        <v>144</v>
      </c>
      <c r="G105" s="93">
        <v>1744.94</v>
      </c>
      <c r="H105" s="93">
        <v>251271.36</v>
      </c>
      <c r="I105" s="93">
        <v>0</v>
      </c>
      <c r="J105" s="93">
        <v>0</v>
      </c>
      <c r="K105" s="25">
        <v>104696.4</v>
      </c>
      <c r="L105" s="25">
        <v>146574.96</v>
      </c>
      <c r="M105" s="25">
        <v>0</v>
      </c>
      <c r="N105" s="25">
        <v>0</v>
      </c>
      <c r="O105"/>
      <c r="P105"/>
      <c r="Q105"/>
    </row>
    <row r="106" spans="1:17" s="5" customFormat="1" ht="36" x14ac:dyDescent="0.3">
      <c r="A106" s="84"/>
      <c r="B106" s="84"/>
      <c r="C106" s="90" t="s">
        <v>268</v>
      </c>
      <c r="D106" s="87" t="s">
        <v>269</v>
      </c>
      <c r="E106" s="91" t="s">
        <v>197</v>
      </c>
      <c r="F106" s="92">
        <v>366</v>
      </c>
      <c r="G106" s="93">
        <v>1447.5</v>
      </c>
      <c r="H106" s="93">
        <v>529785</v>
      </c>
      <c r="I106" s="93">
        <v>0</v>
      </c>
      <c r="J106" s="93">
        <v>0</v>
      </c>
      <c r="K106" s="25">
        <v>318450</v>
      </c>
      <c r="L106" s="25">
        <v>211335</v>
      </c>
      <c r="M106" s="25">
        <v>0</v>
      </c>
      <c r="N106" s="25">
        <v>0</v>
      </c>
      <c r="O106"/>
      <c r="P106"/>
      <c r="Q106"/>
    </row>
    <row r="107" spans="1:17" s="5" customFormat="1" ht="48" x14ac:dyDescent="0.3">
      <c r="A107" s="84"/>
      <c r="B107" s="84"/>
      <c r="C107" s="90"/>
      <c r="D107" s="87" t="s">
        <v>271</v>
      </c>
      <c r="E107" s="91"/>
      <c r="F107" s="92"/>
      <c r="G107" s="93"/>
      <c r="H107" s="93"/>
      <c r="I107" s="93"/>
      <c r="J107" s="93"/>
      <c r="K107" s="25"/>
      <c r="L107" s="25"/>
      <c r="M107" s="25"/>
      <c r="N107" s="25"/>
      <c r="O107"/>
      <c r="P107"/>
      <c r="Q107"/>
    </row>
    <row r="108" spans="1:17" s="5" customFormat="1" ht="36" x14ac:dyDescent="0.3">
      <c r="A108" s="84"/>
      <c r="B108" s="84"/>
      <c r="C108" s="90" t="s">
        <v>272</v>
      </c>
      <c r="D108" s="87" t="s">
        <v>243</v>
      </c>
      <c r="E108" s="91" t="s">
        <v>197</v>
      </c>
      <c r="F108" s="92">
        <v>256</v>
      </c>
      <c r="G108" s="93">
        <v>3062.01</v>
      </c>
      <c r="H108" s="93">
        <v>783874.56000000006</v>
      </c>
      <c r="I108" s="93">
        <v>0</v>
      </c>
      <c r="J108" s="93">
        <v>0</v>
      </c>
      <c r="K108" s="25">
        <v>477673.56</v>
      </c>
      <c r="L108" s="25">
        <v>306201</v>
      </c>
      <c r="M108" s="25">
        <v>0</v>
      </c>
      <c r="N108" s="25">
        <v>0</v>
      </c>
      <c r="O108"/>
      <c r="P108"/>
      <c r="Q108"/>
    </row>
    <row r="109" spans="1:17" s="5" customFormat="1" ht="36" x14ac:dyDescent="0.3">
      <c r="A109" s="84"/>
      <c r="B109" s="84"/>
      <c r="C109" s="90" t="s">
        <v>274</v>
      </c>
      <c r="D109" s="87" t="s">
        <v>246</v>
      </c>
      <c r="E109" s="91" t="s">
        <v>197</v>
      </c>
      <c r="F109" s="92">
        <v>14</v>
      </c>
      <c r="G109" s="93">
        <v>4071.25</v>
      </c>
      <c r="H109" s="93">
        <v>56997.5</v>
      </c>
      <c r="I109" s="93">
        <v>0</v>
      </c>
      <c r="J109" s="93">
        <v>0</v>
      </c>
      <c r="K109" s="25">
        <v>0</v>
      </c>
      <c r="L109" s="25">
        <v>56997.5</v>
      </c>
      <c r="M109" s="25">
        <v>0</v>
      </c>
      <c r="N109" s="25">
        <v>0</v>
      </c>
      <c r="O109"/>
      <c r="P109"/>
      <c r="Q109"/>
    </row>
    <row r="110" spans="1:17" s="5" customFormat="1" ht="36" x14ac:dyDescent="0.3">
      <c r="A110" s="6"/>
      <c r="B110" s="6"/>
      <c r="C110" s="90" t="s">
        <v>276</v>
      </c>
      <c r="D110" s="87" t="s">
        <v>277</v>
      </c>
      <c r="E110" s="91" t="s">
        <v>197</v>
      </c>
      <c r="F110" s="92">
        <v>119</v>
      </c>
      <c r="G110" s="93">
        <v>4161.03</v>
      </c>
      <c r="H110" s="93">
        <v>495162.57</v>
      </c>
      <c r="I110" s="93">
        <v>0</v>
      </c>
      <c r="J110" s="93">
        <v>0</v>
      </c>
      <c r="K110" s="25">
        <v>249661.8</v>
      </c>
      <c r="L110" s="25">
        <v>245500.77</v>
      </c>
      <c r="M110" s="25">
        <v>0</v>
      </c>
      <c r="N110" s="25">
        <v>0</v>
      </c>
      <c r="O110"/>
      <c r="P110"/>
      <c r="Q110"/>
    </row>
    <row r="111" spans="1:17" s="5" customFormat="1" ht="36" x14ac:dyDescent="0.3">
      <c r="A111" s="6"/>
      <c r="B111" s="6"/>
      <c r="C111" s="90" t="s">
        <v>279</v>
      </c>
      <c r="D111" s="87" t="s">
        <v>280</v>
      </c>
      <c r="E111" s="91" t="s">
        <v>197</v>
      </c>
      <c r="F111" s="92">
        <v>4</v>
      </c>
      <c r="G111" s="93">
        <v>5194.8599999999997</v>
      </c>
      <c r="H111" s="93">
        <v>20779.439999999999</v>
      </c>
      <c r="I111" s="93">
        <v>0</v>
      </c>
      <c r="J111" s="93">
        <v>0</v>
      </c>
      <c r="K111" s="25">
        <v>20779.439999999999</v>
      </c>
      <c r="L111" s="25">
        <v>0</v>
      </c>
      <c r="M111" s="25">
        <v>0</v>
      </c>
      <c r="N111" s="25">
        <v>0</v>
      </c>
      <c r="O111"/>
      <c r="P111"/>
      <c r="Q111"/>
    </row>
    <row r="112" spans="1:17" s="5" customFormat="1" ht="36" x14ac:dyDescent="0.3">
      <c r="A112" s="84"/>
      <c r="B112" s="84"/>
      <c r="C112" s="90" t="s">
        <v>282</v>
      </c>
      <c r="D112" s="87" t="s">
        <v>252</v>
      </c>
      <c r="E112" s="91" t="s">
        <v>197</v>
      </c>
      <c r="F112" s="92">
        <v>57</v>
      </c>
      <c r="G112" s="93">
        <v>8980.08</v>
      </c>
      <c r="H112" s="93">
        <v>511864.56</v>
      </c>
      <c r="I112" s="93">
        <v>0</v>
      </c>
      <c r="J112" s="93">
        <v>179601.6</v>
      </c>
      <c r="K112" s="25">
        <v>332262.96000000002</v>
      </c>
      <c r="L112" s="25">
        <v>0</v>
      </c>
      <c r="M112" s="25">
        <v>0</v>
      </c>
      <c r="N112" s="25">
        <v>0</v>
      </c>
      <c r="O112"/>
      <c r="P112"/>
      <c r="Q112"/>
    </row>
    <row r="113" spans="1:17" s="5" customFormat="1" ht="36" x14ac:dyDescent="0.3">
      <c r="A113" s="84"/>
      <c r="B113" s="84"/>
      <c r="C113" s="90" t="s">
        <v>284</v>
      </c>
      <c r="D113" s="87" t="s">
        <v>255</v>
      </c>
      <c r="E113" s="91" t="s">
        <v>197</v>
      </c>
      <c r="F113" s="92">
        <v>31</v>
      </c>
      <c r="G113" s="93">
        <v>9065.16</v>
      </c>
      <c r="H113" s="93">
        <v>281019.96000000002</v>
      </c>
      <c r="I113" s="93">
        <v>0</v>
      </c>
      <c r="J113" s="93">
        <v>181303.2</v>
      </c>
      <c r="K113" s="25">
        <v>99716.76</v>
      </c>
      <c r="L113" s="25">
        <v>0</v>
      </c>
      <c r="M113" s="25">
        <v>0</v>
      </c>
      <c r="N113" s="25">
        <v>0</v>
      </c>
      <c r="O113"/>
      <c r="P113"/>
      <c r="Q113"/>
    </row>
    <row r="114" spans="1:17" s="5" customFormat="1" ht="36" x14ac:dyDescent="0.3">
      <c r="A114" s="84"/>
      <c r="B114" s="84"/>
      <c r="C114" s="90"/>
      <c r="D114" s="87" t="s">
        <v>286</v>
      </c>
      <c r="E114" s="91"/>
      <c r="F114" s="92"/>
      <c r="G114" s="93"/>
      <c r="H114" s="93">
        <v>46928788.710000001</v>
      </c>
      <c r="I114" s="93">
        <v>541432.42000000004</v>
      </c>
      <c r="J114" s="93">
        <v>11736169.99</v>
      </c>
      <c r="K114" s="25">
        <v>22753854.100000001</v>
      </c>
      <c r="L114" s="25">
        <v>11897332.199999999</v>
      </c>
      <c r="M114" s="25">
        <v>0</v>
      </c>
      <c r="N114" s="25">
        <v>0</v>
      </c>
      <c r="O114"/>
      <c r="P114"/>
      <c r="Q114"/>
    </row>
    <row r="115" spans="1:17" s="5" customFormat="1" ht="48" x14ac:dyDescent="0.3">
      <c r="A115" s="6"/>
      <c r="B115" s="6"/>
      <c r="C115" s="90" t="s">
        <v>287</v>
      </c>
      <c r="D115" s="87" t="s">
        <v>288</v>
      </c>
      <c r="E115" s="91"/>
      <c r="F115" s="92"/>
      <c r="G115" s="93"/>
      <c r="H115" s="93"/>
      <c r="I115" s="93"/>
      <c r="J115" s="93"/>
      <c r="K115" s="25"/>
      <c r="L115" s="25"/>
      <c r="M115" s="25"/>
      <c r="N115" s="25"/>
      <c r="O115"/>
      <c r="P115"/>
      <c r="Q115"/>
    </row>
    <row r="116" spans="1:17" s="5" customFormat="1" ht="60" x14ac:dyDescent="0.3">
      <c r="A116" s="6"/>
      <c r="B116" s="6"/>
      <c r="C116" s="90"/>
      <c r="D116" s="87" t="s">
        <v>289</v>
      </c>
      <c r="E116" s="91"/>
      <c r="F116" s="92"/>
      <c r="G116" s="93"/>
      <c r="H116" s="93"/>
      <c r="I116" s="93"/>
      <c r="J116" s="93"/>
      <c r="K116" s="25"/>
      <c r="L116" s="25"/>
      <c r="M116" s="25"/>
      <c r="N116" s="25"/>
      <c r="O116"/>
      <c r="P116"/>
      <c r="Q116"/>
    </row>
    <row r="117" spans="1:17" s="5" customFormat="1" ht="36" x14ac:dyDescent="0.3">
      <c r="A117" s="84"/>
      <c r="B117" s="84"/>
      <c r="C117" s="90" t="s">
        <v>290</v>
      </c>
      <c r="D117" s="87" t="s">
        <v>291</v>
      </c>
      <c r="E117" s="91" t="s">
        <v>68</v>
      </c>
      <c r="F117" s="92">
        <v>26</v>
      </c>
      <c r="G117" s="93">
        <v>79.23</v>
      </c>
      <c r="H117" s="93">
        <v>2059.98</v>
      </c>
      <c r="I117" s="93">
        <v>0</v>
      </c>
      <c r="J117" s="93">
        <v>0</v>
      </c>
      <c r="K117" s="25">
        <v>0</v>
      </c>
      <c r="L117" s="25">
        <v>0</v>
      </c>
      <c r="M117" s="25">
        <v>2059.98</v>
      </c>
      <c r="N117" s="25">
        <v>0</v>
      </c>
      <c r="O117"/>
      <c r="P117"/>
      <c r="Q117"/>
    </row>
    <row r="118" spans="1:17" s="5" customFormat="1" ht="60" x14ac:dyDescent="0.3">
      <c r="A118" s="84"/>
      <c r="B118" s="84"/>
      <c r="C118" s="90"/>
      <c r="D118" s="87" t="s">
        <v>293</v>
      </c>
      <c r="E118" s="91"/>
      <c r="F118" s="92"/>
      <c r="G118" s="93"/>
      <c r="H118" s="93"/>
      <c r="I118" s="93"/>
      <c r="J118" s="93"/>
      <c r="K118" s="25"/>
      <c r="L118" s="25"/>
      <c r="M118" s="25"/>
      <c r="N118" s="25"/>
      <c r="O118"/>
      <c r="P118"/>
      <c r="Q118"/>
    </row>
    <row r="119" spans="1:17" s="5" customFormat="1" ht="36" x14ac:dyDescent="0.3">
      <c r="A119" s="84"/>
      <c r="B119" s="84"/>
      <c r="C119" s="90" t="s">
        <v>294</v>
      </c>
      <c r="D119" s="87" t="s">
        <v>295</v>
      </c>
      <c r="E119" s="91" t="s">
        <v>68</v>
      </c>
      <c r="F119" s="92">
        <v>10</v>
      </c>
      <c r="G119" s="93">
        <v>79.23</v>
      </c>
      <c r="H119" s="93">
        <v>792.3</v>
      </c>
      <c r="I119" s="93">
        <v>0</v>
      </c>
      <c r="J119" s="93">
        <v>0</v>
      </c>
      <c r="K119" s="25">
        <v>0</v>
      </c>
      <c r="L119" s="25">
        <v>0</v>
      </c>
      <c r="M119" s="25">
        <v>792.3</v>
      </c>
      <c r="N119" s="25">
        <v>0</v>
      </c>
      <c r="O119"/>
      <c r="P119"/>
      <c r="Q119"/>
    </row>
    <row r="120" spans="1:17" s="5" customFormat="1" ht="36" x14ac:dyDescent="0.3">
      <c r="A120" s="84"/>
      <c r="B120" s="84"/>
      <c r="C120" s="90" t="s">
        <v>297</v>
      </c>
      <c r="D120" s="87" t="s">
        <v>298</v>
      </c>
      <c r="E120" s="91" t="s">
        <v>68</v>
      </c>
      <c r="F120" s="92">
        <v>38</v>
      </c>
      <c r="G120" s="93">
        <v>79.23</v>
      </c>
      <c r="H120" s="93">
        <v>3010.74</v>
      </c>
      <c r="I120" s="93">
        <v>0</v>
      </c>
      <c r="J120" s="93">
        <v>0</v>
      </c>
      <c r="K120" s="25">
        <v>0</v>
      </c>
      <c r="L120" s="25">
        <v>0</v>
      </c>
      <c r="M120" s="25">
        <v>3010.74</v>
      </c>
      <c r="N120" s="25">
        <v>0</v>
      </c>
      <c r="O120"/>
      <c r="P120"/>
      <c r="Q120"/>
    </row>
    <row r="121" spans="1:17" s="5" customFormat="1" ht="48" x14ac:dyDescent="0.3">
      <c r="A121" s="84"/>
      <c r="B121" s="84"/>
      <c r="C121" s="90"/>
      <c r="D121" s="87" t="s">
        <v>141</v>
      </c>
      <c r="E121" s="91"/>
      <c r="F121" s="92"/>
      <c r="G121" s="93"/>
      <c r="H121" s="93"/>
      <c r="I121" s="93"/>
      <c r="J121" s="93"/>
      <c r="K121" s="25"/>
      <c r="L121" s="25"/>
      <c r="M121" s="25"/>
      <c r="N121" s="25"/>
      <c r="O121"/>
      <c r="P121"/>
      <c r="Q121"/>
    </row>
    <row r="122" spans="1:17" s="5" customFormat="1" ht="48" x14ac:dyDescent="0.3">
      <c r="A122" s="84"/>
      <c r="B122" s="84"/>
      <c r="C122" s="90" t="s">
        <v>300</v>
      </c>
      <c r="D122" s="87" t="s">
        <v>301</v>
      </c>
      <c r="E122" s="91" t="s">
        <v>58</v>
      </c>
      <c r="F122" s="92">
        <v>188</v>
      </c>
      <c r="G122" s="93">
        <v>1328.45</v>
      </c>
      <c r="H122" s="93">
        <v>249748.6</v>
      </c>
      <c r="I122" s="93">
        <v>0</v>
      </c>
      <c r="J122" s="93">
        <v>0</v>
      </c>
      <c r="K122" s="25">
        <v>0</v>
      </c>
      <c r="L122" s="25">
        <v>0</v>
      </c>
      <c r="M122" s="25">
        <v>146129.5</v>
      </c>
      <c r="N122" s="25">
        <v>103619.1</v>
      </c>
      <c r="O122"/>
      <c r="P122"/>
      <c r="Q122"/>
    </row>
    <row r="123" spans="1:17" s="5" customFormat="1" ht="48" x14ac:dyDescent="0.3">
      <c r="A123" s="84"/>
      <c r="B123" s="84"/>
      <c r="C123" s="90"/>
      <c r="D123" s="87" t="s">
        <v>303</v>
      </c>
      <c r="E123" s="91"/>
      <c r="F123" s="92"/>
      <c r="G123" s="93"/>
      <c r="H123" s="93"/>
      <c r="I123" s="93"/>
      <c r="J123" s="93"/>
      <c r="K123" s="25"/>
      <c r="L123" s="25"/>
      <c r="M123" s="25"/>
      <c r="N123" s="25"/>
      <c r="O123"/>
      <c r="P123"/>
      <c r="Q123"/>
    </row>
    <row r="124" spans="1:17" s="5" customFormat="1" ht="48" x14ac:dyDescent="0.3">
      <c r="A124" s="84"/>
      <c r="B124" s="84"/>
      <c r="C124" s="90" t="s">
        <v>304</v>
      </c>
      <c r="D124" s="87" t="s">
        <v>305</v>
      </c>
      <c r="E124" s="91" t="s">
        <v>50</v>
      </c>
      <c r="F124" s="92">
        <v>8.5359999999999996</v>
      </c>
      <c r="G124" s="93">
        <v>203883.79</v>
      </c>
      <c r="H124" s="93">
        <v>1740352.03</v>
      </c>
      <c r="I124" s="93">
        <v>0</v>
      </c>
      <c r="J124" s="93">
        <v>0</v>
      </c>
      <c r="K124" s="25">
        <v>0</v>
      </c>
      <c r="L124" s="25">
        <v>0</v>
      </c>
      <c r="M124" s="25">
        <v>0</v>
      </c>
      <c r="N124" s="25">
        <v>1740352.03</v>
      </c>
      <c r="O124"/>
      <c r="P124"/>
      <c r="Q124"/>
    </row>
    <row r="125" spans="1:17" s="5" customFormat="1" ht="36" x14ac:dyDescent="0.3">
      <c r="A125" s="84"/>
      <c r="B125" s="84"/>
      <c r="C125" s="90"/>
      <c r="D125" s="87" t="s">
        <v>307</v>
      </c>
      <c r="E125" s="91"/>
      <c r="F125" s="92"/>
      <c r="G125" s="93"/>
      <c r="H125" s="93"/>
      <c r="I125" s="93"/>
      <c r="J125" s="93"/>
      <c r="K125" s="25"/>
      <c r="L125" s="25"/>
      <c r="M125" s="25"/>
      <c r="N125" s="25"/>
      <c r="O125"/>
      <c r="P125"/>
      <c r="Q125"/>
    </row>
    <row r="126" spans="1:17" s="5" customFormat="1" ht="36" x14ac:dyDescent="0.3">
      <c r="A126" s="84"/>
      <c r="B126" s="84"/>
      <c r="C126" s="90"/>
      <c r="D126" s="87" t="s">
        <v>308</v>
      </c>
      <c r="E126" s="91"/>
      <c r="F126" s="92"/>
      <c r="G126" s="93"/>
      <c r="H126" s="93"/>
      <c r="I126" s="93"/>
      <c r="J126" s="93"/>
      <c r="K126" s="25"/>
      <c r="L126" s="25"/>
      <c r="M126" s="25"/>
      <c r="N126" s="25"/>
      <c r="O126"/>
      <c r="P126"/>
      <c r="Q126"/>
    </row>
    <row r="127" spans="1:17" s="5" customFormat="1" ht="36" x14ac:dyDescent="0.3">
      <c r="A127" s="84"/>
      <c r="B127" s="84"/>
      <c r="C127" s="90" t="s">
        <v>309</v>
      </c>
      <c r="D127" s="87" t="s">
        <v>310</v>
      </c>
      <c r="E127" s="91" t="s">
        <v>68</v>
      </c>
      <c r="F127" s="92">
        <v>64</v>
      </c>
      <c r="G127" s="93">
        <v>127.15</v>
      </c>
      <c r="H127" s="93">
        <v>8137.6</v>
      </c>
      <c r="I127" s="93">
        <v>0</v>
      </c>
      <c r="J127" s="93">
        <v>0</v>
      </c>
      <c r="K127" s="25">
        <v>0</v>
      </c>
      <c r="L127" s="25">
        <v>0</v>
      </c>
      <c r="M127" s="25">
        <v>0</v>
      </c>
      <c r="N127" s="25">
        <v>8137.6</v>
      </c>
      <c r="O127"/>
      <c r="P127"/>
      <c r="Q127"/>
    </row>
    <row r="128" spans="1:17" s="5" customFormat="1" ht="36" x14ac:dyDescent="0.3">
      <c r="A128" s="84"/>
      <c r="B128" s="84"/>
      <c r="C128" s="90"/>
      <c r="D128" s="87" t="s">
        <v>312</v>
      </c>
      <c r="E128" s="91"/>
      <c r="F128" s="92"/>
      <c r="G128" s="93"/>
      <c r="H128" s="93"/>
      <c r="I128" s="93"/>
      <c r="J128" s="93"/>
      <c r="K128" s="25"/>
      <c r="L128" s="25"/>
      <c r="M128" s="25"/>
      <c r="N128" s="25"/>
      <c r="O128"/>
      <c r="P128"/>
      <c r="Q128"/>
    </row>
    <row r="129" spans="1:17" s="5" customFormat="1" ht="48" x14ac:dyDescent="0.3">
      <c r="A129" s="84"/>
      <c r="B129" s="84"/>
      <c r="C129" s="90" t="s">
        <v>313</v>
      </c>
      <c r="D129" s="87" t="s">
        <v>314</v>
      </c>
      <c r="E129" s="91" t="s">
        <v>68</v>
      </c>
      <c r="F129" s="92">
        <v>9</v>
      </c>
      <c r="G129" s="93">
        <v>127.15</v>
      </c>
      <c r="H129" s="93">
        <v>1144.3499999999999</v>
      </c>
      <c r="I129" s="93">
        <v>0</v>
      </c>
      <c r="J129" s="93">
        <v>0</v>
      </c>
      <c r="K129" s="25">
        <v>0</v>
      </c>
      <c r="L129" s="25">
        <v>0</v>
      </c>
      <c r="M129" s="25">
        <v>0</v>
      </c>
      <c r="N129" s="25">
        <v>1144.3499999999999</v>
      </c>
      <c r="O129"/>
      <c r="P129"/>
      <c r="Q129"/>
    </row>
    <row r="130" spans="1:17" s="5" customFormat="1" ht="48" x14ac:dyDescent="0.3">
      <c r="A130" s="84"/>
      <c r="B130" s="84"/>
      <c r="C130" s="90" t="s">
        <v>316</v>
      </c>
      <c r="D130" s="87" t="s">
        <v>317</v>
      </c>
      <c r="E130" s="91" t="s">
        <v>68</v>
      </c>
      <c r="F130" s="92">
        <v>14</v>
      </c>
      <c r="G130" s="93">
        <v>127.15</v>
      </c>
      <c r="H130" s="93">
        <v>1780.1</v>
      </c>
      <c r="I130" s="93">
        <v>0</v>
      </c>
      <c r="J130" s="93">
        <v>0</v>
      </c>
      <c r="K130" s="25">
        <v>0</v>
      </c>
      <c r="L130" s="25">
        <v>0</v>
      </c>
      <c r="M130" s="25">
        <v>0</v>
      </c>
      <c r="N130" s="25">
        <v>1780.1</v>
      </c>
      <c r="O130"/>
      <c r="P130"/>
      <c r="Q130"/>
    </row>
    <row r="131" spans="1:17" s="5" customFormat="1" ht="48" x14ac:dyDescent="0.3">
      <c r="A131" s="84"/>
      <c r="B131" s="84"/>
      <c r="C131" s="90" t="s">
        <v>319</v>
      </c>
      <c r="D131" s="87" t="s">
        <v>320</v>
      </c>
      <c r="E131" s="91" t="s">
        <v>68</v>
      </c>
      <c r="F131" s="92">
        <v>14</v>
      </c>
      <c r="G131" s="93">
        <v>127.15</v>
      </c>
      <c r="H131" s="93">
        <v>1780.1</v>
      </c>
      <c r="I131" s="93">
        <v>0</v>
      </c>
      <c r="J131" s="93">
        <v>0</v>
      </c>
      <c r="K131" s="25">
        <v>0</v>
      </c>
      <c r="L131" s="25">
        <v>0</v>
      </c>
      <c r="M131" s="25">
        <v>0</v>
      </c>
      <c r="N131" s="25">
        <v>1780.1</v>
      </c>
      <c r="O131"/>
      <c r="P131"/>
      <c r="Q131"/>
    </row>
    <row r="132" spans="1:17" s="5" customFormat="1" ht="36" x14ac:dyDescent="0.3">
      <c r="A132" s="84"/>
      <c r="B132" s="84"/>
      <c r="C132" s="90"/>
      <c r="D132" s="87" t="s">
        <v>322</v>
      </c>
      <c r="E132" s="91"/>
      <c r="F132" s="92"/>
      <c r="G132" s="93"/>
      <c r="H132" s="93"/>
      <c r="I132" s="93"/>
      <c r="J132" s="93"/>
      <c r="K132" s="25"/>
      <c r="L132" s="25"/>
      <c r="M132" s="25"/>
      <c r="N132" s="25"/>
      <c r="O132"/>
      <c r="P132"/>
      <c r="Q132"/>
    </row>
    <row r="133" spans="1:17" s="5" customFormat="1" ht="48" x14ac:dyDescent="0.3">
      <c r="A133" s="84"/>
      <c r="B133" s="84"/>
      <c r="C133" s="90" t="s">
        <v>323</v>
      </c>
      <c r="D133" s="87" t="s">
        <v>324</v>
      </c>
      <c r="E133" s="91" t="s">
        <v>68</v>
      </c>
      <c r="F133" s="92">
        <v>146</v>
      </c>
      <c r="G133" s="93">
        <v>127.15</v>
      </c>
      <c r="H133" s="93">
        <v>18563.900000000001</v>
      </c>
      <c r="I133" s="93">
        <v>0</v>
      </c>
      <c r="J133" s="93">
        <v>0</v>
      </c>
      <c r="K133" s="25">
        <v>0</v>
      </c>
      <c r="L133" s="25">
        <v>0</v>
      </c>
      <c r="M133" s="25">
        <v>7629</v>
      </c>
      <c r="N133" s="25">
        <v>10934.9</v>
      </c>
      <c r="O133"/>
      <c r="P133"/>
      <c r="Q133"/>
    </row>
    <row r="134" spans="1:17" s="5" customFormat="1" ht="48" x14ac:dyDescent="0.3">
      <c r="A134" s="84"/>
      <c r="B134" s="84"/>
      <c r="C134" s="90" t="s">
        <v>326</v>
      </c>
      <c r="D134" s="87" t="s">
        <v>327</v>
      </c>
      <c r="E134" s="91" t="s">
        <v>68</v>
      </c>
      <c r="F134" s="92">
        <v>104</v>
      </c>
      <c r="G134" s="93">
        <v>127.15</v>
      </c>
      <c r="H134" s="93">
        <v>13223.6</v>
      </c>
      <c r="I134" s="93">
        <v>0</v>
      </c>
      <c r="J134" s="93">
        <v>0</v>
      </c>
      <c r="K134" s="25">
        <v>0</v>
      </c>
      <c r="L134" s="25">
        <v>0</v>
      </c>
      <c r="M134" s="25">
        <v>5086</v>
      </c>
      <c r="N134" s="25">
        <v>8137.6</v>
      </c>
      <c r="O134"/>
      <c r="P134"/>
      <c r="Q134"/>
    </row>
    <row r="135" spans="1:17" s="5" customFormat="1" ht="48" x14ac:dyDescent="0.3">
      <c r="A135" s="84"/>
      <c r="B135" s="84"/>
      <c r="C135" s="90" t="s">
        <v>329</v>
      </c>
      <c r="D135" s="87" t="s">
        <v>330</v>
      </c>
      <c r="E135" s="91" t="s">
        <v>68</v>
      </c>
      <c r="F135" s="92">
        <v>14</v>
      </c>
      <c r="G135" s="93">
        <v>127.15</v>
      </c>
      <c r="H135" s="93">
        <v>1780.1</v>
      </c>
      <c r="I135" s="93">
        <v>0</v>
      </c>
      <c r="J135" s="93">
        <v>0</v>
      </c>
      <c r="K135" s="25">
        <v>0</v>
      </c>
      <c r="L135" s="25">
        <v>0</v>
      </c>
      <c r="M135" s="25">
        <v>1780.1</v>
      </c>
      <c r="N135" s="25">
        <v>0</v>
      </c>
      <c r="O135"/>
      <c r="P135"/>
      <c r="Q135"/>
    </row>
    <row r="136" spans="1:17" s="5" customFormat="1" ht="48" x14ac:dyDescent="0.3">
      <c r="A136" s="84"/>
      <c r="B136" s="84"/>
      <c r="C136" s="90" t="s">
        <v>332</v>
      </c>
      <c r="D136" s="87" t="s">
        <v>333</v>
      </c>
      <c r="E136" s="91" t="s">
        <v>68</v>
      </c>
      <c r="F136" s="92">
        <v>46</v>
      </c>
      <c r="G136" s="93">
        <v>127.15</v>
      </c>
      <c r="H136" s="93">
        <v>5848.9</v>
      </c>
      <c r="I136" s="93">
        <v>0</v>
      </c>
      <c r="J136" s="93">
        <v>0</v>
      </c>
      <c r="K136" s="25">
        <v>0</v>
      </c>
      <c r="L136" s="25">
        <v>0</v>
      </c>
      <c r="M136" s="25">
        <v>3814.5</v>
      </c>
      <c r="N136" s="25">
        <v>2034.4</v>
      </c>
      <c r="O136"/>
      <c r="P136"/>
      <c r="Q136"/>
    </row>
    <row r="137" spans="1:17" s="5" customFormat="1" ht="48" x14ac:dyDescent="0.3">
      <c r="A137" s="84"/>
      <c r="B137" s="84"/>
      <c r="C137" s="90" t="s">
        <v>335</v>
      </c>
      <c r="D137" s="87" t="s">
        <v>336</v>
      </c>
      <c r="E137" s="91" t="s">
        <v>68</v>
      </c>
      <c r="F137" s="92">
        <v>13</v>
      </c>
      <c r="G137" s="93">
        <v>127.15</v>
      </c>
      <c r="H137" s="93">
        <v>1652.95</v>
      </c>
      <c r="I137" s="93">
        <v>0</v>
      </c>
      <c r="J137" s="93">
        <v>0</v>
      </c>
      <c r="K137" s="25">
        <v>0</v>
      </c>
      <c r="L137" s="25">
        <v>0</v>
      </c>
      <c r="M137" s="25">
        <v>1652.95</v>
      </c>
      <c r="N137" s="25">
        <v>0</v>
      </c>
      <c r="O137"/>
      <c r="P137"/>
      <c r="Q137"/>
    </row>
    <row r="138" spans="1:17" s="5" customFormat="1" ht="36" x14ac:dyDescent="0.3">
      <c r="A138" s="84"/>
      <c r="B138" s="84"/>
      <c r="C138" s="90"/>
      <c r="D138" s="87" t="s">
        <v>338</v>
      </c>
      <c r="E138" s="91"/>
      <c r="F138" s="92"/>
      <c r="G138" s="93"/>
      <c r="H138" s="93"/>
      <c r="I138" s="93"/>
      <c r="J138" s="93"/>
      <c r="K138" s="25"/>
      <c r="L138" s="25"/>
      <c r="M138" s="25"/>
      <c r="N138" s="25"/>
      <c r="O138"/>
      <c r="P138"/>
      <c r="Q138"/>
    </row>
    <row r="139" spans="1:17" s="5" customFormat="1" ht="36" x14ac:dyDescent="0.3">
      <c r="A139" s="84"/>
      <c r="B139" s="84"/>
      <c r="C139" s="90" t="s">
        <v>339</v>
      </c>
      <c r="D139" s="87" t="s">
        <v>340</v>
      </c>
      <c r="E139" s="91" t="s">
        <v>68</v>
      </c>
      <c r="F139" s="92">
        <v>4</v>
      </c>
      <c r="G139" s="93">
        <v>127.15</v>
      </c>
      <c r="H139" s="93">
        <v>508.6</v>
      </c>
      <c r="I139" s="93">
        <v>0</v>
      </c>
      <c r="J139" s="93">
        <v>0</v>
      </c>
      <c r="K139" s="25">
        <v>0</v>
      </c>
      <c r="L139" s="25">
        <v>0</v>
      </c>
      <c r="M139" s="25">
        <v>508.6</v>
      </c>
      <c r="N139" s="25">
        <v>0</v>
      </c>
      <c r="O139"/>
      <c r="P139"/>
      <c r="Q139"/>
    </row>
    <row r="140" spans="1:17" s="5" customFormat="1" ht="36" x14ac:dyDescent="0.3">
      <c r="A140" s="84"/>
      <c r="B140" s="84"/>
      <c r="C140" s="90" t="s">
        <v>342</v>
      </c>
      <c r="D140" s="87" t="s">
        <v>343</v>
      </c>
      <c r="E140" s="91" t="s">
        <v>68</v>
      </c>
      <c r="F140" s="92">
        <v>30</v>
      </c>
      <c r="G140" s="93">
        <v>127.15</v>
      </c>
      <c r="H140" s="93">
        <v>3814.5</v>
      </c>
      <c r="I140" s="93">
        <v>0</v>
      </c>
      <c r="J140" s="93">
        <v>0</v>
      </c>
      <c r="K140" s="25">
        <v>0</v>
      </c>
      <c r="L140" s="25">
        <v>0</v>
      </c>
      <c r="M140" s="25">
        <v>2543</v>
      </c>
      <c r="N140" s="25">
        <v>1271.5</v>
      </c>
      <c r="O140"/>
      <c r="P140"/>
      <c r="Q140"/>
    </row>
    <row r="141" spans="1:17" s="5" customFormat="1" ht="48" x14ac:dyDescent="0.3">
      <c r="A141" s="84"/>
      <c r="B141" s="84"/>
      <c r="C141" s="90" t="s">
        <v>345</v>
      </c>
      <c r="D141" s="87" t="s">
        <v>346</v>
      </c>
      <c r="E141" s="91" t="s">
        <v>68</v>
      </c>
      <c r="F141" s="92">
        <v>16</v>
      </c>
      <c r="G141" s="93">
        <v>127.15</v>
      </c>
      <c r="H141" s="93">
        <v>2034.4</v>
      </c>
      <c r="I141" s="93">
        <v>0</v>
      </c>
      <c r="J141" s="93">
        <v>0</v>
      </c>
      <c r="K141" s="25">
        <v>0</v>
      </c>
      <c r="L141" s="25">
        <v>0</v>
      </c>
      <c r="M141" s="25">
        <v>2034.4</v>
      </c>
      <c r="N141" s="25">
        <v>0</v>
      </c>
      <c r="O141"/>
      <c r="P141"/>
      <c r="Q141"/>
    </row>
    <row r="142" spans="1:17" s="5" customFormat="1" ht="36" x14ac:dyDescent="0.3">
      <c r="A142" s="84"/>
      <c r="B142" s="84"/>
      <c r="C142" s="90"/>
      <c r="D142" s="87" t="s">
        <v>348</v>
      </c>
      <c r="E142" s="91"/>
      <c r="F142" s="92"/>
      <c r="G142" s="93"/>
      <c r="H142" s="93"/>
      <c r="I142" s="93"/>
      <c r="J142" s="93"/>
      <c r="K142" s="25"/>
      <c r="L142" s="25"/>
      <c r="M142" s="25"/>
      <c r="N142" s="25"/>
      <c r="O142"/>
      <c r="P142"/>
      <c r="Q142"/>
    </row>
    <row r="143" spans="1:17" s="5" customFormat="1" ht="48" x14ac:dyDescent="0.3">
      <c r="A143" s="84"/>
      <c r="B143" s="84"/>
      <c r="C143" s="90" t="s">
        <v>349</v>
      </c>
      <c r="D143" s="87" t="s">
        <v>350</v>
      </c>
      <c r="E143" s="91" t="s">
        <v>58</v>
      </c>
      <c r="F143" s="92">
        <v>325</v>
      </c>
      <c r="G143" s="93">
        <v>2507.5100000000002</v>
      </c>
      <c r="H143" s="93">
        <v>814940.75</v>
      </c>
      <c r="I143" s="93">
        <v>0</v>
      </c>
      <c r="J143" s="93">
        <v>0</v>
      </c>
      <c r="K143" s="25">
        <v>0</v>
      </c>
      <c r="L143" s="25">
        <v>0</v>
      </c>
      <c r="M143" s="25">
        <v>501502</v>
      </c>
      <c r="N143" s="25">
        <v>313438.75</v>
      </c>
      <c r="O143"/>
      <c r="P143"/>
      <c r="Q143"/>
    </row>
    <row r="144" spans="1:17" s="5" customFormat="1" ht="48" x14ac:dyDescent="0.3">
      <c r="A144" s="84"/>
      <c r="B144" s="84"/>
      <c r="C144" s="90" t="s">
        <v>352</v>
      </c>
      <c r="D144" s="87" t="s">
        <v>353</v>
      </c>
      <c r="E144" s="91" t="s">
        <v>58</v>
      </c>
      <c r="F144" s="92">
        <v>1000</v>
      </c>
      <c r="G144" s="93">
        <v>2431.64</v>
      </c>
      <c r="H144" s="93">
        <v>2431640</v>
      </c>
      <c r="I144" s="93">
        <v>0</v>
      </c>
      <c r="J144" s="93">
        <v>0</v>
      </c>
      <c r="K144" s="25">
        <v>0</v>
      </c>
      <c r="L144" s="25">
        <v>0</v>
      </c>
      <c r="M144" s="25">
        <v>1458984</v>
      </c>
      <c r="N144" s="25">
        <v>972656</v>
      </c>
      <c r="O144"/>
      <c r="P144"/>
      <c r="Q144"/>
    </row>
    <row r="145" spans="1:17" s="5" customFormat="1" ht="48" x14ac:dyDescent="0.3">
      <c r="A145" s="84"/>
      <c r="B145" s="84"/>
      <c r="C145" s="90" t="s">
        <v>355</v>
      </c>
      <c r="D145" s="87" t="s">
        <v>356</v>
      </c>
      <c r="E145" s="91" t="s">
        <v>58</v>
      </c>
      <c r="F145" s="92">
        <v>22.1</v>
      </c>
      <c r="G145" s="93">
        <v>2431.64</v>
      </c>
      <c r="H145" s="93">
        <v>53739.24</v>
      </c>
      <c r="I145" s="93">
        <v>0</v>
      </c>
      <c r="J145" s="93">
        <v>0</v>
      </c>
      <c r="K145" s="25">
        <v>0</v>
      </c>
      <c r="L145" s="25">
        <v>0</v>
      </c>
      <c r="M145" s="25">
        <v>53739.24</v>
      </c>
      <c r="N145" s="25">
        <v>0</v>
      </c>
      <c r="O145"/>
      <c r="P145"/>
      <c r="Q145"/>
    </row>
    <row r="146" spans="1:17" s="5" customFormat="1" ht="36" x14ac:dyDescent="0.3">
      <c r="A146" s="84"/>
      <c r="B146" s="84"/>
      <c r="C146" s="90"/>
      <c r="D146" s="87" t="s">
        <v>357</v>
      </c>
      <c r="E146" s="91"/>
      <c r="F146" s="92"/>
      <c r="G146" s="93"/>
      <c r="H146" s="93"/>
      <c r="I146" s="93"/>
      <c r="J146" s="93"/>
      <c r="K146" s="25"/>
      <c r="L146" s="25"/>
      <c r="M146" s="25"/>
      <c r="N146" s="25"/>
      <c r="O146"/>
      <c r="P146"/>
      <c r="Q146"/>
    </row>
    <row r="147" spans="1:17" s="5" customFormat="1" ht="48" x14ac:dyDescent="0.3">
      <c r="A147" s="84"/>
      <c r="B147" s="84"/>
      <c r="C147" s="90" t="s">
        <v>358</v>
      </c>
      <c r="D147" s="87" t="s">
        <v>359</v>
      </c>
      <c r="E147" s="91" t="s">
        <v>68</v>
      </c>
      <c r="F147" s="92">
        <v>6</v>
      </c>
      <c r="G147" s="93">
        <v>127.15</v>
      </c>
      <c r="H147" s="93">
        <v>762.9</v>
      </c>
      <c r="I147" s="93">
        <v>0</v>
      </c>
      <c r="J147" s="93">
        <v>0</v>
      </c>
      <c r="K147" s="25">
        <v>0</v>
      </c>
      <c r="L147" s="25">
        <v>0</v>
      </c>
      <c r="M147" s="25">
        <v>762.9</v>
      </c>
      <c r="N147" s="25">
        <v>0</v>
      </c>
      <c r="O147"/>
      <c r="P147"/>
      <c r="Q147"/>
    </row>
    <row r="148" spans="1:17" s="5" customFormat="1" ht="36" x14ac:dyDescent="0.3">
      <c r="A148" s="84"/>
      <c r="B148" s="84"/>
      <c r="C148" s="90"/>
      <c r="D148" s="87" t="s">
        <v>360</v>
      </c>
      <c r="E148" s="91"/>
      <c r="F148" s="92"/>
      <c r="G148" s="93"/>
      <c r="H148" s="93"/>
      <c r="I148" s="93"/>
      <c r="J148" s="93"/>
      <c r="K148" s="25"/>
      <c r="L148" s="25"/>
      <c r="M148" s="25"/>
      <c r="N148" s="25"/>
      <c r="O148"/>
      <c r="P148"/>
      <c r="Q148"/>
    </row>
    <row r="149" spans="1:17" s="5" customFormat="1" ht="48" x14ac:dyDescent="0.3">
      <c r="A149" s="84"/>
      <c r="B149" s="84"/>
      <c r="C149" s="90" t="s">
        <v>361</v>
      </c>
      <c r="D149" s="87" t="s">
        <v>362</v>
      </c>
      <c r="E149" s="91" t="s">
        <v>68</v>
      </c>
      <c r="F149" s="92">
        <v>50</v>
      </c>
      <c r="G149" s="93">
        <v>127.15</v>
      </c>
      <c r="H149" s="93">
        <v>6357.5</v>
      </c>
      <c r="I149" s="93">
        <v>0</v>
      </c>
      <c r="J149" s="93">
        <v>0</v>
      </c>
      <c r="K149" s="25">
        <v>0</v>
      </c>
      <c r="L149" s="25">
        <v>0</v>
      </c>
      <c r="M149" s="25">
        <v>3814.5</v>
      </c>
      <c r="N149" s="25">
        <v>2543</v>
      </c>
      <c r="O149"/>
      <c r="P149"/>
      <c r="Q149"/>
    </row>
    <row r="150" spans="1:17" s="5" customFormat="1" ht="48" x14ac:dyDescent="0.3">
      <c r="A150" s="6"/>
      <c r="B150" s="6"/>
      <c r="C150" s="90" t="s">
        <v>364</v>
      </c>
      <c r="D150" s="87" t="s">
        <v>365</v>
      </c>
      <c r="E150" s="91" t="s">
        <v>68</v>
      </c>
      <c r="F150" s="92">
        <v>86</v>
      </c>
      <c r="G150" s="93">
        <v>127.15</v>
      </c>
      <c r="H150" s="93">
        <v>10934.9</v>
      </c>
      <c r="I150" s="93">
        <v>0</v>
      </c>
      <c r="J150" s="93">
        <v>0</v>
      </c>
      <c r="K150" s="25">
        <v>0</v>
      </c>
      <c r="L150" s="25">
        <v>0</v>
      </c>
      <c r="M150" s="25">
        <v>7120.4</v>
      </c>
      <c r="N150" s="25">
        <v>3814.5</v>
      </c>
      <c r="O150"/>
      <c r="P150"/>
      <c r="Q150"/>
    </row>
    <row r="151" spans="1:17" s="5" customFormat="1" ht="36" x14ac:dyDescent="0.3">
      <c r="A151" s="84"/>
      <c r="B151" s="84"/>
      <c r="C151" s="90"/>
      <c r="D151" s="87" t="s">
        <v>367</v>
      </c>
      <c r="E151" s="91"/>
      <c r="F151" s="92"/>
      <c r="G151" s="93"/>
      <c r="H151" s="93"/>
      <c r="I151" s="93"/>
      <c r="J151" s="93"/>
      <c r="K151" s="25"/>
      <c r="L151" s="25"/>
      <c r="M151" s="25"/>
      <c r="N151" s="25"/>
      <c r="O151"/>
      <c r="P151"/>
      <c r="Q151"/>
    </row>
    <row r="152" spans="1:17" s="5" customFormat="1" ht="36" x14ac:dyDescent="0.3">
      <c r="A152" s="84"/>
      <c r="B152" s="84"/>
      <c r="C152" s="90"/>
      <c r="D152" s="87" t="s">
        <v>368</v>
      </c>
      <c r="E152" s="91"/>
      <c r="F152" s="92"/>
      <c r="G152" s="93"/>
      <c r="H152" s="93"/>
      <c r="I152" s="93"/>
      <c r="J152" s="93"/>
      <c r="K152" s="25"/>
      <c r="L152" s="25"/>
      <c r="M152" s="25"/>
      <c r="N152" s="25"/>
      <c r="O152"/>
      <c r="P152"/>
      <c r="Q152"/>
    </row>
    <row r="153" spans="1:17" s="5" customFormat="1" ht="60" x14ac:dyDescent="0.3">
      <c r="A153" s="90"/>
      <c r="B153" s="90"/>
      <c r="C153" s="90" t="s">
        <v>369</v>
      </c>
      <c r="D153" s="87" t="s">
        <v>370</v>
      </c>
      <c r="E153" s="91" t="s">
        <v>68</v>
      </c>
      <c r="F153" s="92">
        <v>67</v>
      </c>
      <c r="G153" s="93">
        <v>1182.58</v>
      </c>
      <c r="H153" s="93">
        <v>79232.86</v>
      </c>
      <c r="I153" s="93">
        <v>0</v>
      </c>
      <c r="J153" s="93">
        <v>0</v>
      </c>
      <c r="K153" s="25">
        <v>0</v>
      </c>
      <c r="L153" s="25">
        <v>0</v>
      </c>
      <c r="M153" s="25">
        <v>47303.199999999997</v>
      </c>
      <c r="N153" s="25">
        <v>31929.66</v>
      </c>
      <c r="O153"/>
      <c r="P153"/>
      <c r="Q153"/>
    </row>
    <row r="154" spans="1:17" s="5" customFormat="1" ht="48" x14ac:dyDescent="0.3">
      <c r="A154" s="90"/>
      <c r="B154" s="90"/>
      <c r="C154" s="90"/>
      <c r="D154" s="87" t="s">
        <v>372</v>
      </c>
      <c r="E154" s="91"/>
      <c r="F154" s="92"/>
      <c r="G154" s="93"/>
      <c r="H154" s="93"/>
      <c r="I154" s="93"/>
      <c r="J154" s="93"/>
      <c r="K154" s="25"/>
      <c r="L154" s="25"/>
      <c r="M154" s="25"/>
      <c r="N154" s="25"/>
      <c r="O154"/>
      <c r="P154"/>
      <c r="Q154"/>
    </row>
    <row r="155" spans="1:17" s="5" customFormat="1" ht="48" x14ac:dyDescent="0.3">
      <c r="A155" s="90"/>
      <c r="B155" s="90"/>
      <c r="C155" s="90" t="s">
        <v>373</v>
      </c>
      <c r="D155" s="87" t="s">
        <v>374</v>
      </c>
      <c r="E155" s="91" t="s">
        <v>58</v>
      </c>
      <c r="F155" s="92">
        <v>100</v>
      </c>
      <c r="G155" s="93">
        <v>67.28</v>
      </c>
      <c r="H155" s="93">
        <v>6728</v>
      </c>
      <c r="I155" s="93">
        <v>0</v>
      </c>
      <c r="J155" s="93">
        <v>0</v>
      </c>
      <c r="K155" s="25">
        <v>0</v>
      </c>
      <c r="L155" s="25">
        <v>0</v>
      </c>
      <c r="M155" s="25">
        <v>4036.8</v>
      </c>
      <c r="N155" s="25">
        <v>2691.2</v>
      </c>
      <c r="O155"/>
      <c r="P155"/>
      <c r="Q155"/>
    </row>
    <row r="156" spans="1:17" s="5" customFormat="1" ht="48" x14ac:dyDescent="0.3">
      <c r="A156" s="90"/>
      <c r="B156" s="90"/>
      <c r="C156" s="90" t="s">
        <v>376</v>
      </c>
      <c r="D156" s="87" t="s">
        <v>377</v>
      </c>
      <c r="E156" s="91" t="s">
        <v>58</v>
      </c>
      <c r="F156" s="92">
        <v>100</v>
      </c>
      <c r="G156" s="93">
        <v>67.28</v>
      </c>
      <c r="H156" s="93">
        <v>6728</v>
      </c>
      <c r="I156" s="93">
        <v>0</v>
      </c>
      <c r="J156" s="93">
        <v>0</v>
      </c>
      <c r="K156" s="25">
        <v>0</v>
      </c>
      <c r="L156" s="25">
        <v>0</v>
      </c>
      <c r="M156" s="25">
        <v>4036.8</v>
      </c>
      <c r="N156" s="25">
        <v>2691.2</v>
      </c>
      <c r="O156"/>
      <c r="P156"/>
      <c r="Q156"/>
    </row>
    <row r="157" spans="1:17" s="5" customFormat="1" ht="48" x14ac:dyDescent="0.3">
      <c r="A157" s="90"/>
      <c r="B157" s="90"/>
      <c r="C157" s="90" t="s">
        <v>378</v>
      </c>
      <c r="D157" s="87" t="s">
        <v>379</v>
      </c>
      <c r="E157" s="91" t="s">
        <v>58</v>
      </c>
      <c r="F157" s="92">
        <v>100</v>
      </c>
      <c r="G157" s="93">
        <v>184.8</v>
      </c>
      <c r="H157" s="93">
        <v>18480</v>
      </c>
      <c r="I157" s="93">
        <v>0</v>
      </c>
      <c r="J157" s="93">
        <v>0</v>
      </c>
      <c r="K157" s="25">
        <v>0</v>
      </c>
      <c r="L157" s="25">
        <v>0</v>
      </c>
      <c r="M157" s="25">
        <v>11088</v>
      </c>
      <c r="N157" s="25">
        <v>7392</v>
      </c>
      <c r="O157"/>
      <c r="P157"/>
      <c r="Q157"/>
    </row>
    <row r="158" spans="1:17" s="5" customFormat="1" ht="48" x14ac:dyDescent="0.3">
      <c r="A158" s="90"/>
      <c r="B158" s="90"/>
      <c r="C158" s="90" t="s">
        <v>381</v>
      </c>
      <c r="D158" s="87" t="s">
        <v>382</v>
      </c>
      <c r="E158" s="91" t="s">
        <v>58</v>
      </c>
      <c r="F158" s="92">
        <v>100</v>
      </c>
      <c r="G158" s="93">
        <v>302.20999999999998</v>
      </c>
      <c r="H158" s="93">
        <v>30221</v>
      </c>
      <c r="I158" s="93">
        <v>0</v>
      </c>
      <c r="J158" s="93">
        <v>0</v>
      </c>
      <c r="K158" s="25">
        <v>0</v>
      </c>
      <c r="L158" s="25">
        <v>0</v>
      </c>
      <c r="M158" s="25">
        <v>18132.599999999999</v>
      </c>
      <c r="N158" s="25">
        <v>12088.4</v>
      </c>
      <c r="O158"/>
      <c r="P158"/>
      <c r="Q158"/>
    </row>
    <row r="159" spans="1:17" s="5" customFormat="1" ht="48" x14ac:dyDescent="0.3">
      <c r="A159" s="90"/>
      <c r="B159" s="90"/>
      <c r="C159" s="90"/>
      <c r="D159" s="87" t="s">
        <v>384</v>
      </c>
      <c r="E159" s="91"/>
      <c r="F159" s="92"/>
      <c r="G159" s="93"/>
      <c r="H159" s="93"/>
      <c r="I159" s="93"/>
      <c r="J159" s="93"/>
      <c r="K159" s="25"/>
      <c r="L159" s="25"/>
      <c r="M159" s="25"/>
      <c r="N159" s="25"/>
      <c r="O159"/>
      <c r="P159"/>
      <c r="Q159"/>
    </row>
    <row r="160" spans="1:17" s="5" customFormat="1" ht="60" x14ac:dyDescent="0.3">
      <c r="A160" s="90"/>
      <c r="B160" s="90"/>
      <c r="C160" s="90" t="s">
        <v>385</v>
      </c>
      <c r="D160" s="87" t="s">
        <v>386</v>
      </c>
      <c r="E160" s="91" t="s">
        <v>68</v>
      </c>
      <c r="F160" s="92">
        <v>27</v>
      </c>
      <c r="G160" s="93">
        <v>3096.76</v>
      </c>
      <c r="H160" s="93">
        <v>83612.52</v>
      </c>
      <c r="I160" s="93">
        <v>0</v>
      </c>
      <c r="J160" s="93">
        <v>0</v>
      </c>
      <c r="K160" s="25">
        <v>0</v>
      </c>
      <c r="L160" s="25">
        <v>0</v>
      </c>
      <c r="M160" s="25">
        <v>30967.599999999999</v>
      </c>
      <c r="N160" s="25">
        <v>52644.92</v>
      </c>
      <c r="O160"/>
      <c r="P160"/>
      <c r="Q160"/>
    </row>
    <row r="161" spans="1:17" s="5" customFormat="1" ht="60" x14ac:dyDescent="0.3">
      <c r="A161" s="90"/>
      <c r="B161" s="90"/>
      <c r="C161" s="90" t="s">
        <v>388</v>
      </c>
      <c r="D161" s="87" t="s">
        <v>389</v>
      </c>
      <c r="E161" s="91" t="s">
        <v>68</v>
      </c>
      <c r="F161" s="92">
        <v>1</v>
      </c>
      <c r="G161" s="93">
        <v>3096.76</v>
      </c>
      <c r="H161" s="93">
        <v>3096.76</v>
      </c>
      <c r="I161" s="93">
        <v>0</v>
      </c>
      <c r="J161" s="93">
        <v>0</v>
      </c>
      <c r="K161" s="25">
        <v>0</v>
      </c>
      <c r="L161" s="25">
        <v>0</v>
      </c>
      <c r="M161" s="25">
        <v>3096.76</v>
      </c>
      <c r="N161" s="25">
        <v>0</v>
      </c>
      <c r="O161"/>
      <c r="P161"/>
      <c r="Q161"/>
    </row>
    <row r="162" spans="1:17" s="5" customFormat="1" ht="60" x14ac:dyDescent="0.3">
      <c r="A162" s="90"/>
      <c r="B162" s="90"/>
      <c r="C162" s="90" t="s">
        <v>390</v>
      </c>
      <c r="D162" s="87" t="s">
        <v>391</v>
      </c>
      <c r="E162" s="91" t="s">
        <v>68</v>
      </c>
      <c r="F162" s="92">
        <v>4</v>
      </c>
      <c r="G162" s="93">
        <v>3383.95</v>
      </c>
      <c r="H162" s="93">
        <v>13535.8</v>
      </c>
      <c r="I162" s="93">
        <v>0</v>
      </c>
      <c r="J162" s="93">
        <v>0</v>
      </c>
      <c r="K162" s="25">
        <v>0</v>
      </c>
      <c r="L162" s="25">
        <v>0</v>
      </c>
      <c r="M162" s="25">
        <v>13535.8</v>
      </c>
      <c r="N162" s="25">
        <v>0</v>
      </c>
      <c r="O162"/>
      <c r="P162"/>
      <c r="Q162"/>
    </row>
    <row r="163" spans="1:17" s="5" customFormat="1" ht="36" x14ac:dyDescent="0.3">
      <c r="A163" s="90"/>
      <c r="B163" s="90"/>
      <c r="C163" s="90"/>
      <c r="D163" s="87" t="s">
        <v>393</v>
      </c>
      <c r="E163" s="91"/>
      <c r="F163" s="92"/>
      <c r="G163" s="93"/>
      <c r="H163" s="93"/>
      <c r="I163" s="93"/>
      <c r="J163" s="93"/>
      <c r="K163" s="25"/>
      <c r="L163" s="25"/>
      <c r="M163" s="25"/>
      <c r="N163" s="25"/>
      <c r="O163"/>
      <c r="P163"/>
      <c r="Q163"/>
    </row>
    <row r="164" spans="1:17" s="5" customFormat="1" ht="48" x14ac:dyDescent="0.3">
      <c r="A164" s="90"/>
      <c r="B164" s="90"/>
      <c r="C164" s="90" t="s">
        <v>394</v>
      </c>
      <c r="D164" s="87" t="s">
        <v>395</v>
      </c>
      <c r="E164" s="91" t="s">
        <v>68</v>
      </c>
      <c r="F164" s="92">
        <v>8</v>
      </c>
      <c r="G164" s="93">
        <v>1311.53</v>
      </c>
      <c r="H164" s="93">
        <v>10492.24</v>
      </c>
      <c r="I164" s="93">
        <v>0</v>
      </c>
      <c r="J164" s="93">
        <v>0</v>
      </c>
      <c r="K164" s="25">
        <v>0</v>
      </c>
      <c r="L164" s="25">
        <v>0</v>
      </c>
      <c r="M164" s="25">
        <v>10492.24</v>
      </c>
      <c r="N164" s="25">
        <v>0</v>
      </c>
      <c r="O164"/>
      <c r="P164"/>
      <c r="Q164"/>
    </row>
    <row r="165" spans="1:17" s="5" customFormat="1" ht="36" x14ac:dyDescent="0.3">
      <c r="A165" s="90"/>
      <c r="B165" s="90"/>
      <c r="C165" s="90"/>
      <c r="D165" s="87" t="s">
        <v>397</v>
      </c>
      <c r="E165" s="91"/>
      <c r="F165" s="92"/>
      <c r="G165" s="93"/>
      <c r="H165" s="93"/>
      <c r="I165" s="93"/>
      <c r="J165" s="93"/>
      <c r="K165" s="25"/>
      <c r="L165" s="25"/>
      <c r="M165" s="25"/>
      <c r="N165" s="25"/>
      <c r="O165"/>
      <c r="P165"/>
      <c r="Q165"/>
    </row>
    <row r="166" spans="1:17" s="5" customFormat="1" ht="48" x14ac:dyDescent="0.3">
      <c r="A166" s="90"/>
      <c r="B166" s="90"/>
      <c r="C166" s="90" t="s">
        <v>398</v>
      </c>
      <c r="D166" s="87" t="s">
        <v>399</v>
      </c>
      <c r="E166" s="91" t="s">
        <v>68</v>
      </c>
      <c r="F166" s="92">
        <v>20</v>
      </c>
      <c r="G166" s="93">
        <v>1629.74</v>
      </c>
      <c r="H166" s="93">
        <v>32594.799999999999</v>
      </c>
      <c r="I166" s="93">
        <v>0</v>
      </c>
      <c r="J166" s="93">
        <v>0</v>
      </c>
      <c r="K166" s="25">
        <v>0</v>
      </c>
      <c r="L166" s="25">
        <v>0</v>
      </c>
      <c r="M166" s="25">
        <v>0</v>
      </c>
      <c r="N166" s="25">
        <v>32594.799999999999</v>
      </c>
      <c r="O166"/>
      <c r="P166"/>
      <c r="Q166"/>
    </row>
    <row r="167" spans="1:17" s="5" customFormat="1" ht="48" x14ac:dyDescent="0.3">
      <c r="A167" s="90"/>
      <c r="B167" s="90"/>
      <c r="C167" s="90" t="s">
        <v>401</v>
      </c>
      <c r="D167" s="87" t="s">
        <v>402</v>
      </c>
      <c r="E167" s="91" t="s">
        <v>68</v>
      </c>
      <c r="F167" s="92">
        <v>6</v>
      </c>
      <c r="G167" s="93">
        <v>1629.74</v>
      </c>
      <c r="H167" s="93">
        <v>9778.44</v>
      </c>
      <c r="I167" s="93">
        <v>0</v>
      </c>
      <c r="J167" s="93">
        <v>0</v>
      </c>
      <c r="K167" s="25">
        <v>0</v>
      </c>
      <c r="L167" s="25">
        <v>0</v>
      </c>
      <c r="M167" s="25">
        <v>0</v>
      </c>
      <c r="N167" s="25">
        <v>9778.44</v>
      </c>
      <c r="O167"/>
      <c r="P167"/>
      <c r="Q167"/>
    </row>
    <row r="168" spans="1:17" s="5" customFormat="1" ht="60" x14ac:dyDescent="0.3">
      <c r="A168" s="90"/>
      <c r="B168" s="90"/>
      <c r="C168" s="90"/>
      <c r="D168" s="87" t="s">
        <v>403</v>
      </c>
      <c r="E168" s="91"/>
      <c r="F168" s="92"/>
      <c r="G168" s="93"/>
      <c r="H168" s="93"/>
      <c r="I168" s="93"/>
      <c r="J168" s="93"/>
      <c r="K168" s="25"/>
      <c r="L168" s="25"/>
      <c r="M168" s="25"/>
      <c r="N168" s="25"/>
      <c r="O168"/>
      <c r="P168"/>
      <c r="Q168"/>
    </row>
    <row r="169" spans="1:17" s="5" customFormat="1" ht="60" x14ac:dyDescent="0.3">
      <c r="A169" s="90"/>
      <c r="B169" s="90"/>
      <c r="C169" s="90" t="s">
        <v>404</v>
      </c>
      <c r="D169" s="87" t="s">
        <v>405</v>
      </c>
      <c r="E169" s="91" t="s">
        <v>68</v>
      </c>
      <c r="F169" s="92">
        <v>12</v>
      </c>
      <c r="G169" s="93">
        <v>2845.76</v>
      </c>
      <c r="H169" s="93">
        <v>34149.120000000003</v>
      </c>
      <c r="I169" s="93">
        <v>0</v>
      </c>
      <c r="J169" s="93">
        <v>0</v>
      </c>
      <c r="K169" s="25">
        <v>0</v>
      </c>
      <c r="L169" s="25">
        <v>0</v>
      </c>
      <c r="M169" s="25">
        <v>34149.120000000003</v>
      </c>
      <c r="N169" s="25">
        <v>0</v>
      </c>
      <c r="O169"/>
      <c r="P169"/>
      <c r="Q169"/>
    </row>
    <row r="170" spans="1:17" s="5" customFormat="1" ht="48" x14ac:dyDescent="0.3">
      <c r="A170" s="90"/>
      <c r="B170" s="90"/>
      <c r="C170" s="90"/>
      <c r="D170" s="87" t="s">
        <v>407</v>
      </c>
      <c r="E170" s="91"/>
      <c r="F170" s="92"/>
      <c r="G170" s="93"/>
      <c r="H170" s="93"/>
      <c r="I170" s="93"/>
      <c r="J170" s="93"/>
      <c r="K170" s="25"/>
      <c r="L170" s="25"/>
      <c r="M170" s="25"/>
      <c r="N170" s="25"/>
      <c r="O170"/>
      <c r="P170"/>
      <c r="Q170"/>
    </row>
    <row r="171" spans="1:17" s="5" customFormat="1" ht="48" x14ac:dyDescent="0.3">
      <c r="A171" s="90"/>
      <c r="B171" s="90"/>
      <c r="C171" s="90" t="s">
        <v>408</v>
      </c>
      <c r="D171" s="87" t="s">
        <v>409</v>
      </c>
      <c r="E171" s="91" t="s">
        <v>68</v>
      </c>
      <c r="F171" s="92">
        <v>23</v>
      </c>
      <c r="G171" s="93">
        <v>2598.65</v>
      </c>
      <c r="H171" s="93">
        <v>59768.95</v>
      </c>
      <c r="I171" s="93">
        <v>0</v>
      </c>
      <c r="J171" s="93">
        <v>0</v>
      </c>
      <c r="K171" s="25">
        <v>0</v>
      </c>
      <c r="L171" s="25">
        <v>0</v>
      </c>
      <c r="M171" s="25">
        <v>59768.95</v>
      </c>
      <c r="N171" s="25">
        <v>0</v>
      </c>
      <c r="O171"/>
      <c r="P171"/>
      <c r="Q171"/>
    </row>
    <row r="172" spans="1:17" s="5" customFormat="1" ht="36" x14ac:dyDescent="0.3">
      <c r="A172" s="90"/>
      <c r="B172" s="90"/>
      <c r="C172" s="90"/>
      <c r="D172" s="87" t="s">
        <v>411</v>
      </c>
      <c r="E172" s="91"/>
      <c r="F172" s="92"/>
      <c r="G172" s="93"/>
      <c r="H172" s="93"/>
      <c r="I172" s="93"/>
      <c r="J172" s="93"/>
      <c r="K172" s="25"/>
      <c r="L172" s="25"/>
      <c r="M172" s="25"/>
      <c r="N172" s="25"/>
      <c r="O172"/>
      <c r="P172"/>
      <c r="Q172"/>
    </row>
    <row r="173" spans="1:17" s="5" customFormat="1" ht="72" x14ac:dyDescent="0.3">
      <c r="A173" s="90"/>
      <c r="B173" s="90"/>
      <c r="C173" s="90" t="s">
        <v>412</v>
      </c>
      <c r="D173" s="87" t="s">
        <v>413</v>
      </c>
      <c r="E173" s="91" t="s">
        <v>68</v>
      </c>
      <c r="F173" s="92">
        <v>25</v>
      </c>
      <c r="G173" s="93">
        <v>570.58000000000004</v>
      </c>
      <c r="H173" s="93">
        <v>14264.5</v>
      </c>
      <c r="I173" s="93">
        <v>0</v>
      </c>
      <c r="J173" s="93">
        <v>0</v>
      </c>
      <c r="K173" s="25">
        <v>0</v>
      </c>
      <c r="L173" s="25">
        <v>0</v>
      </c>
      <c r="M173" s="25">
        <v>14264.5</v>
      </c>
      <c r="N173" s="25">
        <v>0</v>
      </c>
      <c r="O173"/>
      <c r="P173"/>
      <c r="Q173"/>
    </row>
    <row r="174" spans="1:17" s="5" customFormat="1" ht="36" x14ac:dyDescent="0.3">
      <c r="A174" s="90"/>
      <c r="B174" s="90"/>
      <c r="C174" s="90"/>
      <c r="D174" s="87" t="s">
        <v>415</v>
      </c>
      <c r="E174" s="91"/>
      <c r="F174" s="92"/>
      <c r="G174" s="93"/>
      <c r="H174" s="93"/>
      <c r="I174" s="93"/>
      <c r="J174" s="93"/>
      <c r="K174" s="25"/>
      <c r="L174" s="25"/>
      <c r="M174" s="25"/>
      <c r="N174" s="25"/>
      <c r="O174"/>
      <c r="P174"/>
      <c r="Q174"/>
    </row>
    <row r="175" spans="1:17" s="5" customFormat="1" ht="48" x14ac:dyDescent="0.3">
      <c r="A175" s="90"/>
      <c r="B175" s="90"/>
      <c r="C175" s="90" t="s">
        <v>416</v>
      </c>
      <c r="D175" s="87" t="s">
        <v>417</v>
      </c>
      <c r="E175" s="91" t="s">
        <v>68</v>
      </c>
      <c r="F175" s="92">
        <v>9</v>
      </c>
      <c r="G175" s="93">
        <v>3479.35</v>
      </c>
      <c r="H175" s="93">
        <v>31314.15</v>
      </c>
      <c r="I175" s="93">
        <v>0</v>
      </c>
      <c r="J175" s="93">
        <v>0</v>
      </c>
      <c r="K175" s="25">
        <v>0</v>
      </c>
      <c r="L175" s="25">
        <v>0</v>
      </c>
      <c r="M175" s="25">
        <v>0</v>
      </c>
      <c r="N175" s="25">
        <v>31314.15</v>
      </c>
      <c r="O175"/>
      <c r="P175"/>
      <c r="Q175"/>
    </row>
    <row r="176" spans="1:17" s="5" customFormat="1" ht="48" x14ac:dyDescent="0.3">
      <c r="A176" s="90"/>
      <c r="B176" s="90"/>
      <c r="C176" s="90"/>
      <c r="D176" s="87" t="s">
        <v>419</v>
      </c>
      <c r="E176" s="91"/>
      <c r="F176" s="92"/>
      <c r="G176" s="93"/>
      <c r="H176" s="93"/>
      <c r="I176" s="93"/>
      <c r="J176" s="93"/>
      <c r="K176" s="25"/>
      <c r="L176" s="25"/>
      <c r="M176" s="25"/>
      <c r="N176" s="25"/>
      <c r="O176"/>
      <c r="P176"/>
      <c r="Q176"/>
    </row>
    <row r="177" spans="1:17" s="5" customFormat="1" ht="48" x14ac:dyDescent="0.3">
      <c r="A177" s="90"/>
      <c r="B177" s="90"/>
      <c r="C177" s="90" t="s">
        <v>420</v>
      </c>
      <c r="D177" s="87" t="s">
        <v>421</v>
      </c>
      <c r="E177" s="91" t="s">
        <v>58</v>
      </c>
      <c r="F177" s="92">
        <v>106</v>
      </c>
      <c r="G177" s="93">
        <v>1271.08</v>
      </c>
      <c r="H177" s="93">
        <v>134734.48000000001</v>
      </c>
      <c r="I177" s="93">
        <v>0</v>
      </c>
      <c r="J177" s="93">
        <v>0</v>
      </c>
      <c r="K177" s="25">
        <v>0</v>
      </c>
      <c r="L177" s="25">
        <v>0</v>
      </c>
      <c r="M177" s="25">
        <v>76264.800000000003</v>
      </c>
      <c r="N177" s="25">
        <v>58469.68</v>
      </c>
      <c r="O177"/>
      <c r="P177"/>
      <c r="Q177"/>
    </row>
    <row r="178" spans="1:17" s="5" customFormat="1" ht="36" x14ac:dyDescent="0.3">
      <c r="A178" s="90"/>
      <c r="B178" s="90"/>
      <c r="C178" s="90"/>
      <c r="D178" s="87" t="s">
        <v>423</v>
      </c>
      <c r="E178" s="91"/>
      <c r="F178" s="92"/>
      <c r="G178" s="93"/>
      <c r="H178" s="93"/>
      <c r="I178" s="93"/>
      <c r="J178" s="93"/>
      <c r="K178" s="25"/>
      <c r="L178" s="25"/>
      <c r="M178" s="25"/>
      <c r="N178" s="25"/>
      <c r="O178"/>
      <c r="P178"/>
      <c r="Q178"/>
    </row>
    <row r="179" spans="1:17" s="5" customFormat="1" ht="36" x14ac:dyDescent="0.3">
      <c r="A179" s="90"/>
      <c r="B179" s="90"/>
      <c r="C179" s="90" t="s">
        <v>424</v>
      </c>
      <c r="D179" s="87" t="s">
        <v>425</v>
      </c>
      <c r="E179" s="91" t="s">
        <v>219</v>
      </c>
      <c r="F179" s="92">
        <v>0.5</v>
      </c>
      <c r="G179" s="93">
        <v>1223.3</v>
      </c>
      <c r="H179" s="93">
        <v>611.65</v>
      </c>
      <c r="I179" s="93">
        <v>0</v>
      </c>
      <c r="J179" s="93">
        <v>0</v>
      </c>
      <c r="K179" s="25">
        <v>0</v>
      </c>
      <c r="L179" s="25">
        <v>0</v>
      </c>
      <c r="M179" s="25">
        <v>611.65</v>
      </c>
      <c r="N179" s="25">
        <v>0</v>
      </c>
      <c r="O179"/>
      <c r="P179"/>
      <c r="Q179"/>
    </row>
    <row r="180" spans="1:17" s="5" customFormat="1" ht="84" x14ac:dyDescent="0.3">
      <c r="A180" s="90"/>
      <c r="B180" s="90"/>
      <c r="C180" s="90"/>
      <c r="D180" s="87" t="s">
        <v>427</v>
      </c>
      <c r="E180" s="91"/>
      <c r="F180" s="92"/>
      <c r="G180" s="93"/>
      <c r="H180" s="93"/>
      <c r="I180" s="93"/>
      <c r="J180" s="93"/>
      <c r="K180" s="25"/>
      <c r="L180" s="25"/>
      <c r="M180" s="25"/>
      <c r="N180" s="25"/>
      <c r="O180"/>
      <c r="P180"/>
      <c r="Q180"/>
    </row>
    <row r="181" spans="1:17" s="5" customFormat="1" ht="84" x14ac:dyDescent="0.3">
      <c r="A181" s="90"/>
      <c r="B181" s="90"/>
      <c r="C181" s="90" t="s">
        <v>428</v>
      </c>
      <c r="D181" s="87" t="s">
        <v>427</v>
      </c>
      <c r="E181" s="91" t="s">
        <v>219</v>
      </c>
      <c r="F181" s="92">
        <v>120</v>
      </c>
      <c r="G181" s="93">
        <v>830.63</v>
      </c>
      <c r="H181" s="93">
        <v>99675.6</v>
      </c>
      <c r="I181" s="93">
        <v>0</v>
      </c>
      <c r="J181" s="93">
        <v>0</v>
      </c>
      <c r="K181" s="25">
        <v>0</v>
      </c>
      <c r="L181" s="25">
        <v>0</v>
      </c>
      <c r="M181" s="25">
        <v>0</v>
      </c>
      <c r="N181" s="25">
        <v>99675.6</v>
      </c>
      <c r="O181"/>
      <c r="P181"/>
      <c r="Q181"/>
    </row>
    <row r="182" spans="1:17" s="5" customFormat="1" ht="84" x14ac:dyDescent="0.3">
      <c r="A182" s="90"/>
      <c r="B182" s="90"/>
      <c r="C182" s="90" t="s">
        <v>430</v>
      </c>
      <c r="D182" s="87" t="s">
        <v>431</v>
      </c>
      <c r="E182" s="91" t="s">
        <v>219</v>
      </c>
      <c r="F182" s="92">
        <v>250</v>
      </c>
      <c r="G182" s="93">
        <v>896.48</v>
      </c>
      <c r="H182" s="93">
        <v>224120</v>
      </c>
      <c r="I182" s="93">
        <v>0</v>
      </c>
      <c r="J182" s="93">
        <v>0</v>
      </c>
      <c r="K182" s="25">
        <v>0</v>
      </c>
      <c r="L182" s="25">
        <v>0</v>
      </c>
      <c r="M182" s="25">
        <v>0</v>
      </c>
      <c r="N182" s="25">
        <v>224120</v>
      </c>
      <c r="O182"/>
      <c r="P182"/>
      <c r="Q182"/>
    </row>
    <row r="183" spans="1:17" s="5" customFormat="1" ht="60" x14ac:dyDescent="0.3">
      <c r="A183" s="90"/>
      <c r="B183" s="90"/>
      <c r="C183" s="90" t="s">
        <v>433</v>
      </c>
      <c r="D183" s="87" t="s">
        <v>434</v>
      </c>
      <c r="E183" s="91" t="s">
        <v>219</v>
      </c>
      <c r="F183" s="92">
        <v>400</v>
      </c>
      <c r="G183" s="93">
        <v>2295.75</v>
      </c>
      <c r="H183" s="93">
        <v>918300</v>
      </c>
      <c r="I183" s="93">
        <v>0</v>
      </c>
      <c r="J183" s="93">
        <v>0</v>
      </c>
      <c r="K183" s="25">
        <v>0</v>
      </c>
      <c r="L183" s="25">
        <v>0</v>
      </c>
      <c r="M183" s="25">
        <v>0</v>
      </c>
      <c r="N183" s="25">
        <v>918300</v>
      </c>
      <c r="O183"/>
      <c r="P183"/>
      <c r="Q183"/>
    </row>
    <row r="184" spans="1:17" s="5" customFormat="1" ht="48" x14ac:dyDescent="0.3">
      <c r="A184" s="90"/>
      <c r="B184" s="90"/>
      <c r="C184" s="90"/>
      <c r="D184" s="87" t="s">
        <v>235</v>
      </c>
      <c r="E184" s="91"/>
      <c r="F184" s="92"/>
      <c r="G184" s="93"/>
      <c r="H184" s="93"/>
      <c r="I184" s="93"/>
      <c r="J184" s="93"/>
      <c r="K184" s="25"/>
      <c r="L184" s="25"/>
      <c r="M184" s="25"/>
      <c r="N184" s="25"/>
      <c r="O184"/>
      <c r="P184"/>
      <c r="Q184"/>
    </row>
    <row r="185" spans="1:17" s="5" customFormat="1" ht="36" x14ac:dyDescent="0.3">
      <c r="A185" s="90"/>
      <c r="B185" s="90"/>
      <c r="C185" s="90" t="s">
        <v>436</v>
      </c>
      <c r="D185" s="87" t="s">
        <v>237</v>
      </c>
      <c r="E185" s="91" t="s">
        <v>68</v>
      </c>
      <c r="F185" s="92">
        <v>2</v>
      </c>
      <c r="G185" s="93">
        <v>10059.26</v>
      </c>
      <c r="H185" s="93">
        <v>20118.52</v>
      </c>
      <c r="I185" s="93">
        <v>0</v>
      </c>
      <c r="J185" s="93">
        <v>0</v>
      </c>
      <c r="K185" s="25">
        <v>0</v>
      </c>
      <c r="L185" s="25">
        <v>0</v>
      </c>
      <c r="M185" s="25">
        <v>20118.52</v>
      </c>
      <c r="N185" s="25">
        <v>0</v>
      </c>
      <c r="O185"/>
      <c r="P185"/>
      <c r="Q185"/>
    </row>
    <row r="186" spans="1:17" s="5" customFormat="1" ht="36" x14ac:dyDescent="0.3">
      <c r="A186" s="90"/>
      <c r="B186" s="90"/>
      <c r="C186" s="90" t="s">
        <v>438</v>
      </c>
      <c r="D186" s="87" t="s">
        <v>439</v>
      </c>
      <c r="E186" s="91" t="s">
        <v>68</v>
      </c>
      <c r="F186" s="92">
        <v>47</v>
      </c>
      <c r="G186" s="93">
        <v>10059.26</v>
      </c>
      <c r="H186" s="93">
        <v>472785.22</v>
      </c>
      <c r="I186" s="93">
        <v>0</v>
      </c>
      <c r="J186" s="93">
        <v>0</v>
      </c>
      <c r="K186" s="25">
        <v>0</v>
      </c>
      <c r="L186" s="25">
        <v>0</v>
      </c>
      <c r="M186" s="25">
        <v>472785.22</v>
      </c>
      <c r="N186" s="25">
        <v>0</v>
      </c>
      <c r="O186"/>
      <c r="P186"/>
      <c r="Q186"/>
    </row>
    <row r="187" spans="1:17" s="5" customFormat="1" ht="36" x14ac:dyDescent="0.3">
      <c r="A187" s="90"/>
      <c r="B187" s="90"/>
      <c r="C187" s="90" t="s">
        <v>440</v>
      </c>
      <c r="D187" s="87" t="s">
        <v>246</v>
      </c>
      <c r="E187" s="91" t="s">
        <v>68</v>
      </c>
      <c r="F187" s="92">
        <v>8</v>
      </c>
      <c r="G187" s="93">
        <v>10059.26</v>
      </c>
      <c r="H187" s="93">
        <v>80474.080000000002</v>
      </c>
      <c r="I187" s="93">
        <v>0</v>
      </c>
      <c r="J187" s="93">
        <v>0</v>
      </c>
      <c r="K187" s="25">
        <v>0</v>
      </c>
      <c r="L187" s="25">
        <v>0</v>
      </c>
      <c r="M187" s="25">
        <v>80474.080000000002</v>
      </c>
      <c r="N187" s="25">
        <v>0</v>
      </c>
      <c r="O187"/>
      <c r="P187"/>
      <c r="Q187"/>
    </row>
    <row r="188" spans="1:17" s="5" customFormat="1" ht="36" x14ac:dyDescent="0.3">
      <c r="A188" s="90"/>
      <c r="B188" s="90"/>
      <c r="C188" s="90" t="s">
        <v>441</v>
      </c>
      <c r="D188" s="87" t="s">
        <v>442</v>
      </c>
      <c r="E188" s="91" t="s">
        <v>68</v>
      </c>
      <c r="F188" s="92">
        <v>10</v>
      </c>
      <c r="G188" s="93">
        <v>11964.73</v>
      </c>
      <c r="H188" s="93">
        <v>119647.3</v>
      </c>
      <c r="I188" s="93">
        <v>0</v>
      </c>
      <c r="J188" s="93">
        <v>0</v>
      </c>
      <c r="K188" s="25">
        <v>0</v>
      </c>
      <c r="L188" s="25">
        <v>0</v>
      </c>
      <c r="M188" s="25">
        <v>119647.3</v>
      </c>
      <c r="N188" s="25">
        <v>0</v>
      </c>
      <c r="O188"/>
      <c r="P188"/>
      <c r="Q188"/>
    </row>
    <row r="189" spans="1:17" s="5" customFormat="1" ht="36" x14ac:dyDescent="0.3">
      <c r="A189" s="90"/>
      <c r="B189" s="90"/>
      <c r="C189" s="90" t="s">
        <v>444</v>
      </c>
      <c r="D189" s="87" t="s">
        <v>252</v>
      </c>
      <c r="E189" s="91" t="s">
        <v>68</v>
      </c>
      <c r="F189" s="92">
        <v>2</v>
      </c>
      <c r="G189" s="93">
        <v>11964.73</v>
      </c>
      <c r="H189" s="93">
        <v>23929.46</v>
      </c>
      <c r="I189" s="93">
        <v>0</v>
      </c>
      <c r="J189" s="93">
        <v>0</v>
      </c>
      <c r="K189" s="25">
        <v>0</v>
      </c>
      <c r="L189" s="25">
        <v>0</v>
      </c>
      <c r="M189" s="25">
        <v>23929.46</v>
      </c>
      <c r="N189" s="25">
        <v>0</v>
      </c>
      <c r="O189"/>
      <c r="P189"/>
      <c r="Q189"/>
    </row>
    <row r="190" spans="1:17" s="5" customFormat="1" ht="36" x14ac:dyDescent="0.3">
      <c r="A190" s="90"/>
      <c r="B190" s="90"/>
      <c r="C190" s="90" t="s">
        <v>445</v>
      </c>
      <c r="D190" s="87" t="s">
        <v>255</v>
      </c>
      <c r="E190" s="91" t="s">
        <v>68</v>
      </c>
      <c r="F190" s="92">
        <v>61</v>
      </c>
      <c r="G190" s="93">
        <v>11964.73</v>
      </c>
      <c r="H190" s="93">
        <v>729848.53</v>
      </c>
      <c r="I190" s="93">
        <v>0</v>
      </c>
      <c r="J190" s="93">
        <v>0</v>
      </c>
      <c r="K190" s="25">
        <v>0</v>
      </c>
      <c r="L190" s="25">
        <v>0</v>
      </c>
      <c r="M190" s="25">
        <v>729848.53</v>
      </c>
      <c r="N190" s="25">
        <v>0</v>
      </c>
      <c r="O190"/>
      <c r="P190"/>
      <c r="Q190"/>
    </row>
    <row r="191" spans="1:17" s="5" customFormat="1" ht="36" x14ac:dyDescent="0.3">
      <c r="A191" s="90"/>
      <c r="B191" s="90"/>
      <c r="C191" s="90"/>
      <c r="D191" s="87" t="s">
        <v>257</v>
      </c>
      <c r="E191" s="91"/>
      <c r="F191" s="92"/>
      <c r="G191" s="93"/>
      <c r="H191" s="93"/>
      <c r="I191" s="93"/>
      <c r="J191" s="93"/>
      <c r="K191" s="25"/>
      <c r="L191" s="25"/>
      <c r="M191" s="25"/>
      <c r="N191" s="25"/>
      <c r="O191"/>
      <c r="P191"/>
      <c r="Q191"/>
    </row>
    <row r="192" spans="1:17" s="5" customFormat="1" ht="48" x14ac:dyDescent="0.3">
      <c r="A192" s="90"/>
      <c r="B192" s="90"/>
      <c r="C192" s="90"/>
      <c r="D192" s="87" t="s">
        <v>258</v>
      </c>
      <c r="E192" s="91"/>
      <c r="F192" s="92"/>
      <c r="G192" s="93"/>
      <c r="H192" s="93"/>
      <c r="I192" s="93"/>
      <c r="J192" s="93"/>
      <c r="K192" s="25"/>
      <c r="L192" s="25"/>
      <c r="M192" s="25"/>
      <c r="N192" s="25"/>
      <c r="O192"/>
      <c r="P192"/>
      <c r="Q192"/>
    </row>
    <row r="193" spans="1:17" s="5" customFormat="1" ht="36" x14ac:dyDescent="0.3">
      <c r="A193" s="90"/>
      <c r="B193" s="90"/>
      <c r="C193" s="90" t="s">
        <v>446</v>
      </c>
      <c r="D193" s="87" t="s">
        <v>266</v>
      </c>
      <c r="E193" s="91" t="s">
        <v>197</v>
      </c>
      <c r="F193" s="92">
        <v>18</v>
      </c>
      <c r="G193" s="93">
        <v>1247.76</v>
      </c>
      <c r="H193" s="93">
        <v>22459.68</v>
      </c>
      <c r="I193" s="93">
        <v>0</v>
      </c>
      <c r="J193" s="93">
        <v>0</v>
      </c>
      <c r="K193" s="25">
        <v>0</v>
      </c>
      <c r="L193" s="25">
        <v>0</v>
      </c>
      <c r="M193" s="25">
        <v>0</v>
      </c>
      <c r="N193" s="25">
        <v>22459.68</v>
      </c>
      <c r="O193"/>
      <c r="P193"/>
      <c r="Q193"/>
    </row>
    <row r="194" spans="1:17" s="5" customFormat="1" ht="36" x14ac:dyDescent="0.3">
      <c r="A194" s="90"/>
      <c r="B194" s="90"/>
      <c r="C194" s="90" t="s">
        <v>448</v>
      </c>
      <c r="D194" s="87" t="s">
        <v>269</v>
      </c>
      <c r="E194" s="91" t="s">
        <v>197</v>
      </c>
      <c r="F194" s="92">
        <v>84</v>
      </c>
      <c r="G194" s="93">
        <v>1446.55</v>
      </c>
      <c r="H194" s="93">
        <v>121510.2</v>
      </c>
      <c r="I194" s="93">
        <v>0</v>
      </c>
      <c r="J194" s="93">
        <v>0</v>
      </c>
      <c r="K194" s="25">
        <v>0</v>
      </c>
      <c r="L194" s="25">
        <v>0</v>
      </c>
      <c r="M194" s="25">
        <v>72327.5</v>
      </c>
      <c r="N194" s="25">
        <v>49182.7</v>
      </c>
      <c r="O194"/>
      <c r="P194"/>
      <c r="Q194"/>
    </row>
    <row r="195" spans="1:17" s="5" customFormat="1" ht="48" x14ac:dyDescent="0.3">
      <c r="A195" s="90"/>
      <c r="B195" s="90"/>
      <c r="C195" s="90"/>
      <c r="D195" s="87" t="s">
        <v>271</v>
      </c>
      <c r="E195" s="91"/>
      <c r="F195" s="92"/>
      <c r="G195" s="93"/>
      <c r="H195" s="93"/>
      <c r="I195" s="93"/>
      <c r="J195" s="93"/>
      <c r="K195" s="25"/>
      <c r="L195" s="25"/>
      <c r="M195" s="25"/>
      <c r="N195" s="25"/>
      <c r="O195"/>
      <c r="P195"/>
      <c r="Q195"/>
    </row>
    <row r="196" spans="1:17" s="5" customFormat="1" ht="36" x14ac:dyDescent="0.3">
      <c r="A196" s="90"/>
      <c r="B196" s="90"/>
      <c r="C196" s="90" t="s">
        <v>450</v>
      </c>
      <c r="D196" s="87" t="s">
        <v>246</v>
      </c>
      <c r="E196" s="91" t="s">
        <v>197</v>
      </c>
      <c r="F196" s="92">
        <v>16</v>
      </c>
      <c r="G196" s="93">
        <v>3228.86</v>
      </c>
      <c r="H196" s="93">
        <v>51661.760000000002</v>
      </c>
      <c r="I196" s="93">
        <v>0</v>
      </c>
      <c r="J196" s="93">
        <v>0</v>
      </c>
      <c r="K196" s="25">
        <v>0</v>
      </c>
      <c r="L196" s="25">
        <v>0</v>
      </c>
      <c r="M196" s="25">
        <v>0</v>
      </c>
      <c r="N196" s="25">
        <v>51661.760000000002</v>
      </c>
      <c r="O196"/>
      <c r="P196"/>
      <c r="Q196"/>
    </row>
    <row r="197" spans="1:17" s="5" customFormat="1" ht="36" x14ac:dyDescent="0.3">
      <c r="A197" s="90"/>
      <c r="B197" s="90"/>
      <c r="C197" s="90" t="s">
        <v>452</v>
      </c>
      <c r="D197" s="87" t="s">
        <v>277</v>
      </c>
      <c r="E197" s="91" t="s">
        <v>197</v>
      </c>
      <c r="F197" s="92">
        <v>72</v>
      </c>
      <c r="G197" s="93">
        <v>4071.16</v>
      </c>
      <c r="H197" s="93">
        <v>293123.52</v>
      </c>
      <c r="I197" s="93">
        <v>0</v>
      </c>
      <c r="J197" s="93">
        <v>0</v>
      </c>
      <c r="K197" s="25">
        <v>0</v>
      </c>
      <c r="L197" s="25">
        <v>0</v>
      </c>
      <c r="M197" s="25">
        <v>122134.8</v>
      </c>
      <c r="N197" s="25">
        <v>170988.72</v>
      </c>
      <c r="O197"/>
      <c r="P197"/>
      <c r="Q197"/>
    </row>
    <row r="198" spans="1:17" s="5" customFormat="1" ht="36" x14ac:dyDescent="0.3">
      <c r="A198" s="90"/>
      <c r="B198" s="90"/>
      <c r="C198" s="90" t="s">
        <v>454</v>
      </c>
      <c r="D198" s="87" t="s">
        <v>455</v>
      </c>
      <c r="E198" s="91" t="s">
        <v>197</v>
      </c>
      <c r="F198" s="92">
        <v>8</v>
      </c>
      <c r="G198" s="93">
        <v>4140.74</v>
      </c>
      <c r="H198" s="93">
        <v>33125.919999999998</v>
      </c>
      <c r="I198" s="93">
        <v>0</v>
      </c>
      <c r="J198" s="93">
        <v>0</v>
      </c>
      <c r="K198" s="25">
        <v>0</v>
      </c>
      <c r="L198" s="25">
        <v>0</v>
      </c>
      <c r="M198" s="25">
        <v>33125.919999999998</v>
      </c>
      <c r="N198" s="25">
        <v>0</v>
      </c>
      <c r="O198"/>
      <c r="P198"/>
      <c r="Q198"/>
    </row>
    <row r="199" spans="1:17" s="5" customFormat="1" ht="36" x14ac:dyDescent="0.3">
      <c r="A199" s="90"/>
      <c r="B199" s="90"/>
      <c r="C199" s="90" t="s">
        <v>457</v>
      </c>
      <c r="D199" s="87" t="s">
        <v>442</v>
      </c>
      <c r="E199" s="91" t="s">
        <v>197</v>
      </c>
      <c r="F199" s="92">
        <v>2</v>
      </c>
      <c r="G199" s="93">
        <v>1562.76</v>
      </c>
      <c r="H199" s="93">
        <v>3125.52</v>
      </c>
      <c r="I199" s="93">
        <v>0</v>
      </c>
      <c r="J199" s="93">
        <v>0</v>
      </c>
      <c r="K199" s="25">
        <v>0</v>
      </c>
      <c r="L199" s="25">
        <v>0</v>
      </c>
      <c r="M199" s="25">
        <v>3125.52</v>
      </c>
      <c r="N199" s="25">
        <v>0</v>
      </c>
      <c r="O199"/>
      <c r="P199"/>
      <c r="Q199"/>
    </row>
    <row r="200" spans="1:17" s="5" customFormat="1" ht="36" x14ac:dyDescent="0.3">
      <c r="A200" s="90"/>
      <c r="B200" s="90"/>
      <c r="C200" s="90" t="s">
        <v>459</v>
      </c>
      <c r="D200" s="87" t="s">
        <v>252</v>
      </c>
      <c r="E200" s="91" t="s">
        <v>197</v>
      </c>
      <c r="F200" s="92">
        <v>10</v>
      </c>
      <c r="G200" s="93">
        <v>8732.51</v>
      </c>
      <c r="H200" s="93">
        <v>87325.1</v>
      </c>
      <c r="I200" s="93">
        <v>0</v>
      </c>
      <c r="J200" s="93">
        <v>0</v>
      </c>
      <c r="K200" s="25">
        <v>0</v>
      </c>
      <c r="L200" s="25">
        <v>0</v>
      </c>
      <c r="M200" s="25">
        <v>87325.1</v>
      </c>
      <c r="N200" s="25">
        <v>0</v>
      </c>
      <c r="O200"/>
      <c r="P200"/>
      <c r="Q200"/>
    </row>
    <row r="201" spans="1:17" s="5" customFormat="1" ht="36" x14ac:dyDescent="0.3">
      <c r="A201" s="90"/>
      <c r="B201" s="90"/>
      <c r="C201" s="90" t="s">
        <v>461</v>
      </c>
      <c r="D201" s="87" t="s">
        <v>255</v>
      </c>
      <c r="E201" s="91" t="s">
        <v>197</v>
      </c>
      <c r="F201" s="92">
        <v>2</v>
      </c>
      <c r="G201" s="93">
        <v>8821.48</v>
      </c>
      <c r="H201" s="93">
        <v>17642.96</v>
      </c>
      <c r="I201" s="93">
        <v>0</v>
      </c>
      <c r="J201" s="93">
        <v>0</v>
      </c>
      <c r="K201" s="25">
        <v>0</v>
      </c>
      <c r="L201" s="25">
        <v>0</v>
      </c>
      <c r="M201" s="25">
        <v>17642.96</v>
      </c>
      <c r="N201" s="25">
        <v>0</v>
      </c>
      <c r="O201"/>
      <c r="P201"/>
      <c r="Q201"/>
    </row>
    <row r="202" spans="1:17" s="5" customFormat="1" ht="36" x14ac:dyDescent="0.3">
      <c r="A202" s="90"/>
      <c r="B202" s="90"/>
      <c r="C202" s="90"/>
      <c r="D202" s="87" t="s">
        <v>463</v>
      </c>
      <c r="E202" s="91"/>
      <c r="F202" s="92"/>
      <c r="G202" s="93"/>
      <c r="H202" s="93"/>
      <c r="I202" s="93"/>
      <c r="J202" s="93"/>
      <c r="K202" s="25"/>
      <c r="L202" s="25"/>
      <c r="M202" s="25"/>
      <c r="N202" s="25"/>
      <c r="O202"/>
      <c r="P202"/>
      <c r="Q202"/>
    </row>
    <row r="203" spans="1:17" s="5" customFormat="1" ht="36" x14ac:dyDescent="0.3">
      <c r="A203" s="90"/>
      <c r="B203" s="90"/>
      <c r="C203" s="90"/>
      <c r="D203" s="87" t="s">
        <v>464</v>
      </c>
      <c r="E203" s="91"/>
      <c r="F203" s="92"/>
      <c r="G203" s="93"/>
      <c r="H203" s="93"/>
      <c r="I203" s="93"/>
      <c r="J203" s="93"/>
      <c r="K203" s="25"/>
      <c r="L203" s="25"/>
      <c r="M203" s="25"/>
      <c r="N203" s="25"/>
      <c r="O203"/>
      <c r="P203"/>
      <c r="Q203"/>
    </row>
    <row r="204" spans="1:17" s="5" customFormat="1" ht="36" x14ac:dyDescent="0.3">
      <c r="A204" s="90"/>
      <c r="B204" s="90"/>
      <c r="C204" s="90" t="s">
        <v>465</v>
      </c>
      <c r="D204" s="87" t="s">
        <v>466</v>
      </c>
      <c r="E204" s="91" t="s">
        <v>197</v>
      </c>
      <c r="F204" s="92">
        <v>32</v>
      </c>
      <c r="G204" s="93">
        <v>11193.75</v>
      </c>
      <c r="H204" s="93">
        <v>358200</v>
      </c>
      <c r="I204" s="93">
        <v>0</v>
      </c>
      <c r="J204" s="93">
        <v>0</v>
      </c>
      <c r="K204" s="25">
        <v>0</v>
      </c>
      <c r="L204" s="25">
        <v>0</v>
      </c>
      <c r="M204" s="25">
        <v>0</v>
      </c>
      <c r="N204" s="25">
        <v>358200</v>
      </c>
      <c r="O204"/>
      <c r="P204"/>
      <c r="Q204"/>
    </row>
    <row r="205" spans="1:17" s="5" customFormat="1" ht="36" x14ac:dyDescent="0.3">
      <c r="A205" s="87"/>
      <c r="B205" s="87"/>
      <c r="C205" s="90"/>
      <c r="D205" s="87" t="s">
        <v>467</v>
      </c>
      <c r="E205" s="91"/>
      <c r="F205" s="92"/>
      <c r="G205" s="93"/>
      <c r="H205" s="93"/>
      <c r="I205" s="93"/>
      <c r="J205" s="93"/>
      <c r="K205" s="25"/>
      <c r="L205" s="25"/>
      <c r="M205" s="25"/>
      <c r="N205" s="25"/>
      <c r="O205"/>
      <c r="P205"/>
      <c r="Q205"/>
    </row>
    <row r="206" spans="1:17" s="5" customFormat="1" ht="36" x14ac:dyDescent="0.3">
      <c r="A206" s="87"/>
      <c r="B206" s="87"/>
      <c r="C206" s="90"/>
      <c r="D206" s="87" t="s">
        <v>468</v>
      </c>
      <c r="E206" s="91"/>
      <c r="F206" s="92"/>
      <c r="G206" s="93"/>
      <c r="H206" s="93"/>
      <c r="I206" s="93"/>
      <c r="J206" s="93"/>
      <c r="K206" s="25"/>
      <c r="L206" s="25"/>
      <c r="M206" s="25"/>
      <c r="N206" s="25"/>
      <c r="O206"/>
      <c r="P206"/>
      <c r="Q206"/>
    </row>
    <row r="207" spans="1:17" s="5" customFormat="1" ht="36" x14ac:dyDescent="0.3">
      <c r="A207" s="87"/>
      <c r="B207" s="87"/>
      <c r="C207" s="90" t="s">
        <v>469</v>
      </c>
      <c r="D207" s="87" t="s">
        <v>470</v>
      </c>
      <c r="E207" s="91" t="s">
        <v>197</v>
      </c>
      <c r="F207" s="92">
        <v>86</v>
      </c>
      <c r="G207" s="93">
        <v>223.88</v>
      </c>
      <c r="H207" s="93">
        <v>19253.68</v>
      </c>
      <c r="I207" s="93">
        <v>0</v>
      </c>
      <c r="J207" s="93">
        <v>0</v>
      </c>
      <c r="K207" s="25">
        <v>0</v>
      </c>
      <c r="L207" s="25">
        <v>0</v>
      </c>
      <c r="M207" s="25">
        <v>0</v>
      </c>
      <c r="N207" s="25">
        <v>19253.68</v>
      </c>
      <c r="O207"/>
      <c r="P207"/>
      <c r="Q207"/>
    </row>
    <row r="208" spans="1:17" s="5" customFormat="1" ht="36" x14ac:dyDescent="0.3">
      <c r="A208" s="87"/>
      <c r="B208" s="87"/>
      <c r="C208" s="90" t="s">
        <v>472</v>
      </c>
      <c r="D208" s="87" t="s">
        <v>199</v>
      </c>
      <c r="E208" s="91" t="s">
        <v>197</v>
      </c>
      <c r="F208" s="92">
        <v>70</v>
      </c>
      <c r="G208" s="93">
        <v>310.94</v>
      </c>
      <c r="H208" s="93">
        <v>21765.8</v>
      </c>
      <c r="I208" s="93">
        <v>0</v>
      </c>
      <c r="J208" s="93">
        <v>0</v>
      </c>
      <c r="K208" s="25">
        <v>0</v>
      </c>
      <c r="L208" s="25">
        <v>0</v>
      </c>
      <c r="M208" s="25">
        <v>12437.6</v>
      </c>
      <c r="N208" s="25">
        <v>9328.2000000000007</v>
      </c>
      <c r="O208"/>
      <c r="P208"/>
      <c r="Q208"/>
    </row>
    <row r="209" spans="1:17" s="5" customFormat="1" ht="48" x14ac:dyDescent="0.3">
      <c r="A209" s="87"/>
      <c r="B209" s="87"/>
      <c r="C209" s="90" t="s">
        <v>473</v>
      </c>
      <c r="D209" s="87" t="s">
        <v>474</v>
      </c>
      <c r="E209" s="91" t="s">
        <v>475</v>
      </c>
      <c r="F209" s="92">
        <v>100</v>
      </c>
      <c r="G209" s="93">
        <v>248.75</v>
      </c>
      <c r="H209" s="93">
        <v>24875</v>
      </c>
      <c r="I209" s="93">
        <v>0</v>
      </c>
      <c r="J209" s="93">
        <v>0</v>
      </c>
      <c r="K209" s="25">
        <v>0</v>
      </c>
      <c r="L209" s="25">
        <v>0</v>
      </c>
      <c r="M209" s="25">
        <v>15920</v>
      </c>
      <c r="N209" s="25">
        <v>8955</v>
      </c>
      <c r="O209"/>
      <c r="P209"/>
      <c r="Q209"/>
    </row>
    <row r="210" spans="1:17" s="5" customFormat="1" ht="36" x14ac:dyDescent="0.3">
      <c r="A210" s="87"/>
      <c r="B210" s="87"/>
      <c r="C210" s="90"/>
      <c r="D210" s="87" t="s">
        <v>484</v>
      </c>
      <c r="E210" s="91"/>
      <c r="F210" s="92"/>
      <c r="G210" s="93"/>
      <c r="H210" s="93">
        <v>9686919.1600000001</v>
      </c>
      <c r="I210" s="93">
        <v>0</v>
      </c>
      <c r="J210" s="93">
        <v>0</v>
      </c>
      <c r="K210" s="25">
        <v>0</v>
      </c>
      <c r="L210" s="25">
        <v>0</v>
      </c>
      <c r="M210" s="25">
        <v>4341555.4400000004</v>
      </c>
      <c r="N210" s="25">
        <v>5345363.72</v>
      </c>
      <c r="O210"/>
      <c r="P210"/>
      <c r="Q210"/>
    </row>
    <row r="211" spans="1:17" s="5" customFormat="1" ht="48" x14ac:dyDescent="0.3">
      <c r="A211" s="87"/>
      <c r="B211" s="87"/>
      <c r="C211" s="90" t="s">
        <v>485</v>
      </c>
      <c r="D211" s="87" t="s">
        <v>486</v>
      </c>
      <c r="E211" s="91"/>
      <c r="F211" s="92"/>
      <c r="G211" s="93"/>
      <c r="H211" s="93"/>
      <c r="I211" s="93"/>
      <c r="J211" s="93"/>
      <c r="K211" s="25"/>
      <c r="L211" s="25"/>
      <c r="M211" s="25"/>
      <c r="N211" s="25"/>
      <c r="O211"/>
      <c r="P211"/>
      <c r="Q211"/>
    </row>
    <row r="212" spans="1:17" s="5" customFormat="1" ht="36" x14ac:dyDescent="0.3">
      <c r="A212" s="87"/>
      <c r="B212" s="87"/>
      <c r="C212" s="90"/>
      <c r="D212" s="87" t="s">
        <v>487</v>
      </c>
      <c r="E212" s="91"/>
      <c r="F212" s="92"/>
      <c r="G212" s="93"/>
      <c r="H212" s="93"/>
      <c r="I212" s="93"/>
      <c r="J212" s="93"/>
      <c r="K212" s="25"/>
      <c r="L212" s="25"/>
      <c r="M212" s="25"/>
      <c r="N212" s="25"/>
      <c r="O212"/>
      <c r="P212"/>
      <c r="Q212"/>
    </row>
    <row r="213" spans="1:17" s="5" customFormat="1" ht="36" x14ac:dyDescent="0.3">
      <c r="A213" s="87"/>
      <c r="B213" s="87"/>
      <c r="C213" s="90" t="s">
        <v>488</v>
      </c>
      <c r="D213" s="87" t="s">
        <v>489</v>
      </c>
      <c r="E213" s="91" t="s">
        <v>490</v>
      </c>
      <c r="F213" s="92">
        <v>2000</v>
      </c>
      <c r="G213" s="93">
        <v>625</v>
      </c>
      <c r="H213" s="93">
        <v>1250000</v>
      </c>
      <c r="I213" s="93">
        <v>0</v>
      </c>
      <c r="J213" s="93">
        <v>375000</v>
      </c>
      <c r="K213" s="25">
        <v>875000</v>
      </c>
      <c r="L213" s="25">
        <v>0</v>
      </c>
      <c r="M213" s="25">
        <v>0</v>
      </c>
      <c r="N213" s="25">
        <v>0</v>
      </c>
      <c r="O213"/>
      <c r="P213"/>
      <c r="Q213"/>
    </row>
    <row r="214" spans="1:17" s="5" customFormat="1" ht="36" x14ac:dyDescent="0.3">
      <c r="A214" s="87"/>
      <c r="B214" s="87"/>
      <c r="C214" s="90"/>
      <c r="D214" s="87" t="s">
        <v>492</v>
      </c>
      <c r="E214" s="91"/>
      <c r="F214" s="92"/>
      <c r="G214" s="93"/>
      <c r="H214" s="93"/>
      <c r="I214" s="93"/>
      <c r="J214" s="93"/>
      <c r="K214" s="25"/>
      <c r="L214" s="25"/>
      <c r="M214" s="25"/>
      <c r="N214" s="25"/>
      <c r="O214"/>
      <c r="P214"/>
      <c r="Q214"/>
    </row>
    <row r="215" spans="1:17" s="5" customFormat="1" ht="36" x14ac:dyDescent="0.3">
      <c r="A215" s="87"/>
      <c r="B215" s="87"/>
      <c r="C215" s="90" t="s">
        <v>493</v>
      </c>
      <c r="D215" s="87" t="s">
        <v>494</v>
      </c>
      <c r="E215" s="91" t="s">
        <v>495</v>
      </c>
      <c r="F215" s="92">
        <v>760</v>
      </c>
      <c r="G215" s="93">
        <v>1463.99</v>
      </c>
      <c r="H215" s="93">
        <v>1112632.3999999999</v>
      </c>
      <c r="I215" s="93">
        <v>0</v>
      </c>
      <c r="J215" s="93">
        <v>0</v>
      </c>
      <c r="K215" s="25">
        <v>0</v>
      </c>
      <c r="L215" s="25">
        <v>0</v>
      </c>
      <c r="M215" s="25">
        <v>702715.2</v>
      </c>
      <c r="N215" s="25">
        <v>409917.2</v>
      </c>
      <c r="O215"/>
      <c r="P215"/>
      <c r="Q215"/>
    </row>
    <row r="216" spans="1:17" s="5" customFormat="1" ht="36" x14ac:dyDescent="0.3">
      <c r="A216" s="87"/>
      <c r="B216" s="87"/>
      <c r="C216" s="90" t="s">
        <v>497</v>
      </c>
      <c r="D216" s="87" t="s">
        <v>498</v>
      </c>
      <c r="E216" s="91" t="s">
        <v>495</v>
      </c>
      <c r="F216" s="92">
        <v>1140</v>
      </c>
      <c r="G216" s="93">
        <v>2369.0100000000002</v>
      </c>
      <c r="H216" s="93">
        <v>2700671.4</v>
      </c>
      <c r="I216" s="93">
        <v>0</v>
      </c>
      <c r="J216" s="93">
        <v>0</v>
      </c>
      <c r="K216" s="25">
        <v>0</v>
      </c>
      <c r="L216" s="25">
        <v>0</v>
      </c>
      <c r="M216" s="25">
        <v>1705687.2</v>
      </c>
      <c r="N216" s="25">
        <v>994984.2</v>
      </c>
      <c r="O216"/>
      <c r="P216"/>
      <c r="Q216"/>
    </row>
    <row r="217" spans="1:17" s="5" customFormat="1" ht="36" x14ac:dyDescent="0.3">
      <c r="A217" s="87"/>
      <c r="B217" s="87"/>
      <c r="C217" s="90" t="s">
        <v>500</v>
      </c>
      <c r="D217" s="87" t="s">
        <v>501</v>
      </c>
      <c r="E217" s="91" t="s">
        <v>495</v>
      </c>
      <c r="F217" s="92">
        <v>1140</v>
      </c>
      <c r="G217" s="93">
        <v>3660.18</v>
      </c>
      <c r="H217" s="93">
        <v>4172605.2</v>
      </c>
      <c r="I217" s="93">
        <v>0</v>
      </c>
      <c r="J217" s="93">
        <v>0</v>
      </c>
      <c r="K217" s="25">
        <v>0</v>
      </c>
      <c r="L217" s="25">
        <v>0</v>
      </c>
      <c r="M217" s="25">
        <v>2635329.6</v>
      </c>
      <c r="N217" s="25">
        <v>1537275.6</v>
      </c>
      <c r="O217"/>
      <c r="P217"/>
      <c r="Q217"/>
    </row>
    <row r="218" spans="1:17" s="5" customFormat="1" ht="36" x14ac:dyDescent="0.3">
      <c r="C218" s="90" t="s">
        <v>503</v>
      </c>
      <c r="D218" s="87" t="s">
        <v>504</v>
      </c>
      <c r="E218" s="91" t="s">
        <v>495</v>
      </c>
      <c r="F218" s="92">
        <v>1216</v>
      </c>
      <c r="G218" s="93">
        <v>3660.18</v>
      </c>
      <c r="H218" s="93">
        <v>4450778.88</v>
      </c>
      <c r="I218" s="93">
        <v>0</v>
      </c>
      <c r="J218" s="93">
        <v>0</v>
      </c>
      <c r="K218" s="25">
        <v>0</v>
      </c>
      <c r="L218" s="25">
        <v>0</v>
      </c>
      <c r="M218" s="25">
        <v>2811018.24</v>
      </c>
      <c r="N218" s="25">
        <v>1639760.64</v>
      </c>
      <c r="O218"/>
      <c r="P218"/>
      <c r="Q218"/>
    </row>
    <row r="219" spans="1:17" s="5" customFormat="1" ht="36" x14ac:dyDescent="0.3">
      <c r="C219" s="90" t="s">
        <v>505</v>
      </c>
      <c r="D219" s="87" t="s">
        <v>506</v>
      </c>
      <c r="E219" s="91" t="s">
        <v>495</v>
      </c>
      <c r="F219" s="92">
        <v>225</v>
      </c>
      <c r="G219" s="93">
        <v>3660.18</v>
      </c>
      <c r="H219" s="93">
        <v>823540.5</v>
      </c>
      <c r="I219" s="93">
        <v>0</v>
      </c>
      <c r="J219" s="93">
        <v>0</v>
      </c>
      <c r="K219" s="25">
        <v>0</v>
      </c>
      <c r="L219" s="25">
        <v>0</v>
      </c>
      <c r="M219" s="25">
        <v>519745.56</v>
      </c>
      <c r="N219" s="25">
        <v>303794.94</v>
      </c>
      <c r="O219"/>
      <c r="P219"/>
      <c r="Q219"/>
    </row>
    <row r="220" spans="1:17" s="5" customFormat="1" ht="36" x14ac:dyDescent="0.3">
      <c r="C220" s="90" t="s">
        <v>505</v>
      </c>
      <c r="D220" s="87" t="s">
        <v>507</v>
      </c>
      <c r="E220" s="91" t="s">
        <v>495</v>
      </c>
      <c r="F220" s="92">
        <v>162</v>
      </c>
      <c r="G220" s="93">
        <v>3660.18</v>
      </c>
      <c r="H220" s="93">
        <v>592949.16</v>
      </c>
      <c r="I220" s="93">
        <v>0</v>
      </c>
      <c r="J220" s="93">
        <v>0</v>
      </c>
      <c r="K220" s="25">
        <v>0</v>
      </c>
      <c r="L220" s="25">
        <v>0</v>
      </c>
      <c r="M220" s="25">
        <v>373338.36</v>
      </c>
      <c r="N220" s="25">
        <v>219610.8</v>
      </c>
      <c r="O220"/>
      <c r="P220"/>
      <c r="Q220"/>
    </row>
    <row r="221" spans="1:17" s="5" customFormat="1" ht="36" x14ac:dyDescent="0.3">
      <c r="C221" s="90" t="s">
        <v>505</v>
      </c>
      <c r="D221" s="87" t="s">
        <v>508</v>
      </c>
      <c r="E221" s="91" t="s">
        <v>495</v>
      </c>
      <c r="F221" s="92">
        <v>162</v>
      </c>
      <c r="G221" s="93">
        <v>3660.18</v>
      </c>
      <c r="H221" s="93">
        <v>592949.16</v>
      </c>
      <c r="I221" s="93">
        <v>0</v>
      </c>
      <c r="J221" s="93">
        <v>0</v>
      </c>
      <c r="K221" s="25">
        <v>0</v>
      </c>
      <c r="L221" s="25">
        <v>0</v>
      </c>
      <c r="M221" s="25">
        <v>373338.36</v>
      </c>
      <c r="N221" s="25">
        <v>219610.8</v>
      </c>
      <c r="O221"/>
      <c r="P221"/>
      <c r="Q221"/>
    </row>
    <row r="222" spans="1:17" s="5" customFormat="1" ht="36" x14ac:dyDescent="0.3">
      <c r="C222" s="90" t="s">
        <v>509</v>
      </c>
      <c r="D222" s="87" t="s">
        <v>510</v>
      </c>
      <c r="E222" s="91" t="s">
        <v>495</v>
      </c>
      <c r="F222" s="92">
        <v>45</v>
      </c>
      <c r="G222" s="93">
        <v>3947.93</v>
      </c>
      <c r="H222" s="93">
        <v>177656.85</v>
      </c>
      <c r="I222" s="93">
        <v>0</v>
      </c>
      <c r="J222" s="93">
        <v>0</v>
      </c>
      <c r="K222" s="25">
        <v>0</v>
      </c>
      <c r="L222" s="25">
        <v>0</v>
      </c>
      <c r="M222" s="25">
        <v>110542.04</v>
      </c>
      <c r="N222" s="25">
        <v>67114.81</v>
      </c>
      <c r="O222"/>
      <c r="P222"/>
      <c r="Q222"/>
    </row>
    <row r="223" spans="1:17" s="5" customFormat="1" ht="36" x14ac:dyDescent="0.3">
      <c r="C223" s="90" t="s">
        <v>509</v>
      </c>
      <c r="D223" s="87" t="s">
        <v>512</v>
      </c>
      <c r="E223" s="91" t="s">
        <v>495</v>
      </c>
      <c r="F223" s="92">
        <v>45</v>
      </c>
      <c r="G223" s="93">
        <v>3947.93</v>
      </c>
      <c r="H223" s="93">
        <v>177656.85</v>
      </c>
      <c r="I223" s="93">
        <v>0</v>
      </c>
      <c r="J223" s="93">
        <v>0</v>
      </c>
      <c r="K223" s="25">
        <v>0</v>
      </c>
      <c r="L223" s="25">
        <v>0</v>
      </c>
      <c r="M223" s="25">
        <v>110542.04</v>
      </c>
      <c r="N223" s="25">
        <v>67114.81</v>
      </c>
      <c r="O223"/>
      <c r="P223"/>
      <c r="Q223"/>
    </row>
    <row r="224" spans="1:17" s="5" customFormat="1" ht="36" x14ac:dyDescent="0.3">
      <c r="C224" s="90" t="s">
        <v>509</v>
      </c>
      <c r="D224" s="87" t="s">
        <v>513</v>
      </c>
      <c r="E224" s="91" t="s">
        <v>495</v>
      </c>
      <c r="F224" s="92">
        <v>45</v>
      </c>
      <c r="G224" s="93">
        <v>3947.93</v>
      </c>
      <c r="H224" s="93">
        <v>177656.85</v>
      </c>
      <c r="I224" s="93">
        <v>0</v>
      </c>
      <c r="J224" s="93">
        <v>0</v>
      </c>
      <c r="K224" s="25">
        <v>0</v>
      </c>
      <c r="L224" s="25">
        <v>0</v>
      </c>
      <c r="M224" s="25">
        <v>110542.04</v>
      </c>
      <c r="N224" s="25">
        <v>67114.81</v>
      </c>
      <c r="O224"/>
      <c r="P224"/>
      <c r="Q224"/>
    </row>
    <row r="225" spans="3:17" s="5" customFormat="1" ht="36" x14ac:dyDescent="0.3">
      <c r="C225" s="90" t="s">
        <v>514</v>
      </c>
      <c r="D225" s="87" t="s">
        <v>515</v>
      </c>
      <c r="E225" s="91" t="s">
        <v>495</v>
      </c>
      <c r="F225" s="92">
        <v>180</v>
      </c>
      <c r="G225" s="93">
        <v>3013.83</v>
      </c>
      <c r="H225" s="93">
        <v>542489.4</v>
      </c>
      <c r="I225" s="93">
        <v>0</v>
      </c>
      <c r="J225" s="93">
        <v>0</v>
      </c>
      <c r="K225" s="25">
        <v>0</v>
      </c>
      <c r="L225" s="25">
        <v>0</v>
      </c>
      <c r="M225" s="25">
        <v>340562.79</v>
      </c>
      <c r="N225" s="25">
        <v>201926.61</v>
      </c>
      <c r="O225"/>
      <c r="P225"/>
      <c r="Q225"/>
    </row>
    <row r="226" spans="3:17" s="5" customFormat="1" ht="36" x14ac:dyDescent="0.3">
      <c r="C226" s="90" t="s">
        <v>517</v>
      </c>
      <c r="D226" s="87" t="s">
        <v>518</v>
      </c>
      <c r="E226" s="91" t="s">
        <v>495</v>
      </c>
      <c r="F226" s="92">
        <v>90</v>
      </c>
      <c r="G226" s="93">
        <v>4962.2299999999996</v>
      </c>
      <c r="H226" s="93">
        <v>446600.7</v>
      </c>
      <c r="I226" s="93">
        <v>0</v>
      </c>
      <c r="J226" s="93">
        <v>0</v>
      </c>
      <c r="K226" s="25">
        <v>0</v>
      </c>
      <c r="L226" s="25">
        <v>0</v>
      </c>
      <c r="M226" s="25">
        <v>277884.88</v>
      </c>
      <c r="N226" s="25">
        <v>168715.82</v>
      </c>
      <c r="O226"/>
      <c r="P226"/>
      <c r="Q226"/>
    </row>
    <row r="227" spans="3:17" s="5" customFormat="1" ht="36" x14ac:dyDescent="0.3">
      <c r="C227" s="90" t="s">
        <v>517</v>
      </c>
      <c r="D227" s="87" t="s">
        <v>520</v>
      </c>
      <c r="E227" s="91" t="s">
        <v>495</v>
      </c>
      <c r="F227" s="92">
        <v>180</v>
      </c>
      <c r="G227" s="93">
        <v>4962.2299999999996</v>
      </c>
      <c r="H227" s="93">
        <v>893201.4</v>
      </c>
      <c r="I227" s="93">
        <v>0</v>
      </c>
      <c r="J227" s="93">
        <v>0</v>
      </c>
      <c r="K227" s="25">
        <v>0</v>
      </c>
      <c r="L227" s="25">
        <v>0</v>
      </c>
      <c r="M227" s="25">
        <v>565694.22</v>
      </c>
      <c r="N227" s="25">
        <v>327507.18</v>
      </c>
      <c r="O227"/>
      <c r="P227"/>
      <c r="Q227"/>
    </row>
    <row r="228" spans="3:17" s="5" customFormat="1" ht="36" x14ac:dyDescent="0.3">
      <c r="C228" s="90" t="s">
        <v>521</v>
      </c>
      <c r="D228" s="87" t="s">
        <v>522</v>
      </c>
      <c r="E228" s="91" t="s">
        <v>495</v>
      </c>
      <c r="F228" s="92">
        <v>90</v>
      </c>
      <c r="G228" s="93">
        <v>2553.58</v>
      </c>
      <c r="H228" s="93">
        <v>229822.2</v>
      </c>
      <c r="I228" s="93">
        <v>0</v>
      </c>
      <c r="J228" s="93">
        <v>0</v>
      </c>
      <c r="K228" s="25">
        <v>0</v>
      </c>
      <c r="L228" s="25">
        <v>0</v>
      </c>
      <c r="M228" s="25">
        <v>145554.06</v>
      </c>
      <c r="N228" s="25">
        <v>84268.14</v>
      </c>
      <c r="O228"/>
      <c r="P228"/>
      <c r="Q228"/>
    </row>
    <row r="229" spans="3:17" s="5" customFormat="1" ht="36" x14ac:dyDescent="0.3">
      <c r="C229" s="90" t="s">
        <v>524</v>
      </c>
      <c r="D229" s="87" t="s">
        <v>525</v>
      </c>
      <c r="E229" s="91" t="s">
        <v>495</v>
      </c>
      <c r="F229" s="92">
        <v>160</v>
      </c>
      <c r="G229" s="93">
        <v>5397.2</v>
      </c>
      <c r="H229" s="93">
        <v>863552</v>
      </c>
      <c r="I229" s="93">
        <v>0</v>
      </c>
      <c r="J229" s="93">
        <v>0</v>
      </c>
      <c r="K229" s="25">
        <v>0</v>
      </c>
      <c r="L229" s="25">
        <v>0</v>
      </c>
      <c r="M229" s="25">
        <v>550514.4</v>
      </c>
      <c r="N229" s="25">
        <v>313037.59999999998</v>
      </c>
      <c r="O229"/>
      <c r="P229"/>
      <c r="Q229"/>
    </row>
    <row r="230" spans="3:17" s="5" customFormat="1" ht="36" x14ac:dyDescent="0.3">
      <c r="C230" s="90" t="s">
        <v>527</v>
      </c>
      <c r="D230" s="87" t="s">
        <v>528</v>
      </c>
      <c r="E230" s="91" t="s">
        <v>495</v>
      </c>
      <c r="F230" s="92">
        <v>160</v>
      </c>
      <c r="G230" s="93">
        <v>5397.2</v>
      </c>
      <c r="H230" s="93">
        <v>863552</v>
      </c>
      <c r="I230" s="93">
        <v>0</v>
      </c>
      <c r="J230" s="93">
        <v>0</v>
      </c>
      <c r="K230" s="25">
        <v>0</v>
      </c>
      <c r="L230" s="25">
        <v>0</v>
      </c>
      <c r="M230" s="25">
        <v>550514.4</v>
      </c>
      <c r="N230" s="25">
        <v>313037.59999999998</v>
      </c>
      <c r="O230"/>
      <c r="P230"/>
      <c r="Q230"/>
    </row>
    <row r="231" spans="3:17" s="5" customFormat="1" ht="36" x14ac:dyDescent="0.3">
      <c r="C231" s="90" t="s">
        <v>529</v>
      </c>
      <c r="D231" s="87" t="s">
        <v>530</v>
      </c>
      <c r="E231" s="91" t="s">
        <v>495</v>
      </c>
      <c r="F231" s="92">
        <v>160</v>
      </c>
      <c r="G231" s="93">
        <v>5397.2</v>
      </c>
      <c r="H231" s="93">
        <v>863552</v>
      </c>
      <c r="I231" s="93">
        <v>0</v>
      </c>
      <c r="J231" s="93">
        <v>0</v>
      </c>
      <c r="K231" s="25">
        <v>0</v>
      </c>
      <c r="L231" s="25">
        <v>0</v>
      </c>
      <c r="M231" s="25">
        <v>550514.4</v>
      </c>
      <c r="N231" s="25">
        <v>313037.59999999998</v>
      </c>
      <c r="O231"/>
      <c r="P231"/>
      <c r="Q231"/>
    </row>
    <row r="232" spans="3:17" s="5" customFormat="1" ht="36" x14ac:dyDescent="0.3">
      <c r="C232" s="90"/>
      <c r="D232" s="87" t="s">
        <v>531</v>
      </c>
      <c r="E232" s="91"/>
      <c r="F232" s="92"/>
      <c r="G232" s="93"/>
      <c r="H232" s="93"/>
      <c r="I232" s="93"/>
      <c r="J232" s="93"/>
      <c r="K232" s="25"/>
      <c r="L232" s="25"/>
      <c r="M232" s="25"/>
      <c r="N232" s="25"/>
      <c r="O232"/>
      <c r="P232"/>
      <c r="Q232"/>
    </row>
    <row r="233" spans="3:17" s="5" customFormat="1" ht="36" x14ac:dyDescent="0.3">
      <c r="C233" s="90" t="s">
        <v>532</v>
      </c>
      <c r="D233" s="87" t="s">
        <v>533</v>
      </c>
      <c r="E233" s="91" t="s">
        <v>495</v>
      </c>
      <c r="F233" s="92">
        <v>90</v>
      </c>
      <c r="G233" s="93">
        <v>4283.63</v>
      </c>
      <c r="H233" s="93">
        <v>385526.7</v>
      </c>
      <c r="I233" s="93">
        <v>0</v>
      </c>
      <c r="J233" s="93">
        <v>0</v>
      </c>
      <c r="K233" s="25">
        <v>0</v>
      </c>
      <c r="L233" s="25">
        <v>0</v>
      </c>
      <c r="M233" s="25">
        <v>248450.54</v>
      </c>
      <c r="N233" s="25">
        <v>137076.16</v>
      </c>
      <c r="O233"/>
      <c r="P233"/>
      <c r="Q233"/>
    </row>
    <row r="234" spans="3:17" s="5" customFormat="1" ht="36" x14ac:dyDescent="0.3">
      <c r="C234" s="90" t="s">
        <v>535</v>
      </c>
      <c r="D234" s="87" t="s">
        <v>536</v>
      </c>
      <c r="E234" s="91" t="s">
        <v>495</v>
      </c>
      <c r="F234" s="92">
        <v>360</v>
      </c>
      <c r="G234" s="93">
        <v>2570.1799999999998</v>
      </c>
      <c r="H234" s="93">
        <v>925264.8</v>
      </c>
      <c r="I234" s="93">
        <v>0</v>
      </c>
      <c r="J234" s="93">
        <v>0</v>
      </c>
      <c r="K234" s="25">
        <v>0</v>
      </c>
      <c r="L234" s="25">
        <v>0</v>
      </c>
      <c r="M234" s="25">
        <v>586001.04</v>
      </c>
      <c r="N234" s="25">
        <v>339263.76</v>
      </c>
      <c r="O234"/>
      <c r="P234"/>
      <c r="Q234"/>
    </row>
    <row r="235" spans="3:17" s="5" customFormat="1" ht="36" x14ac:dyDescent="0.3">
      <c r="C235" s="90"/>
      <c r="D235" s="87" t="s">
        <v>538</v>
      </c>
      <c r="E235" s="91"/>
      <c r="F235" s="92"/>
      <c r="G235" s="93"/>
      <c r="H235" s="93"/>
      <c r="I235" s="93"/>
      <c r="J235" s="93"/>
      <c r="K235" s="25"/>
      <c r="L235" s="25"/>
      <c r="M235" s="25"/>
      <c r="N235" s="25"/>
      <c r="O235"/>
      <c r="P235"/>
      <c r="Q235"/>
    </row>
    <row r="236" spans="3:17" s="5" customFormat="1" ht="36" x14ac:dyDescent="0.3">
      <c r="C236" s="90" t="s">
        <v>539</v>
      </c>
      <c r="D236" s="87" t="s">
        <v>540</v>
      </c>
      <c r="E236" s="91" t="s">
        <v>495</v>
      </c>
      <c r="F236" s="92">
        <v>120</v>
      </c>
      <c r="G236" s="93">
        <v>3162.35</v>
      </c>
      <c r="H236" s="93">
        <v>379482</v>
      </c>
      <c r="I236" s="93">
        <v>0</v>
      </c>
      <c r="J236" s="93">
        <v>0</v>
      </c>
      <c r="K236" s="25">
        <v>0</v>
      </c>
      <c r="L236" s="25">
        <v>0</v>
      </c>
      <c r="M236" s="25">
        <v>379482</v>
      </c>
      <c r="N236" s="25">
        <v>0</v>
      </c>
      <c r="O236"/>
      <c r="P236"/>
      <c r="Q236"/>
    </row>
    <row r="237" spans="3:17" s="5" customFormat="1" ht="36" x14ac:dyDescent="0.3">
      <c r="C237" s="90" t="s">
        <v>539</v>
      </c>
      <c r="D237" s="87" t="s">
        <v>542</v>
      </c>
      <c r="E237" s="91" t="s">
        <v>495</v>
      </c>
      <c r="F237" s="92">
        <v>120</v>
      </c>
      <c r="G237" s="93">
        <v>3162.35</v>
      </c>
      <c r="H237" s="93">
        <v>379482</v>
      </c>
      <c r="I237" s="93">
        <v>0</v>
      </c>
      <c r="J237" s="93">
        <v>0</v>
      </c>
      <c r="K237" s="25">
        <v>0</v>
      </c>
      <c r="L237" s="25">
        <v>0</v>
      </c>
      <c r="M237" s="25">
        <v>379482</v>
      </c>
      <c r="N237" s="25">
        <v>0</v>
      </c>
      <c r="O237"/>
      <c r="P237"/>
      <c r="Q237"/>
    </row>
    <row r="238" spans="3:17" s="5" customFormat="1" ht="36" x14ac:dyDescent="0.3">
      <c r="C238" s="90" t="s">
        <v>543</v>
      </c>
      <c r="D238" s="87" t="s">
        <v>544</v>
      </c>
      <c r="E238" s="91" t="s">
        <v>495</v>
      </c>
      <c r="F238" s="92">
        <v>120</v>
      </c>
      <c r="G238" s="93">
        <v>908.45</v>
      </c>
      <c r="H238" s="93">
        <v>109014</v>
      </c>
      <c r="I238" s="93">
        <v>0</v>
      </c>
      <c r="J238" s="93">
        <v>0</v>
      </c>
      <c r="K238" s="25">
        <v>0</v>
      </c>
      <c r="L238" s="25">
        <v>0</v>
      </c>
      <c r="M238" s="25">
        <v>109014</v>
      </c>
      <c r="N238" s="25">
        <v>0</v>
      </c>
      <c r="O238"/>
      <c r="P238"/>
      <c r="Q238"/>
    </row>
    <row r="239" spans="3:17" s="5" customFormat="1" ht="36" x14ac:dyDescent="0.3">
      <c r="C239" s="90" t="s">
        <v>546</v>
      </c>
      <c r="D239" s="87" t="s">
        <v>547</v>
      </c>
      <c r="E239" s="91" t="s">
        <v>495</v>
      </c>
      <c r="F239" s="92">
        <v>30</v>
      </c>
      <c r="G239" s="93">
        <v>2856.73</v>
      </c>
      <c r="H239" s="93">
        <v>85701.9</v>
      </c>
      <c r="I239" s="93">
        <v>0</v>
      </c>
      <c r="J239" s="93">
        <v>0</v>
      </c>
      <c r="K239" s="25">
        <v>0</v>
      </c>
      <c r="L239" s="25">
        <v>0</v>
      </c>
      <c r="M239" s="25">
        <v>85701.9</v>
      </c>
      <c r="N239" s="25">
        <v>0</v>
      </c>
      <c r="O239"/>
      <c r="P239"/>
      <c r="Q239"/>
    </row>
    <row r="240" spans="3:17" s="5" customFormat="1" ht="36" x14ac:dyDescent="0.3">
      <c r="C240" s="90" t="s">
        <v>549</v>
      </c>
      <c r="D240" s="87" t="s">
        <v>550</v>
      </c>
      <c r="E240" s="91" t="s">
        <v>495</v>
      </c>
      <c r="F240" s="92">
        <v>30</v>
      </c>
      <c r="G240" s="93">
        <v>3812.78</v>
      </c>
      <c r="H240" s="93">
        <v>114383.4</v>
      </c>
      <c r="I240" s="93">
        <v>0</v>
      </c>
      <c r="J240" s="93">
        <v>0</v>
      </c>
      <c r="K240" s="25">
        <v>0</v>
      </c>
      <c r="L240" s="25">
        <v>0</v>
      </c>
      <c r="M240" s="25">
        <v>114383.4</v>
      </c>
      <c r="N240" s="25">
        <v>0</v>
      </c>
      <c r="O240"/>
      <c r="P240"/>
      <c r="Q240"/>
    </row>
    <row r="241" spans="3:17" s="5" customFormat="1" ht="36" x14ac:dyDescent="0.3">
      <c r="C241" s="90" t="s">
        <v>552</v>
      </c>
      <c r="D241" s="87" t="s">
        <v>515</v>
      </c>
      <c r="E241" s="91" t="s">
        <v>495</v>
      </c>
      <c r="F241" s="92">
        <v>30</v>
      </c>
      <c r="G241" s="93">
        <v>2856.73</v>
      </c>
      <c r="H241" s="93">
        <v>85701.9</v>
      </c>
      <c r="I241" s="93">
        <v>0</v>
      </c>
      <c r="J241" s="93">
        <v>0</v>
      </c>
      <c r="K241" s="25">
        <v>0</v>
      </c>
      <c r="L241" s="25">
        <v>0</v>
      </c>
      <c r="M241" s="25">
        <v>85701.9</v>
      </c>
      <c r="N241" s="25">
        <v>0</v>
      </c>
      <c r="O241"/>
      <c r="P241"/>
      <c r="Q241"/>
    </row>
    <row r="242" spans="3:17" s="5" customFormat="1" ht="36" x14ac:dyDescent="0.3">
      <c r="C242" s="90" t="s">
        <v>553</v>
      </c>
      <c r="D242" s="87" t="s">
        <v>498</v>
      </c>
      <c r="E242" s="91" t="s">
        <v>495</v>
      </c>
      <c r="F242" s="92">
        <v>180</v>
      </c>
      <c r="G242" s="93">
        <v>1791.26</v>
      </c>
      <c r="H242" s="93">
        <v>322426.8</v>
      </c>
      <c r="I242" s="93">
        <v>0</v>
      </c>
      <c r="J242" s="93">
        <v>0</v>
      </c>
      <c r="K242" s="25">
        <v>0</v>
      </c>
      <c r="L242" s="25">
        <v>0</v>
      </c>
      <c r="M242" s="25">
        <v>322426.8</v>
      </c>
      <c r="N242" s="25">
        <v>0</v>
      </c>
      <c r="O242"/>
      <c r="P242"/>
      <c r="Q242"/>
    </row>
    <row r="243" spans="3:17" s="5" customFormat="1" ht="36" x14ac:dyDescent="0.3">
      <c r="C243" s="90" t="s">
        <v>555</v>
      </c>
      <c r="D243" s="87" t="s">
        <v>556</v>
      </c>
      <c r="E243" s="91" t="s">
        <v>495</v>
      </c>
      <c r="F243" s="92">
        <v>137</v>
      </c>
      <c r="G243" s="93">
        <v>2466.63</v>
      </c>
      <c r="H243" s="93">
        <v>337928.31</v>
      </c>
      <c r="I243" s="93">
        <v>0</v>
      </c>
      <c r="J243" s="93">
        <v>0</v>
      </c>
      <c r="K243" s="25">
        <v>0</v>
      </c>
      <c r="L243" s="25">
        <v>0</v>
      </c>
      <c r="M243" s="25">
        <v>337928.31</v>
      </c>
      <c r="N243" s="25">
        <v>0</v>
      </c>
      <c r="O243"/>
      <c r="P243"/>
      <c r="Q243"/>
    </row>
    <row r="244" spans="3:17" s="5" customFormat="1" ht="36" x14ac:dyDescent="0.3">
      <c r="C244" s="90" t="s">
        <v>558</v>
      </c>
      <c r="D244" s="87" t="s">
        <v>559</v>
      </c>
      <c r="E244" s="91" t="s">
        <v>495</v>
      </c>
      <c r="F244" s="92">
        <v>137</v>
      </c>
      <c r="G244" s="93">
        <v>3812.78</v>
      </c>
      <c r="H244" s="93">
        <v>522350.86</v>
      </c>
      <c r="I244" s="93">
        <v>0</v>
      </c>
      <c r="J244" s="93">
        <v>0</v>
      </c>
      <c r="K244" s="25">
        <v>0</v>
      </c>
      <c r="L244" s="25">
        <v>0</v>
      </c>
      <c r="M244" s="25">
        <v>522350.86</v>
      </c>
      <c r="N244" s="25">
        <v>0</v>
      </c>
      <c r="O244"/>
      <c r="P244"/>
      <c r="Q244"/>
    </row>
    <row r="245" spans="3:17" s="5" customFormat="1" ht="36" x14ac:dyDescent="0.3">
      <c r="C245" s="90" t="s">
        <v>560</v>
      </c>
      <c r="D245" s="87" t="s">
        <v>561</v>
      </c>
      <c r="E245" s="91" t="s">
        <v>495</v>
      </c>
      <c r="F245" s="92">
        <v>411</v>
      </c>
      <c r="G245" s="93">
        <v>4209.8100000000004</v>
      </c>
      <c r="H245" s="93">
        <v>1730231.91</v>
      </c>
      <c r="I245" s="93">
        <v>181021.83</v>
      </c>
      <c r="J245" s="93">
        <v>522016.44</v>
      </c>
      <c r="K245" s="25">
        <v>522016.44</v>
      </c>
      <c r="L245" s="25">
        <v>505177.2</v>
      </c>
      <c r="M245" s="25">
        <v>0</v>
      </c>
      <c r="N245" s="25">
        <v>0</v>
      </c>
      <c r="O245"/>
      <c r="P245"/>
      <c r="Q245"/>
    </row>
    <row r="246" spans="3:17" s="5" customFormat="1" ht="36" x14ac:dyDescent="0.3">
      <c r="C246" s="90" t="s">
        <v>563</v>
      </c>
      <c r="D246" s="87" t="s">
        <v>564</v>
      </c>
      <c r="E246" s="91" t="s">
        <v>495</v>
      </c>
      <c r="F246" s="92">
        <v>411</v>
      </c>
      <c r="G246" s="93">
        <v>4695.55</v>
      </c>
      <c r="H246" s="93">
        <v>1929871.05</v>
      </c>
      <c r="I246" s="93">
        <v>201908.65</v>
      </c>
      <c r="J246" s="93">
        <v>582248.19999999995</v>
      </c>
      <c r="K246" s="25">
        <v>582248.19999999995</v>
      </c>
      <c r="L246" s="25">
        <v>563466</v>
      </c>
      <c r="M246" s="25">
        <v>0</v>
      </c>
      <c r="N246" s="25">
        <v>0</v>
      </c>
      <c r="O246"/>
      <c r="P246"/>
      <c r="Q246"/>
    </row>
    <row r="247" spans="3:17" s="5" customFormat="1" ht="36" x14ac:dyDescent="0.3">
      <c r="C247" s="90"/>
      <c r="D247" s="87" t="s">
        <v>566</v>
      </c>
      <c r="E247" s="91"/>
      <c r="F247" s="92"/>
      <c r="G247" s="93"/>
      <c r="H247" s="93">
        <v>28239232.579999998</v>
      </c>
      <c r="I247" s="93">
        <v>382930.48</v>
      </c>
      <c r="J247" s="93">
        <v>1479264.64</v>
      </c>
      <c r="K247" s="25">
        <v>1979264.64</v>
      </c>
      <c r="L247" s="25">
        <v>1068643.2</v>
      </c>
      <c r="M247" s="25">
        <v>15604960.539999999</v>
      </c>
      <c r="N247" s="25">
        <v>7724169.0800000001</v>
      </c>
      <c r="O247"/>
      <c r="P247"/>
      <c r="Q247"/>
    </row>
    <row r="248" spans="3:17" s="5" customFormat="1" ht="36" x14ac:dyDescent="0.3">
      <c r="C248" s="90" t="s">
        <v>567</v>
      </c>
      <c r="D248" s="87" t="s">
        <v>568</v>
      </c>
      <c r="E248" s="91"/>
      <c r="F248" s="92"/>
      <c r="G248" s="93"/>
      <c r="H248" s="93"/>
      <c r="I248" s="93"/>
      <c r="J248" s="93"/>
      <c r="K248" s="25"/>
      <c r="L248" s="25"/>
      <c r="M248" s="25"/>
      <c r="N248" s="25"/>
      <c r="O248"/>
      <c r="P248"/>
      <c r="Q248"/>
    </row>
    <row r="249" spans="3:17" s="5" customFormat="1" ht="36" x14ac:dyDescent="0.3">
      <c r="C249" s="90"/>
      <c r="D249" s="87" t="s">
        <v>492</v>
      </c>
      <c r="E249" s="91"/>
      <c r="F249" s="92"/>
      <c r="G249" s="93"/>
      <c r="H249" s="93"/>
      <c r="I249" s="93"/>
      <c r="J249" s="93"/>
      <c r="K249" s="25"/>
      <c r="L249" s="25"/>
      <c r="M249" s="25"/>
      <c r="N249" s="25"/>
      <c r="O249"/>
      <c r="P249"/>
      <c r="Q249"/>
    </row>
    <row r="250" spans="3:17" s="5" customFormat="1" ht="36" x14ac:dyDescent="0.3">
      <c r="C250" s="90" t="s">
        <v>493</v>
      </c>
      <c r="D250" s="87" t="s">
        <v>494</v>
      </c>
      <c r="E250" s="91" t="s">
        <v>495</v>
      </c>
      <c r="F250" s="92">
        <v>153</v>
      </c>
      <c r="G250" s="93">
        <v>1463.99</v>
      </c>
      <c r="H250" s="93">
        <v>223990.47</v>
      </c>
      <c r="I250" s="93">
        <v>0</v>
      </c>
      <c r="J250" s="93">
        <v>0</v>
      </c>
      <c r="K250" s="25">
        <v>0</v>
      </c>
      <c r="L250" s="25">
        <v>0</v>
      </c>
      <c r="M250" s="25">
        <v>140543.04000000001</v>
      </c>
      <c r="N250" s="25">
        <v>83447.429999999993</v>
      </c>
      <c r="O250"/>
      <c r="P250"/>
      <c r="Q250"/>
    </row>
    <row r="251" spans="3:17" s="5" customFormat="1" ht="36" x14ac:dyDescent="0.3">
      <c r="C251" s="90" t="s">
        <v>497</v>
      </c>
      <c r="D251" s="87" t="s">
        <v>498</v>
      </c>
      <c r="E251" s="91" t="s">
        <v>495</v>
      </c>
      <c r="F251" s="92">
        <v>456</v>
      </c>
      <c r="G251" s="93">
        <v>2369.0100000000002</v>
      </c>
      <c r="H251" s="93">
        <v>1080268.56</v>
      </c>
      <c r="I251" s="93">
        <v>0</v>
      </c>
      <c r="J251" s="93">
        <v>0</v>
      </c>
      <c r="K251" s="25">
        <v>0</v>
      </c>
      <c r="L251" s="25">
        <v>0</v>
      </c>
      <c r="M251" s="25">
        <v>682274.88</v>
      </c>
      <c r="N251" s="25">
        <v>397993.68</v>
      </c>
      <c r="O251"/>
      <c r="P251"/>
      <c r="Q251"/>
    </row>
    <row r="252" spans="3:17" s="5" customFormat="1" ht="36" x14ac:dyDescent="0.3">
      <c r="C252" s="90" t="s">
        <v>569</v>
      </c>
      <c r="D252" s="87" t="s">
        <v>570</v>
      </c>
      <c r="E252" s="91" t="s">
        <v>495</v>
      </c>
      <c r="F252" s="92">
        <v>304</v>
      </c>
      <c r="G252" s="93">
        <v>3660.18</v>
      </c>
      <c r="H252" s="93">
        <v>1112694.72</v>
      </c>
      <c r="I252" s="93">
        <v>0</v>
      </c>
      <c r="J252" s="93">
        <v>0</v>
      </c>
      <c r="K252" s="25">
        <v>0</v>
      </c>
      <c r="L252" s="25">
        <v>0</v>
      </c>
      <c r="M252" s="25">
        <v>702754.56</v>
      </c>
      <c r="N252" s="25">
        <v>409940.16</v>
      </c>
      <c r="O252"/>
      <c r="P252"/>
      <c r="Q252"/>
    </row>
    <row r="253" spans="3:17" s="5" customFormat="1" ht="36" x14ac:dyDescent="0.3">
      <c r="C253" s="90" t="s">
        <v>509</v>
      </c>
      <c r="D253" s="87" t="s">
        <v>547</v>
      </c>
      <c r="E253" s="91" t="s">
        <v>495</v>
      </c>
      <c r="F253" s="92">
        <v>152</v>
      </c>
      <c r="G253" s="93">
        <v>3947.93</v>
      </c>
      <c r="H253" s="93">
        <v>600085.36</v>
      </c>
      <c r="I253" s="93">
        <v>0</v>
      </c>
      <c r="J253" s="93">
        <v>0</v>
      </c>
      <c r="K253" s="25">
        <v>0</v>
      </c>
      <c r="L253" s="25">
        <v>0</v>
      </c>
      <c r="M253" s="25">
        <v>379001.28</v>
      </c>
      <c r="N253" s="25">
        <v>221084.08</v>
      </c>
      <c r="O253"/>
      <c r="P253"/>
      <c r="Q253"/>
    </row>
    <row r="254" spans="3:17" s="5" customFormat="1" ht="36" x14ac:dyDescent="0.3">
      <c r="C254" s="90" t="s">
        <v>517</v>
      </c>
      <c r="D254" s="87" t="s">
        <v>571</v>
      </c>
      <c r="E254" s="91" t="s">
        <v>495</v>
      </c>
      <c r="F254" s="92">
        <v>76</v>
      </c>
      <c r="G254" s="93">
        <v>4962.2299999999996</v>
      </c>
      <c r="H254" s="93">
        <v>377129.48</v>
      </c>
      <c r="I254" s="93">
        <v>0</v>
      </c>
      <c r="J254" s="93">
        <v>0</v>
      </c>
      <c r="K254" s="25">
        <v>0</v>
      </c>
      <c r="L254" s="25">
        <v>0</v>
      </c>
      <c r="M254" s="25">
        <v>238187.04</v>
      </c>
      <c r="N254" s="25">
        <v>138942.44</v>
      </c>
      <c r="O254"/>
      <c r="P254"/>
      <c r="Q254"/>
    </row>
    <row r="255" spans="3:17" s="5" customFormat="1" ht="36" x14ac:dyDescent="0.3">
      <c r="C255" s="90" t="s">
        <v>524</v>
      </c>
      <c r="D255" s="87" t="s">
        <v>525</v>
      </c>
      <c r="E255" s="91" t="s">
        <v>495</v>
      </c>
      <c r="F255" s="92">
        <v>38</v>
      </c>
      <c r="G255" s="93">
        <v>5397.2</v>
      </c>
      <c r="H255" s="93">
        <v>205093.6</v>
      </c>
      <c r="I255" s="93">
        <v>0</v>
      </c>
      <c r="J255" s="93">
        <v>0</v>
      </c>
      <c r="K255" s="25">
        <v>0</v>
      </c>
      <c r="L255" s="25">
        <v>0</v>
      </c>
      <c r="M255" s="25">
        <v>129532.8</v>
      </c>
      <c r="N255" s="25">
        <v>75560.800000000003</v>
      </c>
      <c r="O255"/>
      <c r="P255"/>
      <c r="Q255"/>
    </row>
    <row r="256" spans="3:17" s="5" customFormat="1" ht="36" x14ac:dyDescent="0.3">
      <c r="C256" s="90"/>
      <c r="D256" s="87" t="s">
        <v>572</v>
      </c>
      <c r="E256" s="91"/>
      <c r="F256" s="92"/>
      <c r="G256" s="93"/>
      <c r="H256" s="93"/>
      <c r="I256" s="93"/>
      <c r="J256" s="93"/>
      <c r="K256" s="25"/>
      <c r="L256" s="25"/>
      <c r="M256" s="25"/>
      <c r="N256" s="25"/>
      <c r="O256"/>
      <c r="P256"/>
      <c r="Q256"/>
    </row>
    <row r="257" spans="3:17" s="5" customFormat="1" ht="36" x14ac:dyDescent="0.3">
      <c r="C257" s="90" t="s">
        <v>532</v>
      </c>
      <c r="D257" s="87" t="s">
        <v>533</v>
      </c>
      <c r="E257" s="91" t="s">
        <v>495</v>
      </c>
      <c r="F257" s="92">
        <v>76</v>
      </c>
      <c r="G257" s="93">
        <v>4283.63</v>
      </c>
      <c r="H257" s="93">
        <v>325555.88</v>
      </c>
      <c r="I257" s="93">
        <v>0</v>
      </c>
      <c r="J257" s="93">
        <v>0</v>
      </c>
      <c r="K257" s="25">
        <v>0</v>
      </c>
      <c r="L257" s="25">
        <v>0</v>
      </c>
      <c r="M257" s="25">
        <v>205614.24</v>
      </c>
      <c r="N257" s="25">
        <v>119941.64</v>
      </c>
      <c r="O257"/>
      <c r="P257"/>
      <c r="Q257"/>
    </row>
    <row r="258" spans="3:17" s="5" customFormat="1" ht="36" x14ac:dyDescent="0.3">
      <c r="C258" s="90"/>
      <c r="D258" s="87" t="s">
        <v>573</v>
      </c>
      <c r="E258" s="91"/>
      <c r="F258" s="92"/>
      <c r="G258" s="93"/>
      <c r="H258" s="93">
        <v>3924818.07</v>
      </c>
      <c r="I258" s="93">
        <v>0</v>
      </c>
      <c r="J258" s="93">
        <v>0</v>
      </c>
      <c r="K258" s="25">
        <v>0</v>
      </c>
      <c r="L258" s="25">
        <v>0</v>
      </c>
      <c r="M258" s="25">
        <v>2477907.84</v>
      </c>
      <c r="N258" s="25">
        <v>1446910.23</v>
      </c>
      <c r="O258"/>
      <c r="P258"/>
      <c r="Q258"/>
    </row>
    <row r="259" spans="3:17" s="5" customFormat="1" ht="48" x14ac:dyDescent="0.3">
      <c r="C259" s="90" t="s">
        <v>574</v>
      </c>
      <c r="D259" s="87" t="s">
        <v>575</v>
      </c>
      <c r="E259" s="91"/>
      <c r="F259" s="92"/>
      <c r="G259" s="93"/>
      <c r="H259" s="93"/>
      <c r="I259" s="93"/>
      <c r="J259" s="93"/>
      <c r="K259" s="25"/>
      <c r="L259" s="25"/>
      <c r="M259" s="25"/>
      <c r="N259" s="25"/>
      <c r="O259"/>
      <c r="P259"/>
      <c r="Q259"/>
    </row>
    <row r="260" spans="3:17" s="5" customFormat="1" ht="36" x14ac:dyDescent="0.3">
      <c r="C260" s="90"/>
      <c r="D260" s="87" t="s">
        <v>576</v>
      </c>
      <c r="E260" s="91"/>
      <c r="F260" s="92"/>
      <c r="G260" s="93"/>
      <c r="H260" s="93"/>
      <c r="I260" s="93"/>
      <c r="J260" s="93"/>
      <c r="K260" s="25"/>
      <c r="L260" s="25"/>
      <c r="M260" s="25"/>
      <c r="N260" s="25"/>
      <c r="O260"/>
      <c r="P260"/>
      <c r="Q260"/>
    </row>
    <row r="261" spans="3:17" s="5" customFormat="1" ht="60" x14ac:dyDescent="0.3">
      <c r="C261" s="90" t="s">
        <v>577</v>
      </c>
      <c r="D261" s="87" t="s">
        <v>578</v>
      </c>
      <c r="E261" s="91" t="s">
        <v>495</v>
      </c>
      <c r="F261" s="92">
        <v>1140</v>
      </c>
      <c r="G261" s="93">
        <v>1125</v>
      </c>
      <c r="H261" s="93">
        <v>1282500</v>
      </c>
      <c r="I261" s="93">
        <v>0</v>
      </c>
      <c r="J261" s="93">
        <v>0</v>
      </c>
      <c r="K261" s="25">
        <v>0</v>
      </c>
      <c r="L261" s="25">
        <v>0</v>
      </c>
      <c r="M261" s="25">
        <v>810000</v>
      </c>
      <c r="N261" s="25">
        <v>472500</v>
      </c>
      <c r="O261"/>
      <c r="P261"/>
      <c r="Q261"/>
    </row>
    <row r="262" spans="3:17" s="5" customFormat="1" ht="36" x14ac:dyDescent="0.3">
      <c r="C262" s="90" t="s">
        <v>580</v>
      </c>
      <c r="D262" s="87" t="s">
        <v>581</v>
      </c>
      <c r="E262" s="91" t="s">
        <v>495</v>
      </c>
      <c r="F262" s="92">
        <v>1140</v>
      </c>
      <c r="G262" s="93">
        <v>124.95</v>
      </c>
      <c r="H262" s="93">
        <v>142443</v>
      </c>
      <c r="I262" s="93">
        <v>0</v>
      </c>
      <c r="J262" s="93">
        <v>0</v>
      </c>
      <c r="K262" s="25">
        <v>0</v>
      </c>
      <c r="L262" s="25">
        <v>0</v>
      </c>
      <c r="M262" s="25">
        <v>89964</v>
      </c>
      <c r="N262" s="25">
        <v>52479</v>
      </c>
      <c r="O262"/>
      <c r="P262"/>
      <c r="Q262"/>
    </row>
    <row r="263" spans="3:17" s="5" customFormat="1" ht="36" x14ac:dyDescent="0.3">
      <c r="C263" s="90" t="s">
        <v>583</v>
      </c>
      <c r="D263" s="87" t="s">
        <v>584</v>
      </c>
      <c r="E263" s="91" t="s">
        <v>495</v>
      </c>
      <c r="F263" s="92">
        <v>1216</v>
      </c>
      <c r="G263" s="93">
        <v>84.9</v>
      </c>
      <c r="H263" s="93">
        <v>103238.39999999999</v>
      </c>
      <c r="I263" s="93">
        <v>0</v>
      </c>
      <c r="J263" s="93">
        <v>0</v>
      </c>
      <c r="K263" s="25">
        <v>0</v>
      </c>
      <c r="L263" s="25">
        <v>0</v>
      </c>
      <c r="M263" s="25">
        <v>65203.199999999997</v>
      </c>
      <c r="N263" s="25">
        <v>38035.199999999997</v>
      </c>
      <c r="O263"/>
      <c r="P263"/>
      <c r="Q263"/>
    </row>
    <row r="264" spans="3:17" s="5" customFormat="1" ht="72" x14ac:dyDescent="0.3">
      <c r="C264" s="90" t="s">
        <v>586</v>
      </c>
      <c r="D264" s="87" t="s">
        <v>587</v>
      </c>
      <c r="E264" s="91" t="s">
        <v>495</v>
      </c>
      <c r="F264" s="92">
        <v>270</v>
      </c>
      <c r="G264" s="93">
        <v>685.05</v>
      </c>
      <c r="H264" s="93">
        <v>184963.5</v>
      </c>
      <c r="I264" s="93">
        <v>0</v>
      </c>
      <c r="J264" s="93">
        <v>0</v>
      </c>
      <c r="K264" s="25">
        <v>0</v>
      </c>
      <c r="L264" s="25">
        <v>0</v>
      </c>
      <c r="M264" s="25">
        <v>116458.5</v>
      </c>
      <c r="N264" s="25">
        <v>68505</v>
      </c>
      <c r="O264"/>
      <c r="P264"/>
      <c r="Q264"/>
    </row>
    <row r="265" spans="3:17" s="5" customFormat="1" ht="36" x14ac:dyDescent="0.3">
      <c r="C265" s="90"/>
      <c r="D265" s="87" t="s">
        <v>589</v>
      </c>
      <c r="E265" s="91"/>
      <c r="F265" s="92"/>
      <c r="G265" s="93"/>
      <c r="H265" s="93"/>
      <c r="I265" s="93"/>
      <c r="J265" s="93"/>
      <c r="K265" s="25"/>
      <c r="L265" s="25"/>
      <c r="M265" s="25"/>
      <c r="N265" s="25"/>
      <c r="O265"/>
      <c r="P265"/>
      <c r="Q265"/>
    </row>
    <row r="266" spans="3:17" s="5" customFormat="1" ht="36" x14ac:dyDescent="0.3">
      <c r="C266" s="90" t="s">
        <v>590</v>
      </c>
      <c r="D266" s="87" t="s">
        <v>591</v>
      </c>
      <c r="E266" s="91" t="s">
        <v>495</v>
      </c>
      <c r="F266" s="92">
        <v>360</v>
      </c>
      <c r="G266" s="93">
        <v>34.950000000000003</v>
      </c>
      <c r="H266" s="93">
        <v>12582</v>
      </c>
      <c r="I266" s="93">
        <v>0</v>
      </c>
      <c r="J266" s="93">
        <v>0</v>
      </c>
      <c r="K266" s="25">
        <v>0</v>
      </c>
      <c r="L266" s="25">
        <v>0</v>
      </c>
      <c r="M266" s="25">
        <v>7968.6</v>
      </c>
      <c r="N266" s="25">
        <v>4613.3999999999996</v>
      </c>
      <c r="O266"/>
      <c r="P266"/>
      <c r="Q266"/>
    </row>
    <row r="267" spans="3:17" s="5" customFormat="1" ht="36" x14ac:dyDescent="0.3">
      <c r="C267" s="90" t="s">
        <v>593</v>
      </c>
      <c r="D267" s="87" t="s">
        <v>594</v>
      </c>
      <c r="E267" s="91" t="s">
        <v>495</v>
      </c>
      <c r="F267" s="92">
        <v>360</v>
      </c>
      <c r="G267" s="93">
        <v>54.9</v>
      </c>
      <c r="H267" s="93">
        <v>19764</v>
      </c>
      <c r="I267" s="93">
        <v>0</v>
      </c>
      <c r="J267" s="93">
        <v>0</v>
      </c>
      <c r="K267" s="25">
        <v>0</v>
      </c>
      <c r="L267" s="25">
        <v>0</v>
      </c>
      <c r="M267" s="25">
        <v>12517.2</v>
      </c>
      <c r="N267" s="25">
        <v>7246.8</v>
      </c>
      <c r="O267"/>
      <c r="P267"/>
      <c r="Q267"/>
    </row>
    <row r="268" spans="3:17" s="5" customFormat="1" ht="36" x14ac:dyDescent="0.3">
      <c r="C268" s="90" t="s">
        <v>596</v>
      </c>
      <c r="D268" s="87" t="s">
        <v>597</v>
      </c>
      <c r="E268" s="91" t="s">
        <v>495</v>
      </c>
      <c r="F268" s="92">
        <v>180</v>
      </c>
      <c r="G268" s="93">
        <v>162.9</v>
      </c>
      <c r="H268" s="93">
        <v>29322</v>
      </c>
      <c r="I268" s="93">
        <v>0</v>
      </c>
      <c r="J268" s="93">
        <v>0</v>
      </c>
      <c r="K268" s="25">
        <v>0</v>
      </c>
      <c r="L268" s="25">
        <v>0</v>
      </c>
      <c r="M268" s="25">
        <v>18570.599999999999</v>
      </c>
      <c r="N268" s="25">
        <v>10751.4</v>
      </c>
      <c r="O268"/>
      <c r="P268"/>
      <c r="Q268"/>
    </row>
    <row r="269" spans="3:17" s="5" customFormat="1" ht="36" x14ac:dyDescent="0.3">
      <c r="C269" s="90"/>
      <c r="D269" s="87" t="s">
        <v>599</v>
      </c>
      <c r="E269" s="91"/>
      <c r="F269" s="92"/>
      <c r="G269" s="93"/>
      <c r="H269" s="93"/>
      <c r="I269" s="93"/>
      <c r="J269" s="93"/>
      <c r="K269" s="25"/>
      <c r="L269" s="25"/>
      <c r="M269" s="25"/>
      <c r="N269" s="25"/>
      <c r="O269"/>
      <c r="P269"/>
      <c r="Q269"/>
    </row>
    <row r="270" spans="3:17" s="5" customFormat="1" ht="36" x14ac:dyDescent="0.3">
      <c r="C270" s="90" t="s">
        <v>600</v>
      </c>
      <c r="D270" s="87" t="s">
        <v>601</v>
      </c>
      <c r="E270" s="91" t="s">
        <v>495</v>
      </c>
      <c r="F270" s="92">
        <v>360</v>
      </c>
      <c r="G270" s="93">
        <v>175.35</v>
      </c>
      <c r="H270" s="93">
        <v>63126</v>
      </c>
      <c r="I270" s="93">
        <v>0</v>
      </c>
      <c r="J270" s="93">
        <v>0</v>
      </c>
      <c r="K270" s="25">
        <v>0</v>
      </c>
      <c r="L270" s="25">
        <v>0</v>
      </c>
      <c r="M270" s="25">
        <v>39979.800000000003</v>
      </c>
      <c r="N270" s="25">
        <v>23146.2</v>
      </c>
      <c r="O270"/>
      <c r="P270"/>
      <c r="Q270"/>
    </row>
    <row r="271" spans="3:17" s="5" customFormat="1" ht="36" x14ac:dyDescent="0.3">
      <c r="C271" s="90" t="s">
        <v>603</v>
      </c>
      <c r="D271" s="87" t="s">
        <v>604</v>
      </c>
      <c r="E271" s="91" t="s">
        <v>495</v>
      </c>
      <c r="F271" s="92">
        <v>360</v>
      </c>
      <c r="G271" s="93">
        <v>205.5</v>
      </c>
      <c r="H271" s="93">
        <v>73980</v>
      </c>
      <c r="I271" s="93">
        <v>0</v>
      </c>
      <c r="J271" s="93">
        <v>0</v>
      </c>
      <c r="K271" s="25">
        <v>0</v>
      </c>
      <c r="L271" s="25">
        <v>0</v>
      </c>
      <c r="M271" s="25">
        <v>46854</v>
      </c>
      <c r="N271" s="25">
        <v>27126</v>
      </c>
      <c r="O271"/>
      <c r="P271"/>
      <c r="Q271"/>
    </row>
    <row r="272" spans="3:17" s="5" customFormat="1" ht="36" x14ac:dyDescent="0.3">
      <c r="C272" s="90" t="s">
        <v>606</v>
      </c>
      <c r="D272" s="87" t="s">
        <v>607</v>
      </c>
      <c r="E272" s="91" t="s">
        <v>495</v>
      </c>
      <c r="F272" s="92">
        <v>180</v>
      </c>
      <c r="G272" s="93">
        <v>349.95</v>
      </c>
      <c r="H272" s="93">
        <v>62991</v>
      </c>
      <c r="I272" s="93">
        <v>0</v>
      </c>
      <c r="J272" s="93">
        <v>0</v>
      </c>
      <c r="K272" s="25">
        <v>0</v>
      </c>
      <c r="L272" s="25">
        <v>0</v>
      </c>
      <c r="M272" s="25">
        <v>39894.300000000003</v>
      </c>
      <c r="N272" s="25">
        <v>23096.7</v>
      </c>
      <c r="O272"/>
      <c r="P272"/>
      <c r="Q272"/>
    </row>
    <row r="273" spans="3:17" s="5" customFormat="1" ht="36" x14ac:dyDescent="0.3">
      <c r="C273" s="90"/>
      <c r="D273" s="87" t="s">
        <v>609</v>
      </c>
      <c r="E273" s="91"/>
      <c r="F273" s="92"/>
      <c r="G273" s="93"/>
      <c r="H273" s="93"/>
      <c r="I273" s="93"/>
      <c r="J273" s="93"/>
      <c r="K273" s="25"/>
      <c r="L273" s="25"/>
      <c r="M273" s="25"/>
      <c r="N273" s="25"/>
      <c r="O273"/>
      <c r="P273"/>
      <c r="Q273"/>
    </row>
    <row r="274" spans="3:17" s="5" customFormat="1" ht="36" x14ac:dyDescent="0.3">
      <c r="C274" s="90" t="s">
        <v>610</v>
      </c>
      <c r="D274" s="87" t="s">
        <v>611</v>
      </c>
      <c r="E274" s="91" t="s">
        <v>495</v>
      </c>
      <c r="F274" s="92">
        <v>360</v>
      </c>
      <c r="G274" s="93">
        <v>31.65</v>
      </c>
      <c r="H274" s="93">
        <v>11394</v>
      </c>
      <c r="I274" s="93">
        <v>0</v>
      </c>
      <c r="J274" s="93">
        <v>0</v>
      </c>
      <c r="K274" s="25">
        <v>0</v>
      </c>
      <c r="L274" s="25">
        <v>0</v>
      </c>
      <c r="M274" s="25">
        <v>7216.2</v>
      </c>
      <c r="N274" s="25">
        <v>4177.8</v>
      </c>
      <c r="O274"/>
      <c r="P274"/>
      <c r="Q274"/>
    </row>
    <row r="275" spans="3:17" s="5" customFormat="1" ht="36" x14ac:dyDescent="0.3">
      <c r="C275" s="90" t="s">
        <v>613</v>
      </c>
      <c r="D275" s="87" t="s">
        <v>614</v>
      </c>
      <c r="E275" s="91" t="s">
        <v>495</v>
      </c>
      <c r="F275" s="92">
        <v>360</v>
      </c>
      <c r="G275" s="93">
        <v>49.05</v>
      </c>
      <c r="H275" s="93">
        <v>17658</v>
      </c>
      <c r="I275" s="93">
        <v>0</v>
      </c>
      <c r="J275" s="93">
        <v>0</v>
      </c>
      <c r="K275" s="25">
        <v>0</v>
      </c>
      <c r="L275" s="25">
        <v>0</v>
      </c>
      <c r="M275" s="25">
        <v>11183.4</v>
      </c>
      <c r="N275" s="25">
        <v>6474.6</v>
      </c>
      <c r="O275"/>
      <c r="P275"/>
      <c r="Q275"/>
    </row>
    <row r="276" spans="3:17" s="5" customFormat="1" ht="36" x14ac:dyDescent="0.3">
      <c r="C276" s="90"/>
      <c r="D276" s="87" t="s">
        <v>616</v>
      </c>
      <c r="E276" s="91"/>
      <c r="F276" s="92"/>
      <c r="G276" s="93"/>
      <c r="H276" s="93"/>
      <c r="I276" s="93"/>
      <c r="J276" s="93"/>
      <c r="K276" s="25"/>
      <c r="L276" s="25"/>
      <c r="M276" s="25"/>
      <c r="N276" s="25"/>
      <c r="O276"/>
      <c r="P276"/>
      <c r="Q276"/>
    </row>
    <row r="277" spans="3:17" s="5" customFormat="1" ht="36" x14ac:dyDescent="0.3">
      <c r="C277" s="90" t="s">
        <v>617</v>
      </c>
      <c r="D277" s="87" t="s">
        <v>618</v>
      </c>
      <c r="E277" s="91" t="s">
        <v>495</v>
      </c>
      <c r="F277" s="92">
        <v>90</v>
      </c>
      <c r="G277" s="93">
        <v>2850</v>
      </c>
      <c r="H277" s="93">
        <v>256500</v>
      </c>
      <c r="I277" s="93">
        <v>0</v>
      </c>
      <c r="J277" s="93">
        <v>0</v>
      </c>
      <c r="K277" s="25">
        <v>0</v>
      </c>
      <c r="L277" s="25">
        <v>0</v>
      </c>
      <c r="M277" s="25">
        <v>165300</v>
      </c>
      <c r="N277" s="25">
        <v>91200</v>
      </c>
      <c r="O277"/>
      <c r="P277"/>
      <c r="Q277"/>
    </row>
    <row r="278" spans="3:17" s="5" customFormat="1" ht="36" x14ac:dyDescent="0.3">
      <c r="C278" s="90" t="s">
        <v>620</v>
      </c>
      <c r="D278" s="87" t="s">
        <v>621</v>
      </c>
      <c r="E278" s="91" t="s">
        <v>495</v>
      </c>
      <c r="F278" s="92">
        <v>180</v>
      </c>
      <c r="G278" s="93">
        <v>124.95</v>
      </c>
      <c r="H278" s="93">
        <v>22491</v>
      </c>
      <c r="I278" s="93">
        <v>0</v>
      </c>
      <c r="J278" s="93">
        <v>0</v>
      </c>
      <c r="K278" s="25">
        <v>0</v>
      </c>
      <c r="L278" s="25">
        <v>0</v>
      </c>
      <c r="M278" s="25">
        <v>14244.3</v>
      </c>
      <c r="N278" s="25">
        <v>8246.7000000000007</v>
      </c>
      <c r="O278"/>
      <c r="P278"/>
      <c r="Q278"/>
    </row>
    <row r="279" spans="3:17" s="5" customFormat="1" ht="48" x14ac:dyDescent="0.3">
      <c r="C279" s="90" t="s">
        <v>622</v>
      </c>
      <c r="D279" s="87" t="s">
        <v>623</v>
      </c>
      <c r="E279" s="91" t="s">
        <v>495</v>
      </c>
      <c r="F279" s="92">
        <v>25</v>
      </c>
      <c r="G279" s="93">
        <v>13399.95</v>
      </c>
      <c r="H279" s="93">
        <v>334998.75</v>
      </c>
      <c r="I279" s="93">
        <v>0</v>
      </c>
      <c r="J279" s="93">
        <v>0</v>
      </c>
      <c r="K279" s="25">
        <v>0</v>
      </c>
      <c r="L279" s="25">
        <v>0</v>
      </c>
      <c r="M279" s="25">
        <v>334998.75</v>
      </c>
      <c r="N279" s="25">
        <v>0</v>
      </c>
      <c r="O279"/>
      <c r="P279"/>
      <c r="Q279"/>
    </row>
    <row r="280" spans="3:17" s="5" customFormat="1" ht="36" x14ac:dyDescent="0.3">
      <c r="C280" s="90" t="s">
        <v>625</v>
      </c>
      <c r="D280" s="87" t="s">
        <v>626</v>
      </c>
      <c r="E280" s="91" t="s">
        <v>495</v>
      </c>
      <c r="F280" s="92">
        <v>90</v>
      </c>
      <c r="G280" s="93">
        <v>2687.4</v>
      </c>
      <c r="H280" s="93">
        <v>241866</v>
      </c>
      <c r="I280" s="93">
        <v>0</v>
      </c>
      <c r="J280" s="93">
        <v>0</v>
      </c>
      <c r="K280" s="25">
        <v>0</v>
      </c>
      <c r="L280" s="25">
        <v>0</v>
      </c>
      <c r="M280" s="25">
        <v>155869.20000000001</v>
      </c>
      <c r="N280" s="25">
        <v>85996.800000000003</v>
      </c>
      <c r="O280"/>
      <c r="P280"/>
      <c r="Q280"/>
    </row>
    <row r="281" spans="3:17" s="5" customFormat="1" ht="72" x14ac:dyDescent="0.3">
      <c r="C281" s="90" t="s">
        <v>628</v>
      </c>
      <c r="D281" s="87" t="s">
        <v>629</v>
      </c>
      <c r="E281" s="91" t="s">
        <v>495</v>
      </c>
      <c r="F281" s="92">
        <v>225</v>
      </c>
      <c r="G281" s="93">
        <v>249.9</v>
      </c>
      <c r="H281" s="93">
        <v>56227.5</v>
      </c>
      <c r="I281" s="93">
        <v>0</v>
      </c>
      <c r="J281" s="93">
        <v>0</v>
      </c>
      <c r="K281" s="25">
        <v>0</v>
      </c>
      <c r="L281" s="25">
        <v>0</v>
      </c>
      <c r="M281" s="25">
        <v>35485.800000000003</v>
      </c>
      <c r="N281" s="25">
        <v>20741.7</v>
      </c>
      <c r="O281"/>
      <c r="P281"/>
      <c r="Q281"/>
    </row>
    <row r="282" spans="3:17" s="5" customFormat="1" ht="60" x14ac:dyDescent="0.3">
      <c r="C282" s="90"/>
      <c r="D282" s="87" t="s">
        <v>631</v>
      </c>
      <c r="E282" s="91"/>
      <c r="F282" s="92"/>
      <c r="G282" s="93"/>
      <c r="H282" s="93"/>
      <c r="I282" s="93"/>
      <c r="J282" s="93"/>
      <c r="K282" s="25"/>
      <c r="L282" s="25"/>
      <c r="M282" s="25"/>
      <c r="N282" s="25"/>
      <c r="O282"/>
      <c r="P282"/>
      <c r="Q282"/>
    </row>
    <row r="283" spans="3:17" s="5" customFormat="1" ht="48" x14ac:dyDescent="0.3">
      <c r="C283" s="90" t="s">
        <v>632</v>
      </c>
      <c r="D283" s="87" t="s">
        <v>633</v>
      </c>
      <c r="E283" s="91" t="s">
        <v>495</v>
      </c>
      <c r="F283" s="92">
        <v>80</v>
      </c>
      <c r="G283" s="93">
        <v>17437.5</v>
      </c>
      <c r="H283" s="93">
        <v>1395000</v>
      </c>
      <c r="I283" s="93">
        <v>0</v>
      </c>
      <c r="J283" s="93">
        <v>0</v>
      </c>
      <c r="K283" s="25">
        <v>0</v>
      </c>
      <c r="L283" s="25">
        <v>0</v>
      </c>
      <c r="M283" s="25">
        <v>1395000</v>
      </c>
      <c r="N283" s="25">
        <v>0</v>
      </c>
      <c r="O283"/>
      <c r="P283"/>
      <c r="Q283"/>
    </row>
    <row r="284" spans="3:17" s="5" customFormat="1" ht="48" x14ac:dyDescent="0.3">
      <c r="C284" s="90" t="s">
        <v>635</v>
      </c>
      <c r="D284" s="87" t="s">
        <v>636</v>
      </c>
      <c r="E284" s="91" t="s">
        <v>495</v>
      </c>
      <c r="F284" s="92">
        <v>20</v>
      </c>
      <c r="G284" s="93">
        <v>1713.45</v>
      </c>
      <c r="H284" s="93">
        <v>34269</v>
      </c>
      <c r="I284" s="93">
        <v>0</v>
      </c>
      <c r="J284" s="93">
        <v>0</v>
      </c>
      <c r="K284" s="25">
        <v>0</v>
      </c>
      <c r="L284" s="25">
        <v>0</v>
      </c>
      <c r="M284" s="25">
        <v>34269</v>
      </c>
      <c r="N284" s="25">
        <v>0</v>
      </c>
      <c r="O284"/>
      <c r="P284"/>
      <c r="Q284"/>
    </row>
    <row r="285" spans="3:17" s="5" customFormat="1" ht="36" x14ac:dyDescent="0.3">
      <c r="C285" s="90" t="s">
        <v>638</v>
      </c>
      <c r="D285" s="87" t="s">
        <v>639</v>
      </c>
      <c r="E285" s="91" t="s">
        <v>495</v>
      </c>
      <c r="F285" s="92">
        <v>720</v>
      </c>
      <c r="G285" s="93">
        <v>388.5</v>
      </c>
      <c r="H285" s="93">
        <v>279720</v>
      </c>
      <c r="I285" s="93">
        <v>0</v>
      </c>
      <c r="J285" s="93">
        <v>0</v>
      </c>
      <c r="K285" s="25">
        <v>0</v>
      </c>
      <c r="L285" s="25">
        <v>0</v>
      </c>
      <c r="M285" s="25">
        <v>177156</v>
      </c>
      <c r="N285" s="25">
        <v>102564</v>
      </c>
      <c r="O285"/>
      <c r="P285"/>
      <c r="Q285"/>
    </row>
    <row r="286" spans="3:17" s="5" customFormat="1" ht="36" x14ac:dyDescent="0.3">
      <c r="C286" s="90"/>
      <c r="D286" s="87" t="s">
        <v>641</v>
      </c>
      <c r="E286" s="91"/>
      <c r="F286" s="92"/>
      <c r="G286" s="93"/>
      <c r="H286" s="93"/>
      <c r="I286" s="93"/>
      <c r="J286" s="93"/>
      <c r="K286" s="25"/>
      <c r="L286" s="25"/>
      <c r="M286" s="25"/>
      <c r="N286" s="25"/>
      <c r="O286"/>
      <c r="P286"/>
      <c r="Q286"/>
    </row>
    <row r="287" spans="3:17" s="5" customFormat="1" ht="48" x14ac:dyDescent="0.3">
      <c r="C287" s="90" t="s">
        <v>642</v>
      </c>
      <c r="D287" s="87" t="s">
        <v>643</v>
      </c>
      <c r="E287" s="91" t="s">
        <v>495</v>
      </c>
      <c r="F287" s="92">
        <v>90</v>
      </c>
      <c r="G287" s="93">
        <v>15702.3</v>
      </c>
      <c r="H287" s="93">
        <v>1413207</v>
      </c>
      <c r="I287" s="93">
        <v>0</v>
      </c>
      <c r="J287" s="93">
        <v>0</v>
      </c>
      <c r="K287" s="25">
        <v>0</v>
      </c>
      <c r="L287" s="25">
        <v>0</v>
      </c>
      <c r="M287" s="25">
        <v>910733.4</v>
      </c>
      <c r="N287" s="25">
        <v>502473.6</v>
      </c>
      <c r="O287"/>
      <c r="P287"/>
      <c r="Q287"/>
    </row>
    <row r="288" spans="3:17" s="5" customFormat="1" ht="48" x14ac:dyDescent="0.3">
      <c r="C288" s="90" t="s">
        <v>645</v>
      </c>
      <c r="D288" s="87" t="s">
        <v>646</v>
      </c>
      <c r="E288" s="91" t="s">
        <v>495</v>
      </c>
      <c r="F288" s="92">
        <v>40</v>
      </c>
      <c r="G288" s="93">
        <v>1500</v>
      </c>
      <c r="H288" s="93">
        <v>60000</v>
      </c>
      <c r="I288" s="93">
        <v>0</v>
      </c>
      <c r="J288" s="93">
        <v>0</v>
      </c>
      <c r="K288" s="25">
        <v>0</v>
      </c>
      <c r="L288" s="25">
        <v>0</v>
      </c>
      <c r="M288" s="25">
        <v>39000</v>
      </c>
      <c r="N288" s="25">
        <v>21000</v>
      </c>
      <c r="O288"/>
      <c r="P288"/>
      <c r="Q288"/>
    </row>
    <row r="289" spans="3:17" s="5" customFormat="1" ht="36" x14ac:dyDescent="0.3">
      <c r="C289" s="90"/>
      <c r="D289" s="87" t="s">
        <v>652</v>
      </c>
      <c r="E289" s="91"/>
      <c r="F289" s="92"/>
      <c r="G289" s="93"/>
      <c r="H289" s="93"/>
      <c r="I289" s="93"/>
      <c r="J289" s="93"/>
      <c r="K289" s="25"/>
      <c r="L289" s="25"/>
      <c r="M289" s="25"/>
      <c r="N289" s="25"/>
      <c r="O289"/>
      <c r="P289"/>
      <c r="Q289"/>
    </row>
    <row r="290" spans="3:17" s="5" customFormat="1" ht="36" x14ac:dyDescent="0.3">
      <c r="C290" s="90"/>
      <c r="D290" s="87" t="s">
        <v>653</v>
      </c>
      <c r="E290" s="91"/>
      <c r="F290" s="92"/>
      <c r="G290" s="93"/>
      <c r="H290" s="93"/>
      <c r="I290" s="93"/>
      <c r="J290" s="93"/>
      <c r="K290" s="25"/>
      <c r="L290" s="25"/>
      <c r="M290" s="25"/>
      <c r="N290" s="25"/>
      <c r="O290"/>
      <c r="P290"/>
      <c r="Q290"/>
    </row>
    <row r="291" spans="3:17" s="5" customFormat="1" ht="48" x14ac:dyDescent="0.3">
      <c r="C291" s="90" t="s">
        <v>654</v>
      </c>
      <c r="D291" s="87" t="s">
        <v>655</v>
      </c>
      <c r="E291" s="91" t="s">
        <v>656</v>
      </c>
      <c r="F291" s="92">
        <v>690</v>
      </c>
      <c r="G291" s="93">
        <v>2500</v>
      </c>
      <c r="H291" s="93">
        <v>1725000</v>
      </c>
      <c r="I291" s="93">
        <v>0</v>
      </c>
      <c r="J291" s="93">
        <v>0</v>
      </c>
      <c r="K291" s="25">
        <v>990000</v>
      </c>
      <c r="L291" s="25">
        <v>735000</v>
      </c>
      <c r="M291" s="25">
        <v>0</v>
      </c>
      <c r="N291" s="25">
        <v>0</v>
      </c>
      <c r="O291"/>
      <c r="P291"/>
      <c r="Q291"/>
    </row>
    <row r="292" spans="3:17" s="5" customFormat="1" ht="48" x14ac:dyDescent="0.3">
      <c r="C292" s="90" t="s">
        <v>658</v>
      </c>
      <c r="D292" s="87" t="s">
        <v>659</v>
      </c>
      <c r="E292" s="91" t="s">
        <v>656</v>
      </c>
      <c r="F292" s="92">
        <v>345</v>
      </c>
      <c r="G292" s="93">
        <v>4687.5</v>
      </c>
      <c r="H292" s="93">
        <v>1617187.5</v>
      </c>
      <c r="I292" s="93">
        <v>0</v>
      </c>
      <c r="J292" s="93">
        <v>0</v>
      </c>
      <c r="K292" s="25">
        <v>928125</v>
      </c>
      <c r="L292" s="25">
        <v>689062.5</v>
      </c>
      <c r="M292" s="25">
        <v>0</v>
      </c>
      <c r="N292" s="25">
        <v>0</v>
      </c>
      <c r="O292"/>
      <c r="P292"/>
      <c r="Q292"/>
    </row>
    <row r="293" spans="3:17" s="5" customFormat="1" ht="36" x14ac:dyDescent="0.3">
      <c r="C293" s="90"/>
      <c r="D293" s="87" t="s">
        <v>661</v>
      </c>
      <c r="E293" s="91"/>
      <c r="F293" s="92"/>
      <c r="G293" s="93"/>
      <c r="H293" s="93"/>
      <c r="I293" s="93"/>
      <c r="J293" s="93"/>
      <c r="K293" s="25"/>
      <c r="L293" s="25"/>
      <c r="M293" s="25"/>
      <c r="N293" s="25"/>
      <c r="O293"/>
      <c r="P293"/>
      <c r="Q293"/>
    </row>
    <row r="294" spans="3:17" s="5" customFormat="1" ht="36" x14ac:dyDescent="0.3">
      <c r="C294" s="90" t="s">
        <v>662</v>
      </c>
      <c r="D294" s="87" t="s">
        <v>663</v>
      </c>
      <c r="E294" s="91" t="s">
        <v>495</v>
      </c>
      <c r="F294" s="92">
        <v>60</v>
      </c>
      <c r="G294" s="93">
        <v>25000</v>
      </c>
      <c r="H294" s="93">
        <v>1500000</v>
      </c>
      <c r="I294" s="93">
        <v>0</v>
      </c>
      <c r="J294" s="93">
        <v>0</v>
      </c>
      <c r="K294" s="25">
        <v>850000</v>
      </c>
      <c r="L294" s="25">
        <v>650000</v>
      </c>
      <c r="M294" s="25">
        <v>0</v>
      </c>
      <c r="N294" s="25">
        <v>0</v>
      </c>
      <c r="O294"/>
      <c r="P294"/>
      <c r="Q294"/>
    </row>
    <row r="295" spans="3:17" s="5" customFormat="1" ht="36" x14ac:dyDescent="0.3">
      <c r="C295" s="90" t="s">
        <v>665</v>
      </c>
      <c r="D295" s="87" t="s">
        <v>666</v>
      </c>
      <c r="E295" s="91" t="s">
        <v>495</v>
      </c>
      <c r="F295" s="92">
        <v>15</v>
      </c>
      <c r="G295" s="93">
        <v>68750</v>
      </c>
      <c r="H295" s="93">
        <v>1031250</v>
      </c>
      <c r="I295" s="93">
        <v>0</v>
      </c>
      <c r="J295" s="93">
        <v>0</v>
      </c>
      <c r="K295" s="25">
        <v>550000</v>
      </c>
      <c r="L295" s="25">
        <v>481250</v>
      </c>
      <c r="M295" s="25">
        <v>0</v>
      </c>
      <c r="N295" s="25">
        <v>0</v>
      </c>
      <c r="O295"/>
      <c r="P295"/>
      <c r="Q295"/>
    </row>
    <row r="296" spans="3:17" s="5" customFormat="1" ht="36" x14ac:dyDescent="0.3">
      <c r="C296" s="90"/>
      <c r="D296" s="87" t="s">
        <v>668</v>
      </c>
      <c r="E296" s="91"/>
      <c r="F296" s="92"/>
      <c r="G296" s="93"/>
      <c r="H296" s="93"/>
      <c r="I296" s="93"/>
      <c r="J296" s="93"/>
      <c r="K296" s="25"/>
      <c r="L296" s="25"/>
      <c r="M296" s="25"/>
      <c r="N296" s="25"/>
      <c r="O296"/>
      <c r="P296"/>
      <c r="Q296"/>
    </row>
    <row r="297" spans="3:17" s="5" customFormat="1" ht="36" x14ac:dyDescent="0.3">
      <c r="C297" s="90" t="s">
        <v>669</v>
      </c>
      <c r="D297" s="87" t="s">
        <v>670</v>
      </c>
      <c r="E297" s="91" t="s">
        <v>495</v>
      </c>
      <c r="F297" s="92">
        <v>15</v>
      </c>
      <c r="G297" s="93">
        <v>312.5</v>
      </c>
      <c r="H297" s="93">
        <v>4687.5</v>
      </c>
      <c r="I297" s="93">
        <v>0</v>
      </c>
      <c r="J297" s="93">
        <v>0</v>
      </c>
      <c r="K297" s="25">
        <v>2500</v>
      </c>
      <c r="L297" s="25">
        <v>2187.5</v>
      </c>
      <c r="M297" s="25">
        <v>0</v>
      </c>
      <c r="N297" s="25">
        <v>0</v>
      </c>
      <c r="O297"/>
      <c r="P297"/>
      <c r="Q297"/>
    </row>
    <row r="298" spans="3:17" s="5" customFormat="1" ht="60" x14ac:dyDescent="0.3">
      <c r="C298" s="90" t="s">
        <v>672</v>
      </c>
      <c r="D298" s="87" t="s">
        <v>673</v>
      </c>
      <c r="E298" s="91" t="s">
        <v>495</v>
      </c>
      <c r="F298" s="92">
        <v>2</v>
      </c>
      <c r="G298" s="93">
        <v>12960</v>
      </c>
      <c r="H298" s="93">
        <v>25920</v>
      </c>
      <c r="I298" s="93">
        <v>0</v>
      </c>
      <c r="J298" s="93">
        <v>0</v>
      </c>
      <c r="K298" s="25">
        <v>25920</v>
      </c>
      <c r="L298" s="25">
        <v>0</v>
      </c>
      <c r="M298" s="25">
        <v>0</v>
      </c>
      <c r="N298" s="25">
        <v>0</v>
      </c>
      <c r="O298"/>
      <c r="P298"/>
      <c r="Q298"/>
    </row>
    <row r="299" spans="3:17" s="5" customFormat="1" ht="36" x14ac:dyDescent="0.3">
      <c r="C299" s="90" t="s">
        <v>675</v>
      </c>
      <c r="D299" s="87" t="s">
        <v>676</v>
      </c>
      <c r="E299" s="91" t="s">
        <v>495</v>
      </c>
      <c r="F299" s="92">
        <v>15</v>
      </c>
      <c r="G299" s="93">
        <v>2280</v>
      </c>
      <c r="H299" s="93">
        <v>34200</v>
      </c>
      <c r="I299" s="93">
        <v>0</v>
      </c>
      <c r="J299" s="93">
        <v>0</v>
      </c>
      <c r="K299" s="25">
        <v>0</v>
      </c>
      <c r="L299" s="25">
        <v>0</v>
      </c>
      <c r="M299" s="25">
        <v>34200</v>
      </c>
      <c r="N299" s="25">
        <v>0</v>
      </c>
      <c r="O299"/>
      <c r="P299"/>
      <c r="Q299"/>
    </row>
    <row r="300" spans="3:17" s="5" customFormat="1" ht="48" x14ac:dyDescent="0.3">
      <c r="C300" s="90" t="s">
        <v>678</v>
      </c>
      <c r="D300" s="87" t="s">
        <v>679</v>
      </c>
      <c r="E300" s="91" t="s">
        <v>495</v>
      </c>
      <c r="F300" s="92">
        <v>15</v>
      </c>
      <c r="G300" s="93">
        <v>2775</v>
      </c>
      <c r="H300" s="93">
        <v>41625</v>
      </c>
      <c r="I300" s="93">
        <v>0</v>
      </c>
      <c r="J300" s="93">
        <v>0</v>
      </c>
      <c r="K300" s="25">
        <v>0</v>
      </c>
      <c r="L300" s="25">
        <v>0</v>
      </c>
      <c r="M300" s="25">
        <v>41625</v>
      </c>
      <c r="N300" s="25">
        <v>0</v>
      </c>
      <c r="O300"/>
      <c r="P300"/>
      <c r="Q300"/>
    </row>
    <row r="301" spans="3:17" s="5" customFormat="1" ht="48" x14ac:dyDescent="0.3">
      <c r="C301" s="90" t="s">
        <v>681</v>
      </c>
      <c r="D301" s="87" t="s">
        <v>682</v>
      </c>
      <c r="E301" s="91" t="s">
        <v>495</v>
      </c>
      <c r="F301" s="92">
        <v>15</v>
      </c>
      <c r="G301" s="93">
        <v>2025</v>
      </c>
      <c r="H301" s="93">
        <v>30375</v>
      </c>
      <c r="I301" s="93">
        <v>0</v>
      </c>
      <c r="J301" s="93">
        <v>0</v>
      </c>
      <c r="K301" s="25">
        <v>0</v>
      </c>
      <c r="L301" s="25">
        <v>0</v>
      </c>
      <c r="M301" s="25">
        <v>30375</v>
      </c>
      <c r="N301" s="25">
        <v>0</v>
      </c>
      <c r="O301"/>
      <c r="P301"/>
      <c r="Q301"/>
    </row>
    <row r="302" spans="3:17" s="5" customFormat="1" ht="36" x14ac:dyDescent="0.3">
      <c r="C302" s="90"/>
      <c r="D302" s="87" t="s">
        <v>684</v>
      </c>
      <c r="E302" s="91"/>
      <c r="F302" s="92"/>
      <c r="G302" s="93"/>
      <c r="H302" s="93">
        <v>12108486.15</v>
      </c>
      <c r="I302" s="93">
        <v>0</v>
      </c>
      <c r="J302" s="93">
        <v>0</v>
      </c>
      <c r="K302" s="25">
        <v>3346545</v>
      </c>
      <c r="L302" s="25">
        <v>2557500</v>
      </c>
      <c r="M302" s="25">
        <v>4634066.25</v>
      </c>
      <c r="N302" s="25">
        <v>1570374.9</v>
      </c>
      <c r="O302"/>
      <c r="P302"/>
      <c r="Q302"/>
    </row>
    <row r="303" spans="3:17" s="5" customFormat="1" ht="36" x14ac:dyDescent="0.3">
      <c r="C303" s="90" t="s">
        <v>577</v>
      </c>
      <c r="D303" s="87" t="s">
        <v>685</v>
      </c>
      <c r="E303" s="91"/>
      <c r="F303" s="92"/>
      <c r="G303" s="93"/>
      <c r="H303" s="93"/>
      <c r="I303" s="93"/>
      <c r="J303" s="93"/>
      <c r="K303" s="25"/>
      <c r="L303" s="25"/>
      <c r="M303" s="25"/>
      <c r="N303" s="25"/>
      <c r="O303"/>
      <c r="P303"/>
      <c r="Q303"/>
    </row>
    <row r="304" spans="3:17" s="5" customFormat="1" ht="60" x14ac:dyDescent="0.3">
      <c r="C304" s="90" t="s">
        <v>577</v>
      </c>
      <c r="D304" s="87" t="s">
        <v>578</v>
      </c>
      <c r="E304" s="91" t="s">
        <v>495</v>
      </c>
      <c r="F304" s="92">
        <v>38</v>
      </c>
      <c r="G304" s="93">
        <v>1125</v>
      </c>
      <c r="H304" s="93">
        <v>42750</v>
      </c>
      <c r="I304" s="93">
        <v>0</v>
      </c>
      <c r="J304" s="93">
        <v>0</v>
      </c>
      <c r="K304" s="25">
        <v>0</v>
      </c>
      <c r="L304" s="25">
        <v>0</v>
      </c>
      <c r="M304" s="25">
        <v>27000</v>
      </c>
      <c r="N304" s="25">
        <v>15750</v>
      </c>
      <c r="O304"/>
      <c r="P304"/>
      <c r="Q304"/>
    </row>
    <row r="305" spans="3:17" s="5" customFormat="1" ht="36" x14ac:dyDescent="0.3">
      <c r="C305" s="90" t="s">
        <v>583</v>
      </c>
      <c r="D305" s="87" t="s">
        <v>584</v>
      </c>
      <c r="E305" s="91" t="s">
        <v>495</v>
      </c>
      <c r="F305" s="92">
        <v>38</v>
      </c>
      <c r="G305" s="93">
        <v>84.9</v>
      </c>
      <c r="H305" s="93">
        <v>3226.2</v>
      </c>
      <c r="I305" s="93">
        <v>0</v>
      </c>
      <c r="J305" s="93">
        <v>0</v>
      </c>
      <c r="K305" s="25">
        <v>0</v>
      </c>
      <c r="L305" s="25">
        <v>0</v>
      </c>
      <c r="M305" s="25">
        <v>2037.6</v>
      </c>
      <c r="N305" s="25">
        <v>1188.5999999999999</v>
      </c>
      <c r="O305"/>
      <c r="P305"/>
      <c r="Q305"/>
    </row>
    <row r="306" spans="3:17" s="5" customFormat="1" ht="72" x14ac:dyDescent="0.3">
      <c r="C306" s="90" t="s">
        <v>586</v>
      </c>
      <c r="D306" s="87" t="s">
        <v>587</v>
      </c>
      <c r="E306" s="91" t="s">
        <v>495</v>
      </c>
      <c r="F306" s="92">
        <v>76</v>
      </c>
      <c r="G306" s="93">
        <v>685.05</v>
      </c>
      <c r="H306" s="93">
        <v>52063.8</v>
      </c>
      <c r="I306" s="93">
        <v>0</v>
      </c>
      <c r="J306" s="93">
        <v>0</v>
      </c>
      <c r="K306" s="25">
        <v>0</v>
      </c>
      <c r="L306" s="25">
        <v>0</v>
      </c>
      <c r="M306" s="25">
        <v>32882.400000000001</v>
      </c>
      <c r="N306" s="25">
        <v>19181.400000000001</v>
      </c>
      <c r="O306"/>
      <c r="P306"/>
      <c r="Q306"/>
    </row>
    <row r="307" spans="3:17" s="5" customFormat="1" ht="36" x14ac:dyDescent="0.3">
      <c r="C307" s="90" t="s">
        <v>590</v>
      </c>
      <c r="D307" s="87" t="s">
        <v>591</v>
      </c>
      <c r="E307" s="91" t="s">
        <v>495</v>
      </c>
      <c r="F307" s="92">
        <v>76</v>
      </c>
      <c r="G307" s="93">
        <v>34.950000000000003</v>
      </c>
      <c r="H307" s="93">
        <v>2656.2</v>
      </c>
      <c r="I307" s="93">
        <v>0</v>
      </c>
      <c r="J307" s="93">
        <v>0</v>
      </c>
      <c r="K307" s="25">
        <v>0</v>
      </c>
      <c r="L307" s="25">
        <v>0</v>
      </c>
      <c r="M307" s="25">
        <v>1677.6</v>
      </c>
      <c r="N307" s="25">
        <v>978.6</v>
      </c>
      <c r="O307"/>
      <c r="P307"/>
      <c r="Q307"/>
    </row>
    <row r="308" spans="3:17" s="5" customFormat="1" ht="36" x14ac:dyDescent="0.3">
      <c r="C308" s="90" t="s">
        <v>593</v>
      </c>
      <c r="D308" s="87" t="s">
        <v>594</v>
      </c>
      <c r="E308" s="91" t="s">
        <v>495</v>
      </c>
      <c r="F308" s="92">
        <v>76</v>
      </c>
      <c r="G308" s="93">
        <v>54.9</v>
      </c>
      <c r="H308" s="93">
        <v>4172.3999999999996</v>
      </c>
      <c r="I308" s="93">
        <v>0</v>
      </c>
      <c r="J308" s="93">
        <v>0</v>
      </c>
      <c r="K308" s="25">
        <v>0</v>
      </c>
      <c r="L308" s="25">
        <v>0</v>
      </c>
      <c r="M308" s="25">
        <v>2635.2</v>
      </c>
      <c r="N308" s="25">
        <v>1537.2</v>
      </c>
      <c r="O308"/>
      <c r="P308"/>
      <c r="Q308"/>
    </row>
    <row r="309" spans="3:17" s="5" customFormat="1" ht="36" x14ac:dyDescent="0.3">
      <c r="C309" s="90" t="s">
        <v>600</v>
      </c>
      <c r="D309" s="87" t="s">
        <v>601</v>
      </c>
      <c r="E309" s="91" t="s">
        <v>495</v>
      </c>
      <c r="F309" s="92">
        <v>76</v>
      </c>
      <c r="G309" s="93">
        <v>175.35</v>
      </c>
      <c r="H309" s="93">
        <v>13326.6</v>
      </c>
      <c r="I309" s="93">
        <v>0</v>
      </c>
      <c r="J309" s="93">
        <v>0</v>
      </c>
      <c r="K309" s="25">
        <v>0</v>
      </c>
      <c r="L309" s="25">
        <v>0</v>
      </c>
      <c r="M309" s="25">
        <v>8416.7999999999993</v>
      </c>
      <c r="N309" s="25">
        <v>4909.8</v>
      </c>
      <c r="O309"/>
      <c r="P309"/>
      <c r="Q309"/>
    </row>
    <row r="310" spans="3:17" s="23" customFormat="1" ht="36" x14ac:dyDescent="0.3">
      <c r="C310" s="90" t="s">
        <v>603</v>
      </c>
      <c r="D310" s="87" t="s">
        <v>604</v>
      </c>
      <c r="E310" s="91" t="s">
        <v>495</v>
      </c>
      <c r="F310" s="92">
        <v>76</v>
      </c>
      <c r="G310" s="93">
        <v>205.5</v>
      </c>
      <c r="H310" s="93">
        <v>15618</v>
      </c>
      <c r="I310" s="93">
        <v>0</v>
      </c>
      <c r="J310" s="93">
        <v>0</v>
      </c>
      <c r="K310" s="25">
        <v>0</v>
      </c>
      <c r="L310" s="25">
        <v>0</v>
      </c>
      <c r="M310" s="25">
        <v>9864</v>
      </c>
      <c r="N310" s="25">
        <v>5754</v>
      </c>
      <c r="O310"/>
      <c r="P310"/>
      <c r="Q310"/>
    </row>
    <row r="311" spans="3:17" s="5" customFormat="1" ht="36" x14ac:dyDescent="0.3">
      <c r="C311" s="90" t="s">
        <v>610</v>
      </c>
      <c r="D311" s="87" t="s">
        <v>611</v>
      </c>
      <c r="E311" s="91" t="s">
        <v>495</v>
      </c>
      <c r="F311" s="92">
        <v>76</v>
      </c>
      <c r="G311" s="93">
        <v>31.65</v>
      </c>
      <c r="H311" s="93">
        <v>2405.4</v>
      </c>
      <c r="I311" s="93">
        <v>0</v>
      </c>
      <c r="J311" s="93">
        <v>0</v>
      </c>
      <c r="K311" s="25">
        <v>0</v>
      </c>
      <c r="L311" s="25">
        <v>0</v>
      </c>
      <c r="M311" s="25">
        <v>1519.2</v>
      </c>
      <c r="N311" s="25">
        <v>886.2</v>
      </c>
      <c r="O311"/>
      <c r="P311"/>
      <c r="Q311"/>
    </row>
    <row r="312" spans="3:17" s="5" customFormat="1" ht="36" x14ac:dyDescent="0.3">
      <c r="C312" s="90" t="s">
        <v>613</v>
      </c>
      <c r="D312" s="87" t="s">
        <v>614</v>
      </c>
      <c r="E312" s="91" t="s">
        <v>495</v>
      </c>
      <c r="F312" s="92">
        <v>114</v>
      </c>
      <c r="G312" s="93">
        <v>49.05</v>
      </c>
      <c r="H312" s="93">
        <v>5591.7</v>
      </c>
      <c r="I312" s="93">
        <v>0</v>
      </c>
      <c r="J312" s="93">
        <v>0</v>
      </c>
      <c r="K312" s="25">
        <v>0</v>
      </c>
      <c r="L312" s="25">
        <v>0</v>
      </c>
      <c r="M312" s="25">
        <v>3531.6</v>
      </c>
      <c r="N312" s="25">
        <v>2060.1</v>
      </c>
      <c r="O312"/>
      <c r="P312"/>
      <c r="Q312"/>
    </row>
    <row r="313" spans="3:17" s="5" customFormat="1" ht="36" x14ac:dyDescent="0.3">
      <c r="C313" s="90" t="s">
        <v>638</v>
      </c>
      <c r="D313" s="87" t="s">
        <v>639</v>
      </c>
      <c r="E313" s="91" t="s">
        <v>495</v>
      </c>
      <c r="F313" s="92">
        <v>76</v>
      </c>
      <c r="G313" s="93">
        <v>388.5</v>
      </c>
      <c r="H313" s="93">
        <v>29526</v>
      </c>
      <c r="I313" s="93">
        <v>0</v>
      </c>
      <c r="J313" s="93">
        <v>0</v>
      </c>
      <c r="K313" s="25">
        <v>0</v>
      </c>
      <c r="L313" s="25">
        <v>0</v>
      </c>
      <c r="M313" s="25">
        <v>18648</v>
      </c>
      <c r="N313" s="25">
        <v>10878</v>
      </c>
      <c r="O313"/>
      <c r="P313"/>
      <c r="Q313"/>
    </row>
    <row r="314" spans="3:17" s="5" customFormat="1" ht="36" x14ac:dyDescent="0.3">
      <c r="C314" s="90"/>
      <c r="D314" s="87" t="s">
        <v>686</v>
      </c>
      <c r="E314" s="91"/>
      <c r="F314" s="92"/>
      <c r="G314" s="93"/>
      <c r="H314" s="93">
        <v>171336.3</v>
      </c>
      <c r="I314" s="93">
        <v>0</v>
      </c>
      <c r="J314" s="93">
        <v>0</v>
      </c>
      <c r="K314" s="25">
        <v>0</v>
      </c>
      <c r="L314" s="25">
        <v>0</v>
      </c>
      <c r="M314" s="25">
        <v>108212.4</v>
      </c>
      <c r="N314" s="25">
        <v>63123.9</v>
      </c>
      <c r="O314"/>
      <c r="P314"/>
      <c r="Q314"/>
    </row>
    <row r="315" spans="3:17" s="5" customFormat="1" ht="36" x14ac:dyDescent="0.3">
      <c r="C315" s="90" t="s">
        <v>687</v>
      </c>
      <c r="D315" s="87" t="s">
        <v>688</v>
      </c>
      <c r="E315" s="91"/>
      <c r="F315" s="92"/>
      <c r="G315" s="93"/>
      <c r="H315" s="93"/>
      <c r="I315" s="93"/>
      <c r="J315" s="93"/>
      <c r="K315" s="25"/>
      <c r="L315" s="25"/>
      <c r="M315" s="25"/>
      <c r="N315" s="25"/>
      <c r="O315"/>
      <c r="P315"/>
      <c r="Q315"/>
    </row>
    <row r="316" spans="3:17" s="5" customFormat="1" ht="36" x14ac:dyDescent="0.3">
      <c r="C316" s="90" t="s">
        <v>689</v>
      </c>
      <c r="D316" s="87" t="s">
        <v>690</v>
      </c>
      <c r="E316" s="91" t="s">
        <v>691</v>
      </c>
      <c r="F316" s="92">
        <v>8626</v>
      </c>
      <c r="G316" s="93">
        <v>475</v>
      </c>
      <c r="H316" s="93">
        <v>4097350</v>
      </c>
      <c r="I316" s="93">
        <v>0</v>
      </c>
      <c r="J316" s="93">
        <v>0</v>
      </c>
      <c r="K316" s="25">
        <v>0</v>
      </c>
      <c r="L316" s="25">
        <v>0</v>
      </c>
      <c r="M316" s="25">
        <v>2587800</v>
      </c>
      <c r="N316" s="25">
        <v>1509550</v>
      </c>
      <c r="O316"/>
      <c r="P316"/>
      <c r="Q316"/>
    </row>
    <row r="317" spans="3:17" s="5" customFormat="1" ht="36" x14ac:dyDescent="0.3">
      <c r="C317" s="90"/>
      <c r="D317" s="87" t="s">
        <v>693</v>
      </c>
      <c r="E317" s="91"/>
      <c r="F317" s="92"/>
      <c r="G317" s="93"/>
      <c r="H317" s="93">
        <v>4097350</v>
      </c>
      <c r="I317" s="93">
        <v>0</v>
      </c>
      <c r="J317" s="93">
        <v>0</v>
      </c>
      <c r="K317" s="25">
        <v>0</v>
      </c>
      <c r="L317" s="25">
        <v>0</v>
      </c>
      <c r="M317" s="25">
        <v>2587800</v>
      </c>
      <c r="N317" s="25">
        <v>1509550</v>
      </c>
      <c r="O317"/>
      <c r="P317"/>
      <c r="Q317"/>
    </row>
    <row r="318" spans="3:17" s="5" customFormat="1" ht="48" x14ac:dyDescent="0.3">
      <c r="C318" s="90"/>
      <c r="D318" s="87" t="s">
        <v>694</v>
      </c>
      <c r="E318" s="91"/>
      <c r="F318" s="92"/>
      <c r="G318" s="93"/>
      <c r="H318" s="93"/>
      <c r="I318" s="93"/>
      <c r="J318" s="93"/>
      <c r="K318" s="25"/>
      <c r="L318" s="25"/>
      <c r="M318" s="25"/>
      <c r="N318" s="25"/>
      <c r="O318"/>
      <c r="P318" t="s">
        <v>695</v>
      </c>
      <c r="Q318" t="s">
        <v>696</v>
      </c>
    </row>
    <row r="319" spans="3:17" s="5" customFormat="1" ht="84" x14ac:dyDescent="0.3">
      <c r="C319" s="90" t="s">
        <v>697</v>
      </c>
      <c r="D319" s="87" t="s">
        <v>698</v>
      </c>
      <c r="E319" s="91" t="s">
        <v>699</v>
      </c>
      <c r="F319" s="92">
        <v>450</v>
      </c>
      <c r="G319" s="93">
        <v>11903.21</v>
      </c>
      <c r="H319" s="93">
        <v>5356444.5</v>
      </c>
      <c r="I319" s="93">
        <v>0</v>
      </c>
      <c r="J319" s="93">
        <v>0</v>
      </c>
      <c r="K319" s="25">
        <v>2975802.5</v>
      </c>
      <c r="L319" s="25">
        <v>2380642</v>
      </c>
      <c r="M319" s="25">
        <v>0</v>
      </c>
      <c r="N319" s="25">
        <v>0</v>
      </c>
      <c r="O319"/>
      <c r="P319">
        <v>0</v>
      </c>
      <c r="Q319">
        <v>0</v>
      </c>
    </row>
    <row r="320" spans="3:17" s="5" customFormat="1" ht="60" x14ac:dyDescent="0.3">
      <c r="C320" s="90" t="s">
        <v>701</v>
      </c>
      <c r="D320" s="87" t="s">
        <v>702</v>
      </c>
      <c r="E320" s="91" t="s">
        <v>50</v>
      </c>
      <c r="F320" s="92">
        <v>1.8808</v>
      </c>
      <c r="G320" s="93">
        <v>391050.8</v>
      </c>
      <c r="H320" s="93">
        <v>735488.34</v>
      </c>
      <c r="I320" s="93">
        <v>0</v>
      </c>
      <c r="J320" s="93">
        <v>0</v>
      </c>
      <c r="K320" s="25">
        <v>735488.34</v>
      </c>
      <c r="L320" s="25">
        <v>0</v>
      </c>
      <c r="M320" s="25">
        <v>0</v>
      </c>
      <c r="N320" s="25">
        <v>0</v>
      </c>
      <c r="O320"/>
      <c r="P320">
        <v>1632.21</v>
      </c>
      <c r="Q320">
        <v>1632.21</v>
      </c>
    </row>
    <row r="321" spans="3:17" s="5" customFormat="1" ht="60" x14ac:dyDescent="0.3">
      <c r="C321" s="90" t="s">
        <v>704</v>
      </c>
      <c r="D321" s="87" t="s">
        <v>705</v>
      </c>
      <c r="E321" s="91" t="s">
        <v>50</v>
      </c>
      <c r="F321" s="92">
        <v>4.4328000000000003</v>
      </c>
      <c r="G321" s="93">
        <v>339356.21</v>
      </c>
      <c r="H321" s="93">
        <v>1504298.21</v>
      </c>
      <c r="I321" s="93">
        <v>0</v>
      </c>
      <c r="J321" s="93">
        <v>1504298.21</v>
      </c>
      <c r="K321" s="25">
        <v>0</v>
      </c>
      <c r="L321" s="25">
        <v>0</v>
      </c>
      <c r="M321" s="25">
        <v>0</v>
      </c>
      <c r="N321" s="25">
        <v>0</v>
      </c>
      <c r="O321"/>
      <c r="P321">
        <v>4401.96</v>
      </c>
      <c r="Q321">
        <v>4401.96</v>
      </c>
    </row>
    <row r="322" spans="3:17" s="5" customFormat="1" ht="48" x14ac:dyDescent="0.3">
      <c r="C322" s="90" t="s">
        <v>707</v>
      </c>
      <c r="D322" s="87" t="s">
        <v>708</v>
      </c>
      <c r="E322" s="91" t="s">
        <v>50</v>
      </c>
      <c r="F322" s="92">
        <v>0.36299999999999999</v>
      </c>
      <c r="G322" s="93">
        <v>374821.36</v>
      </c>
      <c r="H322" s="93">
        <v>136060.15</v>
      </c>
      <c r="I322" s="93">
        <v>0</v>
      </c>
      <c r="J322" s="93">
        <v>0</v>
      </c>
      <c r="K322" s="25">
        <v>136060.15</v>
      </c>
      <c r="L322" s="25">
        <v>0</v>
      </c>
      <c r="M322" s="25">
        <v>0</v>
      </c>
      <c r="N322" s="25">
        <v>0</v>
      </c>
      <c r="O322"/>
      <c r="P322">
        <v>4401.96</v>
      </c>
      <c r="Q322">
        <v>4401.96</v>
      </c>
    </row>
    <row r="323" spans="3:17" s="5" customFormat="1" ht="48" x14ac:dyDescent="0.3">
      <c r="C323" s="90" t="s">
        <v>710</v>
      </c>
      <c r="D323" s="87" t="s">
        <v>711</v>
      </c>
      <c r="E323" s="91" t="s">
        <v>712</v>
      </c>
      <c r="F323" s="92">
        <v>1.56</v>
      </c>
      <c r="G323" s="93">
        <v>9385.77</v>
      </c>
      <c r="H323" s="93">
        <v>14641.8</v>
      </c>
      <c r="I323" s="93">
        <v>0</v>
      </c>
      <c r="J323" s="93">
        <v>0</v>
      </c>
      <c r="K323" s="25">
        <v>0</v>
      </c>
      <c r="L323" s="25">
        <v>14641.8</v>
      </c>
      <c r="M323" s="25">
        <v>0</v>
      </c>
      <c r="N323" s="25">
        <v>0</v>
      </c>
      <c r="O323"/>
      <c r="P323">
        <v>4401.96</v>
      </c>
      <c r="Q323">
        <v>4401.96</v>
      </c>
    </row>
    <row r="324" spans="3:17" s="5" customFormat="1" ht="48" x14ac:dyDescent="0.3">
      <c r="C324" s="90" t="s">
        <v>714</v>
      </c>
      <c r="D324" s="87" t="s">
        <v>715</v>
      </c>
      <c r="E324" s="91" t="s">
        <v>58</v>
      </c>
      <c r="F324" s="92">
        <v>42.57</v>
      </c>
      <c r="G324" s="93">
        <v>2990.74</v>
      </c>
      <c r="H324" s="93">
        <v>127315.8</v>
      </c>
      <c r="I324" s="93">
        <v>0</v>
      </c>
      <c r="J324" s="93">
        <v>0</v>
      </c>
      <c r="K324" s="25">
        <v>0</v>
      </c>
      <c r="L324" s="25">
        <v>127315.8</v>
      </c>
      <c r="M324" s="25">
        <v>0</v>
      </c>
      <c r="N324" s="25">
        <v>0</v>
      </c>
      <c r="O324"/>
      <c r="P324">
        <v>170382.82</v>
      </c>
      <c r="Q324">
        <v>170382.82</v>
      </c>
    </row>
    <row r="325" spans="3:17" s="5" customFormat="1" ht="60" x14ac:dyDescent="0.3">
      <c r="C325" s="90" t="s">
        <v>717</v>
      </c>
      <c r="D325" s="87" t="s">
        <v>718</v>
      </c>
      <c r="E325" s="91" t="s">
        <v>58</v>
      </c>
      <c r="F325" s="92">
        <v>31.5</v>
      </c>
      <c r="G325" s="93">
        <v>13228.53</v>
      </c>
      <c r="H325" s="93">
        <v>416698.7</v>
      </c>
      <c r="I325" s="93">
        <v>0</v>
      </c>
      <c r="J325" s="93">
        <v>416698.7</v>
      </c>
      <c r="K325" s="25">
        <v>0</v>
      </c>
      <c r="L325" s="25">
        <v>0</v>
      </c>
      <c r="M325" s="25">
        <v>0</v>
      </c>
      <c r="N325" s="25">
        <v>0</v>
      </c>
      <c r="O325"/>
      <c r="P325">
        <v>355295.07</v>
      </c>
      <c r="Q325">
        <v>355295.07</v>
      </c>
    </row>
    <row r="326" spans="3:17" s="5" customFormat="1" ht="72" x14ac:dyDescent="0.3">
      <c r="C326" s="90" t="s">
        <v>720</v>
      </c>
      <c r="D326" s="87" t="s">
        <v>721</v>
      </c>
      <c r="E326" s="91" t="s">
        <v>68</v>
      </c>
      <c r="F326" s="92">
        <v>1</v>
      </c>
      <c r="G326" s="93">
        <v>57783.43</v>
      </c>
      <c r="H326" s="93">
        <v>57783.43</v>
      </c>
      <c r="I326" s="93">
        <v>0</v>
      </c>
      <c r="J326" s="93">
        <v>57783.43</v>
      </c>
      <c r="K326" s="25">
        <v>0</v>
      </c>
      <c r="L326" s="25">
        <v>0</v>
      </c>
      <c r="M326" s="25">
        <v>0</v>
      </c>
      <c r="N326" s="25">
        <v>0</v>
      </c>
      <c r="O326"/>
      <c r="P326">
        <v>355373.17</v>
      </c>
      <c r="Q326">
        <v>355373.17</v>
      </c>
    </row>
    <row r="327" spans="3:17" s="5" customFormat="1" ht="60" x14ac:dyDescent="0.3">
      <c r="C327" s="90" t="s">
        <v>723</v>
      </c>
      <c r="D327" s="87" t="s">
        <v>724</v>
      </c>
      <c r="E327" s="91" t="s">
        <v>68</v>
      </c>
      <c r="F327" s="92">
        <v>6</v>
      </c>
      <c r="G327" s="93">
        <v>67601.820000000007</v>
      </c>
      <c r="H327" s="93">
        <v>405610.92</v>
      </c>
      <c r="I327" s="93">
        <v>0</v>
      </c>
      <c r="J327" s="93">
        <v>405610.92</v>
      </c>
      <c r="K327" s="25">
        <v>0</v>
      </c>
      <c r="L327" s="25">
        <v>0</v>
      </c>
      <c r="M327" s="25">
        <v>0</v>
      </c>
      <c r="N327" s="25">
        <v>0</v>
      </c>
      <c r="O327"/>
      <c r="P327">
        <v>356414.53</v>
      </c>
      <c r="Q327">
        <v>356414.53</v>
      </c>
    </row>
    <row r="328" spans="3:17" s="5" customFormat="1" ht="60" x14ac:dyDescent="0.3">
      <c r="C328" s="90" t="s">
        <v>726</v>
      </c>
      <c r="D328" s="87" t="s">
        <v>727</v>
      </c>
      <c r="E328" s="91" t="s">
        <v>50</v>
      </c>
      <c r="F328" s="92">
        <v>0.44619999999999999</v>
      </c>
      <c r="G328" s="93">
        <v>238961.43</v>
      </c>
      <c r="H328" s="93">
        <v>106624.59</v>
      </c>
      <c r="I328" s="93">
        <v>0</v>
      </c>
      <c r="J328" s="93">
        <v>106624.59</v>
      </c>
      <c r="K328" s="25">
        <v>0</v>
      </c>
      <c r="L328" s="25">
        <v>0</v>
      </c>
      <c r="M328" s="25">
        <v>0</v>
      </c>
      <c r="N328" s="25">
        <v>0</v>
      </c>
      <c r="O328"/>
      <c r="P328">
        <v>356414.53</v>
      </c>
      <c r="Q328">
        <v>356414.53</v>
      </c>
    </row>
    <row r="329" spans="3:17" s="5" customFormat="1" ht="60" x14ac:dyDescent="0.3">
      <c r="C329" s="90" t="s">
        <v>729</v>
      </c>
      <c r="D329" s="87" t="s">
        <v>730</v>
      </c>
      <c r="E329" s="91" t="s">
        <v>50</v>
      </c>
      <c r="F329" s="92">
        <v>16.605</v>
      </c>
      <c r="G329" s="93">
        <v>482965.02</v>
      </c>
      <c r="H329" s="93">
        <v>8019634.1600000001</v>
      </c>
      <c r="I329" s="93">
        <v>0</v>
      </c>
      <c r="J329" s="93">
        <v>8019634.1600000001</v>
      </c>
      <c r="K329" s="25">
        <v>0</v>
      </c>
      <c r="L329" s="25">
        <v>0</v>
      </c>
      <c r="M329" s="25">
        <v>0</v>
      </c>
      <c r="N329" s="25">
        <v>0</v>
      </c>
      <c r="O329"/>
      <c r="P329">
        <v>356414.53</v>
      </c>
      <c r="Q329">
        <v>356414.53</v>
      </c>
    </row>
    <row r="330" spans="3:17" s="5" customFormat="1" ht="48" x14ac:dyDescent="0.3">
      <c r="C330" s="90" t="s">
        <v>732</v>
      </c>
      <c r="D330" s="87" t="s">
        <v>733</v>
      </c>
      <c r="E330" s="91" t="s">
        <v>50</v>
      </c>
      <c r="F330" s="92">
        <v>1.1319999999999999</v>
      </c>
      <c r="G330" s="93">
        <v>222002.05</v>
      </c>
      <c r="H330" s="93">
        <v>251306.32</v>
      </c>
      <c r="I330" s="93">
        <v>0</v>
      </c>
      <c r="J330" s="93">
        <v>251306.32</v>
      </c>
      <c r="K330" s="25">
        <v>0</v>
      </c>
      <c r="L330" s="25">
        <v>0</v>
      </c>
      <c r="M330" s="25">
        <v>0</v>
      </c>
      <c r="N330" s="25">
        <v>0</v>
      </c>
      <c r="O330"/>
      <c r="P330">
        <v>356414.53</v>
      </c>
      <c r="Q330">
        <v>356414.53</v>
      </c>
    </row>
    <row r="331" spans="3:17" s="5" customFormat="1" ht="48" x14ac:dyDescent="0.3">
      <c r="C331" s="90" t="s">
        <v>735</v>
      </c>
      <c r="D331" s="87" t="s">
        <v>736</v>
      </c>
      <c r="E331" s="91" t="s">
        <v>50</v>
      </c>
      <c r="F331" s="92">
        <v>0.19020000000000001</v>
      </c>
      <c r="G331" s="93">
        <v>263388.51</v>
      </c>
      <c r="H331" s="93">
        <v>50096.49</v>
      </c>
      <c r="I331" s="93">
        <v>0</v>
      </c>
      <c r="J331" s="93">
        <v>50096.49</v>
      </c>
      <c r="K331" s="25">
        <v>0</v>
      </c>
      <c r="L331" s="25">
        <v>0</v>
      </c>
      <c r="M331" s="25">
        <v>0</v>
      </c>
      <c r="N331" s="25">
        <v>0</v>
      </c>
      <c r="O331"/>
      <c r="P331">
        <v>356414.53</v>
      </c>
      <c r="Q331">
        <v>356414.53</v>
      </c>
    </row>
    <row r="332" spans="3:17" s="5" customFormat="1" ht="48" x14ac:dyDescent="0.3">
      <c r="C332" s="90" t="s">
        <v>738</v>
      </c>
      <c r="D332" s="87" t="s">
        <v>739</v>
      </c>
      <c r="E332" s="91" t="s">
        <v>50</v>
      </c>
      <c r="F332" s="92">
        <v>13.801299999999999</v>
      </c>
      <c r="G332" s="93">
        <v>275395.38</v>
      </c>
      <c r="H332" s="93">
        <v>3800814.26</v>
      </c>
      <c r="I332" s="93">
        <v>0</v>
      </c>
      <c r="J332" s="93">
        <v>3800814.26</v>
      </c>
      <c r="K332" s="25">
        <v>0</v>
      </c>
      <c r="L332" s="25">
        <v>0</v>
      </c>
      <c r="M332" s="25">
        <v>0</v>
      </c>
      <c r="N332" s="25">
        <v>0</v>
      </c>
      <c r="O332"/>
      <c r="P332">
        <v>356414.53</v>
      </c>
      <c r="Q332">
        <v>356414.53</v>
      </c>
    </row>
    <row r="333" spans="3:17" s="5" customFormat="1" ht="48" x14ac:dyDescent="0.3">
      <c r="C333" s="90" t="s">
        <v>741</v>
      </c>
      <c r="D333" s="87" t="s">
        <v>742</v>
      </c>
      <c r="E333" s="91" t="s">
        <v>50</v>
      </c>
      <c r="F333" s="92">
        <v>0.2742</v>
      </c>
      <c r="G333" s="93">
        <v>176527.34</v>
      </c>
      <c r="H333" s="93">
        <v>48403.8</v>
      </c>
      <c r="I333" s="93">
        <v>0</v>
      </c>
      <c r="J333" s="93">
        <v>0</v>
      </c>
      <c r="K333" s="25">
        <v>48403.8</v>
      </c>
      <c r="L333" s="25">
        <v>0</v>
      </c>
      <c r="M333" s="25">
        <v>0</v>
      </c>
      <c r="N333" s="25">
        <v>0</v>
      </c>
      <c r="O333"/>
      <c r="P333">
        <v>356414.53</v>
      </c>
      <c r="Q333">
        <v>356414.53</v>
      </c>
    </row>
    <row r="334" spans="3:17" s="5" customFormat="1" ht="48" x14ac:dyDescent="0.3">
      <c r="C334" s="90" t="s">
        <v>744</v>
      </c>
      <c r="D334" s="87" t="s">
        <v>745</v>
      </c>
      <c r="E334" s="91" t="s">
        <v>50</v>
      </c>
      <c r="F334" s="92">
        <v>0.30099999999999999</v>
      </c>
      <c r="G334" s="93">
        <v>291563.09000000003</v>
      </c>
      <c r="H334" s="93">
        <v>87760.49</v>
      </c>
      <c r="I334" s="93">
        <v>0</v>
      </c>
      <c r="J334" s="93">
        <v>0</v>
      </c>
      <c r="K334" s="25">
        <v>0</v>
      </c>
      <c r="L334" s="25">
        <v>87760.49</v>
      </c>
      <c r="M334" s="25">
        <v>0</v>
      </c>
      <c r="N334" s="25">
        <v>0</v>
      </c>
      <c r="O334"/>
      <c r="P334">
        <v>356414.53</v>
      </c>
      <c r="Q334">
        <v>356414.53</v>
      </c>
    </row>
    <row r="335" spans="3:17" s="5" customFormat="1" ht="48" x14ac:dyDescent="0.3">
      <c r="C335" s="90" t="s">
        <v>747</v>
      </c>
      <c r="D335" s="87" t="s">
        <v>748</v>
      </c>
      <c r="E335" s="91" t="s">
        <v>50</v>
      </c>
      <c r="F335" s="92">
        <v>0.86399999999999999</v>
      </c>
      <c r="G335" s="93">
        <v>274007.90999999997</v>
      </c>
      <c r="H335" s="93">
        <v>236742.83</v>
      </c>
      <c r="I335" s="93">
        <v>0</v>
      </c>
      <c r="J335" s="93">
        <v>0</v>
      </c>
      <c r="K335" s="25">
        <v>0</v>
      </c>
      <c r="L335" s="25">
        <v>236742.83</v>
      </c>
      <c r="M335" s="25">
        <v>0</v>
      </c>
      <c r="N335" s="25">
        <v>0</v>
      </c>
      <c r="O335"/>
      <c r="P335">
        <v>356414.53</v>
      </c>
      <c r="Q335">
        <v>356414.53</v>
      </c>
    </row>
    <row r="336" spans="3:17" s="5" customFormat="1" ht="48" x14ac:dyDescent="0.3">
      <c r="C336" s="90" t="s">
        <v>750</v>
      </c>
      <c r="D336" s="87" t="s">
        <v>751</v>
      </c>
      <c r="E336" s="91" t="s">
        <v>50</v>
      </c>
      <c r="F336" s="92">
        <v>9.7000000000000003E-2</v>
      </c>
      <c r="G336" s="93">
        <v>291607.13</v>
      </c>
      <c r="H336" s="93">
        <v>28285.89</v>
      </c>
      <c r="I336" s="93">
        <v>0</v>
      </c>
      <c r="J336" s="93">
        <v>0</v>
      </c>
      <c r="K336" s="25">
        <v>0</v>
      </c>
      <c r="L336" s="25">
        <v>28285.89</v>
      </c>
      <c r="M336" s="25">
        <v>0</v>
      </c>
      <c r="N336" s="25">
        <v>0</v>
      </c>
      <c r="O336"/>
      <c r="P336">
        <v>356414.53</v>
      </c>
      <c r="Q336">
        <v>356414.53</v>
      </c>
    </row>
    <row r="337" spans="3:17" s="5" customFormat="1" ht="48" x14ac:dyDescent="0.3">
      <c r="C337" s="90" t="s">
        <v>753</v>
      </c>
      <c r="D337" s="87" t="s">
        <v>754</v>
      </c>
      <c r="E337" s="91" t="s">
        <v>50</v>
      </c>
      <c r="F337" s="92">
        <v>0.28000000000000003</v>
      </c>
      <c r="G337" s="93">
        <v>291464.21999999997</v>
      </c>
      <c r="H337" s="93">
        <v>81609.98</v>
      </c>
      <c r="I337" s="93">
        <v>0</v>
      </c>
      <c r="J337" s="93">
        <v>0</v>
      </c>
      <c r="K337" s="25">
        <v>0</v>
      </c>
      <c r="L337" s="25">
        <v>81609.98</v>
      </c>
      <c r="M337" s="25">
        <v>0</v>
      </c>
      <c r="N337" s="25">
        <v>0</v>
      </c>
      <c r="O337"/>
      <c r="P337">
        <v>356414.53</v>
      </c>
      <c r="Q337">
        <v>356414.53</v>
      </c>
    </row>
    <row r="338" spans="3:17" s="5" customFormat="1" ht="48" x14ac:dyDescent="0.3">
      <c r="C338" s="90" t="s">
        <v>756</v>
      </c>
      <c r="D338" s="87" t="s">
        <v>757</v>
      </c>
      <c r="E338" s="91" t="s">
        <v>50</v>
      </c>
      <c r="F338" s="92">
        <v>0.432</v>
      </c>
      <c r="G338" s="93">
        <v>217128.13</v>
      </c>
      <c r="H338" s="93">
        <v>93799.35</v>
      </c>
      <c r="I338" s="93">
        <v>0</v>
      </c>
      <c r="J338" s="93">
        <v>0</v>
      </c>
      <c r="K338" s="25">
        <v>0</v>
      </c>
      <c r="L338" s="25">
        <v>93799.35</v>
      </c>
      <c r="M338" s="25">
        <v>0</v>
      </c>
      <c r="N338" s="25">
        <v>0</v>
      </c>
      <c r="O338"/>
      <c r="P338">
        <v>356414.53</v>
      </c>
      <c r="Q338">
        <v>356414.53</v>
      </c>
    </row>
    <row r="339" spans="3:17" s="5" customFormat="1" ht="48" x14ac:dyDescent="0.3">
      <c r="C339" s="90" t="s">
        <v>759</v>
      </c>
      <c r="D339" s="87" t="s">
        <v>760</v>
      </c>
      <c r="E339" s="91" t="s">
        <v>50</v>
      </c>
      <c r="F339" s="92">
        <v>7.0000000000000007E-2</v>
      </c>
      <c r="G339" s="93">
        <v>327808.15000000002</v>
      </c>
      <c r="H339" s="93">
        <v>22946.57</v>
      </c>
      <c r="I339" s="93">
        <v>0</v>
      </c>
      <c r="J339" s="93">
        <v>0</v>
      </c>
      <c r="K339" s="25">
        <v>0</v>
      </c>
      <c r="L339" s="25">
        <v>22946.57</v>
      </c>
      <c r="M339" s="25">
        <v>0</v>
      </c>
      <c r="N339" s="25">
        <v>0</v>
      </c>
      <c r="O339"/>
      <c r="P339">
        <v>356414.53</v>
      </c>
      <c r="Q339">
        <v>356414.53</v>
      </c>
    </row>
    <row r="340" spans="3:17" s="5" customFormat="1" ht="48" x14ac:dyDescent="0.3">
      <c r="C340" s="90" t="s">
        <v>762</v>
      </c>
      <c r="D340" s="87" t="s">
        <v>763</v>
      </c>
      <c r="E340" s="91" t="s">
        <v>50</v>
      </c>
      <c r="F340" s="92">
        <v>4.5600000000000002E-2</v>
      </c>
      <c r="G340" s="93">
        <v>337099.85</v>
      </c>
      <c r="H340" s="93">
        <v>15371.75</v>
      </c>
      <c r="I340" s="93">
        <v>0</v>
      </c>
      <c r="J340" s="93">
        <v>0</v>
      </c>
      <c r="K340" s="25">
        <v>0</v>
      </c>
      <c r="L340" s="25">
        <v>15371.75</v>
      </c>
      <c r="M340" s="25">
        <v>0</v>
      </c>
      <c r="N340" s="25">
        <v>0</v>
      </c>
      <c r="O340"/>
      <c r="P340">
        <v>356414.53</v>
      </c>
      <c r="Q340">
        <v>356414.53</v>
      </c>
    </row>
    <row r="341" spans="3:17" s="5" customFormat="1" ht="60" x14ac:dyDescent="0.3">
      <c r="C341" s="90" t="s">
        <v>765</v>
      </c>
      <c r="D341" s="87" t="s">
        <v>766</v>
      </c>
      <c r="E341" s="91" t="s">
        <v>50</v>
      </c>
      <c r="F341" s="92">
        <v>1.4999999999999999E-2</v>
      </c>
      <c r="G341" s="93">
        <v>362321.38</v>
      </c>
      <c r="H341" s="93">
        <v>5434.82</v>
      </c>
      <c r="I341" s="93">
        <v>0</v>
      </c>
      <c r="J341" s="93">
        <v>0</v>
      </c>
      <c r="K341" s="25">
        <v>5434.82</v>
      </c>
      <c r="L341" s="25">
        <v>0</v>
      </c>
      <c r="M341" s="25">
        <v>0</v>
      </c>
      <c r="N341" s="25">
        <v>0</v>
      </c>
      <c r="O341"/>
      <c r="P341">
        <v>356414.53</v>
      </c>
      <c r="Q341">
        <v>356414.53</v>
      </c>
    </row>
    <row r="342" spans="3:17" s="5" customFormat="1" ht="60" x14ac:dyDescent="0.3">
      <c r="C342" s="90" t="s">
        <v>768</v>
      </c>
      <c r="D342" s="87" t="s">
        <v>769</v>
      </c>
      <c r="E342" s="91" t="s">
        <v>50</v>
      </c>
      <c r="F342" s="92">
        <v>1.6589</v>
      </c>
      <c r="G342" s="93">
        <v>362321.38</v>
      </c>
      <c r="H342" s="93">
        <v>601054.93999999994</v>
      </c>
      <c r="I342" s="93">
        <v>0</v>
      </c>
      <c r="J342" s="93">
        <v>0</v>
      </c>
      <c r="K342" s="25">
        <v>601054.93999999994</v>
      </c>
      <c r="L342" s="25">
        <v>0</v>
      </c>
      <c r="M342" s="25">
        <v>0</v>
      </c>
      <c r="N342" s="25">
        <v>0</v>
      </c>
      <c r="O342"/>
      <c r="P342">
        <v>356414.53</v>
      </c>
      <c r="Q342">
        <v>356414.53</v>
      </c>
    </row>
    <row r="343" spans="3:17" s="5" customFormat="1" ht="60" x14ac:dyDescent="0.3">
      <c r="C343" s="90" t="s">
        <v>770</v>
      </c>
      <c r="D343" s="87" t="s">
        <v>771</v>
      </c>
      <c r="E343" s="91" t="s">
        <v>50</v>
      </c>
      <c r="F343" s="92">
        <v>0.46479999999999999</v>
      </c>
      <c r="G343" s="93">
        <v>232947.62</v>
      </c>
      <c r="H343" s="93">
        <v>108274.05</v>
      </c>
      <c r="I343" s="93">
        <v>0</v>
      </c>
      <c r="J343" s="93">
        <v>0</v>
      </c>
      <c r="K343" s="25">
        <v>0</v>
      </c>
      <c r="L343" s="25">
        <v>108274.05</v>
      </c>
      <c r="M343" s="25">
        <v>0</v>
      </c>
      <c r="N343" s="25">
        <v>0</v>
      </c>
      <c r="O343"/>
      <c r="P343">
        <v>356414.53</v>
      </c>
      <c r="Q343">
        <v>356414.53</v>
      </c>
    </row>
    <row r="344" spans="3:17" s="5" customFormat="1" ht="60" x14ac:dyDescent="0.3">
      <c r="C344" s="90" t="s">
        <v>773</v>
      </c>
      <c r="D344" s="87" t="s">
        <v>774</v>
      </c>
      <c r="E344" s="91" t="s">
        <v>50</v>
      </c>
      <c r="F344" s="92">
        <v>1.675</v>
      </c>
      <c r="G344" s="93">
        <v>428468.52</v>
      </c>
      <c r="H344" s="93">
        <v>717684.77</v>
      </c>
      <c r="I344" s="93">
        <v>0</v>
      </c>
      <c r="J344" s="93">
        <v>0</v>
      </c>
      <c r="K344" s="25">
        <v>0</v>
      </c>
      <c r="L344" s="25">
        <v>717684.77</v>
      </c>
      <c r="M344" s="25">
        <v>0</v>
      </c>
      <c r="N344" s="25">
        <v>0</v>
      </c>
      <c r="O344"/>
      <c r="P344">
        <v>356414.53</v>
      </c>
      <c r="Q344">
        <v>356414.53</v>
      </c>
    </row>
    <row r="345" spans="3:17" s="5" customFormat="1" ht="60" x14ac:dyDescent="0.3">
      <c r="C345" s="90" t="s">
        <v>776</v>
      </c>
      <c r="D345" s="87" t="s">
        <v>777</v>
      </c>
      <c r="E345" s="91" t="s">
        <v>50</v>
      </c>
      <c r="F345" s="92">
        <v>3.8559999999999999</v>
      </c>
      <c r="G345" s="93">
        <v>399402.84</v>
      </c>
      <c r="H345" s="93">
        <v>1540097.35</v>
      </c>
      <c r="I345" s="93">
        <v>0</v>
      </c>
      <c r="J345" s="93">
        <v>1540097.35</v>
      </c>
      <c r="K345" s="25">
        <v>0</v>
      </c>
      <c r="L345" s="25">
        <v>0</v>
      </c>
      <c r="M345" s="25">
        <v>0</v>
      </c>
      <c r="N345" s="25">
        <v>0</v>
      </c>
      <c r="O345"/>
      <c r="P345">
        <v>358823.87</v>
      </c>
      <c r="Q345">
        <v>358823.87</v>
      </c>
    </row>
    <row r="346" spans="3:17" s="5" customFormat="1" ht="72" x14ac:dyDescent="0.3">
      <c r="C346" s="90" t="s">
        <v>779</v>
      </c>
      <c r="D346" s="87" t="s">
        <v>780</v>
      </c>
      <c r="E346" s="91" t="s">
        <v>58</v>
      </c>
      <c r="F346" s="92">
        <v>18</v>
      </c>
      <c r="G346" s="93">
        <v>12818.98</v>
      </c>
      <c r="H346" s="93">
        <v>230741.64</v>
      </c>
      <c r="I346" s="93">
        <v>0</v>
      </c>
      <c r="J346" s="93">
        <v>0</v>
      </c>
      <c r="K346" s="25">
        <v>230741.64</v>
      </c>
      <c r="L346" s="25">
        <v>0</v>
      </c>
      <c r="M346" s="25">
        <v>0</v>
      </c>
      <c r="N346" s="25">
        <v>0</v>
      </c>
      <c r="O346"/>
      <c r="P346">
        <v>358823.87</v>
      </c>
      <c r="Q346">
        <v>358823.87</v>
      </c>
    </row>
    <row r="347" spans="3:17" s="5" customFormat="1" ht="72" x14ac:dyDescent="0.3">
      <c r="C347" s="90" t="s">
        <v>782</v>
      </c>
      <c r="D347" s="87" t="s">
        <v>783</v>
      </c>
      <c r="E347" s="91" t="s">
        <v>68</v>
      </c>
      <c r="F347" s="92">
        <v>3</v>
      </c>
      <c r="G347" s="93">
        <v>16062.53</v>
      </c>
      <c r="H347" s="93">
        <v>48187.59</v>
      </c>
      <c r="I347" s="93">
        <v>0</v>
      </c>
      <c r="J347" s="93">
        <v>0</v>
      </c>
      <c r="K347" s="25">
        <v>48187.59</v>
      </c>
      <c r="L347" s="25">
        <v>0</v>
      </c>
      <c r="M347" s="25">
        <v>0</v>
      </c>
      <c r="N347" s="25">
        <v>0</v>
      </c>
      <c r="O347"/>
      <c r="P347">
        <v>358823.87</v>
      </c>
      <c r="Q347">
        <v>358823.87</v>
      </c>
    </row>
    <row r="348" spans="3:17" s="5" customFormat="1" ht="72" x14ac:dyDescent="0.3">
      <c r="C348" s="90" t="s">
        <v>785</v>
      </c>
      <c r="D348" s="87" t="s">
        <v>786</v>
      </c>
      <c r="E348" s="91" t="s">
        <v>68</v>
      </c>
      <c r="F348" s="92">
        <v>1</v>
      </c>
      <c r="G348" s="93">
        <v>49994.6</v>
      </c>
      <c r="H348" s="93">
        <v>49994.6</v>
      </c>
      <c r="I348" s="93">
        <v>0</v>
      </c>
      <c r="J348" s="93">
        <v>0</v>
      </c>
      <c r="K348" s="25">
        <v>49994.6</v>
      </c>
      <c r="L348" s="25">
        <v>0</v>
      </c>
      <c r="M348" s="25">
        <v>0</v>
      </c>
      <c r="N348" s="25">
        <v>0</v>
      </c>
      <c r="O348"/>
      <c r="P348">
        <v>358823.87</v>
      </c>
      <c r="Q348">
        <v>358823.87</v>
      </c>
    </row>
    <row r="349" spans="3:17" s="5" customFormat="1" ht="72" x14ac:dyDescent="0.3">
      <c r="C349" s="90" t="s">
        <v>788</v>
      </c>
      <c r="D349" s="87" t="s">
        <v>789</v>
      </c>
      <c r="E349" s="91" t="s">
        <v>68</v>
      </c>
      <c r="F349" s="92">
        <v>1</v>
      </c>
      <c r="G349" s="93">
        <v>154674.1</v>
      </c>
      <c r="H349" s="93">
        <v>154674.1</v>
      </c>
      <c r="I349" s="93">
        <v>0</v>
      </c>
      <c r="J349" s="93">
        <v>0</v>
      </c>
      <c r="K349" s="25">
        <v>154674.1</v>
      </c>
      <c r="L349" s="25">
        <v>0</v>
      </c>
      <c r="M349" s="25">
        <v>0</v>
      </c>
      <c r="N349" s="25">
        <v>0</v>
      </c>
      <c r="O349"/>
      <c r="P349">
        <v>358836.88</v>
      </c>
      <c r="Q349">
        <v>358836.88</v>
      </c>
    </row>
    <row r="350" spans="3:17" s="5" customFormat="1" ht="72" x14ac:dyDescent="0.3">
      <c r="C350" s="90" t="s">
        <v>791</v>
      </c>
      <c r="D350" s="87" t="s">
        <v>792</v>
      </c>
      <c r="E350" s="91" t="s">
        <v>68</v>
      </c>
      <c r="F350" s="92">
        <v>26</v>
      </c>
      <c r="G350" s="93">
        <v>13517.46</v>
      </c>
      <c r="H350" s="93">
        <v>351453.96</v>
      </c>
      <c r="I350" s="93">
        <v>0</v>
      </c>
      <c r="J350" s="93">
        <v>0</v>
      </c>
      <c r="K350" s="25">
        <v>216279.36</v>
      </c>
      <c r="L350" s="25">
        <v>135174.6</v>
      </c>
      <c r="M350" s="25">
        <v>0</v>
      </c>
      <c r="N350" s="25">
        <v>0</v>
      </c>
      <c r="O350"/>
      <c r="P350">
        <v>358836.88</v>
      </c>
      <c r="Q350">
        <v>358836.88</v>
      </c>
    </row>
    <row r="351" spans="3:17" s="5" customFormat="1" ht="72" x14ac:dyDescent="0.3">
      <c r="C351" s="90" t="s">
        <v>794</v>
      </c>
      <c r="D351" s="87" t="s">
        <v>795</v>
      </c>
      <c r="E351" s="91" t="s">
        <v>68</v>
      </c>
      <c r="F351" s="92">
        <v>3</v>
      </c>
      <c r="G351" s="93">
        <v>34516.17</v>
      </c>
      <c r="H351" s="93">
        <v>103548.51</v>
      </c>
      <c r="I351" s="93">
        <v>0</v>
      </c>
      <c r="J351" s="93">
        <v>0</v>
      </c>
      <c r="K351" s="25">
        <v>103548.51</v>
      </c>
      <c r="L351" s="25">
        <v>0</v>
      </c>
      <c r="M351" s="25">
        <v>0</v>
      </c>
      <c r="N351" s="25">
        <v>0</v>
      </c>
      <c r="O351"/>
      <c r="P351">
        <v>358954.03</v>
      </c>
      <c r="Q351">
        <v>358954.03</v>
      </c>
    </row>
    <row r="352" spans="3:17" s="5" customFormat="1" ht="72" x14ac:dyDescent="0.3">
      <c r="C352" s="90" t="s">
        <v>797</v>
      </c>
      <c r="D352" s="87" t="s">
        <v>798</v>
      </c>
      <c r="E352" s="91" t="s">
        <v>68</v>
      </c>
      <c r="F352" s="92">
        <v>6</v>
      </c>
      <c r="G352" s="93">
        <v>23361.06</v>
      </c>
      <c r="H352" s="93">
        <v>140166.35999999999</v>
      </c>
      <c r="I352" s="93">
        <v>0</v>
      </c>
      <c r="J352" s="93">
        <v>140166.35999999999</v>
      </c>
      <c r="K352" s="25">
        <v>0</v>
      </c>
      <c r="L352" s="25">
        <v>0</v>
      </c>
      <c r="M352" s="25">
        <v>0</v>
      </c>
      <c r="N352" s="25">
        <v>0</v>
      </c>
      <c r="O352"/>
      <c r="P352">
        <v>359266.45</v>
      </c>
      <c r="Q352">
        <v>359266.45</v>
      </c>
    </row>
    <row r="353" spans="3:17" s="5" customFormat="1" ht="72" x14ac:dyDescent="0.3">
      <c r="C353" s="90" t="s">
        <v>800</v>
      </c>
      <c r="D353" s="87" t="s">
        <v>801</v>
      </c>
      <c r="E353" s="91" t="s">
        <v>68</v>
      </c>
      <c r="F353" s="92">
        <v>2</v>
      </c>
      <c r="G353" s="93">
        <v>33080.22</v>
      </c>
      <c r="H353" s="93">
        <v>66160.44</v>
      </c>
      <c r="I353" s="93">
        <v>0</v>
      </c>
      <c r="J353" s="93">
        <v>0</v>
      </c>
      <c r="K353" s="25">
        <v>66160.44</v>
      </c>
      <c r="L353" s="25">
        <v>0</v>
      </c>
      <c r="M353" s="25">
        <v>0</v>
      </c>
      <c r="N353" s="25">
        <v>0</v>
      </c>
      <c r="O353"/>
      <c r="P353">
        <v>359344.55</v>
      </c>
      <c r="Q353">
        <v>359344.55</v>
      </c>
    </row>
    <row r="354" spans="3:17" s="5" customFormat="1" ht="72" x14ac:dyDescent="0.3">
      <c r="C354" s="90" t="s">
        <v>803</v>
      </c>
      <c r="D354" s="87" t="s">
        <v>804</v>
      </c>
      <c r="E354" s="91" t="s">
        <v>68</v>
      </c>
      <c r="F354" s="92">
        <v>9</v>
      </c>
      <c r="G354" s="93">
        <v>22975.73</v>
      </c>
      <c r="H354" s="93">
        <v>206781.57</v>
      </c>
      <c r="I354" s="93">
        <v>0</v>
      </c>
      <c r="J354" s="93">
        <v>0</v>
      </c>
      <c r="K354" s="25">
        <v>206781.57</v>
      </c>
      <c r="L354" s="25">
        <v>0</v>
      </c>
      <c r="M354" s="25">
        <v>0</v>
      </c>
      <c r="N354" s="25">
        <v>0</v>
      </c>
      <c r="O354"/>
      <c r="P354">
        <v>359344.55</v>
      </c>
      <c r="Q354">
        <v>359344.55</v>
      </c>
    </row>
    <row r="355" spans="3:17" s="5" customFormat="1" ht="72" x14ac:dyDescent="0.3">
      <c r="C355" s="90" t="s">
        <v>806</v>
      </c>
      <c r="D355" s="87" t="s">
        <v>807</v>
      </c>
      <c r="E355" s="91" t="s">
        <v>68</v>
      </c>
      <c r="F355" s="92">
        <v>3</v>
      </c>
      <c r="G355" s="93">
        <v>19108.37</v>
      </c>
      <c r="H355" s="93">
        <v>57325.11</v>
      </c>
      <c r="I355" s="93">
        <v>0</v>
      </c>
      <c r="J355" s="93">
        <v>0</v>
      </c>
      <c r="K355" s="25">
        <v>57325.11</v>
      </c>
      <c r="L355" s="25">
        <v>0</v>
      </c>
      <c r="M355" s="25">
        <v>0</v>
      </c>
      <c r="N355" s="25">
        <v>0</v>
      </c>
      <c r="O355"/>
      <c r="P355">
        <v>359344.55</v>
      </c>
      <c r="Q355">
        <v>359344.55</v>
      </c>
    </row>
    <row r="356" spans="3:17" s="5" customFormat="1" ht="72" x14ac:dyDescent="0.3">
      <c r="C356" s="90" t="s">
        <v>809</v>
      </c>
      <c r="D356" s="87" t="s">
        <v>810</v>
      </c>
      <c r="E356" s="91" t="s">
        <v>68</v>
      </c>
      <c r="F356" s="92">
        <v>4</v>
      </c>
      <c r="G356" s="93">
        <v>41656.76</v>
      </c>
      <c r="H356" s="93">
        <v>166627.04</v>
      </c>
      <c r="I356" s="93">
        <v>0</v>
      </c>
      <c r="J356" s="93">
        <v>0</v>
      </c>
      <c r="K356" s="25">
        <v>166627.04</v>
      </c>
      <c r="L356" s="25">
        <v>0</v>
      </c>
      <c r="M356" s="25">
        <v>0</v>
      </c>
      <c r="N356" s="25">
        <v>0</v>
      </c>
      <c r="O356"/>
      <c r="P356">
        <v>359552.83</v>
      </c>
      <c r="Q356">
        <v>359552.83</v>
      </c>
    </row>
    <row r="357" spans="3:17" s="5" customFormat="1" ht="72" x14ac:dyDescent="0.3">
      <c r="C357" s="90" t="s">
        <v>812</v>
      </c>
      <c r="D357" s="87" t="s">
        <v>813</v>
      </c>
      <c r="E357" s="91" t="s">
        <v>68</v>
      </c>
      <c r="F357" s="92">
        <v>1</v>
      </c>
      <c r="G357" s="93">
        <v>20483.02</v>
      </c>
      <c r="H357" s="93">
        <v>20483.02</v>
      </c>
      <c r="I357" s="93">
        <v>0</v>
      </c>
      <c r="J357" s="93">
        <v>20483.02</v>
      </c>
      <c r="K357" s="25">
        <v>0</v>
      </c>
      <c r="L357" s="25">
        <v>0</v>
      </c>
      <c r="M357" s="25">
        <v>0</v>
      </c>
      <c r="N357" s="25">
        <v>0</v>
      </c>
      <c r="O357"/>
      <c r="P357">
        <v>364194.04</v>
      </c>
      <c r="Q357">
        <v>364194.04</v>
      </c>
    </row>
    <row r="358" spans="3:17" s="5" customFormat="1" ht="60" x14ac:dyDescent="0.3">
      <c r="C358" s="90" t="s">
        <v>815</v>
      </c>
      <c r="D358" s="87" t="s">
        <v>816</v>
      </c>
      <c r="E358" s="91" t="s">
        <v>68</v>
      </c>
      <c r="F358" s="92">
        <v>2</v>
      </c>
      <c r="G358" s="93">
        <v>1321.24</v>
      </c>
      <c r="H358" s="93">
        <v>2642.48</v>
      </c>
      <c r="I358" s="93">
        <v>0</v>
      </c>
      <c r="J358" s="93">
        <v>0</v>
      </c>
      <c r="K358" s="25">
        <v>0</v>
      </c>
      <c r="L358" s="25">
        <v>2642.48</v>
      </c>
      <c r="M358" s="25">
        <v>0</v>
      </c>
      <c r="N358" s="25">
        <v>0</v>
      </c>
      <c r="O358"/>
      <c r="P358">
        <v>364194.04</v>
      </c>
      <c r="Q358">
        <v>364194.04</v>
      </c>
    </row>
    <row r="359" spans="3:17" s="5" customFormat="1" ht="72" x14ac:dyDescent="0.3">
      <c r="C359" s="90" t="s">
        <v>818</v>
      </c>
      <c r="D359" s="87" t="s">
        <v>819</v>
      </c>
      <c r="E359" s="91" t="s">
        <v>68</v>
      </c>
      <c r="F359" s="92">
        <v>1</v>
      </c>
      <c r="G359" s="93">
        <v>4037.24</v>
      </c>
      <c r="H359" s="93">
        <v>4037.24</v>
      </c>
      <c r="I359" s="93">
        <v>0</v>
      </c>
      <c r="J359" s="93">
        <v>0</v>
      </c>
      <c r="K359" s="25">
        <v>0</v>
      </c>
      <c r="L359" s="25">
        <v>4037.24</v>
      </c>
      <c r="M359" s="25">
        <v>0</v>
      </c>
      <c r="N359" s="25">
        <v>0</v>
      </c>
      <c r="O359"/>
      <c r="P359">
        <v>364194.04</v>
      </c>
      <c r="Q359">
        <v>364194.04</v>
      </c>
    </row>
    <row r="360" spans="3:17" s="5" customFormat="1" ht="72" x14ac:dyDescent="0.3">
      <c r="C360" s="90" t="s">
        <v>821</v>
      </c>
      <c r="D360" s="87" t="s">
        <v>822</v>
      </c>
      <c r="E360" s="91" t="s">
        <v>68</v>
      </c>
      <c r="F360" s="92">
        <v>1</v>
      </c>
      <c r="G360" s="93">
        <v>1854</v>
      </c>
      <c r="H360" s="93">
        <v>1854</v>
      </c>
      <c r="I360" s="93">
        <v>0</v>
      </c>
      <c r="J360" s="93">
        <v>0</v>
      </c>
      <c r="K360" s="25">
        <v>0</v>
      </c>
      <c r="L360" s="25">
        <v>1854</v>
      </c>
      <c r="M360" s="25">
        <v>0</v>
      </c>
      <c r="N360" s="25">
        <v>0</v>
      </c>
      <c r="O360"/>
      <c r="P360">
        <v>364194.04</v>
      </c>
      <c r="Q360">
        <v>364194.04</v>
      </c>
    </row>
    <row r="361" spans="3:17" s="5" customFormat="1" ht="72" x14ac:dyDescent="0.3">
      <c r="C361" s="90" t="s">
        <v>824</v>
      </c>
      <c r="D361" s="87" t="s">
        <v>825</v>
      </c>
      <c r="E361" s="91" t="s">
        <v>68</v>
      </c>
      <c r="F361" s="92">
        <v>2</v>
      </c>
      <c r="G361" s="93">
        <v>1976.66</v>
      </c>
      <c r="H361" s="93">
        <v>3953.32</v>
      </c>
      <c r="I361" s="93">
        <v>0</v>
      </c>
      <c r="J361" s="93">
        <v>0</v>
      </c>
      <c r="K361" s="25">
        <v>0</v>
      </c>
      <c r="L361" s="25">
        <v>3953.32</v>
      </c>
      <c r="M361" s="25">
        <v>0</v>
      </c>
      <c r="N361" s="25">
        <v>0</v>
      </c>
      <c r="O361"/>
      <c r="P361">
        <v>364194.04</v>
      </c>
      <c r="Q361">
        <v>364194.04</v>
      </c>
    </row>
    <row r="362" spans="3:17" s="5" customFormat="1" ht="60" x14ac:dyDescent="0.3">
      <c r="C362" s="90" t="s">
        <v>827</v>
      </c>
      <c r="D362" s="87" t="s">
        <v>828</v>
      </c>
      <c r="E362" s="91" t="s">
        <v>68</v>
      </c>
      <c r="F362" s="92">
        <v>2</v>
      </c>
      <c r="G362" s="93">
        <v>1270.42</v>
      </c>
      <c r="H362" s="93">
        <v>2540.84</v>
      </c>
      <c r="I362" s="93">
        <v>0</v>
      </c>
      <c r="J362" s="93">
        <v>0</v>
      </c>
      <c r="K362" s="25">
        <v>2540.84</v>
      </c>
      <c r="L362" s="25">
        <v>0</v>
      </c>
      <c r="M362" s="25">
        <v>0</v>
      </c>
      <c r="N362" s="25">
        <v>0</v>
      </c>
      <c r="O362"/>
      <c r="P362">
        <v>364194.04</v>
      </c>
      <c r="Q362">
        <v>364194.04</v>
      </c>
    </row>
    <row r="363" spans="3:17" s="5" customFormat="1" ht="84" x14ac:dyDescent="0.3">
      <c r="C363" s="90" t="s">
        <v>830</v>
      </c>
      <c r="D363" s="87" t="s">
        <v>831</v>
      </c>
      <c r="E363" s="91" t="s">
        <v>68</v>
      </c>
      <c r="F363" s="92">
        <v>3</v>
      </c>
      <c r="G363" s="93">
        <v>8576.5</v>
      </c>
      <c r="H363" s="93">
        <v>25729.5</v>
      </c>
      <c r="I363" s="93">
        <v>0</v>
      </c>
      <c r="J363" s="93">
        <v>0</v>
      </c>
      <c r="K363" s="25">
        <v>0</v>
      </c>
      <c r="L363" s="25">
        <v>25729.5</v>
      </c>
      <c r="M363" s="25">
        <v>0</v>
      </c>
      <c r="N363" s="25">
        <v>0</v>
      </c>
      <c r="O363"/>
      <c r="P363">
        <v>364194.04</v>
      </c>
      <c r="Q363">
        <v>364194.04</v>
      </c>
    </row>
    <row r="364" spans="3:17" s="5" customFormat="1" ht="48" x14ac:dyDescent="0.3">
      <c r="C364" s="90" t="s">
        <v>833</v>
      </c>
      <c r="D364" s="87" t="s">
        <v>834</v>
      </c>
      <c r="E364" s="91" t="s">
        <v>68</v>
      </c>
      <c r="F364" s="92">
        <v>2</v>
      </c>
      <c r="G364" s="93">
        <v>806.64</v>
      </c>
      <c r="H364" s="93">
        <v>1613.28</v>
      </c>
      <c r="I364" s="93">
        <v>0</v>
      </c>
      <c r="J364" s="93">
        <v>0</v>
      </c>
      <c r="K364" s="25">
        <v>0</v>
      </c>
      <c r="L364" s="25">
        <v>1613.28</v>
      </c>
      <c r="M364" s="25">
        <v>0</v>
      </c>
      <c r="N364" s="25">
        <v>0</v>
      </c>
      <c r="O364"/>
      <c r="P364">
        <v>364766.04</v>
      </c>
      <c r="Q364">
        <v>364766.04</v>
      </c>
    </row>
    <row r="365" spans="3:17" s="5" customFormat="1" ht="72" x14ac:dyDescent="0.3">
      <c r="C365" s="90" t="s">
        <v>836</v>
      </c>
      <c r="D365" s="87" t="s">
        <v>837</v>
      </c>
      <c r="E365" s="91" t="s">
        <v>58</v>
      </c>
      <c r="F365" s="92">
        <v>6.1</v>
      </c>
      <c r="G365" s="93">
        <v>2296.86</v>
      </c>
      <c r="H365" s="93">
        <v>14010.85</v>
      </c>
      <c r="I365" s="93">
        <v>0</v>
      </c>
      <c r="J365" s="93">
        <v>0</v>
      </c>
      <c r="K365" s="25">
        <v>0</v>
      </c>
      <c r="L365" s="25">
        <v>14010.85</v>
      </c>
      <c r="M365" s="25">
        <v>0</v>
      </c>
      <c r="N365" s="25">
        <v>0</v>
      </c>
      <c r="O365"/>
      <c r="P365">
        <v>364766.04</v>
      </c>
      <c r="Q365">
        <v>364766.04</v>
      </c>
    </row>
    <row r="366" spans="3:17" s="5" customFormat="1" ht="72" x14ac:dyDescent="0.3">
      <c r="C366" s="90" t="s">
        <v>839</v>
      </c>
      <c r="D366" s="87" t="s">
        <v>840</v>
      </c>
      <c r="E366" s="91" t="s">
        <v>58</v>
      </c>
      <c r="F366" s="92">
        <v>6.1</v>
      </c>
      <c r="G366" s="93">
        <v>3056.12</v>
      </c>
      <c r="H366" s="93">
        <v>18642.330000000002</v>
      </c>
      <c r="I366" s="93">
        <v>0</v>
      </c>
      <c r="J366" s="93">
        <v>0</v>
      </c>
      <c r="K366" s="25">
        <v>0</v>
      </c>
      <c r="L366" s="25">
        <v>18642.330000000002</v>
      </c>
      <c r="M366" s="25">
        <v>0</v>
      </c>
      <c r="N366" s="25">
        <v>0</v>
      </c>
      <c r="O366"/>
      <c r="P366">
        <v>364766.04</v>
      </c>
      <c r="Q366">
        <v>364766.04</v>
      </c>
    </row>
    <row r="367" spans="3:17" s="5" customFormat="1" ht="72" x14ac:dyDescent="0.3">
      <c r="C367" s="90" t="s">
        <v>842</v>
      </c>
      <c r="D367" s="87" t="s">
        <v>843</v>
      </c>
      <c r="E367" s="91" t="s">
        <v>58</v>
      </c>
      <c r="F367" s="92">
        <v>6.1</v>
      </c>
      <c r="G367" s="93">
        <v>12220.38</v>
      </c>
      <c r="H367" s="93">
        <v>74544.320000000007</v>
      </c>
      <c r="I367" s="93">
        <v>0</v>
      </c>
      <c r="J367" s="93">
        <v>0</v>
      </c>
      <c r="K367" s="25">
        <v>0</v>
      </c>
      <c r="L367" s="25">
        <v>74544.320000000007</v>
      </c>
      <c r="M367" s="25">
        <v>0</v>
      </c>
      <c r="N367" s="25">
        <v>0</v>
      </c>
      <c r="O367"/>
      <c r="P367">
        <v>364766.04</v>
      </c>
      <c r="Q367">
        <v>364766.04</v>
      </c>
    </row>
    <row r="368" spans="3:17" s="5" customFormat="1" ht="72" x14ac:dyDescent="0.3">
      <c r="C368" s="90" t="s">
        <v>845</v>
      </c>
      <c r="D368" s="87" t="s">
        <v>846</v>
      </c>
      <c r="E368" s="91" t="s">
        <v>58</v>
      </c>
      <c r="F368" s="92">
        <v>17.5</v>
      </c>
      <c r="G368" s="93">
        <v>10353.99</v>
      </c>
      <c r="H368" s="93">
        <v>181194.83</v>
      </c>
      <c r="I368" s="93">
        <v>0</v>
      </c>
      <c r="J368" s="93">
        <v>0</v>
      </c>
      <c r="K368" s="25">
        <v>0</v>
      </c>
      <c r="L368" s="25">
        <v>181194.83</v>
      </c>
      <c r="M368" s="25">
        <v>0</v>
      </c>
      <c r="N368" s="25">
        <v>0</v>
      </c>
      <c r="O368"/>
      <c r="P368">
        <v>364766.04</v>
      </c>
      <c r="Q368">
        <v>364766.04</v>
      </c>
    </row>
    <row r="369" spans="3:17" s="5" customFormat="1" ht="72" x14ac:dyDescent="0.3">
      <c r="C369" s="90" t="s">
        <v>848</v>
      </c>
      <c r="D369" s="87" t="s">
        <v>849</v>
      </c>
      <c r="E369" s="91" t="s">
        <v>68</v>
      </c>
      <c r="F369" s="92">
        <v>4</v>
      </c>
      <c r="G369" s="93">
        <v>2120.2399999999998</v>
      </c>
      <c r="H369" s="93">
        <v>8480.9599999999991</v>
      </c>
      <c r="I369" s="93">
        <v>0</v>
      </c>
      <c r="J369" s="93">
        <v>0</v>
      </c>
      <c r="K369" s="25">
        <v>0</v>
      </c>
      <c r="L369" s="25">
        <v>8480.9599999999991</v>
      </c>
      <c r="M369" s="25">
        <v>0</v>
      </c>
      <c r="N369" s="25">
        <v>0</v>
      </c>
      <c r="O369"/>
      <c r="P369">
        <v>364766.04</v>
      </c>
      <c r="Q369">
        <v>364766.04</v>
      </c>
    </row>
    <row r="370" spans="3:17" s="5" customFormat="1" ht="72" x14ac:dyDescent="0.3">
      <c r="C370" s="90" t="s">
        <v>851</v>
      </c>
      <c r="D370" s="87" t="s">
        <v>852</v>
      </c>
      <c r="E370" s="91" t="s">
        <v>68</v>
      </c>
      <c r="F370" s="92">
        <v>4</v>
      </c>
      <c r="G370" s="93">
        <v>2313.14</v>
      </c>
      <c r="H370" s="93">
        <v>9252.56</v>
      </c>
      <c r="I370" s="93">
        <v>0</v>
      </c>
      <c r="J370" s="93">
        <v>0</v>
      </c>
      <c r="K370" s="25">
        <v>0</v>
      </c>
      <c r="L370" s="25">
        <v>9252.56</v>
      </c>
      <c r="M370" s="25">
        <v>0</v>
      </c>
      <c r="N370" s="25">
        <v>0</v>
      </c>
      <c r="O370"/>
      <c r="P370">
        <v>364766.04</v>
      </c>
      <c r="Q370">
        <v>364766.04</v>
      </c>
    </row>
    <row r="371" spans="3:17" s="5" customFormat="1" ht="72" x14ac:dyDescent="0.3">
      <c r="C371" s="90" t="s">
        <v>854</v>
      </c>
      <c r="D371" s="87" t="s">
        <v>855</v>
      </c>
      <c r="E371" s="91" t="s">
        <v>68</v>
      </c>
      <c r="F371" s="92">
        <v>2</v>
      </c>
      <c r="G371" s="93">
        <v>5789.27</v>
      </c>
      <c r="H371" s="93">
        <v>11578.54</v>
      </c>
      <c r="I371" s="93">
        <v>0</v>
      </c>
      <c r="J371" s="93">
        <v>0</v>
      </c>
      <c r="K371" s="25">
        <v>11578.54</v>
      </c>
      <c r="L371" s="25">
        <v>0</v>
      </c>
      <c r="M371" s="25">
        <v>0</v>
      </c>
      <c r="N371" s="25">
        <v>0</v>
      </c>
      <c r="O371"/>
      <c r="P371">
        <v>364766.04</v>
      </c>
      <c r="Q371">
        <v>364766.04</v>
      </c>
    </row>
    <row r="372" spans="3:17" s="5" customFormat="1" ht="72" x14ac:dyDescent="0.3">
      <c r="C372" s="90" t="s">
        <v>857</v>
      </c>
      <c r="D372" s="87" t="s">
        <v>858</v>
      </c>
      <c r="E372" s="91" t="s">
        <v>68</v>
      </c>
      <c r="F372" s="92">
        <v>8</v>
      </c>
      <c r="G372" s="93">
        <v>4038.55</v>
      </c>
      <c r="H372" s="93">
        <v>32308.400000000001</v>
      </c>
      <c r="I372" s="93">
        <v>0</v>
      </c>
      <c r="J372" s="93">
        <v>0</v>
      </c>
      <c r="K372" s="25">
        <v>32308.400000000001</v>
      </c>
      <c r="L372" s="25">
        <v>0</v>
      </c>
      <c r="M372" s="25">
        <v>0</v>
      </c>
      <c r="N372" s="25">
        <v>0</v>
      </c>
      <c r="O372"/>
      <c r="P372">
        <v>364766.04</v>
      </c>
      <c r="Q372">
        <v>364766.04</v>
      </c>
    </row>
    <row r="373" spans="3:17" s="5" customFormat="1" ht="72" x14ac:dyDescent="0.3">
      <c r="C373" s="90" t="s">
        <v>860</v>
      </c>
      <c r="D373" s="87" t="s">
        <v>861</v>
      </c>
      <c r="E373" s="91" t="s">
        <v>68</v>
      </c>
      <c r="F373" s="92">
        <v>6</v>
      </c>
      <c r="G373" s="93">
        <v>2210.46</v>
      </c>
      <c r="H373" s="93">
        <v>13262.76</v>
      </c>
      <c r="I373" s="93">
        <v>0</v>
      </c>
      <c r="J373" s="93">
        <v>0</v>
      </c>
      <c r="K373" s="25">
        <v>0</v>
      </c>
      <c r="L373" s="25">
        <v>13262.76</v>
      </c>
      <c r="M373" s="25">
        <v>0</v>
      </c>
      <c r="N373" s="25">
        <v>0</v>
      </c>
      <c r="O373"/>
      <c r="P373">
        <v>364766.04</v>
      </c>
      <c r="Q373">
        <v>364766.04</v>
      </c>
    </row>
    <row r="374" spans="3:17" s="5" customFormat="1" ht="72" x14ac:dyDescent="0.3">
      <c r="C374" s="90" t="s">
        <v>863</v>
      </c>
      <c r="D374" s="87" t="s">
        <v>864</v>
      </c>
      <c r="E374" s="91" t="s">
        <v>68</v>
      </c>
      <c r="F374" s="92">
        <v>6</v>
      </c>
      <c r="G374" s="93">
        <v>2397.09</v>
      </c>
      <c r="H374" s="93">
        <v>14382.54</v>
      </c>
      <c r="I374" s="93">
        <v>0</v>
      </c>
      <c r="J374" s="93">
        <v>0</v>
      </c>
      <c r="K374" s="25">
        <v>0</v>
      </c>
      <c r="L374" s="25">
        <v>14382.54</v>
      </c>
      <c r="M374" s="25">
        <v>0</v>
      </c>
      <c r="N374" s="25">
        <v>0</v>
      </c>
      <c r="O374"/>
      <c r="P374">
        <v>364766.04</v>
      </c>
      <c r="Q374">
        <v>364766.04</v>
      </c>
    </row>
    <row r="375" spans="3:17" s="5" customFormat="1" ht="72" x14ac:dyDescent="0.3">
      <c r="C375" s="90" t="s">
        <v>866</v>
      </c>
      <c r="D375" s="87" t="s">
        <v>867</v>
      </c>
      <c r="E375" s="91" t="s">
        <v>68</v>
      </c>
      <c r="F375" s="92">
        <v>2</v>
      </c>
      <c r="G375" s="93">
        <v>3578.07</v>
      </c>
      <c r="H375" s="93">
        <v>7156.14</v>
      </c>
      <c r="I375" s="93">
        <v>0</v>
      </c>
      <c r="J375" s="93">
        <v>0</v>
      </c>
      <c r="K375" s="25">
        <v>7156.14</v>
      </c>
      <c r="L375" s="25">
        <v>0</v>
      </c>
      <c r="M375" s="25">
        <v>0</v>
      </c>
      <c r="N375" s="25">
        <v>0</v>
      </c>
      <c r="O375"/>
      <c r="P375">
        <v>364766.04</v>
      </c>
      <c r="Q375">
        <v>364766.04</v>
      </c>
    </row>
    <row r="376" spans="3:17" s="5" customFormat="1" ht="72" x14ac:dyDescent="0.3">
      <c r="C376" s="90" t="s">
        <v>869</v>
      </c>
      <c r="D376" s="87" t="s">
        <v>870</v>
      </c>
      <c r="E376" s="91" t="s">
        <v>68</v>
      </c>
      <c r="F376" s="92">
        <v>2</v>
      </c>
      <c r="G376" s="93">
        <v>2642.27</v>
      </c>
      <c r="H376" s="93">
        <v>5284.54</v>
      </c>
      <c r="I376" s="93">
        <v>0</v>
      </c>
      <c r="J376" s="93">
        <v>0</v>
      </c>
      <c r="K376" s="25">
        <v>0</v>
      </c>
      <c r="L376" s="25">
        <v>5284.54</v>
      </c>
      <c r="M376" s="25">
        <v>0</v>
      </c>
      <c r="N376" s="25">
        <v>0</v>
      </c>
      <c r="O376"/>
      <c r="P376">
        <v>364766.04</v>
      </c>
      <c r="Q376">
        <v>364766.04</v>
      </c>
    </row>
    <row r="377" spans="3:17" s="5" customFormat="1" ht="72" x14ac:dyDescent="0.3">
      <c r="C377" s="90" t="s">
        <v>872</v>
      </c>
      <c r="D377" s="87" t="s">
        <v>873</v>
      </c>
      <c r="E377" s="91" t="s">
        <v>68</v>
      </c>
      <c r="F377" s="92">
        <v>4</v>
      </c>
      <c r="G377" s="93">
        <v>2854.68</v>
      </c>
      <c r="H377" s="93">
        <v>11418.72</v>
      </c>
      <c r="I377" s="93">
        <v>0</v>
      </c>
      <c r="J377" s="93">
        <v>0</v>
      </c>
      <c r="K377" s="25">
        <v>0</v>
      </c>
      <c r="L377" s="25">
        <v>11418.72</v>
      </c>
      <c r="M377" s="25">
        <v>0</v>
      </c>
      <c r="N377" s="25">
        <v>0</v>
      </c>
      <c r="O377"/>
      <c r="P377">
        <v>364766.04</v>
      </c>
      <c r="Q377">
        <v>364766.04</v>
      </c>
    </row>
    <row r="378" spans="3:17" s="5" customFormat="1" ht="72" x14ac:dyDescent="0.3">
      <c r="C378" s="90" t="s">
        <v>875</v>
      </c>
      <c r="D378" s="87" t="s">
        <v>876</v>
      </c>
      <c r="E378" s="91" t="s">
        <v>68</v>
      </c>
      <c r="F378" s="92">
        <v>1</v>
      </c>
      <c r="G378" s="93">
        <v>14881.67</v>
      </c>
      <c r="H378" s="93">
        <v>14881.67</v>
      </c>
      <c r="I378" s="93">
        <v>0</v>
      </c>
      <c r="J378" s="93">
        <v>0</v>
      </c>
      <c r="K378" s="25">
        <v>0</v>
      </c>
      <c r="L378" s="25">
        <v>14881.67</v>
      </c>
      <c r="M378" s="25">
        <v>0</v>
      </c>
      <c r="N378" s="25">
        <v>0</v>
      </c>
      <c r="O378"/>
      <c r="P378">
        <v>364766.04</v>
      </c>
      <c r="Q378">
        <v>364766.04</v>
      </c>
    </row>
    <row r="379" spans="3:17" s="5" customFormat="1" ht="72" x14ac:dyDescent="0.3">
      <c r="C379" s="90" t="s">
        <v>878</v>
      </c>
      <c r="D379" s="87" t="s">
        <v>879</v>
      </c>
      <c r="E379" s="91" t="s">
        <v>68</v>
      </c>
      <c r="F379" s="92">
        <v>1</v>
      </c>
      <c r="G379" s="93">
        <v>14881.7</v>
      </c>
      <c r="H379" s="93">
        <v>14881.7</v>
      </c>
      <c r="I379" s="93">
        <v>0</v>
      </c>
      <c r="J379" s="93">
        <v>0</v>
      </c>
      <c r="K379" s="25">
        <v>14881.7</v>
      </c>
      <c r="L379" s="25">
        <v>0</v>
      </c>
      <c r="M379" s="25">
        <v>0</v>
      </c>
      <c r="N379" s="25">
        <v>0</v>
      </c>
      <c r="O379"/>
      <c r="P379">
        <v>364766.04</v>
      </c>
      <c r="Q379">
        <v>364766.04</v>
      </c>
    </row>
    <row r="380" spans="3:17" s="5" customFormat="1" ht="72" x14ac:dyDescent="0.3">
      <c r="C380" s="90" t="s">
        <v>881</v>
      </c>
      <c r="D380" s="87" t="s">
        <v>882</v>
      </c>
      <c r="E380" s="91" t="s">
        <v>68</v>
      </c>
      <c r="F380" s="92">
        <v>1</v>
      </c>
      <c r="G380" s="93">
        <v>8108.15</v>
      </c>
      <c r="H380" s="93">
        <v>8108.15</v>
      </c>
      <c r="I380" s="93">
        <v>0</v>
      </c>
      <c r="J380" s="93">
        <v>0</v>
      </c>
      <c r="K380" s="25">
        <v>0</v>
      </c>
      <c r="L380" s="25">
        <v>8108.15</v>
      </c>
      <c r="M380" s="25">
        <v>0</v>
      </c>
      <c r="N380" s="25">
        <v>0</v>
      </c>
      <c r="O380"/>
      <c r="P380">
        <v>364766.04</v>
      </c>
      <c r="Q380">
        <v>364766.04</v>
      </c>
    </row>
    <row r="381" spans="3:17" s="5" customFormat="1" ht="72" x14ac:dyDescent="0.3">
      <c r="C381" s="90" t="s">
        <v>884</v>
      </c>
      <c r="D381" s="87" t="s">
        <v>885</v>
      </c>
      <c r="E381" s="91" t="s">
        <v>68</v>
      </c>
      <c r="F381" s="92">
        <v>1</v>
      </c>
      <c r="G381" s="93">
        <v>3678.48</v>
      </c>
      <c r="H381" s="93">
        <v>3678.48</v>
      </c>
      <c r="I381" s="93">
        <v>0</v>
      </c>
      <c r="J381" s="93">
        <v>0</v>
      </c>
      <c r="K381" s="25">
        <v>3678.48</v>
      </c>
      <c r="L381" s="25">
        <v>0</v>
      </c>
      <c r="M381" s="25">
        <v>0</v>
      </c>
      <c r="N381" s="25">
        <v>0</v>
      </c>
      <c r="O381"/>
      <c r="P381">
        <v>364766.04</v>
      </c>
      <c r="Q381">
        <v>364766.04</v>
      </c>
    </row>
    <row r="382" spans="3:17" s="5" customFormat="1" ht="72" x14ac:dyDescent="0.3">
      <c r="C382" s="90" t="s">
        <v>887</v>
      </c>
      <c r="D382" s="87" t="s">
        <v>888</v>
      </c>
      <c r="E382" s="91" t="s">
        <v>68</v>
      </c>
      <c r="F382" s="92">
        <v>1</v>
      </c>
      <c r="G382" s="93">
        <v>10249</v>
      </c>
      <c r="H382" s="93">
        <v>10249</v>
      </c>
      <c r="I382" s="93">
        <v>0</v>
      </c>
      <c r="J382" s="93">
        <v>0</v>
      </c>
      <c r="K382" s="25">
        <v>10249</v>
      </c>
      <c r="L382" s="25">
        <v>0</v>
      </c>
      <c r="M382" s="25">
        <v>0</v>
      </c>
      <c r="N382" s="25">
        <v>0</v>
      </c>
      <c r="O382"/>
      <c r="P382">
        <v>364766.04</v>
      </c>
      <c r="Q382">
        <v>364766.04</v>
      </c>
    </row>
    <row r="383" spans="3:17" s="5" customFormat="1" ht="60" x14ac:dyDescent="0.3">
      <c r="C383" s="90" t="s">
        <v>890</v>
      </c>
      <c r="D383" s="87" t="s">
        <v>891</v>
      </c>
      <c r="E383" s="91" t="s">
        <v>68</v>
      </c>
      <c r="F383" s="92">
        <v>6</v>
      </c>
      <c r="G383" s="93">
        <v>5093.91</v>
      </c>
      <c r="H383" s="93">
        <v>30563.46</v>
      </c>
      <c r="I383" s="93">
        <v>0</v>
      </c>
      <c r="J383" s="93">
        <v>0</v>
      </c>
      <c r="K383" s="25">
        <v>30563.46</v>
      </c>
      <c r="L383" s="25">
        <v>0</v>
      </c>
      <c r="M383" s="25">
        <v>0</v>
      </c>
      <c r="N383" s="25">
        <v>0</v>
      </c>
      <c r="O383"/>
      <c r="P383">
        <v>364766.04</v>
      </c>
      <c r="Q383">
        <v>364766.04</v>
      </c>
    </row>
    <row r="384" spans="3:17" s="5" customFormat="1" ht="72" x14ac:dyDescent="0.3">
      <c r="C384" s="90" t="s">
        <v>893</v>
      </c>
      <c r="D384" s="87" t="s">
        <v>894</v>
      </c>
      <c r="E384" s="91" t="s">
        <v>68</v>
      </c>
      <c r="F384" s="92">
        <v>1</v>
      </c>
      <c r="G384" s="93">
        <v>6274.71</v>
      </c>
      <c r="H384" s="93">
        <v>6274.71</v>
      </c>
      <c r="I384" s="93">
        <v>0</v>
      </c>
      <c r="J384" s="93">
        <v>0</v>
      </c>
      <c r="K384" s="25">
        <v>6274.71</v>
      </c>
      <c r="L384" s="25">
        <v>0</v>
      </c>
      <c r="M384" s="25">
        <v>0</v>
      </c>
      <c r="N384" s="25">
        <v>0</v>
      </c>
      <c r="O384"/>
      <c r="P384">
        <v>364766.04</v>
      </c>
      <c r="Q384">
        <v>364766.04</v>
      </c>
    </row>
    <row r="385" spans="3:17" s="5" customFormat="1" ht="72" x14ac:dyDescent="0.3">
      <c r="C385" s="90" t="s">
        <v>896</v>
      </c>
      <c r="D385" s="87" t="s">
        <v>897</v>
      </c>
      <c r="E385" s="91" t="s">
        <v>68</v>
      </c>
      <c r="F385" s="92">
        <v>2</v>
      </c>
      <c r="G385" s="93">
        <v>1329.12</v>
      </c>
      <c r="H385" s="93">
        <v>2658.24</v>
      </c>
      <c r="I385" s="93">
        <v>0</v>
      </c>
      <c r="J385" s="93">
        <v>0</v>
      </c>
      <c r="K385" s="25">
        <v>0</v>
      </c>
      <c r="L385" s="25">
        <v>2658.24</v>
      </c>
      <c r="M385" s="25">
        <v>0</v>
      </c>
      <c r="N385" s="25">
        <v>0</v>
      </c>
      <c r="O385"/>
      <c r="P385">
        <v>364766.04</v>
      </c>
      <c r="Q385">
        <v>364766.04</v>
      </c>
    </row>
    <row r="386" spans="3:17" s="5" customFormat="1" ht="72" x14ac:dyDescent="0.3">
      <c r="C386" s="90" t="s">
        <v>899</v>
      </c>
      <c r="D386" s="87" t="s">
        <v>900</v>
      </c>
      <c r="E386" s="91" t="s">
        <v>68</v>
      </c>
      <c r="F386" s="92">
        <v>2</v>
      </c>
      <c r="G386" s="93">
        <v>1422.27</v>
      </c>
      <c r="H386" s="93">
        <v>2844.54</v>
      </c>
      <c r="I386" s="93">
        <v>0</v>
      </c>
      <c r="J386" s="93">
        <v>0</v>
      </c>
      <c r="K386" s="25">
        <v>0</v>
      </c>
      <c r="L386" s="25">
        <v>2844.54</v>
      </c>
      <c r="M386" s="25">
        <v>0</v>
      </c>
      <c r="N386" s="25">
        <v>0</v>
      </c>
      <c r="O386"/>
      <c r="P386">
        <v>364766.04</v>
      </c>
      <c r="Q386">
        <v>364766.04</v>
      </c>
    </row>
    <row r="387" spans="3:17" s="5" customFormat="1" ht="72" x14ac:dyDescent="0.3">
      <c r="C387" s="90" t="s">
        <v>902</v>
      </c>
      <c r="D387" s="87" t="s">
        <v>903</v>
      </c>
      <c r="E387" s="91" t="s">
        <v>68</v>
      </c>
      <c r="F387" s="92">
        <v>1</v>
      </c>
      <c r="G387" s="93">
        <v>6055.13</v>
      </c>
      <c r="H387" s="93">
        <v>6055.13</v>
      </c>
      <c r="I387" s="93">
        <v>0</v>
      </c>
      <c r="J387" s="93">
        <v>0</v>
      </c>
      <c r="K387" s="25">
        <v>0</v>
      </c>
      <c r="L387" s="25">
        <v>6055.13</v>
      </c>
      <c r="M387" s="25">
        <v>0</v>
      </c>
      <c r="N387" s="25">
        <v>0</v>
      </c>
      <c r="O387"/>
      <c r="P387">
        <v>364766.04</v>
      </c>
      <c r="Q387">
        <v>364766.04</v>
      </c>
    </row>
    <row r="388" spans="3:17" s="5" customFormat="1" ht="72" x14ac:dyDescent="0.3">
      <c r="C388" s="90" t="s">
        <v>905</v>
      </c>
      <c r="D388" s="87" t="s">
        <v>906</v>
      </c>
      <c r="E388" s="91" t="s">
        <v>68</v>
      </c>
      <c r="F388" s="92">
        <v>2</v>
      </c>
      <c r="G388" s="93">
        <v>827.28</v>
      </c>
      <c r="H388" s="93">
        <v>1654.56</v>
      </c>
      <c r="I388" s="93">
        <v>0</v>
      </c>
      <c r="J388" s="93">
        <v>0</v>
      </c>
      <c r="K388" s="25">
        <v>0</v>
      </c>
      <c r="L388" s="25">
        <v>1654.56</v>
      </c>
      <c r="M388" s="25">
        <v>0</v>
      </c>
      <c r="N388" s="25">
        <v>0</v>
      </c>
      <c r="O388"/>
      <c r="P388">
        <v>364766.04</v>
      </c>
      <c r="Q388">
        <v>364766.04</v>
      </c>
    </row>
    <row r="389" spans="3:17" s="5" customFormat="1" ht="48" x14ac:dyDescent="0.3">
      <c r="C389" s="90" t="s">
        <v>908</v>
      </c>
      <c r="D389" s="87" t="s">
        <v>909</v>
      </c>
      <c r="E389" s="91" t="s">
        <v>50</v>
      </c>
      <c r="F389" s="92">
        <v>3.282</v>
      </c>
      <c r="G389" s="93">
        <v>380461.76</v>
      </c>
      <c r="H389" s="93">
        <v>1248675.5</v>
      </c>
      <c r="I389" s="93">
        <v>0</v>
      </c>
      <c r="J389" s="93">
        <v>1248675.5</v>
      </c>
      <c r="K389" s="25">
        <v>0</v>
      </c>
      <c r="L389" s="25">
        <v>0</v>
      </c>
      <c r="M389" s="25">
        <v>0</v>
      </c>
      <c r="N389" s="25">
        <v>0</v>
      </c>
      <c r="O389"/>
      <c r="P389">
        <v>367096.36</v>
      </c>
      <c r="Q389">
        <v>367096.36</v>
      </c>
    </row>
    <row r="390" spans="3:17" s="5" customFormat="1" ht="60" x14ac:dyDescent="0.3">
      <c r="C390" s="90" t="s">
        <v>911</v>
      </c>
      <c r="D390" s="87" t="s">
        <v>912</v>
      </c>
      <c r="E390" s="91" t="s">
        <v>50</v>
      </c>
      <c r="F390" s="92">
        <v>5.9669999999999996</v>
      </c>
      <c r="G390" s="93">
        <v>419247.84</v>
      </c>
      <c r="H390" s="93">
        <v>2501651.86</v>
      </c>
      <c r="I390" s="93">
        <v>0</v>
      </c>
      <c r="J390" s="93">
        <v>0</v>
      </c>
      <c r="K390" s="25">
        <v>2501651.86</v>
      </c>
      <c r="L390" s="25">
        <v>0</v>
      </c>
      <c r="M390" s="25">
        <v>0</v>
      </c>
      <c r="N390" s="25">
        <v>0</v>
      </c>
      <c r="O390"/>
      <c r="P390">
        <v>370824.72</v>
      </c>
      <c r="Q390">
        <v>370824.72</v>
      </c>
    </row>
    <row r="391" spans="3:17" s="5" customFormat="1" ht="48" x14ac:dyDescent="0.3">
      <c r="C391" s="90" t="s">
        <v>914</v>
      </c>
      <c r="D391" s="87" t="s">
        <v>915</v>
      </c>
      <c r="E391" s="91" t="s">
        <v>50</v>
      </c>
      <c r="F391" s="92">
        <v>1.863</v>
      </c>
      <c r="G391" s="93">
        <v>410459.34</v>
      </c>
      <c r="H391" s="93">
        <v>764685.75</v>
      </c>
      <c r="I391" s="93">
        <v>0</v>
      </c>
      <c r="J391" s="93">
        <v>0</v>
      </c>
      <c r="K391" s="25">
        <v>764685.75</v>
      </c>
      <c r="L391" s="25">
        <v>0</v>
      </c>
      <c r="M391" s="25">
        <v>0</v>
      </c>
      <c r="N391" s="25">
        <v>0</v>
      </c>
      <c r="O391"/>
      <c r="P391">
        <v>371988.78</v>
      </c>
      <c r="Q391">
        <v>371988.78</v>
      </c>
    </row>
    <row r="392" spans="3:17" s="5" customFormat="1" ht="72" x14ac:dyDescent="0.3">
      <c r="C392" s="90" t="s">
        <v>917</v>
      </c>
      <c r="D392" s="87" t="s">
        <v>918</v>
      </c>
      <c r="E392" s="91" t="s">
        <v>68</v>
      </c>
      <c r="F392" s="92">
        <v>3</v>
      </c>
      <c r="G392" s="93">
        <v>1257.08</v>
      </c>
      <c r="H392" s="93">
        <v>3771.24</v>
      </c>
      <c r="I392" s="93">
        <v>0</v>
      </c>
      <c r="J392" s="93">
        <v>0</v>
      </c>
      <c r="K392" s="25">
        <v>0</v>
      </c>
      <c r="L392" s="25">
        <v>3771.24</v>
      </c>
      <c r="M392" s="25">
        <v>0</v>
      </c>
      <c r="N392" s="25">
        <v>0</v>
      </c>
      <c r="O392"/>
      <c r="P392">
        <v>371988.78</v>
      </c>
      <c r="Q392">
        <v>371988.78</v>
      </c>
    </row>
    <row r="393" spans="3:17" s="5" customFormat="1" ht="72" x14ac:dyDescent="0.3">
      <c r="C393" s="90" t="s">
        <v>920</v>
      </c>
      <c r="D393" s="87" t="s">
        <v>921</v>
      </c>
      <c r="E393" s="91" t="s">
        <v>68</v>
      </c>
      <c r="F393" s="92">
        <v>1</v>
      </c>
      <c r="G393" s="93">
        <v>227126.02</v>
      </c>
      <c r="H393" s="93">
        <v>227126.02</v>
      </c>
      <c r="I393" s="93">
        <v>0</v>
      </c>
      <c r="J393" s="93">
        <v>0</v>
      </c>
      <c r="K393" s="25">
        <v>227126.02</v>
      </c>
      <c r="L393" s="25">
        <v>0</v>
      </c>
      <c r="M393" s="25">
        <v>0</v>
      </c>
      <c r="N393" s="25">
        <v>0</v>
      </c>
      <c r="O393"/>
      <c r="P393">
        <v>372144.99</v>
      </c>
      <c r="Q393">
        <v>372144.99</v>
      </c>
    </row>
    <row r="394" spans="3:17" s="5" customFormat="1" ht="72" x14ac:dyDescent="0.3">
      <c r="C394" s="90" t="s">
        <v>923</v>
      </c>
      <c r="D394" s="87" t="s">
        <v>924</v>
      </c>
      <c r="E394" s="91" t="s">
        <v>68</v>
      </c>
      <c r="F394" s="92">
        <v>1</v>
      </c>
      <c r="G394" s="93">
        <v>4066.31</v>
      </c>
      <c r="H394" s="93">
        <v>4066.31</v>
      </c>
      <c r="I394" s="93">
        <v>0</v>
      </c>
      <c r="J394" s="93">
        <v>0</v>
      </c>
      <c r="K394" s="25">
        <v>4066.31</v>
      </c>
      <c r="L394" s="25">
        <v>0</v>
      </c>
      <c r="M394" s="25">
        <v>0</v>
      </c>
      <c r="N394" s="25">
        <v>0</v>
      </c>
      <c r="O394"/>
      <c r="P394">
        <v>372144.99</v>
      </c>
      <c r="Q394">
        <v>372144.99</v>
      </c>
    </row>
    <row r="395" spans="3:17" s="5" customFormat="1" ht="72" x14ac:dyDescent="0.3">
      <c r="C395" s="90" t="s">
        <v>926</v>
      </c>
      <c r="D395" s="87" t="s">
        <v>927</v>
      </c>
      <c r="E395" s="91" t="s">
        <v>68</v>
      </c>
      <c r="F395" s="92">
        <v>2</v>
      </c>
      <c r="G395" s="93">
        <v>14446.15</v>
      </c>
      <c r="H395" s="93">
        <v>28892.3</v>
      </c>
      <c r="I395" s="93">
        <v>0</v>
      </c>
      <c r="J395" s="93">
        <v>0</v>
      </c>
      <c r="K395" s="25">
        <v>28892.3</v>
      </c>
      <c r="L395" s="25">
        <v>0</v>
      </c>
      <c r="M395" s="25">
        <v>0</v>
      </c>
      <c r="N395" s="25">
        <v>0</v>
      </c>
      <c r="O395"/>
      <c r="P395">
        <v>372144.99</v>
      </c>
      <c r="Q395">
        <v>372144.99</v>
      </c>
    </row>
    <row r="396" spans="3:17" s="5" customFormat="1" ht="72" x14ac:dyDescent="0.3">
      <c r="C396" s="90" t="s">
        <v>929</v>
      </c>
      <c r="D396" s="87" t="s">
        <v>930</v>
      </c>
      <c r="E396" s="91" t="s">
        <v>58</v>
      </c>
      <c r="F396" s="92">
        <v>15</v>
      </c>
      <c r="G396" s="93">
        <v>9500</v>
      </c>
      <c r="H396" s="93">
        <v>142500</v>
      </c>
      <c r="I396" s="93">
        <v>0</v>
      </c>
      <c r="J396" s="93">
        <v>0</v>
      </c>
      <c r="K396" s="25">
        <v>0</v>
      </c>
      <c r="L396" s="25">
        <v>142500</v>
      </c>
      <c r="M396" s="25">
        <v>0</v>
      </c>
      <c r="N396" s="25">
        <v>0</v>
      </c>
      <c r="O396"/>
      <c r="P396">
        <v>372144.99</v>
      </c>
      <c r="Q396">
        <v>372144.99</v>
      </c>
    </row>
    <row r="397" spans="3:17" s="5" customFormat="1" ht="48" x14ac:dyDescent="0.3">
      <c r="C397" s="90" t="s">
        <v>932</v>
      </c>
      <c r="D397" s="87" t="s">
        <v>933</v>
      </c>
      <c r="E397" s="91" t="s">
        <v>68</v>
      </c>
      <c r="F397" s="92">
        <v>1</v>
      </c>
      <c r="G397" s="93">
        <v>16574.91</v>
      </c>
      <c r="H397" s="93">
        <v>16574.91</v>
      </c>
      <c r="I397" s="93">
        <v>0</v>
      </c>
      <c r="J397" s="93">
        <v>0</v>
      </c>
      <c r="K397" s="25">
        <v>0</v>
      </c>
      <c r="L397" s="25">
        <v>16574.91</v>
      </c>
      <c r="M397" s="25">
        <v>0</v>
      </c>
      <c r="N397" s="25">
        <v>0</v>
      </c>
      <c r="O397"/>
      <c r="P397">
        <v>372180.04</v>
      </c>
      <c r="Q397">
        <v>372180.04</v>
      </c>
    </row>
    <row r="398" spans="3:17" s="5" customFormat="1" ht="48" x14ac:dyDescent="0.3">
      <c r="C398" s="90" t="s">
        <v>935</v>
      </c>
      <c r="D398" s="87" t="s">
        <v>936</v>
      </c>
      <c r="E398" s="91" t="s">
        <v>68</v>
      </c>
      <c r="F398" s="92">
        <v>10</v>
      </c>
      <c r="G398" s="93">
        <v>143933.60999999999</v>
      </c>
      <c r="H398" s="93">
        <v>1439336.1</v>
      </c>
      <c r="I398" s="93">
        <v>0</v>
      </c>
      <c r="J398" s="93">
        <v>0</v>
      </c>
      <c r="K398" s="25">
        <v>0</v>
      </c>
      <c r="L398" s="25">
        <v>1439336.1</v>
      </c>
      <c r="M398" s="25">
        <v>0</v>
      </c>
      <c r="N398" s="25">
        <v>0</v>
      </c>
      <c r="O398"/>
      <c r="P398">
        <v>372180.04</v>
      </c>
      <c r="Q398">
        <v>372180.04</v>
      </c>
    </row>
    <row r="399" spans="3:17" s="5" customFormat="1" ht="48" x14ac:dyDescent="0.3">
      <c r="C399" s="90" t="s">
        <v>938</v>
      </c>
      <c r="D399" s="87" t="s">
        <v>939</v>
      </c>
      <c r="E399" s="91" t="s">
        <v>940</v>
      </c>
      <c r="F399" s="92">
        <v>55</v>
      </c>
      <c r="G399" s="93">
        <v>3894.41</v>
      </c>
      <c r="H399" s="93">
        <v>214192.55</v>
      </c>
      <c r="I399" s="93">
        <v>0</v>
      </c>
      <c r="J399" s="93">
        <v>0</v>
      </c>
      <c r="K399" s="25">
        <v>0</v>
      </c>
      <c r="L399" s="25">
        <v>214192.55</v>
      </c>
      <c r="M399" s="25">
        <v>0</v>
      </c>
      <c r="N399" s="25">
        <v>0</v>
      </c>
      <c r="O399"/>
      <c r="P399">
        <v>372484.74</v>
      </c>
      <c r="Q399">
        <v>372484.74</v>
      </c>
    </row>
    <row r="400" spans="3:17" s="5" customFormat="1" ht="48" x14ac:dyDescent="0.3">
      <c r="C400" s="90" t="s">
        <v>942</v>
      </c>
      <c r="D400" s="87" t="s">
        <v>943</v>
      </c>
      <c r="E400" s="91" t="s">
        <v>940</v>
      </c>
      <c r="F400" s="92">
        <v>26</v>
      </c>
      <c r="G400" s="93">
        <v>6340.9</v>
      </c>
      <c r="H400" s="93">
        <v>164863.4</v>
      </c>
      <c r="I400" s="93">
        <v>0</v>
      </c>
      <c r="J400" s="93">
        <v>0</v>
      </c>
      <c r="K400" s="25">
        <v>0</v>
      </c>
      <c r="L400" s="25">
        <v>164863.4</v>
      </c>
      <c r="M400" s="25">
        <v>0</v>
      </c>
      <c r="N400" s="25">
        <v>0</v>
      </c>
      <c r="O400"/>
      <c r="P400">
        <v>372922.58</v>
      </c>
      <c r="Q400">
        <v>372922.58</v>
      </c>
    </row>
    <row r="401" spans="3:17" s="5" customFormat="1" ht="72" x14ac:dyDescent="0.3">
      <c r="C401" s="90" t="s">
        <v>945</v>
      </c>
      <c r="D401" s="87" t="s">
        <v>946</v>
      </c>
      <c r="E401" s="91" t="s">
        <v>58</v>
      </c>
      <c r="F401" s="92">
        <v>73.2</v>
      </c>
      <c r="G401" s="93">
        <v>12520.74</v>
      </c>
      <c r="H401" s="93">
        <v>916518.17</v>
      </c>
      <c r="I401" s="93">
        <v>0</v>
      </c>
      <c r="J401" s="93">
        <v>0</v>
      </c>
      <c r="K401" s="25">
        <v>0</v>
      </c>
      <c r="L401" s="25">
        <v>916518.17</v>
      </c>
      <c r="M401" s="25">
        <v>0</v>
      </c>
      <c r="N401" s="25">
        <v>0</v>
      </c>
      <c r="O401"/>
      <c r="P401">
        <v>372922.58</v>
      </c>
      <c r="Q401">
        <v>372922.58</v>
      </c>
    </row>
    <row r="402" spans="3:17" s="5" customFormat="1" ht="72" x14ac:dyDescent="0.3">
      <c r="C402" s="90" t="s">
        <v>948</v>
      </c>
      <c r="D402" s="87" t="s">
        <v>949</v>
      </c>
      <c r="E402" s="91" t="s">
        <v>68</v>
      </c>
      <c r="F402" s="92">
        <v>6</v>
      </c>
      <c r="G402" s="93">
        <v>50736.43</v>
      </c>
      <c r="H402" s="93">
        <v>304418.58</v>
      </c>
      <c r="I402" s="93">
        <v>0</v>
      </c>
      <c r="J402" s="93">
        <v>0</v>
      </c>
      <c r="K402" s="25">
        <v>304418.58</v>
      </c>
      <c r="L402" s="25">
        <v>0</v>
      </c>
      <c r="M402" s="25">
        <v>0</v>
      </c>
      <c r="N402" s="25">
        <v>0</v>
      </c>
      <c r="O402"/>
      <c r="P402">
        <v>372922.58</v>
      </c>
      <c r="Q402">
        <v>372922.58</v>
      </c>
    </row>
    <row r="403" spans="3:17" s="5" customFormat="1" ht="84" x14ac:dyDescent="0.3">
      <c r="C403" s="90" t="s">
        <v>951</v>
      </c>
      <c r="D403" s="87" t="s">
        <v>952</v>
      </c>
      <c r="E403" s="91" t="s">
        <v>68</v>
      </c>
      <c r="F403" s="92">
        <v>35</v>
      </c>
      <c r="G403" s="93">
        <v>62812.75</v>
      </c>
      <c r="H403" s="93">
        <v>2198446.25</v>
      </c>
      <c r="I403" s="93">
        <v>0</v>
      </c>
      <c r="J403" s="93">
        <v>0</v>
      </c>
      <c r="K403" s="25">
        <v>2198446.25</v>
      </c>
      <c r="L403" s="25">
        <v>0</v>
      </c>
      <c r="M403" s="25">
        <v>0</v>
      </c>
      <c r="N403" s="25">
        <v>0</v>
      </c>
      <c r="O403"/>
      <c r="P403">
        <v>372922.58</v>
      </c>
      <c r="Q403">
        <v>372922.58</v>
      </c>
    </row>
    <row r="404" spans="3:17" s="5" customFormat="1" ht="36" x14ac:dyDescent="0.3">
      <c r="C404" s="90"/>
      <c r="D404" s="87" t="s">
        <v>954</v>
      </c>
      <c r="E404" s="91"/>
      <c r="F404" s="92"/>
      <c r="G404" s="93"/>
      <c r="H404" s="93">
        <v>36887884.93</v>
      </c>
      <c r="I404" s="93">
        <v>0</v>
      </c>
      <c r="J404" s="93">
        <v>17562289.309999999</v>
      </c>
      <c r="K404" s="25">
        <v>11951082.85</v>
      </c>
      <c r="L404" s="25">
        <v>7374512.7699999996</v>
      </c>
      <c r="M404" s="25">
        <v>0</v>
      </c>
      <c r="N404" s="25">
        <v>0</v>
      </c>
      <c r="O404"/>
      <c r="P404"/>
      <c r="Q404"/>
    </row>
    <row r="405" spans="3:17" s="5" customFormat="1" ht="48" x14ac:dyDescent="0.3">
      <c r="C405" s="90"/>
      <c r="D405" s="87" t="s">
        <v>955</v>
      </c>
      <c r="E405" s="91"/>
      <c r="F405" s="92"/>
      <c r="G405" s="93"/>
      <c r="H405" s="93"/>
      <c r="I405" s="93"/>
      <c r="J405" s="93"/>
      <c r="K405" s="25"/>
      <c r="L405" s="25"/>
      <c r="M405" s="25"/>
      <c r="N405" s="25"/>
      <c r="O405"/>
      <c r="P405"/>
      <c r="Q405"/>
    </row>
    <row r="406" spans="3:17" s="5" customFormat="1" ht="48" x14ac:dyDescent="0.3">
      <c r="C406" s="90" t="s">
        <v>956</v>
      </c>
      <c r="D406" s="87" t="s">
        <v>957</v>
      </c>
      <c r="E406" s="91" t="s">
        <v>68</v>
      </c>
      <c r="F406" s="92">
        <v>2</v>
      </c>
      <c r="G406" s="93">
        <v>1119.97</v>
      </c>
      <c r="H406" s="93">
        <v>2239.94</v>
      </c>
      <c r="I406" s="93">
        <v>0</v>
      </c>
      <c r="J406" s="93">
        <v>0</v>
      </c>
      <c r="K406" s="25">
        <v>0</v>
      </c>
      <c r="L406" s="25">
        <v>0</v>
      </c>
      <c r="M406" s="25">
        <v>2239.94</v>
      </c>
      <c r="N406" s="25">
        <v>0</v>
      </c>
      <c r="O406"/>
      <c r="P406"/>
      <c r="Q406"/>
    </row>
    <row r="407" spans="3:17" s="5" customFormat="1" ht="96" x14ac:dyDescent="0.3">
      <c r="C407" s="90" t="s">
        <v>959</v>
      </c>
      <c r="D407" s="87" t="s">
        <v>960</v>
      </c>
      <c r="E407" s="91" t="s">
        <v>68</v>
      </c>
      <c r="F407" s="92">
        <v>23</v>
      </c>
      <c r="G407" s="93">
        <v>558.97</v>
      </c>
      <c r="H407" s="93">
        <v>12856.31</v>
      </c>
      <c r="I407" s="93">
        <v>0</v>
      </c>
      <c r="J407" s="93">
        <v>0</v>
      </c>
      <c r="K407" s="25">
        <v>0</v>
      </c>
      <c r="L407" s="25">
        <v>0</v>
      </c>
      <c r="M407" s="25">
        <v>0</v>
      </c>
      <c r="N407" s="25">
        <v>12856.31</v>
      </c>
      <c r="O407"/>
      <c r="P407"/>
      <c r="Q407"/>
    </row>
    <row r="408" spans="3:17" s="5" customFormat="1" ht="60" x14ac:dyDescent="0.3">
      <c r="C408" s="90" t="s">
        <v>962</v>
      </c>
      <c r="D408" s="87" t="s">
        <v>963</v>
      </c>
      <c r="E408" s="91" t="s">
        <v>68</v>
      </c>
      <c r="F408" s="92">
        <v>1</v>
      </c>
      <c r="G408" s="93">
        <v>1122.46</v>
      </c>
      <c r="H408" s="93">
        <v>1122.46</v>
      </c>
      <c r="I408" s="93">
        <v>0</v>
      </c>
      <c r="J408" s="93">
        <v>0</v>
      </c>
      <c r="K408" s="25">
        <v>0</v>
      </c>
      <c r="L408" s="25">
        <v>0</v>
      </c>
      <c r="M408" s="25">
        <v>0</v>
      </c>
      <c r="N408" s="25">
        <v>1122.46</v>
      </c>
      <c r="O408"/>
      <c r="P408"/>
      <c r="Q408"/>
    </row>
    <row r="409" spans="3:17" s="5" customFormat="1" ht="48" x14ac:dyDescent="0.3">
      <c r="C409" s="90" t="s">
        <v>965</v>
      </c>
      <c r="D409" s="87" t="s">
        <v>966</v>
      </c>
      <c r="E409" s="91" t="s">
        <v>68</v>
      </c>
      <c r="F409" s="92">
        <v>2</v>
      </c>
      <c r="G409" s="93">
        <v>1602.96</v>
      </c>
      <c r="H409" s="93">
        <v>3205.92</v>
      </c>
      <c r="I409" s="93">
        <v>0</v>
      </c>
      <c r="J409" s="93">
        <v>0</v>
      </c>
      <c r="K409" s="25">
        <v>0</v>
      </c>
      <c r="L409" s="25">
        <v>0</v>
      </c>
      <c r="M409" s="25">
        <v>0</v>
      </c>
      <c r="N409" s="25">
        <v>3205.92</v>
      </c>
      <c r="O409"/>
      <c r="P409"/>
      <c r="Q409"/>
    </row>
    <row r="410" spans="3:17" s="5" customFormat="1" ht="96" x14ac:dyDescent="0.3">
      <c r="C410" s="90" t="s">
        <v>968</v>
      </c>
      <c r="D410" s="87" t="s">
        <v>969</v>
      </c>
      <c r="E410" s="91" t="s">
        <v>68</v>
      </c>
      <c r="F410" s="92">
        <v>3</v>
      </c>
      <c r="G410" s="93">
        <v>642.15</v>
      </c>
      <c r="H410" s="93">
        <v>1926.45</v>
      </c>
      <c r="I410" s="93">
        <v>0</v>
      </c>
      <c r="J410" s="93">
        <v>0</v>
      </c>
      <c r="K410" s="25">
        <v>0</v>
      </c>
      <c r="L410" s="25">
        <v>0</v>
      </c>
      <c r="M410" s="25">
        <v>0</v>
      </c>
      <c r="N410" s="25">
        <v>1926.45</v>
      </c>
      <c r="O410"/>
      <c r="P410"/>
      <c r="Q410"/>
    </row>
    <row r="411" spans="3:17" s="5" customFormat="1" ht="60" x14ac:dyDescent="0.3">
      <c r="C411" s="90" t="s">
        <v>971</v>
      </c>
      <c r="D411" s="87" t="s">
        <v>972</v>
      </c>
      <c r="E411" s="91" t="s">
        <v>68</v>
      </c>
      <c r="F411" s="92">
        <v>46</v>
      </c>
      <c r="G411" s="93">
        <v>1795.81</v>
      </c>
      <c r="H411" s="93">
        <v>82607.259999999995</v>
      </c>
      <c r="I411" s="93">
        <v>0</v>
      </c>
      <c r="J411" s="93">
        <v>0</v>
      </c>
      <c r="K411" s="25">
        <v>0</v>
      </c>
      <c r="L411" s="25">
        <v>0</v>
      </c>
      <c r="M411" s="25">
        <v>82607.259999999995</v>
      </c>
      <c r="N411" s="25">
        <v>0</v>
      </c>
      <c r="O411"/>
      <c r="P411"/>
      <c r="Q411"/>
    </row>
    <row r="412" spans="3:17" s="5" customFormat="1" ht="60" x14ac:dyDescent="0.3">
      <c r="C412" s="90" t="s">
        <v>974</v>
      </c>
      <c r="D412" s="87" t="s">
        <v>975</v>
      </c>
      <c r="E412" s="91" t="s">
        <v>976</v>
      </c>
      <c r="F412" s="92">
        <v>42</v>
      </c>
      <c r="G412" s="93">
        <v>317.67</v>
      </c>
      <c r="H412" s="93">
        <v>13342.14</v>
      </c>
      <c r="I412" s="93">
        <v>0</v>
      </c>
      <c r="J412" s="93">
        <v>0</v>
      </c>
      <c r="K412" s="25">
        <v>0</v>
      </c>
      <c r="L412" s="25">
        <v>0</v>
      </c>
      <c r="M412" s="25">
        <v>0</v>
      </c>
      <c r="N412" s="25">
        <v>13342.14</v>
      </c>
      <c r="O412"/>
      <c r="P412"/>
      <c r="Q412"/>
    </row>
    <row r="413" spans="3:17" s="5" customFormat="1" ht="72" x14ac:dyDescent="0.3">
      <c r="C413" s="90" t="s">
        <v>978</v>
      </c>
      <c r="D413" s="87" t="s">
        <v>979</v>
      </c>
      <c r="E413" s="91" t="s">
        <v>68</v>
      </c>
      <c r="F413" s="92">
        <v>5</v>
      </c>
      <c r="G413" s="93">
        <v>442.98</v>
      </c>
      <c r="H413" s="93">
        <v>2214.9</v>
      </c>
      <c r="I413" s="93">
        <v>0</v>
      </c>
      <c r="J413" s="93">
        <v>0</v>
      </c>
      <c r="K413" s="25">
        <v>0</v>
      </c>
      <c r="L413" s="25">
        <v>0</v>
      </c>
      <c r="M413" s="25">
        <v>2214.9</v>
      </c>
      <c r="N413" s="25">
        <v>0</v>
      </c>
      <c r="O413"/>
      <c r="P413"/>
      <c r="Q413"/>
    </row>
    <row r="414" spans="3:17" s="5" customFormat="1" ht="60" x14ac:dyDescent="0.3">
      <c r="C414" s="90" t="s">
        <v>981</v>
      </c>
      <c r="D414" s="87" t="s">
        <v>982</v>
      </c>
      <c r="E414" s="91" t="s">
        <v>68</v>
      </c>
      <c r="F414" s="92">
        <v>6</v>
      </c>
      <c r="G414" s="93">
        <v>589.27</v>
      </c>
      <c r="H414" s="93">
        <v>3535.62</v>
      </c>
      <c r="I414" s="93">
        <v>0</v>
      </c>
      <c r="J414" s="93">
        <v>0</v>
      </c>
      <c r="K414" s="25">
        <v>0</v>
      </c>
      <c r="L414" s="25">
        <v>0</v>
      </c>
      <c r="M414" s="25">
        <v>3535.62</v>
      </c>
      <c r="N414" s="25">
        <v>0</v>
      </c>
      <c r="O414"/>
      <c r="P414"/>
      <c r="Q414"/>
    </row>
    <row r="415" spans="3:17" s="5" customFormat="1" ht="60" x14ac:dyDescent="0.3">
      <c r="C415" s="90" t="s">
        <v>984</v>
      </c>
      <c r="D415" s="87" t="s">
        <v>985</v>
      </c>
      <c r="E415" s="91" t="s">
        <v>68</v>
      </c>
      <c r="F415" s="92">
        <v>1</v>
      </c>
      <c r="G415" s="93">
        <v>0.55000000000000004</v>
      </c>
      <c r="H415" s="93">
        <v>0.55000000000000004</v>
      </c>
      <c r="I415" s="93">
        <v>0</v>
      </c>
      <c r="J415" s="93">
        <v>0</v>
      </c>
      <c r="K415" s="25">
        <v>0</v>
      </c>
      <c r="L415" s="25">
        <v>0</v>
      </c>
      <c r="M415" s="25">
        <v>0.55000000000000004</v>
      </c>
      <c r="N415" s="25">
        <v>0</v>
      </c>
      <c r="O415"/>
      <c r="P415"/>
      <c r="Q415"/>
    </row>
    <row r="416" spans="3:17" s="5" customFormat="1" ht="60" x14ac:dyDescent="0.3">
      <c r="C416" s="90" t="s">
        <v>987</v>
      </c>
      <c r="D416" s="87" t="s">
        <v>988</v>
      </c>
      <c r="E416" s="91" t="s">
        <v>68</v>
      </c>
      <c r="F416" s="92">
        <v>1</v>
      </c>
      <c r="G416" s="93">
        <v>21005.19</v>
      </c>
      <c r="H416" s="93">
        <v>21005.19</v>
      </c>
      <c r="I416" s="93">
        <v>0</v>
      </c>
      <c r="J416" s="93">
        <v>0</v>
      </c>
      <c r="K416" s="25">
        <v>0</v>
      </c>
      <c r="L416" s="25">
        <v>0</v>
      </c>
      <c r="M416" s="25">
        <v>21005.19</v>
      </c>
      <c r="N416" s="25">
        <v>0</v>
      </c>
      <c r="O416"/>
      <c r="P416"/>
      <c r="Q416"/>
    </row>
    <row r="417" spans="3:17" s="5" customFormat="1" ht="72" x14ac:dyDescent="0.3">
      <c r="C417" s="90" t="s">
        <v>990</v>
      </c>
      <c r="D417" s="87" t="s">
        <v>991</v>
      </c>
      <c r="E417" s="91" t="s">
        <v>68</v>
      </c>
      <c r="F417" s="92">
        <v>1</v>
      </c>
      <c r="G417" s="93">
        <v>5591.77</v>
      </c>
      <c r="H417" s="93">
        <v>5591.77</v>
      </c>
      <c r="I417" s="93">
        <v>0</v>
      </c>
      <c r="J417" s="93">
        <v>0</v>
      </c>
      <c r="K417" s="25">
        <v>0</v>
      </c>
      <c r="L417" s="25">
        <v>0</v>
      </c>
      <c r="M417" s="25">
        <v>5591.77</v>
      </c>
      <c r="N417" s="25">
        <v>0</v>
      </c>
      <c r="O417"/>
      <c r="P417"/>
      <c r="Q417"/>
    </row>
    <row r="418" spans="3:17" s="5" customFormat="1" ht="60" x14ac:dyDescent="0.3">
      <c r="C418" s="90" t="s">
        <v>1000</v>
      </c>
      <c r="D418" s="87" t="s">
        <v>1001</v>
      </c>
      <c r="E418" s="91" t="s">
        <v>68</v>
      </c>
      <c r="F418" s="92">
        <v>1</v>
      </c>
      <c r="G418" s="93">
        <v>45236.52</v>
      </c>
      <c r="H418" s="93">
        <v>45236.52</v>
      </c>
      <c r="I418" s="93">
        <v>0</v>
      </c>
      <c r="J418" s="93">
        <v>0</v>
      </c>
      <c r="K418" s="25">
        <v>0</v>
      </c>
      <c r="L418" s="25">
        <v>0</v>
      </c>
      <c r="M418" s="25">
        <v>45236.52</v>
      </c>
      <c r="N418" s="25">
        <v>0</v>
      </c>
      <c r="O418"/>
      <c r="P418"/>
      <c r="Q418"/>
    </row>
    <row r="419" spans="3:17" s="5" customFormat="1" ht="60" x14ac:dyDescent="0.3">
      <c r="C419" s="90" t="s">
        <v>1003</v>
      </c>
      <c r="D419" s="87" t="s">
        <v>1004</v>
      </c>
      <c r="E419" s="91" t="s">
        <v>68</v>
      </c>
      <c r="F419" s="92">
        <v>204</v>
      </c>
      <c r="G419" s="93">
        <v>58.41</v>
      </c>
      <c r="H419" s="93">
        <v>11915.64</v>
      </c>
      <c r="I419" s="93">
        <v>0</v>
      </c>
      <c r="J419" s="93">
        <v>0</v>
      </c>
      <c r="K419" s="25">
        <v>0</v>
      </c>
      <c r="L419" s="25">
        <v>0</v>
      </c>
      <c r="M419" s="25">
        <v>0</v>
      </c>
      <c r="N419" s="25">
        <v>11915.64</v>
      </c>
      <c r="O419"/>
      <c r="P419"/>
      <c r="Q419"/>
    </row>
    <row r="420" spans="3:17" s="5" customFormat="1" ht="60" x14ac:dyDescent="0.3">
      <c r="C420" s="90" t="s">
        <v>1006</v>
      </c>
      <c r="D420" s="87" t="s">
        <v>1007</v>
      </c>
      <c r="E420" s="91" t="s">
        <v>68</v>
      </c>
      <c r="F420" s="92">
        <v>126</v>
      </c>
      <c r="G420" s="93">
        <v>102.57</v>
      </c>
      <c r="H420" s="93">
        <v>12923.82</v>
      </c>
      <c r="I420" s="93">
        <v>0</v>
      </c>
      <c r="J420" s="93">
        <v>0</v>
      </c>
      <c r="K420" s="25">
        <v>0</v>
      </c>
      <c r="L420" s="25">
        <v>0</v>
      </c>
      <c r="M420" s="25">
        <v>0</v>
      </c>
      <c r="N420" s="25">
        <v>12923.82</v>
      </c>
      <c r="O420"/>
      <c r="P420"/>
      <c r="Q420"/>
    </row>
    <row r="421" spans="3:17" s="5" customFormat="1" ht="72" x14ac:dyDescent="0.3">
      <c r="C421" s="90" t="s">
        <v>1009</v>
      </c>
      <c r="D421" s="87" t="s">
        <v>1010</v>
      </c>
      <c r="E421" s="91" t="s">
        <v>68</v>
      </c>
      <c r="F421" s="92">
        <v>10</v>
      </c>
      <c r="G421" s="93">
        <v>106.62</v>
      </c>
      <c r="H421" s="93">
        <v>1066.2</v>
      </c>
      <c r="I421" s="93">
        <v>0</v>
      </c>
      <c r="J421" s="93">
        <v>0</v>
      </c>
      <c r="K421" s="25">
        <v>0</v>
      </c>
      <c r="L421" s="25">
        <v>0</v>
      </c>
      <c r="M421" s="25">
        <v>0</v>
      </c>
      <c r="N421" s="25">
        <v>1066.2</v>
      </c>
      <c r="O421"/>
      <c r="P421"/>
      <c r="Q421"/>
    </row>
    <row r="422" spans="3:17" s="5" customFormat="1" ht="60" x14ac:dyDescent="0.3">
      <c r="C422" s="90" t="s">
        <v>1012</v>
      </c>
      <c r="D422" s="87" t="s">
        <v>1013</v>
      </c>
      <c r="E422" s="91" t="s">
        <v>68</v>
      </c>
      <c r="F422" s="92">
        <v>8</v>
      </c>
      <c r="G422" s="93">
        <v>108.55</v>
      </c>
      <c r="H422" s="93">
        <v>868.4</v>
      </c>
      <c r="I422" s="93">
        <v>0</v>
      </c>
      <c r="J422" s="93">
        <v>0</v>
      </c>
      <c r="K422" s="25">
        <v>0</v>
      </c>
      <c r="L422" s="25">
        <v>0</v>
      </c>
      <c r="M422" s="25">
        <v>0</v>
      </c>
      <c r="N422" s="25">
        <v>868.4</v>
      </c>
      <c r="O422"/>
      <c r="P422"/>
      <c r="Q422"/>
    </row>
    <row r="423" spans="3:17" s="5" customFormat="1" ht="72" x14ac:dyDescent="0.3">
      <c r="C423" s="90" t="s">
        <v>1015</v>
      </c>
      <c r="D423" s="87" t="s">
        <v>1016</v>
      </c>
      <c r="E423" s="91" t="s">
        <v>68</v>
      </c>
      <c r="F423" s="92">
        <v>24</v>
      </c>
      <c r="G423" s="93">
        <v>13.07</v>
      </c>
      <c r="H423" s="93">
        <v>313.68</v>
      </c>
      <c r="I423" s="93">
        <v>0</v>
      </c>
      <c r="J423" s="93">
        <v>0</v>
      </c>
      <c r="K423" s="25">
        <v>0</v>
      </c>
      <c r="L423" s="25">
        <v>0</v>
      </c>
      <c r="M423" s="25">
        <v>0</v>
      </c>
      <c r="N423" s="25">
        <v>313.68</v>
      </c>
      <c r="O423"/>
      <c r="P423"/>
      <c r="Q423"/>
    </row>
    <row r="424" spans="3:17" s="5" customFormat="1" ht="72" x14ac:dyDescent="0.3">
      <c r="C424" s="90" t="s">
        <v>1018</v>
      </c>
      <c r="D424" s="87" t="s">
        <v>1019</v>
      </c>
      <c r="E424" s="91" t="s">
        <v>68</v>
      </c>
      <c r="F424" s="92">
        <v>24</v>
      </c>
      <c r="G424" s="93">
        <v>13.07</v>
      </c>
      <c r="H424" s="93">
        <v>313.68</v>
      </c>
      <c r="I424" s="93">
        <v>0</v>
      </c>
      <c r="J424" s="93">
        <v>0</v>
      </c>
      <c r="K424" s="25">
        <v>0</v>
      </c>
      <c r="L424" s="25">
        <v>0</v>
      </c>
      <c r="M424" s="25">
        <v>0</v>
      </c>
      <c r="N424" s="25">
        <v>313.68</v>
      </c>
      <c r="O424"/>
      <c r="P424"/>
      <c r="Q424"/>
    </row>
    <row r="425" spans="3:17" s="5" customFormat="1" ht="72" x14ac:dyDescent="0.3">
      <c r="C425" s="90" t="s">
        <v>1021</v>
      </c>
      <c r="D425" s="87" t="s">
        <v>1022</v>
      </c>
      <c r="E425" s="91" t="s">
        <v>68</v>
      </c>
      <c r="F425" s="92">
        <v>72</v>
      </c>
      <c r="G425" s="93">
        <v>13.07</v>
      </c>
      <c r="H425" s="93">
        <v>941.04</v>
      </c>
      <c r="I425" s="93">
        <v>0</v>
      </c>
      <c r="J425" s="93">
        <v>0</v>
      </c>
      <c r="K425" s="25">
        <v>0</v>
      </c>
      <c r="L425" s="25">
        <v>0</v>
      </c>
      <c r="M425" s="25">
        <v>0</v>
      </c>
      <c r="N425" s="25">
        <v>941.04</v>
      </c>
      <c r="O425"/>
      <c r="P425"/>
      <c r="Q425"/>
    </row>
    <row r="426" spans="3:17" s="5" customFormat="1" ht="84" x14ac:dyDescent="0.3">
      <c r="C426" s="90" t="s">
        <v>1023</v>
      </c>
      <c r="D426" s="87" t="s">
        <v>1024</v>
      </c>
      <c r="E426" s="91" t="s">
        <v>68</v>
      </c>
      <c r="F426" s="92">
        <v>8</v>
      </c>
      <c r="G426" s="93">
        <v>70.27</v>
      </c>
      <c r="H426" s="93">
        <v>562.16</v>
      </c>
      <c r="I426" s="93">
        <v>0</v>
      </c>
      <c r="J426" s="93">
        <v>0</v>
      </c>
      <c r="K426" s="25">
        <v>0</v>
      </c>
      <c r="L426" s="25">
        <v>0</v>
      </c>
      <c r="M426" s="25">
        <v>562.16</v>
      </c>
      <c r="N426" s="25">
        <v>0</v>
      </c>
      <c r="O426"/>
      <c r="P426"/>
      <c r="Q426"/>
    </row>
    <row r="427" spans="3:17" s="5" customFormat="1" ht="72" x14ac:dyDescent="0.3">
      <c r="C427" s="90" t="s">
        <v>1026</v>
      </c>
      <c r="D427" s="87" t="s">
        <v>1027</v>
      </c>
      <c r="E427" s="91" t="s">
        <v>68</v>
      </c>
      <c r="F427" s="92">
        <v>130</v>
      </c>
      <c r="G427" s="93">
        <v>1025.57</v>
      </c>
      <c r="H427" s="93">
        <v>133324.1</v>
      </c>
      <c r="I427" s="93">
        <v>0</v>
      </c>
      <c r="J427" s="93">
        <v>0</v>
      </c>
      <c r="K427" s="25">
        <v>0</v>
      </c>
      <c r="L427" s="25">
        <v>0</v>
      </c>
      <c r="M427" s="25">
        <v>133324.1</v>
      </c>
      <c r="N427" s="25">
        <v>0</v>
      </c>
      <c r="O427"/>
      <c r="P427"/>
      <c r="Q427"/>
    </row>
    <row r="428" spans="3:17" s="5" customFormat="1" ht="84" x14ac:dyDescent="0.3">
      <c r="C428" s="90" t="s">
        <v>1029</v>
      </c>
      <c r="D428" s="87" t="s">
        <v>1030</v>
      </c>
      <c r="E428" s="91" t="s">
        <v>68</v>
      </c>
      <c r="F428" s="92">
        <v>172</v>
      </c>
      <c r="G428" s="93">
        <v>193.7</v>
      </c>
      <c r="H428" s="93">
        <v>33316.400000000001</v>
      </c>
      <c r="I428" s="93">
        <v>0</v>
      </c>
      <c r="J428" s="93">
        <v>0</v>
      </c>
      <c r="K428" s="25">
        <v>0</v>
      </c>
      <c r="L428" s="25">
        <v>0</v>
      </c>
      <c r="M428" s="25">
        <v>33316.400000000001</v>
      </c>
      <c r="N428" s="25">
        <v>0</v>
      </c>
      <c r="O428"/>
      <c r="P428"/>
      <c r="Q428"/>
    </row>
    <row r="429" spans="3:17" s="5" customFormat="1" ht="84" x14ac:dyDescent="0.3">
      <c r="C429" s="90" t="s">
        <v>1032</v>
      </c>
      <c r="D429" s="87" t="s">
        <v>1033</v>
      </c>
      <c r="E429" s="91" t="s">
        <v>68</v>
      </c>
      <c r="F429" s="92">
        <v>204</v>
      </c>
      <c r="G429" s="93">
        <v>407.77</v>
      </c>
      <c r="H429" s="93">
        <v>83185.08</v>
      </c>
      <c r="I429" s="93">
        <v>0</v>
      </c>
      <c r="J429" s="93">
        <v>0</v>
      </c>
      <c r="K429" s="25">
        <v>0</v>
      </c>
      <c r="L429" s="25">
        <v>0</v>
      </c>
      <c r="M429" s="25">
        <v>83185.08</v>
      </c>
      <c r="N429" s="25">
        <v>0</v>
      </c>
      <c r="O429"/>
      <c r="P429"/>
      <c r="Q429"/>
    </row>
    <row r="430" spans="3:17" s="5" customFormat="1" ht="72" x14ac:dyDescent="0.3">
      <c r="C430" s="90" t="s">
        <v>1035</v>
      </c>
      <c r="D430" s="87" t="s">
        <v>1036</v>
      </c>
      <c r="E430" s="91" t="s">
        <v>68</v>
      </c>
      <c r="F430" s="92">
        <v>12</v>
      </c>
      <c r="G430" s="93">
        <v>1147.07</v>
      </c>
      <c r="H430" s="93">
        <v>13764.84</v>
      </c>
      <c r="I430" s="93">
        <v>0</v>
      </c>
      <c r="J430" s="93">
        <v>0</v>
      </c>
      <c r="K430" s="25">
        <v>0</v>
      </c>
      <c r="L430" s="25">
        <v>0</v>
      </c>
      <c r="M430" s="25">
        <v>13764.84</v>
      </c>
      <c r="N430" s="25">
        <v>0</v>
      </c>
      <c r="O430"/>
      <c r="P430"/>
      <c r="Q430"/>
    </row>
    <row r="431" spans="3:17" s="5" customFormat="1" ht="84" x14ac:dyDescent="0.3">
      <c r="C431" s="90" t="s">
        <v>1038</v>
      </c>
      <c r="D431" s="87" t="s">
        <v>1039</v>
      </c>
      <c r="E431" s="91" t="s">
        <v>68</v>
      </c>
      <c r="F431" s="92">
        <v>144</v>
      </c>
      <c r="G431" s="93">
        <v>577.48</v>
      </c>
      <c r="H431" s="93">
        <v>83157.119999999995</v>
      </c>
      <c r="I431" s="93">
        <v>0</v>
      </c>
      <c r="J431" s="93">
        <v>0</v>
      </c>
      <c r="K431" s="25">
        <v>0</v>
      </c>
      <c r="L431" s="25">
        <v>0</v>
      </c>
      <c r="M431" s="25">
        <v>83157.119999999995</v>
      </c>
      <c r="N431" s="25">
        <v>0</v>
      </c>
      <c r="O431"/>
      <c r="P431"/>
      <c r="Q431"/>
    </row>
    <row r="432" spans="3:17" s="5" customFormat="1" ht="84" x14ac:dyDescent="0.3">
      <c r="C432" s="90" t="s">
        <v>1041</v>
      </c>
      <c r="D432" s="87" t="s">
        <v>1042</v>
      </c>
      <c r="E432" s="91" t="s">
        <v>68</v>
      </c>
      <c r="F432" s="92">
        <v>48</v>
      </c>
      <c r="G432" s="93">
        <v>542.77</v>
      </c>
      <c r="H432" s="93">
        <v>26052.959999999999</v>
      </c>
      <c r="I432" s="93">
        <v>0</v>
      </c>
      <c r="J432" s="93">
        <v>0</v>
      </c>
      <c r="K432" s="25">
        <v>0</v>
      </c>
      <c r="L432" s="25">
        <v>0</v>
      </c>
      <c r="M432" s="25">
        <v>26052.959999999999</v>
      </c>
      <c r="N432" s="25">
        <v>0</v>
      </c>
      <c r="O432"/>
      <c r="P432"/>
      <c r="Q432"/>
    </row>
    <row r="433" spans="3:17" s="5" customFormat="1" ht="84" x14ac:dyDescent="0.3">
      <c r="C433" s="90" t="s">
        <v>1044</v>
      </c>
      <c r="D433" s="87" t="s">
        <v>1045</v>
      </c>
      <c r="E433" s="91" t="s">
        <v>68</v>
      </c>
      <c r="F433" s="92">
        <v>8</v>
      </c>
      <c r="G433" s="93">
        <v>716.34</v>
      </c>
      <c r="H433" s="93">
        <v>5730.72</v>
      </c>
      <c r="I433" s="93">
        <v>0</v>
      </c>
      <c r="J433" s="93">
        <v>0</v>
      </c>
      <c r="K433" s="25">
        <v>0</v>
      </c>
      <c r="L433" s="25">
        <v>0</v>
      </c>
      <c r="M433" s="25">
        <v>5730.72</v>
      </c>
      <c r="N433" s="25">
        <v>0</v>
      </c>
      <c r="O433"/>
      <c r="P433"/>
      <c r="Q433"/>
    </row>
    <row r="434" spans="3:17" s="5" customFormat="1" ht="84" x14ac:dyDescent="0.3">
      <c r="C434" s="90" t="s">
        <v>1047</v>
      </c>
      <c r="D434" s="87" t="s">
        <v>1048</v>
      </c>
      <c r="E434" s="91" t="s">
        <v>68</v>
      </c>
      <c r="F434" s="92">
        <v>16</v>
      </c>
      <c r="G434" s="93">
        <v>754.91</v>
      </c>
      <c r="H434" s="93">
        <v>12078.56</v>
      </c>
      <c r="I434" s="93">
        <v>0</v>
      </c>
      <c r="J434" s="93">
        <v>0</v>
      </c>
      <c r="K434" s="25">
        <v>0</v>
      </c>
      <c r="L434" s="25">
        <v>0</v>
      </c>
      <c r="M434" s="25">
        <v>12078.56</v>
      </c>
      <c r="N434" s="25">
        <v>0</v>
      </c>
      <c r="O434"/>
      <c r="P434"/>
      <c r="Q434"/>
    </row>
    <row r="435" spans="3:17" s="5" customFormat="1" ht="84" x14ac:dyDescent="0.3">
      <c r="C435" s="90" t="s">
        <v>1050</v>
      </c>
      <c r="D435" s="87" t="s">
        <v>1051</v>
      </c>
      <c r="E435" s="91" t="s">
        <v>68</v>
      </c>
      <c r="F435" s="92">
        <v>20</v>
      </c>
      <c r="G435" s="93">
        <v>2259.1999999999998</v>
      </c>
      <c r="H435" s="93">
        <v>45184</v>
      </c>
      <c r="I435" s="93">
        <v>0</v>
      </c>
      <c r="J435" s="93">
        <v>0</v>
      </c>
      <c r="K435" s="25">
        <v>0</v>
      </c>
      <c r="L435" s="25">
        <v>0</v>
      </c>
      <c r="M435" s="25">
        <v>45184</v>
      </c>
      <c r="N435" s="25">
        <v>0</v>
      </c>
      <c r="O435"/>
      <c r="P435"/>
      <c r="Q435"/>
    </row>
    <row r="436" spans="3:17" s="5" customFormat="1" ht="84" x14ac:dyDescent="0.3">
      <c r="C436" s="90" t="s">
        <v>1053</v>
      </c>
      <c r="D436" s="87" t="s">
        <v>1054</v>
      </c>
      <c r="E436" s="91" t="s">
        <v>68</v>
      </c>
      <c r="F436" s="92">
        <v>12</v>
      </c>
      <c r="G436" s="93">
        <v>1410.63</v>
      </c>
      <c r="H436" s="93">
        <v>16927.560000000001</v>
      </c>
      <c r="I436" s="93">
        <v>0</v>
      </c>
      <c r="J436" s="93">
        <v>0</v>
      </c>
      <c r="K436" s="25">
        <v>0</v>
      </c>
      <c r="L436" s="25">
        <v>0</v>
      </c>
      <c r="M436" s="25">
        <v>16927.560000000001</v>
      </c>
      <c r="N436" s="25">
        <v>0</v>
      </c>
      <c r="O436"/>
      <c r="P436"/>
      <c r="Q436"/>
    </row>
    <row r="437" spans="3:17" s="5" customFormat="1" ht="72" x14ac:dyDescent="0.3">
      <c r="C437" s="90" t="s">
        <v>1056</v>
      </c>
      <c r="D437" s="87" t="s">
        <v>1057</v>
      </c>
      <c r="E437" s="91" t="s">
        <v>68</v>
      </c>
      <c r="F437" s="92">
        <v>18</v>
      </c>
      <c r="G437" s="93">
        <v>4670.57</v>
      </c>
      <c r="H437" s="93">
        <v>84070.26</v>
      </c>
      <c r="I437" s="93">
        <v>0</v>
      </c>
      <c r="J437" s="93">
        <v>0</v>
      </c>
      <c r="K437" s="25">
        <v>0</v>
      </c>
      <c r="L437" s="25">
        <v>0</v>
      </c>
      <c r="M437" s="25">
        <v>84070.26</v>
      </c>
      <c r="N437" s="25">
        <v>0</v>
      </c>
      <c r="O437"/>
      <c r="P437"/>
      <c r="Q437"/>
    </row>
    <row r="438" spans="3:17" s="5" customFormat="1" ht="72" x14ac:dyDescent="0.3">
      <c r="C438" s="90" t="s">
        <v>1059</v>
      </c>
      <c r="D438" s="87" t="s">
        <v>1060</v>
      </c>
      <c r="E438" s="91" t="s">
        <v>68</v>
      </c>
      <c r="F438" s="92">
        <v>3</v>
      </c>
      <c r="G438" s="93">
        <v>2195.1</v>
      </c>
      <c r="H438" s="93">
        <v>6585.3</v>
      </c>
      <c r="I438" s="93">
        <v>0</v>
      </c>
      <c r="J438" s="93">
        <v>0</v>
      </c>
      <c r="K438" s="25">
        <v>0</v>
      </c>
      <c r="L438" s="25">
        <v>0</v>
      </c>
      <c r="M438" s="25">
        <v>6585.3</v>
      </c>
      <c r="N438" s="25">
        <v>0</v>
      </c>
      <c r="O438"/>
      <c r="P438"/>
      <c r="Q438"/>
    </row>
    <row r="439" spans="3:17" s="5" customFormat="1" ht="72" x14ac:dyDescent="0.3">
      <c r="C439" s="90" t="s">
        <v>1062</v>
      </c>
      <c r="D439" s="87" t="s">
        <v>1063</v>
      </c>
      <c r="E439" s="91" t="s">
        <v>68</v>
      </c>
      <c r="F439" s="92">
        <v>21</v>
      </c>
      <c r="G439" s="93">
        <v>4767.8100000000004</v>
      </c>
      <c r="H439" s="93">
        <v>100124.01</v>
      </c>
      <c r="I439" s="93">
        <v>0</v>
      </c>
      <c r="J439" s="93">
        <v>0</v>
      </c>
      <c r="K439" s="25">
        <v>0</v>
      </c>
      <c r="L439" s="25">
        <v>0</v>
      </c>
      <c r="M439" s="25">
        <v>100124.01</v>
      </c>
      <c r="N439" s="25">
        <v>0</v>
      </c>
      <c r="O439"/>
      <c r="P439"/>
      <c r="Q439"/>
    </row>
    <row r="440" spans="3:17" s="5" customFormat="1" ht="72" x14ac:dyDescent="0.3">
      <c r="C440" s="90" t="s">
        <v>1065</v>
      </c>
      <c r="D440" s="87" t="s">
        <v>1066</v>
      </c>
      <c r="E440" s="91" t="s">
        <v>68</v>
      </c>
      <c r="F440" s="92">
        <v>6</v>
      </c>
      <c r="G440" s="93">
        <v>5982.81</v>
      </c>
      <c r="H440" s="93">
        <v>35896.86</v>
      </c>
      <c r="I440" s="93">
        <v>0</v>
      </c>
      <c r="J440" s="93">
        <v>0</v>
      </c>
      <c r="K440" s="25">
        <v>0</v>
      </c>
      <c r="L440" s="25">
        <v>0</v>
      </c>
      <c r="M440" s="25">
        <v>35896.86</v>
      </c>
      <c r="N440" s="25">
        <v>0</v>
      </c>
      <c r="O440"/>
      <c r="P440"/>
      <c r="Q440"/>
    </row>
    <row r="441" spans="3:17" s="5" customFormat="1" ht="72" x14ac:dyDescent="0.3">
      <c r="C441" s="90" t="s">
        <v>1068</v>
      </c>
      <c r="D441" s="87" t="s">
        <v>1069</v>
      </c>
      <c r="E441" s="91" t="s">
        <v>68</v>
      </c>
      <c r="F441" s="92">
        <v>1</v>
      </c>
      <c r="G441" s="93">
        <v>14852.31</v>
      </c>
      <c r="H441" s="93">
        <v>14852.31</v>
      </c>
      <c r="I441" s="93">
        <v>0</v>
      </c>
      <c r="J441" s="93">
        <v>0</v>
      </c>
      <c r="K441" s="25">
        <v>0</v>
      </c>
      <c r="L441" s="25">
        <v>0</v>
      </c>
      <c r="M441" s="25">
        <v>14852.31</v>
      </c>
      <c r="N441" s="25">
        <v>0</v>
      </c>
      <c r="O441"/>
      <c r="P441"/>
      <c r="Q441"/>
    </row>
    <row r="442" spans="3:17" s="5" customFormat="1" ht="72" x14ac:dyDescent="0.3">
      <c r="C442" s="90" t="s">
        <v>1071</v>
      </c>
      <c r="D442" s="87" t="s">
        <v>1072</v>
      </c>
      <c r="E442" s="91" t="s">
        <v>68</v>
      </c>
      <c r="F442" s="92">
        <v>2</v>
      </c>
      <c r="G442" s="93">
        <v>6980.77</v>
      </c>
      <c r="H442" s="93">
        <v>13961.54</v>
      </c>
      <c r="I442" s="93">
        <v>0</v>
      </c>
      <c r="J442" s="93">
        <v>0</v>
      </c>
      <c r="K442" s="25">
        <v>0</v>
      </c>
      <c r="L442" s="25">
        <v>0</v>
      </c>
      <c r="M442" s="25">
        <v>13961.54</v>
      </c>
      <c r="N442" s="25">
        <v>0</v>
      </c>
      <c r="O442"/>
      <c r="P442"/>
      <c r="Q442"/>
    </row>
    <row r="443" spans="3:17" s="5" customFormat="1" ht="72" x14ac:dyDescent="0.3">
      <c r="C443" s="90" t="s">
        <v>1074</v>
      </c>
      <c r="D443" s="87" t="s">
        <v>1075</v>
      </c>
      <c r="E443" s="91" t="s">
        <v>68</v>
      </c>
      <c r="F443" s="92">
        <v>2</v>
      </c>
      <c r="G443" s="93">
        <v>9379.61</v>
      </c>
      <c r="H443" s="93">
        <v>18759.22</v>
      </c>
      <c r="I443" s="93">
        <v>0</v>
      </c>
      <c r="J443" s="93">
        <v>0</v>
      </c>
      <c r="K443" s="25">
        <v>0</v>
      </c>
      <c r="L443" s="25">
        <v>0</v>
      </c>
      <c r="M443" s="25">
        <v>18759.22</v>
      </c>
      <c r="N443" s="25">
        <v>0</v>
      </c>
      <c r="O443"/>
      <c r="P443"/>
      <c r="Q443"/>
    </row>
    <row r="444" spans="3:17" s="5" customFormat="1" ht="72" x14ac:dyDescent="0.3">
      <c r="C444" s="90" t="s">
        <v>1077</v>
      </c>
      <c r="D444" s="87" t="s">
        <v>1078</v>
      </c>
      <c r="E444" s="91" t="s">
        <v>68</v>
      </c>
      <c r="F444" s="92">
        <v>2</v>
      </c>
      <c r="G444" s="93">
        <v>13801.37</v>
      </c>
      <c r="H444" s="93">
        <v>27602.74</v>
      </c>
      <c r="I444" s="93">
        <v>0</v>
      </c>
      <c r="J444" s="93">
        <v>0</v>
      </c>
      <c r="K444" s="25">
        <v>0</v>
      </c>
      <c r="L444" s="25">
        <v>0</v>
      </c>
      <c r="M444" s="25">
        <v>27602.74</v>
      </c>
      <c r="N444" s="25">
        <v>0</v>
      </c>
      <c r="O444"/>
      <c r="P444"/>
      <c r="Q444"/>
    </row>
    <row r="445" spans="3:17" s="5" customFormat="1" ht="72" x14ac:dyDescent="0.3">
      <c r="C445" s="90" t="s">
        <v>1080</v>
      </c>
      <c r="D445" s="87" t="s">
        <v>1081</v>
      </c>
      <c r="E445" s="91" t="s">
        <v>68</v>
      </c>
      <c r="F445" s="92">
        <v>4</v>
      </c>
      <c r="G445" s="93">
        <v>17317.61</v>
      </c>
      <c r="H445" s="93">
        <v>69270.44</v>
      </c>
      <c r="I445" s="93">
        <v>0</v>
      </c>
      <c r="J445" s="93">
        <v>0</v>
      </c>
      <c r="K445" s="25">
        <v>0</v>
      </c>
      <c r="L445" s="25">
        <v>0</v>
      </c>
      <c r="M445" s="25">
        <v>69270.44</v>
      </c>
      <c r="N445" s="25">
        <v>0</v>
      </c>
      <c r="O445"/>
      <c r="P445"/>
      <c r="Q445"/>
    </row>
    <row r="446" spans="3:17" s="5" customFormat="1" ht="96" x14ac:dyDescent="0.3">
      <c r="C446" s="90" t="s">
        <v>1083</v>
      </c>
      <c r="D446" s="87" t="s">
        <v>1084</v>
      </c>
      <c r="E446" s="91" t="s">
        <v>68</v>
      </c>
      <c r="F446" s="92">
        <v>41</v>
      </c>
      <c r="G446" s="93">
        <v>4592.3100000000004</v>
      </c>
      <c r="H446" s="93">
        <v>188284.71</v>
      </c>
      <c r="I446" s="93">
        <v>0</v>
      </c>
      <c r="J446" s="93">
        <v>0</v>
      </c>
      <c r="K446" s="25">
        <v>0</v>
      </c>
      <c r="L446" s="25">
        <v>0</v>
      </c>
      <c r="M446" s="25">
        <v>188284.71</v>
      </c>
      <c r="N446" s="25">
        <v>0</v>
      </c>
      <c r="O446"/>
      <c r="P446"/>
      <c r="Q446"/>
    </row>
    <row r="447" spans="3:17" s="5" customFormat="1" ht="96" x14ac:dyDescent="0.3">
      <c r="C447" s="90" t="s">
        <v>1086</v>
      </c>
      <c r="D447" s="87" t="s">
        <v>1087</v>
      </c>
      <c r="E447" s="91" t="s">
        <v>68</v>
      </c>
      <c r="F447" s="92">
        <v>1</v>
      </c>
      <c r="G447" s="93">
        <v>10006.27</v>
      </c>
      <c r="H447" s="93">
        <v>10006.27</v>
      </c>
      <c r="I447" s="93">
        <v>0</v>
      </c>
      <c r="J447" s="93">
        <v>0</v>
      </c>
      <c r="K447" s="25">
        <v>0</v>
      </c>
      <c r="L447" s="25">
        <v>0</v>
      </c>
      <c r="M447" s="25">
        <v>10006.27</v>
      </c>
      <c r="N447" s="25">
        <v>0</v>
      </c>
      <c r="O447"/>
      <c r="P447"/>
      <c r="Q447"/>
    </row>
    <row r="448" spans="3:17" s="5" customFormat="1" ht="96" x14ac:dyDescent="0.3">
      <c r="C448" s="90" t="s">
        <v>1089</v>
      </c>
      <c r="D448" s="87" t="s">
        <v>1090</v>
      </c>
      <c r="E448" s="91" t="s">
        <v>68</v>
      </c>
      <c r="F448" s="92">
        <v>2</v>
      </c>
      <c r="G448" s="93">
        <v>14494.06</v>
      </c>
      <c r="H448" s="93">
        <v>28988.12</v>
      </c>
      <c r="I448" s="93">
        <v>0</v>
      </c>
      <c r="J448" s="93">
        <v>0</v>
      </c>
      <c r="K448" s="25">
        <v>0</v>
      </c>
      <c r="L448" s="25">
        <v>0</v>
      </c>
      <c r="M448" s="25">
        <v>28988.12</v>
      </c>
      <c r="N448" s="25">
        <v>0</v>
      </c>
      <c r="O448"/>
      <c r="P448"/>
      <c r="Q448"/>
    </row>
    <row r="449" spans="3:17" s="5" customFormat="1" ht="108" x14ac:dyDescent="0.3">
      <c r="C449" s="90" t="s">
        <v>1092</v>
      </c>
      <c r="D449" s="87" t="s">
        <v>1093</v>
      </c>
      <c r="E449" s="91" t="s">
        <v>68</v>
      </c>
      <c r="F449" s="92">
        <v>3</v>
      </c>
      <c r="G449" s="93">
        <v>52.24</v>
      </c>
      <c r="H449" s="93">
        <v>156.72</v>
      </c>
      <c r="I449" s="93">
        <v>0</v>
      </c>
      <c r="J449" s="93">
        <v>0</v>
      </c>
      <c r="K449" s="25">
        <v>0</v>
      </c>
      <c r="L449" s="25">
        <v>0</v>
      </c>
      <c r="M449" s="25">
        <v>156.72</v>
      </c>
      <c r="N449" s="25">
        <v>0</v>
      </c>
      <c r="O449"/>
      <c r="P449"/>
      <c r="Q449"/>
    </row>
    <row r="450" spans="3:17" s="5" customFormat="1" ht="108" x14ac:dyDescent="0.3">
      <c r="C450" s="90" t="s">
        <v>1095</v>
      </c>
      <c r="D450" s="87" t="s">
        <v>1096</v>
      </c>
      <c r="E450" s="91" t="s">
        <v>68</v>
      </c>
      <c r="F450" s="92">
        <v>10</v>
      </c>
      <c r="G450" s="93">
        <v>3897.18</v>
      </c>
      <c r="H450" s="93">
        <v>38971.800000000003</v>
      </c>
      <c r="I450" s="93">
        <v>0</v>
      </c>
      <c r="J450" s="93">
        <v>0</v>
      </c>
      <c r="K450" s="25">
        <v>0</v>
      </c>
      <c r="L450" s="25">
        <v>0</v>
      </c>
      <c r="M450" s="25">
        <v>0</v>
      </c>
      <c r="N450" s="25">
        <v>38971.800000000003</v>
      </c>
      <c r="O450"/>
      <c r="P450"/>
      <c r="Q450"/>
    </row>
    <row r="451" spans="3:17" s="5" customFormat="1" ht="228" x14ac:dyDescent="0.3">
      <c r="C451" s="90" t="s">
        <v>1098</v>
      </c>
      <c r="D451" s="87" t="s">
        <v>1099</v>
      </c>
      <c r="E451" s="91" t="s">
        <v>68</v>
      </c>
      <c r="F451" s="92">
        <v>14</v>
      </c>
      <c r="G451" s="93">
        <v>6346.43</v>
      </c>
      <c r="H451" s="93">
        <v>88850.02</v>
      </c>
      <c r="I451" s="93">
        <v>0</v>
      </c>
      <c r="J451" s="93">
        <v>0</v>
      </c>
      <c r="K451" s="25">
        <v>0</v>
      </c>
      <c r="L451" s="25">
        <v>0</v>
      </c>
      <c r="M451" s="25">
        <v>0</v>
      </c>
      <c r="N451" s="25">
        <v>88850.02</v>
      </c>
      <c r="O451"/>
      <c r="P451"/>
      <c r="Q451"/>
    </row>
    <row r="452" spans="3:17" s="5" customFormat="1" ht="72" x14ac:dyDescent="0.3">
      <c r="C452" s="90" t="s">
        <v>1101</v>
      </c>
      <c r="D452" s="87" t="s">
        <v>1102</v>
      </c>
      <c r="E452" s="91" t="s">
        <v>68</v>
      </c>
      <c r="F452" s="92">
        <v>6</v>
      </c>
      <c r="G452" s="93">
        <v>3946.66</v>
      </c>
      <c r="H452" s="93">
        <v>23679.96</v>
      </c>
      <c r="I452" s="93">
        <v>0</v>
      </c>
      <c r="J452" s="93">
        <v>0</v>
      </c>
      <c r="K452" s="25">
        <v>0</v>
      </c>
      <c r="L452" s="25">
        <v>0</v>
      </c>
      <c r="M452" s="25">
        <v>0</v>
      </c>
      <c r="N452" s="25">
        <v>23679.96</v>
      </c>
      <c r="O452"/>
      <c r="P452"/>
      <c r="Q452"/>
    </row>
    <row r="453" spans="3:17" s="5" customFormat="1" ht="96" x14ac:dyDescent="0.3">
      <c r="C453" s="90" t="s">
        <v>1104</v>
      </c>
      <c r="D453" s="87" t="s">
        <v>1105</v>
      </c>
      <c r="E453" s="91" t="s">
        <v>68</v>
      </c>
      <c r="F453" s="92">
        <v>19</v>
      </c>
      <c r="G453" s="93">
        <v>3897.85</v>
      </c>
      <c r="H453" s="93">
        <v>74059.149999999994</v>
      </c>
      <c r="I453" s="93">
        <v>0</v>
      </c>
      <c r="J453" s="93">
        <v>0</v>
      </c>
      <c r="K453" s="25">
        <v>0</v>
      </c>
      <c r="L453" s="25">
        <v>0</v>
      </c>
      <c r="M453" s="25">
        <v>0</v>
      </c>
      <c r="N453" s="25">
        <v>74059.149999999994</v>
      </c>
      <c r="O453"/>
      <c r="P453"/>
      <c r="Q453"/>
    </row>
    <row r="454" spans="3:17" s="5" customFormat="1" ht="96" x14ac:dyDescent="0.3">
      <c r="C454" s="90" t="s">
        <v>1107</v>
      </c>
      <c r="D454" s="87" t="s">
        <v>1108</v>
      </c>
      <c r="E454" s="91" t="s">
        <v>68</v>
      </c>
      <c r="F454" s="92">
        <v>6</v>
      </c>
      <c r="G454" s="93">
        <v>3897.18</v>
      </c>
      <c r="H454" s="93">
        <v>23383.08</v>
      </c>
      <c r="I454" s="93">
        <v>0</v>
      </c>
      <c r="J454" s="93">
        <v>0</v>
      </c>
      <c r="K454" s="25">
        <v>0</v>
      </c>
      <c r="L454" s="25">
        <v>0</v>
      </c>
      <c r="M454" s="25">
        <v>0</v>
      </c>
      <c r="N454" s="25">
        <v>23383.08</v>
      </c>
      <c r="O454"/>
      <c r="P454"/>
      <c r="Q454"/>
    </row>
    <row r="455" spans="3:17" s="5" customFormat="1" ht="96" x14ac:dyDescent="0.3">
      <c r="C455" s="90" t="s">
        <v>1110</v>
      </c>
      <c r="D455" s="87" t="s">
        <v>1111</v>
      </c>
      <c r="E455" s="91" t="s">
        <v>68</v>
      </c>
      <c r="F455" s="92">
        <v>3</v>
      </c>
      <c r="G455" s="93">
        <v>3897.18</v>
      </c>
      <c r="H455" s="93">
        <v>11691.54</v>
      </c>
      <c r="I455" s="93">
        <v>0</v>
      </c>
      <c r="J455" s="93">
        <v>0</v>
      </c>
      <c r="K455" s="25">
        <v>0</v>
      </c>
      <c r="L455" s="25">
        <v>0</v>
      </c>
      <c r="M455" s="25">
        <v>0</v>
      </c>
      <c r="N455" s="25">
        <v>11691.54</v>
      </c>
      <c r="O455"/>
      <c r="P455"/>
      <c r="Q455"/>
    </row>
    <row r="456" spans="3:17" s="5" customFormat="1" ht="96" x14ac:dyDescent="0.3">
      <c r="C456" s="90" t="s">
        <v>1113</v>
      </c>
      <c r="D456" s="87" t="s">
        <v>1114</v>
      </c>
      <c r="E456" s="91" t="s">
        <v>68</v>
      </c>
      <c r="F456" s="92">
        <v>3</v>
      </c>
      <c r="G456" s="93">
        <v>3897.18</v>
      </c>
      <c r="H456" s="93">
        <v>11691.54</v>
      </c>
      <c r="I456" s="93">
        <v>0</v>
      </c>
      <c r="J456" s="93">
        <v>0</v>
      </c>
      <c r="K456" s="25">
        <v>0</v>
      </c>
      <c r="L456" s="25">
        <v>0</v>
      </c>
      <c r="M456" s="25">
        <v>0</v>
      </c>
      <c r="N456" s="25">
        <v>11691.54</v>
      </c>
      <c r="O456"/>
      <c r="P456"/>
      <c r="Q456"/>
    </row>
    <row r="457" spans="3:17" s="5" customFormat="1" ht="84" x14ac:dyDescent="0.3">
      <c r="C457" s="90" t="s">
        <v>1116</v>
      </c>
      <c r="D457" s="87" t="s">
        <v>1117</v>
      </c>
      <c r="E457" s="91" t="s">
        <v>68</v>
      </c>
      <c r="F457" s="92">
        <v>12</v>
      </c>
      <c r="G457" s="93">
        <v>6346.43</v>
      </c>
      <c r="H457" s="93">
        <v>76157.16</v>
      </c>
      <c r="I457" s="93">
        <v>0</v>
      </c>
      <c r="J457" s="93">
        <v>0</v>
      </c>
      <c r="K457" s="25">
        <v>0</v>
      </c>
      <c r="L457" s="25">
        <v>0</v>
      </c>
      <c r="M457" s="25">
        <v>0</v>
      </c>
      <c r="N457" s="25">
        <v>76157.16</v>
      </c>
      <c r="O457"/>
      <c r="P457"/>
      <c r="Q457"/>
    </row>
    <row r="458" spans="3:17" s="5" customFormat="1" ht="108" x14ac:dyDescent="0.3">
      <c r="C458" s="90" t="s">
        <v>1119</v>
      </c>
      <c r="D458" s="87" t="s">
        <v>1120</v>
      </c>
      <c r="E458" s="91" t="s">
        <v>68</v>
      </c>
      <c r="F458" s="92">
        <v>1</v>
      </c>
      <c r="G458" s="93">
        <v>16593.349999999999</v>
      </c>
      <c r="H458" s="93">
        <v>16593.349999999999</v>
      </c>
      <c r="I458" s="93">
        <v>0</v>
      </c>
      <c r="J458" s="93">
        <v>0</v>
      </c>
      <c r="K458" s="25">
        <v>0</v>
      </c>
      <c r="L458" s="25">
        <v>0</v>
      </c>
      <c r="M458" s="25">
        <v>0</v>
      </c>
      <c r="N458" s="25">
        <v>16593.349999999999</v>
      </c>
      <c r="O458"/>
      <c r="P458"/>
      <c r="Q458"/>
    </row>
    <row r="459" spans="3:17" s="5" customFormat="1" ht="60" x14ac:dyDescent="0.3">
      <c r="C459" s="90" t="s">
        <v>1122</v>
      </c>
      <c r="D459" s="87" t="s">
        <v>1123</v>
      </c>
      <c r="E459" s="91" t="s">
        <v>68</v>
      </c>
      <c r="F459" s="92">
        <v>2</v>
      </c>
      <c r="G459" s="93">
        <v>3897.18</v>
      </c>
      <c r="H459" s="93">
        <v>7794.36</v>
      </c>
      <c r="I459" s="93">
        <v>0</v>
      </c>
      <c r="J459" s="93">
        <v>0</v>
      </c>
      <c r="K459" s="25">
        <v>0</v>
      </c>
      <c r="L459" s="25">
        <v>0</v>
      </c>
      <c r="M459" s="25">
        <v>0</v>
      </c>
      <c r="N459" s="25">
        <v>7794.36</v>
      </c>
      <c r="O459"/>
      <c r="P459"/>
      <c r="Q459"/>
    </row>
    <row r="460" spans="3:17" s="5" customFormat="1" ht="84" x14ac:dyDescent="0.3">
      <c r="C460" s="90" t="s">
        <v>1125</v>
      </c>
      <c r="D460" s="87" t="s">
        <v>1126</v>
      </c>
      <c r="E460" s="91" t="s">
        <v>68</v>
      </c>
      <c r="F460" s="92">
        <v>3</v>
      </c>
      <c r="G460" s="93">
        <v>3897.18</v>
      </c>
      <c r="H460" s="93">
        <v>11691.54</v>
      </c>
      <c r="I460" s="93">
        <v>0</v>
      </c>
      <c r="J460" s="93">
        <v>0</v>
      </c>
      <c r="K460" s="25">
        <v>0</v>
      </c>
      <c r="L460" s="25">
        <v>0</v>
      </c>
      <c r="M460" s="25">
        <v>0</v>
      </c>
      <c r="N460" s="25">
        <v>11691.54</v>
      </c>
      <c r="O460"/>
      <c r="P460"/>
      <c r="Q460"/>
    </row>
    <row r="461" spans="3:17" s="5" customFormat="1" ht="60" x14ac:dyDescent="0.3">
      <c r="C461" s="90" t="s">
        <v>1128</v>
      </c>
      <c r="D461" s="87" t="s">
        <v>1129</v>
      </c>
      <c r="E461" s="91" t="s">
        <v>68</v>
      </c>
      <c r="F461" s="92">
        <v>14</v>
      </c>
      <c r="G461" s="93">
        <v>1307.81</v>
      </c>
      <c r="H461" s="93">
        <v>18309.34</v>
      </c>
      <c r="I461" s="93">
        <v>0</v>
      </c>
      <c r="J461" s="93">
        <v>0</v>
      </c>
      <c r="K461" s="25">
        <v>0</v>
      </c>
      <c r="L461" s="25">
        <v>0</v>
      </c>
      <c r="M461" s="25">
        <v>18309.34</v>
      </c>
      <c r="N461" s="25">
        <v>0</v>
      </c>
      <c r="O461"/>
      <c r="P461"/>
      <c r="Q461"/>
    </row>
    <row r="462" spans="3:17" s="5" customFormat="1" ht="60" x14ac:dyDescent="0.3">
      <c r="C462" s="90" t="s">
        <v>1131</v>
      </c>
      <c r="D462" s="87" t="s">
        <v>1132</v>
      </c>
      <c r="E462" s="91" t="s">
        <v>68</v>
      </c>
      <c r="F462" s="92">
        <v>26</v>
      </c>
      <c r="G462" s="93">
        <v>1470.89</v>
      </c>
      <c r="H462" s="93">
        <v>38243.14</v>
      </c>
      <c r="I462" s="93">
        <v>0</v>
      </c>
      <c r="J462" s="93">
        <v>0</v>
      </c>
      <c r="K462" s="25">
        <v>0</v>
      </c>
      <c r="L462" s="25">
        <v>0</v>
      </c>
      <c r="M462" s="25">
        <v>38243.14</v>
      </c>
      <c r="N462" s="25">
        <v>0</v>
      </c>
      <c r="O462"/>
      <c r="P462"/>
      <c r="Q462"/>
    </row>
    <row r="463" spans="3:17" s="5" customFormat="1" ht="60" x14ac:dyDescent="0.3">
      <c r="C463" s="90" t="s">
        <v>1134</v>
      </c>
      <c r="D463" s="87" t="s">
        <v>1135</v>
      </c>
      <c r="E463" s="91" t="s">
        <v>68</v>
      </c>
      <c r="F463" s="92">
        <v>8</v>
      </c>
      <c r="G463" s="93">
        <v>1797.59</v>
      </c>
      <c r="H463" s="93">
        <v>14380.72</v>
      </c>
      <c r="I463" s="93">
        <v>0</v>
      </c>
      <c r="J463" s="93">
        <v>0</v>
      </c>
      <c r="K463" s="25">
        <v>0</v>
      </c>
      <c r="L463" s="25">
        <v>0</v>
      </c>
      <c r="M463" s="25">
        <v>14380.72</v>
      </c>
      <c r="N463" s="25">
        <v>0</v>
      </c>
      <c r="O463"/>
      <c r="P463"/>
      <c r="Q463"/>
    </row>
    <row r="464" spans="3:17" s="5" customFormat="1" ht="60" x14ac:dyDescent="0.3">
      <c r="C464" s="90" t="s">
        <v>1137</v>
      </c>
      <c r="D464" s="87" t="s">
        <v>1138</v>
      </c>
      <c r="E464" s="91" t="s">
        <v>68</v>
      </c>
      <c r="F464" s="92">
        <v>4</v>
      </c>
      <c r="G464" s="93">
        <v>1960.27</v>
      </c>
      <c r="H464" s="93">
        <v>7841.08</v>
      </c>
      <c r="I464" s="93">
        <v>0</v>
      </c>
      <c r="J464" s="93">
        <v>0</v>
      </c>
      <c r="K464" s="25">
        <v>0</v>
      </c>
      <c r="L464" s="25">
        <v>0</v>
      </c>
      <c r="M464" s="25">
        <v>7841.08</v>
      </c>
      <c r="N464" s="25">
        <v>0</v>
      </c>
      <c r="O464"/>
      <c r="P464"/>
      <c r="Q464"/>
    </row>
    <row r="465" spans="3:17" s="5" customFormat="1" ht="48" x14ac:dyDescent="0.3">
      <c r="C465" s="90" t="s">
        <v>1140</v>
      </c>
      <c r="D465" s="87" t="s">
        <v>1141</v>
      </c>
      <c r="E465" s="91" t="s">
        <v>68</v>
      </c>
      <c r="F465" s="92">
        <v>2</v>
      </c>
      <c r="G465" s="93">
        <v>26.14</v>
      </c>
      <c r="H465" s="93">
        <v>52.28</v>
      </c>
      <c r="I465" s="93">
        <v>0</v>
      </c>
      <c r="J465" s="93">
        <v>0</v>
      </c>
      <c r="K465" s="25">
        <v>0</v>
      </c>
      <c r="L465" s="25">
        <v>0</v>
      </c>
      <c r="M465" s="25">
        <v>52.28</v>
      </c>
      <c r="N465" s="25">
        <v>0</v>
      </c>
      <c r="O465"/>
      <c r="P465"/>
      <c r="Q465"/>
    </row>
    <row r="466" spans="3:17" s="5" customFormat="1" ht="60" x14ac:dyDescent="0.3">
      <c r="C466" s="90" t="s">
        <v>1143</v>
      </c>
      <c r="D466" s="87" t="s">
        <v>1144</v>
      </c>
      <c r="E466" s="91" t="s">
        <v>68</v>
      </c>
      <c r="F466" s="92">
        <v>32</v>
      </c>
      <c r="G466" s="93">
        <v>155.97</v>
      </c>
      <c r="H466" s="93">
        <v>4991.04</v>
      </c>
      <c r="I466" s="93">
        <v>0</v>
      </c>
      <c r="J466" s="93">
        <v>0</v>
      </c>
      <c r="K466" s="25">
        <v>0</v>
      </c>
      <c r="L466" s="25">
        <v>0</v>
      </c>
      <c r="M466" s="25">
        <v>4991.04</v>
      </c>
      <c r="N466" s="25">
        <v>0</v>
      </c>
      <c r="O466"/>
      <c r="P466"/>
      <c r="Q466"/>
    </row>
    <row r="467" spans="3:17" s="5" customFormat="1" ht="48" x14ac:dyDescent="0.3">
      <c r="C467" s="90" t="s">
        <v>1146</v>
      </c>
      <c r="D467" s="87" t="s">
        <v>1147</v>
      </c>
      <c r="E467" s="91" t="s">
        <v>68</v>
      </c>
      <c r="F467" s="92">
        <v>5</v>
      </c>
      <c r="G467" s="93">
        <v>233.46</v>
      </c>
      <c r="H467" s="93">
        <v>1167.3</v>
      </c>
      <c r="I467" s="93">
        <v>0</v>
      </c>
      <c r="J467" s="93">
        <v>0</v>
      </c>
      <c r="K467" s="25">
        <v>0</v>
      </c>
      <c r="L467" s="25">
        <v>0</v>
      </c>
      <c r="M467" s="25">
        <v>1167.3</v>
      </c>
      <c r="N467" s="25">
        <v>0</v>
      </c>
      <c r="O467"/>
      <c r="P467"/>
      <c r="Q467"/>
    </row>
    <row r="468" spans="3:17" s="5" customFormat="1" ht="60" x14ac:dyDescent="0.3">
      <c r="C468" s="90" t="s">
        <v>1149</v>
      </c>
      <c r="D468" s="87" t="s">
        <v>1150</v>
      </c>
      <c r="E468" s="91" t="s">
        <v>68</v>
      </c>
      <c r="F468" s="92">
        <v>3</v>
      </c>
      <c r="G468" s="93">
        <v>745.82</v>
      </c>
      <c r="H468" s="93">
        <v>2237.46</v>
      </c>
      <c r="I468" s="93">
        <v>0</v>
      </c>
      <c r="J468" s="93">
        <v>0</v>
      </c>
      <c r="K468" s="25">
        <v>0</v>
      </c>
      <c r="L468" s="25">
        <v>0</v>
      </c>
      <c r="M468" s="25">
        <v>2237.46</v>
      </c>
      <c r="N468" s="25">
        <v>0</v>
      </c>
      <c r="O468"/>
      <c r="P468"/>
      <c r="Q468"/>
    </row>
    <row r="469" spans="3:17" s="5" customFormat="1" ht="60" x14ac:dyDescent="0.3">
      <c r="C469" s="90" t="s">
        <v>1152</v>
      </c>
      <c r="D469" s="87" t="s">
        <v>1153</v>
      </c>
      <c r="E469" s="91" t="s">
        <v>68</v>
      </c>
      <c r="F469" s="92">
        <v>3</v>
      </c>
      <c r="G469" s="93">
        <v>209.76</v>
      </c>
      <c r="H469" s="93">
        <v>629.28</v>
      </c>
      <c r="I469" s="93">
        <v>0</v>
      </c>
      <c r="J469" s="93">
        <v>0</v>
      </c>
      <c r="K469" s="25">
        <v>0</v>
      </c>
      <c r="L469" s="25">
        <v>0</v>
      </c>
      <c r="M469" s="25">
        <v>629.28</v>
      </c>
      <c r="N469" s="25">
        <v>0</v>
      </c>
      <c r="O469"/>
      <c r="P469"/>
      <c r="Q469"/>
    </row>
    <row r="470" spans="3:17" s="5" customFormat="1" ht="60" x14ac:dyDescent="0.3">
      <c r="C470" s="90" t="s">
        <v>1155</v>
      </c>
      <c r="D470" s="87" t="s">
        <v>1156</v>
      </c>
      <c r="E470" s="91" t="s">
        <v>68</v>
      </c>
      <c r="F470" s="92">
        <v>5</v>
      </c>
      <c r="G470" s="93">
        <v>301.7</v>
      </c>
      <c r="H470" s="93">
        <v>1508.5</v>
      </c>
      <c r="I470" s="93">
        <v>0</v>
      </c>
      <c r="J470" s="93">
        <v>0</v>
      </c>
      <c r="K470" s="25">
        <v>0</v>
      </c>
      <c r="L470" s="25">
        <v>0</v>
      </c>
      <c r="M470" s="25">
        <v>1508.5</v>
      </c>
      <c r="N470" s="25">
        <v>0</v>
      </c>
      <c r="O470"/>
      <c r="P470"/>
      <c r="Q470"/>
    </row>
    <row r="471" spans="3:17" s="5" customFormat="1" ht="60" x14ac:dyDescent="0.3">
      <c r="C471" s="90" t="s">
        <v>1158</v>
      </c>
      <c r="D471" s="87" t="s">
        <v>1159</v>
      </c>
      <c r="E471" s="91" t="s">
        <v>712</v>
      </c>
      <c r="F471" s="92">
        <v>4.5</v>
      </c>
      <c r="G471" s="93">
        <v>30365.279999999999</v>
      </c>
      <c r="H471" s="93">
        <v>136643.76</v>
      </c>
      <c r="I471" s="93">
        <v>0</v>
      </c>
      <c r="J471" s="93">
        <v>0</v>
      </c>
      <c r="K471" s="25">
        <v>0</v>
      </c>
      <c r="L471" s="25">
        <v>0</v>
      </c>
      <c r="M471" s="25">
        <v>136643.76</v>
      </c>
      <c r="N471" s="25">
        <v>0</v>
      </c>
      <c r="O471"/>
      <c r="P471"/>
      <c r="Q471"/>
    </row>
    <row r="472" spans="3:17" s="5" customFormat="1" ht="60" x14ac:dyDescent="0.3">
      <c r="C472" s="90" t="s">
        <v>1161</v>
      </c>
      <c r="D472" s="87" t="s">
        <v>1162</v>
      </c>
      <c r="E472" s="91" t="s">
        <v>712</v>
      </c>
      <c r="F472" s="92">
        <v>2.5</v>
      </c>
      <c r="G472" s="93">
        <v>30365.279999999999</v>
      </c>
      <c r="H472" s="93">
        <v>75913.2</v>
      </c>
      <c r="I472" s="93">
        <v>0</v>
      </c>
      <c r="J472" s="93">
        <v>0</v>
      </c>
      <c r="K472" s="25">
        <v>0</v>
      </c>
      <c r="L472" s="25">
        <v>0</v>
      </c>
      <c r="M472" s="25">
        <v>75913.2</v>
      </c>
      <c r="N472" s="25">
        <v>0</v>
      </c>
      <c r="O472"/>
      <c r="P472"/>
      <c r="Q472"/>
    </row>
    <row r="473" spans="3:17" s="5" customFormat="1" ht="180" x14ac:dyDescent="0.3">
      <c r="C473" s="90" t="s">
        <v>1164</v>
      </c>
      <c r="D473" s="87" t="s">
        <v>1165</v>
      </c>
      <c r="E473" s="91" t="s">
        <v>1166</v>
      </c>
      <c r="F473" s="92">
        <v>1</v>
      </c>
      <c r="G473" s="93">
        <v>648031.91</v>
      </c>
      <c r="H473" s="93">
        <v>648031.91</v>
      </c>
      <c r="I473" s="93">
        <v>0</v>
      </c>
      <c r="J473" s="93">
        <v>0</v>
      </c>
      <c r="K473" s="25">
        <v>0</v>
      </c>
      <c r="L473" s="25">
        <v>0</v>
      </c>
      <c r="M473" s="25">
        <v>0</v>
      </c>
      <c r="N473" s="25">
        <v>648031.91</v>
      </c>
      <c r="O473"/>
      <c r="P473"/>
      <c r="Q473"/>
    </row>
    <row r="474" spans="3:17" s="5" customFormat="1" ht="280.8" x14ac:dyDescent="0.3">
      <c r="C474" s="90" t="s">
        <v>1168</v>
      </c>
      <c r="D474" s="28" t="s">
        <v>1169</v>
      </c>
      <c r="E474" s="91" t="s">
        <v>1170</v>
      </c>
      <c r="F474" s="92">
        <v>1</v>
      </c>
      <c r="G474" s="93">
        <v>269896.90999999997</v>
      </c>
      <c r="H474" s="93">
        <v>269896.90999999997</v>
      </c>
      <c r="I474" s="93">
        <v>0</v>
      </c>
      <c r="J474" s="93">
        <v>0</v>
      </c>
      <c r="K474" s="25">
        <v>0</v>
      </c>
      <c r="L474" s="25">
        <v>0</v>
      </c>
      <c r="M474" s="25">
        <v>0</v>
      </c>
      <c r="N474" s="25">
        <v>269896.90999999997</v>
      </c>
      <c r="O474"/>
      <c r="P474"/>
      <c r="Q474"/>
    </row>
    <row r="475" spans="3:17" s="5" customFormat="1" ht="180" x14ac:dyDescent="0.3">
      <c r="C475" s="90" t="s">
        <v>1172</v>
      </c>
      <c r="D475" s="87" t="s">
        <v>1173</v>
      </c>
      <c r="E475" s="91" t="s">
        <v>68</v>
      </c>
      <c r="F475" s="92">
        <v>1</v>
      </c>
      <c r="G475" s="93">
        <v>692550.05</v>
      </c>
      <c r="H475" s="93">
        <v>692550.05</v>
      </c>
      <c r="I475" s="93">
        <v>0</v>
      </c>
      <c r="J475" s="93">
        <v>0</v>
      </c>
      <c r="K475" s="25">
        <v>0</v>
      </c>
      <c r="L475" s="25">
        <v>0</v>
      </c>
      <c r="M475" s="25">
        <v>0</v>
      </c>
      <c r="N475" s="25">
        <v>692550.05</v>
      </c>
      <c r="O475"/>
      <c r="P475"/>
      <c r="Q475"/>
    </row>
    <row r="476" spans="3:17" s="5" customFormat="1" ht="72" x14ac:dyDescent="0.3">
      <c r="C476" s="90" t="s">
        <v>1175</v>
      </c>
      <c r="D476" s="87" t="s">
        <v>1176</v>
      </c>
      <c r="E476" s="91" t="s">
        <v>68</v>
      </c>
      <c r="F476" s="92">
        <v>2</v>
      </c>
      <c r="G476" s="93">
        <v>23491.39</v>
      </c>
      <c r="H476" s="93">
        <v>46982.78</v>
      </c>
      <c r="I476" s="93">
        <v>0</v>
      </c>
      <c r="J476" s="93">
        <v>0</v>
      </c>
      <c r="K476" s="25">
        <v>0</v>
      </c>
      <c r="L476" s="25">
        <v>0</v>
      </c>
      <c r="M476" s="25">
        <v>46982.78</v>
      </c>
      <c r="N476" s="25">
        <v>0</v>
      </c>
      <c r="O476"/>
      <c r="P476"/>
      <c r="Q476"/>
    </row>
    <row r="477" spans="3:17" s="5" customFormat="1" ht="72" x14ac:dyDescent="0.3">
      <c r="C477" s="90" t="s">
        <v>1178</v>
      </c>
      <c r="D477" s="87" t="s">
        <v>1179</v>
      </c>
      <c r="E477" s="91" t="s">
        <v>68</v>
      </c>
      <c r="F477" s="92">
        <v>1</v>
      </c>
      <c r="G477" s="93">
        <v>5576.28</v>
      </c>
      <c r="H477" s="93">
        <v>5576.28</v>
      </c>
      <c r="I477" s="93">
        <v>0</v>
      </c>
      <c r="J477" s="93">
        <v>0</v>
      </c>
      <c r="K477" s="25">
        <v>0</v>
      </c>
      <c r="L477" s="25">
        <v>0</v>
      </c>
      <c r="M477" s="25">
        <v>5576.28</v>
      </c>
      <c r="N477" s="25">
        <v>0</v>
      </c>
      <c r="O477"/>
      <c r="P477"/>
      <c r="Q477"/>
    </row>
    <row r="478" spans="3:17" s="5" customFormat="1" ht="72" x14ac:dyDescent="0.3">
      <c r="C478" s="90" t="s">
        <v>1181</v>
      </c>
      <c r="D478" s="87" t="s">
        <v>1182</v>
      </c>
      <c r="E478" s="91" t="s">
        <v>58</v>
      </c>
      <c r="F478" s="92">
        <v>55</v>
      </c>
      <c r="G478" s="93">
        <v>133.65</v>
      </c>
      <c r="H478" s="93">
        <v>7350.75</v>
      </c>
      <c r="I478" s="93">
        <v>0</v>
      </c>
      <c r="J478" s="93">
        <v>0</v>
      </c>
      <c r="K478" s="25">
        <v>0</v>
      </c>
      <c r="L478" s="25">
        <v>0</v>
      </c>
      <c r="M478" s="25">
        <v>0</v>
      </c>
      <c r="N478" s="25">
        <v>7350.75</v>
      </c>
      <c r="O478"/>
      <c r="P478"/>
      <c r="Q478"/>
    </row>
    <row r="479" spans="3:17" s="5" customFormat="1" ht="72" x14ac:dyDescent="0.3">
      <c r="C479" s="90" t="s">
        <v>1184</v>
      </c>
      <c r="D479" s="87" t="s">
        <v>1185</v>
      </c>
      <c r="E479" s="91" t="s">
        <v>58</v>
      </c>
      <c r="F479" s="92">
        <v>55</v>
      </c>
      <c r="G479" s="93">
        <v>133.65</v>
      </c>
      <c r="H479" s="93">
        <v>7350.75</v>
      </c>
      <c r="I479" s="93">
        <v>0</v>
      </c>
      <c r="J479" s="93">
        <v>0</v>
      </c>
      <c r="K479" s="25">
        <v>0</v>
      </c>
      <c r="L479" s="25">
        <v>0</v>
      </c>
      <c r="M479" s="25">
        <v>0</v>
      </c>
      <c r="N479" s="25">
        <v>7350.75</v>
      </c>
      <c r="O479"/>
      <c r="P479"/>
      <c r="Q479"/>
    </row>
    <row r="480" spans="3:17" s="5" customFormat="1" ht="48" x14ac:dyDescent="0.3">
      <c r="C480" s="90" t="s">
        <v>1186</v>
      </c>
      <c r="D480" s="87" t="s">
        <v>1187</v>
      </c>
      <c r="E480" s="91" t="s">
        <v>68</v>
      </c>
      <c r="F480" s="92">
        <v>50</v>
      </c>
      <c r="G480" s="93">
        <v>1795.81</v>
      </c>
      <c r="H480" s="93">
        <v>89790.5</v>
      </c>
      <c r="I480" s="93">
        <v>0</v>
      </c>
      <c r="J480" s="93">
        <v>0</v>
      </c>
      <c r="K480" s="25">
        <v>0</v>
      </c>
      <c r="L480" s="25">
        <v>0</v>
      </c>
      <c r="M480" s="25">
        <v>89790.5</v>
      </c>
      <c r="N480" s="25">
        <v>0</v>
      </c>
      <c r="O480"/>
      <c r="P480"/>
      <c r="Q480"/>
    </row>
    <row r="481" spans="3:17" s="5" customFormat="1" ht="48" x14ac:dyDescent="0.3">
      <c r="C481" s="90" t="s">
        <v>1188</v>
      </c>
      <c r="D481" s="87" t="s">
        <v>1189</v>
      </c>
      <c r="E481" s="91" t="s">
        <v>68</v>
      </c>
      <c r="F481" s="92">
        <v>100</v>
      </c>
      <c r="G481" s="93">
        <v>1119.19</v>
      </c>
      <c r="H481" s="93">
        <v>111919</v>
      </c>
      <c r="I481" s="93">
        <v>0</v>
      </c>
      <c r="J481" s="93">
        <v>0</v>
      </c>
      <c r="K481" s="25">
        <v>0</v>
      </c>
      <c r="L481" s="25">
        <v>0</v>
      </c>
      <c r="M481" s="25">
        <v>0</v>
      </c>
      <c r="N481" s="25">
        <v>111919</v>
      </c>
      <c r="O481"/>
      <c r="P481"/>
      <c r="Q481"/>
    </row>
    <row r="482" spans="3:17" s="5" customFormat="1" ht="60" x14ac:dyDescent="0.3">
      <c r="C482" s="90" t="s">
        <v>1191</v>
      </c>
      <c r="D482" s="87" t="s">
        <v>1192</v>
      </c>
      <c r="E482" s="91" t="s">
        <v>68</v>
      </c>
      <c r="F482" s="92">
        <v>1</v>
      </c>
      <c r="G482" s="93">
        <v>1469.74</v>
      </c>
      <c r="H482" s="93">
        <v>1469.74</v>
      </c>
      <c r="I482" s="93">
        <v>0</v>
      </c>
      <c r="J482" s="93">
        <v>0</v>
      </c>
      <c r="K482" s="25">
        <v>0</v>
      </c>
      <c r="L482" s="25">
        <v>0</v>
      </c>
      <c r="M482" s="25">
        <v>0</v>
      </c>
      <c r="N482" s="25">
        <v>1469.74</v>
      </c>
      <c r="O482"/>
      <c r="P482"/>
      <c r="Q482"/>
    </row>
    <row r="483" spans="3:17" s="5" customFormat="1" ht="60" x14ac:dyDescent="0.3">
      <c r="C483" s="90" t="s">
        <v>1194</v>
      </c>
      <c r="D483" s="87" t="s">
        <v>1195</v>
      </c>
      <c r="E483" s="91" t="s">
        <v>68</v>
      </c>
      <c r="F483" s="92">
        <v>1</v>
      </c>
      <c r="G483" s="93">
        <v>2279.7399999999998</v>
      </c>
      <c r="H483" s="93">
        <v>2279.7399999999998</v>
      </c>
      <c r="I483" s="93">
        <v>0</v>
      </c>
      <c r="J483" s="93">
        <v>0</v>
      </c>
      <c r="K483" s="25">
        <v>0</v>
      </c>
      <c r="L483" s="25">
        <v>0</v>
      </c>
      <c r="M483" s="25">
        <v>0</v>
      </c>
      <c r="N483" s="25">
        <v>2279.7399999999998</v>
      </c>
      <c r="O483"/>
      <c r="P483"/>
      <c r="Q483"/>
    </row>
    <row r="484" spans="3:17" s="5" customFormat="1" ht="60" x14ac:dyDescent="0.3">
      <c r="C484" s="90" t="s">
        <v>1197</v>
      </c>
      <c r="D484" s="87" t="s">
        <v>1198</v>
      </c>
      <c r="E484" s="91" t="s">
        <v>68</v>
      </c>
      <c r="F484" s="92">
        <v>1</v>
      </c>
      <c r="G484" s="93">
        <v>13703.89</v>
      </c>
      <c r="H484" s="93">
        <v>13703.89</v>
      </c>
      <c r="I484" s="93">
        <v>0</v>
      </c>
      <c r="J484" s="93">
        <v>0</v>
      </c>
      <c r="K484" s="25">
        <v>0</v>
      </c>
      <c r="L484" s="25">
        <v>0</v>
      </c>
      <c r="M484" s="25">
        <v>0</v>
      </c>
      <c r="N484" s="25">
        <v>13703.89</v>
      </c>
      <c r="O484"/>
      <c r="P484"/>
      <c r="Q484"/>
    </row>
    <row r="485" spans="3:17" s="5" customFormat="1" ht="60" x14ac:dyDescent="0.3">
      <c r="C485" s="90" t="s">
        <v>1200</v>
      </c>
      <c r="D485" s="87" t="s">
        <v>1201</v>
      </c>
      <c r="E485" s="91" t="s">
        <v>68</v>
      </c>
      <c r="F485" s="92">
        <v>25</v>
      </c>
      <c r="G485" s="93">
        <v>280.20999999999998</v>
      </c>
      <c r="H485" s="93">
        <v>7005.25</v>
      </c>
      <c r="I485" s="93">
        <v>0</v>
      </c>
      <c r="J485" s="93">
        <v>0</v>
      </c>
      <c r="K485" s="25">
        <v>0</v>
      </c>
      <c r="L485" s="25">
        <v>0</v>
      </c>
      <c r="M485" s="25">
        <v>7005.25</v>
      </c>
      <c r="N485" s="25">
        <v>0</v>
      </c>
      <c r="O485"/>
      <c r="P485"/>
      <c r="Q485"/>
    </row>
    <row r="486" spans="3:17" s="5" customFormat="1" ht="72" x14ac:dyDescent="0.3">
      <c r="C486" s="90" t="s">
        <v>1203</v>
      </c>
      <c r="D486" s="87" t="s">
        <v>1204</v>
      </c>
      <c r="E486" s="91" t="s">
        <v>58</v>
      </c>
      <c r="F486" s="92">
        <v>7</v>
      </c>
      <c r="G486" s="93">
        <v>6080.53</v>
      </c>
      <c r="H486" s="93">
        <v>42563.71</v>
      </c>
      <c r="I486" s="93">
        <v>0</v>
      </c>
      <c r="J486" s="93">
        <v>0</v>
      </c>
      <c r="K486" s="25">
        <v>0</v>
      </c>
      <c r="L486" s="25">
        <v>0</v>
      </c>
      <c r="M486" s="25">
        <v>42563.71</v>
      </c>
      <c r="N486" s="25">
        <v>0</v>
      </c>
      <c r="O486"/>
      <c r="P486"/>
      <c r="Q486"/>
    </row>
    <row r="487" spans="3:17" s="5" customFormat="1" ht="72" x14ac:dyDescent="0.3">
      <c r="C487" s="90" t="s">
        <v>1206</v>
      </c>
      <c r="D487" s="87" t="s">
        <v>1207</v>
      </c>
      <c r="E487" s="91" t="s">
        <v>68</v>
      </c>
      <c r="F487" s="92">
        <v>2</v>
      </c>
      <c r="G487" s="93">
        <v>19806.189999999999</v>
      </c>
      <c r="H487" s="93">
        <v>39612.379999999997</v>
      </c>
      <c r="I487" s="93">
        <v>0</v>
      </c>
      <c r="J487" s="93">
        <v>0</v>
      </c>
      <c r="K487" s="25">
        <v>0</v>
      </c>
      <c r="L487" s="25">
        <v>0</v>
      </c>
      <c r="M487" s="25">
        <v>39612.379999999997</v>
      </c>
      <c r="N487" s="25">
        <v>0</v>
      </c>
      <c r="O487"/>
      <c r="P487"/>
      <c r="Q487"/>
    </row>
    <row r="488" spans="3:17" s="5" customFormat="1" ht="72" x14ac:dyDescent="0.3">
      <c r="C488" s="90" t="s">
        <v>1209</v>
      </c>
      <c r="D488" s="87" t="s">
        <v>1210</v>
      </c>
      <c r="E488" s="91" t="s">
        <v>68</v>
      </c>
      <c r="F488" s="92">
        <v>4</v>
      </c>
      <c r="G488" s="93">
        <v>14276.99</v>
      </c>
      <c r="H488" s="93">
        <v>57107.96</v>
      </c>
      <c r="I488" s="93">
        <v>0</v>
      </c>
      <c r="J488" s="93">
        <v>0</v>
      </c>
      <c r="K488" s="25">
        <v>0</v>
      </c>
      <c r="L488" s="25">
        <v>0</v>
      </c>
      <c r="M488" s="25">
        <v>57107.96</v>
      </c>
      <c r="N488" s="25">
        <v>0</v>
      </c>
      <c r="O488"/>
      <c r="P488"/>
      <c r="Q488"/>
    </row>
    <row r="489" spans="3:17" s="5" customFormat="1" ht="72" x14ac:dyDescent="0.3">
      <c r="C489" s="90" t="s">
        <v>1212</v>
      </c>
      <c r="D489" s="87" t="s">
        <v>1213</v>
      </c>
      <c r="E489" s="91" t="s">
        <v>68</v>
      </c>
      <c r="F489" s="92">
        <v>1</v>
      </c>
      <c r="G489" s="93">
        <v>14276.38</v>
      </c>
      <c r="H489" s="93">
        <v>14276.38</v>
      </c>
      <c r="I489" s="93">
        <v>0</v>
      </c>
      <c r="J489" s="93">
        <v>0</v>
      </c>
      <c r="K489" s="25">
        <v>0</v>
      </c>
      <c r="L489" s="25">
        <v>0</v>
      </c>
      <c r="M489" s="25">
        <v>14276.38</v>
      </c>
      <c r="N489" s="25">
        <v>0</v>
      </c>
      <c r="O489"/>
      <c r="P489"/>
      <c r="Q489"/>
    </row>
    <row r="490" spans="3:17" s="5" customFormat="1" ht="48" x14ac:dyDescent="0.3">
      <c r="C490" s="90" t="s">
        <v>1215</v>
      </c>
      <c r="D490" s="87" t="s">
        <v>1216</v>
      </c>
      <c r="E490" s="91" t="s">
        <v>68</v>
      </c>
      <c r="F490" s="92">
        <v>14</v>
      </c>
      <c r="G490" s="93">
        <v>1262.97</v>
      </c>
      <c r="H490" s="93">
        <v>17681.580000000002</v>
      </c>
      <c r="I490" s="93">
        <v>0</v>
      </c>
      <c r="J490" s="93">
        <v>0</v>
      </c>
      <c r="K490" s="25">
        <v>0</v>
      </c>
      <c r="L490" s="25">
        <v>0</v>
      </c>
      <c r="M490" s="25">
        <v>17681.580000000002</v>
      </c>
      <c r="N490" s="25">
        <v>0</v>
      </c>
      <c r="O490"/>
      <c r="P490"/>
      <c r="Q490"/>
    </row>
    <row r="491" spans="3:17" s="5" customFormat="1" ht="48" x14ac:dyDescent="0.3">
      <c r="C491" s="90" t="s">
        <v>1218</v>
      </c>
      <c r="D491" s="87" t="s">
        <v>1219</v>
      </c>
      <c r="E491" s="91" t="s">
        <v>68</v>
      </c>
      <c r="F491" s="92">
        <v>56</v>
      </c>
      <c r="G491" s="93">
        <v>309.3</v>
      </c>
      <c r="H491" s="93">
        <v>17320.8</v>
      </c>
      <c r="I491" s="93">
        <v>0</v>
      </c>
      <c r="J491" s="93">
        <v>0</v>
      </c>
      <c r="K491" s="25">
        <v>0</v>
      </c>
      <c r="L491" s="25">
        <v>0</v>
      </c>
      <c r="M491" s="25">
        <v>17320.8</v>
      </c>
      <c r="N491" s="25">
        <v>0</v>
      </c>
      <c r="O491"/>
      <c r="P491"/>
      <c r="Q491"/>
    </row>
    <row r="492" spans="3:17" s="5" customFormat="1" ht="60" x14ac:dyDescent="0.3">
      <c r="C492" s="90" t="s">
        <v>1221</v>
      </c>
      <c r="D492" s="87" t="s">
        <v>1222</v>
      </c>
      <c r="E492" s="91" t="s">
        <v>68</v>
      </c>
      <c r="F492" s="92">
        <v>7</v>
      </c>
      <c r="G492" s="93">
        <v>529.20000000000005</v>
      </c>
      <c r="H492" s="93">
        <v>3704.4</v>
      </c>
      <c r="I492" s="93">
        <v>0</v>
      </c>
      <c r="J492" s="93">
        <v>0</v>
      </c>
      <c r="K492" s="25">
        <v>0</v>
      </c>
      <c r="L492" s="25">
        <v>0</v>
      </c>
      <c r="M492" s="25">
        <v>3704.4</v>
      </c>
      <c r="N492" s="25">
        <v>0</v>
      </c>
      <c r="O492"/>
      <c r="P492"/>
      <c r="Q492"/>
    </row>
    <row r="493" spans="3:17" s="5" customFormat="1" ht="48" x14ac:dyDescent="0.3">
      <c r="C493" s="90" t="s">
        <v>1224</v>
      </c>
      <c r="D493" s="87" t="s">
        <v>1225</v>
      </c>
      <c r="E493" s="91" t="s">
        <v>58</v>
      </c>
      <c r="F493" s="92">
        <v>35</v>
      </c>
      <c r="G493" s="93">
        <v>52.24</v>
      </c>
      <c r="H493" s="93">
        <v>1828.4</v>
      </c>
      <c r="I493" s="93">
        <v>0</v>
      </c>
      <c r="J493" s="93">
        <v>0</v>
      </c>
      <c r="K493" s="25">
        <v>0</v>
      </c>
      <c r="L493" s="25">
        <v>0</v>
      </c>
      <c r="M493" s="25">
        <v>0</v>
      </c>
      <c r="N493" s="25">
        <v>1828.4</v>
      </c>
      <c r="O493"/>
      <c r="P493"/>
      <c r="Q493"/>
    </row>
    <row r="494" spans="3:17" s="5" customFormat="1" ht="132" x14ac:dyDescent="0.3">
      <c r="C494" s="90" t="s">
        <v>1227</v>
      </c>
      <c r="D494" s="87" t="s">
        <v>1228</v>
      </c>
      <c r="E494" s="91" t="s">
        <v>68</v>
      </c>
      <c r="F494" s="92">
        <v>1</v>
      </c>
      <c r="G494" s="93">
        <v>652225.43999999994</v>
      </c>
      <c r="H494" s="93">
        <v>652225.43999999994</v>
      </c>
      <c r="I494" s="93">
        <v>0</v>
      </c>
      <c r="J494" s="93">
        <v>0</v>
      </c>
      <c r="K494" s="25">
        <v>0</v>
      </c>
      <c r="L494" s="25">
        <v>0</v>
      </c>
      <c r="M494" s="25">
        <v>0</v>
      </c>
      <c r="N494" s="25">
        <v>652225.43999999994</v>
      </c>
      <c r="O494"/>
      <c r="P494"/>
      <c r="Q494"/>
    </row>
    <row r="495" spans="3:17" s="5" customFormat="1" ht="264" x14ac:dyDescent="0.3">
      <c r="C495" s="90" t="s">
        <v>1230</v>
      </c>
      <c r="D495" s="87" t="s">
        <v>1231</v>
      </c>
      <c r="E495" s="91" t="s">
        <v>68</v>
      </c>
      <c r="F495" s="92">
        <v>9</v>
      </c>
      <c r="G495" s="93">
        <v>16984.84</v>
      </c>
      <c r="H495" s="93">
        <v>152863.56</v>
      </c>
      <c r="I495" s="93">
        <v>0</v>
      </c>
      <c r="J495" s="93">
        <v>0</v>
      </c>
      <c r="K495" s="25">
        <v>0</v>
      </c>
      <c r="L495" s="25">
        <v>0</v>
      </c>
      <c r="M495" s="25">
        <v>0</v>
      </c>
      <c r="N495" s="25">
        <v>152863.56</v>
      </c>
      <c r="O495"/>
      <c r="P495"/>
      <c r="Q495"/>
    </row>
    <row r="496" spans="3:17" s="5" customFormat="1" ht="216" x14ac:dyDescent="0.3">
      <c r="C496" s="90" t="s">
        <v>1233</v>
      </c>
      <c r="D496" s="28" t="s">
        <v>1234</v>
      </c>
      <c r="E496" s="91" t="s">
        <v>68</v>
      </c>
      <c r="F496" s="92">
        <v>3</v>
      </c>
      <c r="G496" s="93">
        <v>16984.84</v>
      </c>
      <c r="H496" s="93">
        <v>50954.52</v>
      </c>
      <c r="I496" s="93">
        <v>0</v>
      </c>
      <c r="J496" s="93">
        <v>0</v>
      </c>
      <c r="K496" s="25">
        <v>0</v>
      </c>
      <c r="L496" s="25">
        <v>0</v>
      </c>
      <c r="M496" s="25">
        <v>0</v>
      </c>
      <c r="N496" s="25">
        <v>50954.52</v>
      </c>
      <c r="O496"/>
      <c r="P496"/>
      <c r="Q496"/>
    </row>
    <row r="497" spans="3:17" s="5" customFormat="1" ht="228" x14ac:dyDescent="0.3">
      <c r="C497" s="90" t="s">
        <v>1235</v>
      </c>
      <c r="D497" s="87" t="s">
        <v>1236</v>
      </c>
      <c r="E497" s="91" t="s">
        <v>68</v>
      </c>
      <c r="F497" s="92">
        <v>6</v>
      </c>
      <c r="G497" s="93">
        <v>15678.29</v>
      </c>
      <c r="H497" s="93">
        <v>94069.74</v>
      </c>
      <c r="I497" s="93">
        <v>0</v>
      </c>
      <c r="J497" s="93">
        <v>0</v>
      </c>
      <c r="K497" s="25">
        <v>0</v>
      </c>
      <c r="L497" s="25">
        <v>0</v>
      </c>
      <c r="M497" s="25">
        <v>0</v>
      </c>
      <c r="N497" s="25">
        <v>94069.74</v>
      </c>
      <c r="O497"/>
      <c r="P497"/>
      <c r="Q497"/>
    </row>
    <row r="498" spans="3:17" s="5" customFormat="1" ht="120" x14ac:dyDescent="0.3">
      <c r="C498" s="90" t="s">
        <v>1238</v>
      </c>
      <c r="D498" s="87" t="s">
        <v>1239</v>
      </c>
      <c r="E498" s="91" t="s">
        <v>68</v>
      </c>
      <c r="F498" s="92">
        <v>9</v>
      </c>
      <c r="G498" s="93">
        <v>7969.79</v>
      </c>
      <c r="H498" s="93">
        <v>71728.11</v>
      </c>
      <c r="I498" s="93">
        <v>0</v>
      </c>
      <c r="J498" s="93">
        <v>0</v>
      </c>
      <c r="K498" s="25">
        <v>0</v>
      </c>
      <c r="L498" s="25">
        <v>0</v>
      </c>
      <c r="M498" s="25">
        <v>0</v>
      </c>
      <c r="N498" s="25">
        <v>71728.11</v>
      </c>
      <c r="O498"/>
      <c r="P498"/>
      <c r="Q498"/>
    </row>
    <row r="499" spans="3:17" s="5" customFormat="1" ht="120" x14ac:dyDescent="0.3">
      <c r="C499" s="90" t="s">
        <v>1241</v>
      </c>
      <c r="D499" s="87" t="s">
        <v>1242</v>
      </c>
      <c r="E499" s="91" t="s">
        <v>68</v>
      </c>
      <c r="F499" s="92">
        <v>3</v>
      </c>
      <c r="G499" s="93">
        <v>7969.79</v>
      </c>
      <c r="H499" s="93">
        <v>23909.37</v>
      </c>
      <c r="I499" s="93">
        <v>0</v>
      </c>
      <c r="J499" s="93">
        <v>0</v>
      </c>
      <c r="K499" s="25">
        <v>0</v>
      </c>
      <c r="L499" s="25">
        <v>0</v>
      </c>
      <c r="M499" s="25">
        <v>0</v>
      </c>
      <c r="N499" s="25">
        <v>23909.37</v>
      </c>
      <c r="O499"/>
      <c r="P499"/>
      <c r="Q499"/>
    </row>
    <row r="500" spans="3:17" s="5" customFormat="1" ht="120" x14ac:dyDescent="0.3">
      <c r="C500" s="90" t="s">
        <v>1244</v>
      </c>
      <c r="D500" s="87" t="s">
        <v>1245</v>
      </c>
      <c r="E500" s="91" t="s">
        <v>68</v>
      </c>
      <c r="F500" s="92">
        <v>2</v>
      </c>
      <c r="G500" s="93">
        <v>7969.79</v>
      </c>
      <c r="H500" s="93">
        <v>15939.58</v>
      </c>
      <c r="I500" s="93">
        <v>0</v>
      </c>
      <c r="J500" s="93">
        <v>0</v>
      </c>
      <c r="K500" s="25">
        <v>0</v>
      </c>
      <c r="L500" s="25">
        <v>0</v>
      </c>
      <c r="M500" s="25">
        <v>0</v>
      </c>
      <c r="N500" s="25">
        <v>15939.58</v>
      </c>
      <c r="O500"/>
      <c r="P500"/>
      <c r="Q500"/>
    </row>
    <row r="501" spans="3:17" s="5" customFormat="1" ht="96" x14ac:dyDescent="0.3">
      <c r="C501" s="90" t="s">
        <v>1247</v>
      </c>
      <c r="D501" s="87" t="s">
        <v>1248</v>
      </c>
      <c r="E501" s="91" t="s">
        <v>68</v>
      </c>
      <c r="F501" s="92">
        <v>3</v>
      </c>
      <c r="G501" s="93">
        <v>32924.410000000003</v>
      </c>
      <c r="H501" s="93">
        <v>98773.23</v>
      </c>
      <c r="I501" s="93">
        <v>0</v>
      </c>
      <c r="J501" s="93">
        <v>0</v>
      </c>
      <c r="K501" s="25">
        <v>0</v>
      </c>
      <c r="L501" s="25">
        <v>0</v>
      </c>
      <c r="M501" s="25">
        <v>0</v>
      </c>
      <c r="N501" s="25">
        <v>98773.23</v>
      </c>
      <c r="O501"/>
      <c r="P501"/>
      <c r="Q501"/>
    </row>
    <row r="502" spans="3:17" s="5" customFormat="1" ht="180" x14ac:dyDescent="0.3">
      <c r="C502" s="90" t="s">
        <v>1250</v>
      </c>
      <c r="D502" s="87" t="s">
        <v>1251</v>
      </c>
      <c r="E502" s="91" t="s">
        <v>68</v>
      </c>
      <c r="F502" s="92">
        <v>3</v>
      </c>
      <c r="G502" s="93">
        <v>32924.410000000003</v>
      </c>
      <c r="H502" s="93">
        <v>98773.23</v>
      </c>
      <c r="I502" s="93">
        <v>0</v>
      </c>
      <c r="J502" s="93">
        <v>0</v>
      </c>
      <c r="K502" s="25">
        <v>0</v>
      </c>
      <c r="L502" s="25">
        <v>0</v>
      </c>
      <c r="M502" s="25">
        <v>0</v>
      </c>
      <c r="N502" s="25">
        <v>98773.23</v>
      </c>
      <c r="O502"/>
      <c r="P502"/>
      <c r="Q502"/>
    </row>
    <row r="503" spans="3:17" s="5" customFormat="1" ht="120" x14ac:dyDescent="0.3">
      <c r="C503" s="90" t="s">
        <v>1253</v>
      </c>
      <c r="D503" s="87" t="s">
        <v>1254</v>
      </c>
      <c r="E503" s="91" t="s">
        <v>68</v>
      </c>
      <c r="F503" s="92">
        <v>3</v>
      </c>
      <c r="G503" s="93">
        <v>32924.410000000003</v>
      </c>
      <c r="H503" s="93">
        <v>98773.23</v>
      </c>
      <c r="I503" s="93">
        <v>0</v>
      </c>
      <c r="J503" s="93">
        <v>0</v>
      </c>
      <c r="K503" s="25">
        <v>0</v>
      </c>
      <c r="L503" s="25">
        <v>0</v>
      </c>
      <c r="M503" s="25">
        <v>0</v>
      </c>
      <c r="N503" s="25">
        <v>98773.23</v>
      </c>
      <c r="O503"/>
      <c r="P503"/>
      <c r="Q503"/>
    </row>
    <row r="504" spans="3:17" s="5" customFormat="1" ht="132" x14ac:dyDescent="0.3">
      <c r="C504" s="90" t="s">
        <v>1256</v>
      </c>
      <c r="D504" s="87" t="s">
        <v>1257</v>
      </c>
      <c r="E504" s="91" t="s">
        <v>68</v>
      </c>
      <c r="F504" s="92">
        <v>3</v>
      </c>
      <c r="G504" s="93">
        <v>5748.7</v>
      </c>
      <c r="H504" s="93">
        <v>17246.099999999999</v>
      </c>
      <c r="I504" s="93">
        <v>0</v>
      </c>
      <c r="J504" s="93">
        <v>0</v>
      </c>
      <c r="K504" s="25">
        <v>0</v>
      </c>
      <c r="L504" s="25">
        <v>0</v>
      </c>
      <c r="M504" s="25">
        <v>0</v>
      </c>
      <c r="N504" s="25">
        <v>17246.099999999999</v>
      </c>
      <c r="O504"/>
      <c r="P504"/>
      <c r="Q504"/>
    </row>
    <row r="505" spans="3:17" s="5" customFormat="1" ht="228" x14ac:dyDescent="0.3">
      <c r="C505" s="90" t="s">
        <v>1259</v>
      </c>
      <c r="D505" s="87" t="s">
        <v>1260</v>
      </c>
      <c r="E505" s="91" t="s">
        <v>68</v>
      </c>
      <c r="F505" s="92">
        <v>1</v>
      </c>
      <c r="G505" s="93">
        <v>25607.88</v>
      </c>
      <c r="H505" s="93">
        <v>25607.88</v>
      </c>
      <c r="I505" s="93">
        <v>0</v>
      </c>
      <c r="J505" s="93">
        <v>0</v>
      </c>
      <c r="K505" s="25">
        <v>0</v>
      </c>
      <c r="L505" s="25">
        <v>0</v>
      </c>
      <c r="M505" s="25">
        <v>0</v>
      </c>
      <c r="N505" s="25">
        <v>25607.88</v>
      </c>
      <c r="O505"/>
      <c r="P505"/>
      <c r="Q505"/>
    </row>
    <row r="506" spans="3:17" s="5" customFormat="1" ht="60" x14ac:dyDescent="0.3">
      <c r="C506" s="90" t="s">
        <v>1262</v>
      </c>
      <c r="D506" s="87" t="s">
        <v>1263</v>
      </c>
      <c r="E506" s="91" t="s">
        <v>58</v>
      </c>
      <c r="F506" s="92">
        <v>525</v>
      </c>
      <c r="G506" s="93">
        <v>522.61</v>
      </c>
      <c r="H506" s="93">
        <v>274370.25</v>
      </c>
      <c r="I506" s="93">
        <v>0</v>
      </c>
      <c r="J506" s="93">
        <v>0</v>
      </c>
      <c r="K506" s="25">
        <v>0</v>
      </c>
      <c r="L506" s="25">
        <v>0</v>
      </c>
      <c r="M506" s="25">
        <v>209044</v>
      </c>
      <c r="N506" s="25">
        <v>65326.25</v>
      </c>
      <c r="O506"/>
      <c r="P506"/>
      <c r="Q506"/>
    </row>
    <row r="507" spans="3:17" s="5" customFormat="1" ht="48" x14ac:dyDescent="0.3">
      <c r="C507" s="90" t="s">
        <v>1265</v>
      </c>
      <c r="D507" s="87" t="s">
        <v>1266</v>
      </c>
      <c r="E507" s="91" t="s">
        <v>58</v>
      </c>
      <c r="F507" s="92">
        <v>60</v>
      </c>
      <c r="G507" s="93">
        <v>2531.8200000000002</v>
      </c>
      <c r="H507" s="93">
        <v>151909.20000000001</v>
      </c>
      <c r="I507" s="93">
        <v>0</v>
      </c>
      <c r="J507" s="93">
        <v>0</v>
      </c>
      <c r="K507" s="25">
        <v>0</v>
      </c>
      <c r="L507" s="25">
        <v>0</v>
      </c>
      <c r="M507" s="25">
        <v>151909.20000000001</v>
      </c>
      <c r="N507" s="25">
        <v>0</v>
      </c>
      <c r="O507"/>
      <c r="P507"/>
      <c r="Q507"/>
    </row>
    <row r="508" spans="3:17" s="5" customFormat="1" ht="48" x14ac:dyDescent="0.3">
      <c r="C508" s="90" t="s">
        <v>1268</v>
      </c>
      <c r="D508" s="87" t="s">
        <v>1269</v>
      </c>
      <c r="E508" s="91" t="s">
        <v>68</v>
      </c>
      <c r="F508" s="92">
        <v>48</v>
      </c>
      <c r="G508" s="93">
        <v>5638.1</v>
      </c>
      <c r="H508" s="93">
        <v>270628.8</v>
      </c>
      <c r="I508" s="93">
        <v>0</v>
      </c>
      <c r="J508" s="93">
        <v>0</v>
      </c>
      <c r="K508" s="25">
        <v>0</v>
      </c>
      <c r="L508" s="25">
        <v>0</v>
      </c>
      <c r="M508" s="25">
        <v>157866.79999999999</v>
      </c>
      <c r="N508" s="25">
        <v>112762</v>
      </c>
      <c r="O508"/>
      <c r="P508"/>
      <c r="Q508"/>
    </row>
    <row r="509" spans="3:17" s="5" customFormat="1" ht="48" x14ac:dyDescent="0.3">
      <c r="C509" s="90" t="s">
        <v>1271</v>
      </c>
      <c r="D509" s="87" t="s">
        <v>1272</v>
      </c>
      <c r="E509" s="91" t="s">
        <v>68</v>
      </c>
      <c r="F509" s="92">
        <v>1</v>
      </c>
      <c r="G509" s="93">
        <v>8483.7000000000007</v>
      </c>
      <c r="H509" s="93">
        <v>8483.7000000000007</v>
      </c>
      <c r="I509" s="93">
        <v>0</v>
      </c>
      <c r="J509" s="93">
        <v>0</v>
      </c>
      <c r="K509" s="25">
        <v>0</v>
      </c>
      <c r="L509" s="25">
        <v>0</v>
      </c>
      <c r="M509" s="25">
        <v>0</v>
      </c>
      <c r="N509" s="25">
        <v>8483.7000000000007</v>
      </c>
      <c r="O509"/>
      <c r="P509"/>
      <c r="Q509"/>
    </row>
    <row r="510" spans="3:17" s="5" customFormat="1" ht="60" x14ac:dyDescent="0.3">
      <c r="C510" s="90" t="s">
        <v>1274</v>
      </c>
      <c r="D510" s="87" t="s">
        <v>1275</v>
      </c>
      <c r="E510" s="91" t="s">
        <v>68</v>
      </c>
      <c r="F510" s="92">
        <v>6</v>
      </c>
      <c r="G510" s="93">
        <v>108009.21</v>
      </c>
      <c r="H510" s="93">
        <v>648055.26</v>
      </c>
      <c r="I510" s="93">
        <v>0</v>
      </c>
      <c r="J510" s="93">
        <v>0</v>
      </c>
      <c r="K510" s="25">
        <v>0</v>
      </c>
      <c r="L510" s="25">
        <v>0</v>
      </c>
      <c r="M510" s="25">
        <v>0</v>
      </c>
      <c r="N510" s="25">
        <v>648055.26</v>
      </c>
      <c r="O510"/>
      <c r="P510"/>
      <c r="Q510"/>
    </row>
    <row r="511" spans="3:17" s="5" customFormat="1" ht="48" x14ac:dyDescent="0.3">
      <c r="C511" s="90" t="s">
        <v>1277</v>
      </c>
      <c r="D511" s="87" t="s">
        <v>1278</v>
      </c>
      <c r="E511" s="91" t="s">
        <v>68</v>
      </c>
      <c r="F511" s="92">
        <v>27</v>
      </c>
      <c r="G511" s="93">
        <v>1575.52</v>
      </c>
      <c r="H511" s="93">
        <v>42539.040000000001</v>
      </c>
      <c r="I511" s="93">
        <v>0</v>
      </c>
      <c r="J511" s="93">
        <v>0</v>
      </c>
      <c r="K511" s="25">
        <v>0</v>
      </c>
      <c r="L511" s="25">
        <v>0</v>
      </c>
      <c r="M511" s="25">
        <v>42539.040000000001</v>
      </c>
      <c r="N511" s="25">
        <v>0</v>
      </c>
      <c r="O511"/>
      <c r="P511"/>
      <c r="Q511"/>
    </row>
    <row r="512" spans="3:17" s="5" customFormat="1" ht="48" x14ac:dyDescent="0.3">
      <c r="C512" s="90" t="s">
        <v>1280</v>
      </c>
      <c r="D512" s="87" t="s">
        <v>1281</v>
      </c>
      <c r="E512" s="91" t="s">
        <v>68</v>
      </c>
      <c r="F512" s="92">
        <v>12</v>
      </c>
      <c r="G512" s="93">
        <v>130.63999999999999</v>
      </c>
      <c r="H512" s="93">
        <v>1567.68</v>
      </c>
      <c r="I512" s="93">
        <v>0</v>
      </c>
      <c r="J512" s="93">
        <v>0</v>
      </c>
      <c r="K512" s="25">
        <v>0</v>
      </c>
      <c r="L512" s="25">
        <v>0</v>
      </c>
      <c r="M512" s="25">
        <v>1567.68</v>
      </c>
      <c r="N512" s="25">
        <v>0</v>
      </c>
      <c r="O512"/>
      <c r="P512"/>
      <c r="Q512"/>
    </row>
    <row r="513" spans="3:17" s="5" customFormat="1" ht="48" x14ac:dyDescent="0.3">
      <c r="C513" s="90" t="s">
        <v>1283</v>
      </c>
      <c r="D513" s="87" t="s">
        <v>1284</v>
      </c>
      <c r="E513" s="91" t="s">
        <v>68</v>
      </c>
      <c r="F513" s="92">
        <v>2</v>
      </c>
      <c r="G513" s="93">
        <v>1980.52</v>
      </c>
      <c r="H513" s="93">
        <v>3961.04</v>
      </c>
      <c r="I513" s="93">
        <v>0</v>
      </c>
      <c r="J513" s="93">
        <v>0</v>
      </c>
      <c r="K513" s="25">
        <v>0</v>
      </c>
      <c r="L513" s="25">
        <v>0</v>
      </c>
      <c r="M513" s="25">
        <v>3961.04</v>
      </c>
      <c r="N513" s="25">
        <v>0</v>
      </c>
      <c r="O513"/>
      <c r="P513"/>
      <c r="Q513"/>
    </row>
    <row r="514" spans="3:17" s="5" customFormat="1" ht="60" x14ac:dyDescent="0.3">
      <c r="C514" s="90" t="s">
        <v>1286</v>
      </c>
      <c r="D514" s="87" t="s">
        <v>1287</v>
      </c>
      <c r="E514" s="91" t="s">
        <v>68</v>
      </c>
      <c r="F514" s="92">
        <v>90</v>
      </c>
      <c r="G514" s="93">
        <v>1126.3699999999999</v>
      </c>
      <c r="H514" s="93">
        <v>101373.3</v>
      </c>
      <c r="I514" s="93">
        <v>0</v>
      </c>
      <c r="J514" s="93">
        <v>0</v>
      </c>
      <c r="K514" s="25">
        <v>0</v>
      </c>
      <c r="L514" s="25">
        <v>0</v>
      </c>
      <c r="M514" s="25">
        <v>67582.2</v>
      </c>
      <c r="N514" s="25">
        <v>33791.1</v>
      </c>
      <c r="O514"/>
      <c r="P514"/>
      <c r="Q514"/>
    </row>
    <row r="515" spans="3:17" s="5" customFormat="1" ht="48" x14ac:dyDescent="0.3">
      <c r="C515" s="90" t="s">
        <v>1289</v>
      </c>
      <c r="D515" s="87" t="s">
        <v>1290</v>
      </c>
      <c r="E515" s="91" t="s">
        <v>68</v>
      </c>
      <c r="F515" s="92">
        <v>12</v>
      </c>
      <c r="G515" s="93">
        <v>1261.3699999999999</v>
      </c>
      <c r="H515" s="93">
        <v>15136.44</v>
      </c>
      <c r="I515" s="93">
        <v>0</v>
      </c>
      <c r="J515" s="93">
        <v>0</v>
      </c>
      <c r="K515" s="25">
        <v>0</v>
      </c>
      <c r="L515" s="25">
        <v>0</v>
      </c>
      <c r="M515" s="25">
        <v>15136.44</v>
      </c>
      <c r="N515" s="25">
        <v>0</v>
      </c>
      <c r="O515"/>
      <c r="P515"/>
      <c r="Q515"/>
    </row>
    <row r="516" spans="3:17" s="5" customFormat="1" ht="48" x14ac:dyDescent="0.3">
      <c r="C516" s="90" t="s">
        <v>1292</v>
      </c>
      <c r="D516" s="87" t="s">
        <v>1293</v>
      </c>
      <c r="E516" s="91" t="s">
        <v>68</v>
      </c>
      <c r="F516" s="92">
        <v>28</v>
      </c>
      <c r="G516" s="93">
        <v>1341.22</v>
      </c>
      <c r="H516" s="93">
        <v>37554.160000000003</v>
      </c>
      <c r="I516" s="93">
        <v>0</v>
      </c>
      <c r="J516" s="93">
        <v>0</v>
      </c>
      <c r="K516" s="25">
        <v>0</v>
      </c>
      <c r="L516" s="25">
        <v>0</v>
      </c>
      <c r="M516" s="25">
        <v>37554.160000000003</v>
      </c>
      <c r="N516" s="25">
        <v>0</v>
      </c>
      <c r="O516"/>
      <c r="P516"/>
      <c r="Q516"/>
    </row>
    <row r="517" spans="3:17" s="5" customFormat="1" ht="48" x14ac:dyDescent="0.3">
      <c r="C517" s="90" t="s">
        <v>1295</v>
      </c>
      <c r="D517" s="87" t="s">
        <v>1296</v>
      </c>
      <c r="E517" s="91" t="s">
        <v>68</v>
      </c>
      <c r="F517" s="92">
        <v>9</v>
      </c>
      <c r="G517" s="93">
        <v>130.63999999999999</v>
      </c>
      <c r="H517" s="93">
        <v>1175.76</v>
      </c>
      <c r="I517" s="93">
        <v>0</v>
      </c>
      <c r="J517" s="93">
        <v>0</v>
      </c>
      <c r="K517" s="25">
        <v>0</v>
      </c>
      <c r="L517" s="25">
        <v>0</v>
      </c>
      <c r="M517" s="25">
        <v>1175.76</v>
      </c>
      <c r="N517" s="25">
        <v>0</v>
      </c>
      <c r="O517"/>
      <c r="P517"/>
      <c r="Q517"/>
    </row>
    <row r="518" spans="3:17" s="5" customFormat="1" ht="60" x14ac:dyDescent="0.3">
      <c r="C518" s="90" t="s">
        <v>1298</v>
      </c>
      <c r="D518" s="87" t="s">
        <v>1299</v>
      </c>
      <c r="E518" s="91" t="s">
        <v>68</v>
      </c>
      <c r="F518" s="92">
        <v>84</v>
      </c>
      <c r="G518" s="93">
        <v>1746.52</v>
      </c>
      <c r="H518" s="93">
        <v>146707.68</v>
      </c>
      <c r="I518" s="93">
        <v>0</v>
      </c>
      <c r="J518" s="93">
        <v>0</v>
      </c>
      <c r="K518" s="25">
        <v>0</v>
      </c>
      <c r="L518" s="25">
        <v>0</v>
      </c>
      <c r="M518" s="25">
        <v>146707.68</v>
      </c>
      <c r="N518" s="25">
        <v>0</v>
      </c>
      <c r="O518"/>
      <c r="P518"/>
      <c r="Q518"/>
    </row>
    <row r="519" spans="3:17" s="5" customFormat="1" ht="48" x14ac:dyDescent="0.3">
      <c r="C519" s="90" t="s">
        <v>1301</v>
      </c>
      <c r="D519" s="87" t="s">
        <v>1302</v>
      </c>
      <c r="E519" s="91" t="s">
        <v>68</v>
      </c>
      <c r="F519" s="92">
        <v>15</v>
      </c>
      <c r="G519" s="93">
        <v>400.53</v>
      </c>
      <c r="H519" s="93">
        <v>6007.95</v>
      </c>
      <c r="I519" s="93">
        <v>0</v>
      </c>
      <c r="J519" s="93">
        <v>0</v>
      </c>
      <c r="K519" s="25">
        <v>0</v>
      </c>
      <c r="L519" s="25">
        <v>0</v>
      </c>
      <c r="M519" s="25">
        <v>6007.95</v>
      </c>
      <c r="N519" s="25">
        <v>0</v>
      </c>
      <c r="O519"/>
      <c r="P519"/>
      <c r="Q519"/>
    </row>
    <row r="520" spans="3:17" s="5" customFormat="1" ht="48" x14ac:dyDescent="0.3">
      <c r="C520" s="90" t="s">
        <v>1304</v>
      </c>
      <c r="D520" s="87" t="s">
        <v>1305</v>
      </c>
      <c r="E520" s="91" t="s">
        <v>68</v>
      </c>
      <c r="F520" s="92">
        <v>29</v>
      </c>
      <c r="G520" s="93">
        <v>441.71</v>
      </c>
      <c r="H520" s="93">
        <v>12809.59</v>
      </c>
      <c r="I520" s="93">
        <v>0</v>
      </c>
      <c r="J520" s="93">
        <v>0</v>
      </c>
      <c r="K520" s="25">
        <v>0</v>
      </c>
      <c r="L520" s="25">
        <v>0</v>
      </c>
      <c r="M520" s="25">
        <v>12809.59</v>
      </c>
      <c r="N520" s="25">
        <v>0</v>
      </c>
      <c r="O520"/>
      <c r="P520"/>
      <c r="Q520"/>
    </row>
    <row r="521" spans="3:17" s="5" customFormat="1" ht="48" x14ac:dyDescent="0.3">
      <c r="C521" s="90" t="s">
        <v>1307</v>
      </c>
      <c r="D521" s="87" t="s">
        <v>1308</v>
      </c>
      <c r="E521" s="91" t="s">
        <v>68</v>
      </c>
      <c r="F521" s="92">
        <v>8</v>
      </c>
      <c r="G521" s="93">
        <v>485.58</v>
      </c>
      <c r="H521" s="93">
        <v>3884.64</v>
      </c>
      <c r="I521" s="93">
        <v>0</v>
      </c>
      <c r="J521" s="93">
        <v>0</v>
      </c>
      <c r="K521" s="25">
        <v>0</v>
      </c>
      <c r="L521" s="25">
        <v>0</v>
      </c>
      <c r="M521" s="25">
        <v>3884.64</v>
      </c>
      <c r="N521" s="25">
        <v>0</v>
      </c>
      <c r="O521"/>
      <c r="P521"/>
      <c r="Q521"/>
    </row>
    <row r="522" spans="3:17" s="5" customFormat="1" ht="48" x14ac:dyDescent="0.3">
      <c r="C522" s="90" t="s">
        <v>1310</v>
      </c>
      <c r="D522" s="87" t="s">
        <v>1311</v>
      </c>
      <c r="E522" s="91" t="s">
        <v>68</v>
      </c>
      <c r="F522" s="92">
        <v>24</v>
      </c>
      <c r="G522" s="93">
        <v>441.71</v>
      </c>
      <c r="H522" s="93">
        <v>10601.04</v>
      </c>
      <c r="I522" s="93">
        <v>0</v>
      </c>
      <c r="J522" s="93">
        <v>0</v>
      </c>
      <c r="K522" s="25">
        <v>0</v>
      </c>
      <c r="L522" s="25">
        <v>0</v>
      </c>
      <c r="M522" s="25">
        <v>10601.04</v>
      </c>
      <c r="N522" s="25">
        <v>0</v>
      </c>
      <c r="O522"/>
      <c r="P522"/>
      <c r="Q522"/>
    </row>
    <row r="523" spans="3:17" s="5" customFormat="1" ht="48" x14ac:dyDescent="0.3">
      <c r="C523" s="90" t="s">
        <v>1312</v>
      </c>
      <c r="D523" s="87" t="s">
        <v>1313</v>
      </c>
      <c r="E523" s="91" t="s">
        <v>68</v>
      </c>
      <c r="F523" s="92">
        <v>41</v>
      </c>
      <c r="G523" s="93">
        <v>549.71</v>
      </c>
      <c r="H523" s="93">
        <v>22538.11</v>
      </c>
      <c r="I523" s="93">
        <v>0</v>
      </c>
      <c r="J523" s="93">
        <v>0</v>
      </c>
      <c r="K523" s="25">
        <v>0</v>
      </c>
      <c r="L523" s="25">
        <v>0</v>
      </c>
      <c r="M523" s="25">
        <v>22538.11</v>
      </c>
      <c r="N523" s="25">
        <v>0</v>
      </c>
      <c r="O523"/>
      <c r="P523"/>
      <c r="Q523"/>
    </row>
    <row r="524" spans="3:17" s="5" customFormat="1" ht="48" x14ac:dyDescent="0.3">
      <c r="C524" s="90" t="s">
        <v>1315</v>
      </c>
      <c r="D524" s="87" t="s">
        <v>1316</v>
      </c>
      <c r="E524" s="91" t="s">
        <v>68</v>
      </c>
      <c r="F524" s="92">
        <v>2</v>
      </c>
      <c r="G524" s="93">
        <v>122.26</v>
      </c>
      <c r="H524" s="93">
        <v>244.52</v>
      </c>
      <c r="I524" s="93">
        <v>0</v>
      </c>
      <c r="J524" s="93">
        <v>0</v>
      </c>
      <c r="K524" s="25">
        <v>0</v>
      </c>
      <c r="L524" s="25">
        <v>0</v>
      </c>
      <c r="M524" s="25">
        <v>244.52</v>
      </c>
      <c r="N524" s="25">
        <v>0</v>
      </c>
      <c r="O524"/>
      <c r="P524"/>
      <c r="Q524"/>
    </row>
    <row r="525" spans="3:17" s="5" customFormat="1" ht="48" x14ac:dyDescent="0.3">
      <c r="C525" s="90" t="s">
        <v>1318</v>
      </c>
      <c r="D525" s="87" t="s">
        <v>1319</v>
      </c>
      <c r="E525" s="91" t="s">
        <v>58</v>
      </c>
      <c r="F525" s="92">
        <v>2.8</v>
      </c>
      <c r="G525" s="93">
        <v>407.77</v>
      </c>
      <c r="H525" s="93">
        <v>1141.76</v>
      </c>
      <c r="I525" s="93">
        <v>0</v>
      </c>
      <c r="J525" s="93">
        <v>0</v>
      </c>
      <c r="K525" s="25">
        <v>0</v>
      </c>
      <c r="L525" s="25">
        <v>0</v>
      </c>
      <c r="M525" s="25">
        <v>1141.76</v>
      </c>
      <c r="N525" s="25">
        <v>0</v>
      </c>
      <c r="O525"/>
      <c r="P525"/>
      <c r="Q525"/>
    </row>
    <row r="526" spans="3:17" s="5" customFormat="1" ht="48" x14ac:dyDescent="0.3">
      <c r="C526" s="90" t="s">
        <v>1320</v>
      </c>
      <c r="D526" s="87" t="s">
        <v>1321</v>
      </c>
      <c r="E526" s="91" t="s">
        <v>58</v>
      </c>
      <c r="F526" s="92">
        <v>105.6</v>
      </c>
      <c r="G526" s="93">
        <v>342.04</v>
      </c>
      <c r="H526" s="93">
        <v>36119.42</v>
      </c>
      <c r="I526" s="93">
        <v>0</v>
      </c>
      <c r="J526" s="93">
        <v>0</v>
      </c>
      <c r="K526" s="25">
        <v>0</v>
      </c>
      <c r="L526" s="25">
        <v>0</v>
      </c>
      <c r="M526" s="25">
        <v>36119.42</v>
      </c>
      <c r="N526" s="25">
        <v>0</v>
      </c>
      <c r="O526"/>
      <c r="P526"/>
      <c r="Q526"/>
    </row>
    <row r="527" spans="3:17" s="5" customFormat="1" ht="48" x14ac:dyDescent="0.3">
      <c r="C527" s="90" t="s">
        <v>1323</v>
      </c>
      <c r="D527" s="87" t="s">
        <v>1324</v>
      </c>
      <c r="E527" s="91" t="s">
        <v>68</v>
      </c>
      <c r="F527" s="92">
        <v>277</v>
      </c>
      <c r="G527" s="93">
        <v>69.59</v>
      </c>
      <c r="H527" s="93">
        <v>19276.43</v>
      </c>
      <c r="I527" s="93">
        <v>0</v>
      </c>
      <c r="J527" s="93">
        <v>0</v>
      </c>
      <c r="K527" s="25">
        <v>0</v>
      </c>
      <c r="L527" s="25">
        <v>0</v>
      </c>
      <c r="M527" s="25">
        <v>11134.4</v>
      </c>
      <c r="N527" s="25">
        <v>8142.03</v>
      </c>
      <c r="O527"/>
      <c r="P527"/>
      <c r="Q527"/>
    </row>
    <row r="528" spans="3:17" s="5" customFormat="1" ht="48" x14ac:dyDescent="0.3">
      <c r="C528" s="90" t="s">
        <v>1326</v>
      </c>
      <c r="D528" s="87" t="s">
        <v>1327</v>
      </c>
      <c r="E528" s="91" t="s">
        <v>68</v>
      </c>
      <c r="F528" s="92">
        <v>8</v>
      </c>
      <c r="G528" s="93">
        <v>36.19</v>
      </c>
      <c r="H528" s="93">
        <v>289.52</v>
      </c>
      <c r="I528" s="93">
        <v>0</v>
      </c>
      <c r="J528" s="93">
        <v>0</v>
      </c>
      <c r="K528" s="25">
        <v>0</v>
      </c>
      <c r="L528" s="25">
        <v>0</v>
      </c>
      <c r="M528" s="25">
        <v>289.52</v>
      </c>
      <c r="N528" s="25">
        <v>0</v>
      </c>
      <c r="O528"/>
      <c r="P528"/>
      <c r="Q528"/>
    </row>
    <row r="529" spans="3:17" s="5" customFormat="1" ht="48" x14ac:dyDescent="0.3">
      <c r="C529" s="90" t="s">
        <v>1329</v>
      </c>
      <c r="D529" s="87" t="s">
        <v>1330</v>
      </c>
      <c r="E529" s="91" t="s">
        <v>699</v>
      </c>
      <c r="F529" s="92">
        <v>0.82</v>
      </c>
      <c r="G529" s="93">
        <v>16636.7</v>
      </c>
      <c r="H529" s="93">
        <v>13642.09</v>
      </c>
      <c r="I529" s="93">
        <v>0</v>
      </c>
      <c r="J529" s="93">
        <v>0</v>
      </c>
      <c r="K529" s="25">
        <v>0</v>
      </c>
      <c r="L529" s="25">
        <v>0</v>
      </c>
      <c r="M529" s="25">
        <v>13642.09</v>
      </c>
      <c r="N529" s="25">
        <v>0</v>
      </c>
      <c r="O529"/>
      <c r="P529"/>
      <c r="Q529"/>
    </row>
    <row r="530" spans="3:17" s="5" customFormat="1" ht="60" x14ac:dyDescent="0.3">
      <c r="C530" s="90" t="s">
        <v>1332</v>
      </c>
      <c r="D530" s="87" t="s">
        <v>1333</v>
      </c>
      <c r="E530" s="91" t="s">
        <v>68</v>
      </c>
      <c r="F530" s="92">
        <v>33</v>
      </c>
      <c r="G530" s="93">
        <v>130.63999999999999</v>
      </c>
      <c r="H530" s="93">
        <v>4311.12</v>
      </c>
      <c r="I530" s="93">
        <v>0</v>
      </c>
      <c r="J530" s="93">
        <v>0</v>
      </c>
      <c r="K530" s="25">
        <v>0</v>
      </c>
      <c r="L530" s="25">
        <v>0</v>
      </c>
      <c r="M530" s="25">
        <v>0</v>
      </c>
      <c r="N530" s="25">
        <v>4311.12</v>
      </c>
      <c r="O530"/>
      <c r="P530"/>
      <c r="Q530"/>
    </row>
    <row r="531" spans="3:17" s="5" customFormat="1" ht="96" x14ac:dyDescent="0.3">
      <c r="C531" s="90" t="s">
        <v>1338</v>
      </c>
      <c r="D531" s="87" t="s">
        <v>1339</v>
      </c>
      <c r="E531" s="91" t="s">
        <v>68</v>
      </c>
      <c r="F531" s="92">
        <v>4</v>
      </c>
      <c r="G531" s="93">
        <v>14436.32</v>
      </c>
      <c r="H531" s="93">
        <v>57745.279999999999</v>
      </c>
      <c r="I531" s="93">
        <v>0</v>
      </c>
      <c r="J531" s="93">
        <v>0</v>
      </c>
      <c r="K531" s="25">
        <v>0</v>
      </c>
      <c r="L531" s="25">
        <v>0</v>
      </c>
      <c r="M531" s="25">
        <v>0</v>
      </c>
      <c r="N531" s="25">
        <v>57745.279999999999</v>
      </c>
      <c r="O531"/>
      <c r="P531"/>
      <c r="Q531"/>
    </row>
    <row r="532" spans="3:17" s="5" customFormat="1" ht="72" x14ac:dyDescent="0.3">
      <c r="C532" s="90" t="s">
        <v>1341</v>
      </c>
      <c r="D532" s="87" t="s">
        <v>1342</v>
      </c>
      <c r="E532" s="91" t="s">
        <v>68</v>
      </c>
      <c r="F532" s="92">
        <v>6</v>
      </c>
      <c r="G532" s="93">
        <v>130.63999999999999</v>
      </c>
      <c r="H532" s="93">
        <v>783.84</v>
      </c>
      <c r="I532" s="93">
        <v>0</v>
      </c>
      <c r="J532" s="93">
        <v>0</v>
      </c>
      <c r="K532" s="25">
        <v>0</v>
      </c>
      <c r="L532" s="25">
        <v>0</v>
      </c>
      <c r="M532" s="25">
        <v>0</v>
      </c>
      <c r="N532" s="25">
        <v>783.84</v>
      </c>
      <c r="O532"/>
      <c r="P532"/>
      <c r="Q532"/>
    </row>
    <row r="533" spans="3:17" s="5" customFormat="1" ht="84" x14ac:dyDescent="0.3">
      <c r="C533" s="90" t="s">
        <v>1344</v>
      </c>
      <c r="D533" s="87" t="s">
        <v>1345</v>
      </c>
      <c r="E533" s="91" t="s">
        <v>68</v>
      </c>
      <c r="F533" s="92">
        <v>2</v>
      </c>
      <c r="G533" s="93">
        <v>3303.14</v>
      </c>
      <c r="H533" s="93">
        <v>6606.28</v>
      </c>
      <c r="I533" s="93">
        <v>0</v>
      </c>
      <c r="J533" s="93">
        <v>0</v>
      </c>
      <c r="K533" s="25">
        <v>0</v>
      </c>
      <c r="L533" s="25">
        <v>0</v>
      </c>
      <c r="M533" s="25">
        <v>0</v>
      </c>
      <c r="N533" s="25">
        <v>6606.28</v>
      </c>
      <c r="O533"/>
      <c r="P533"/>
      <c r="Q533"/>
    </row>
    <row r="534" spans="3:17" s="5" customFormat="1" ht="84" x14ac:dyDescent="0.3">
      <c r="C534" s="90" t="s">
        <v>1347</v>
      </c>
      <c r="D534" s="87" t="s">
        <v>1348</v>
      </c>
      <c r="E534" s="91" t="s">
        <v>68</v>
      </c>
      <c r="F534" s="92">
        <v>2</v>
      </c>
      <c r="G534" s="93">
        <v>3303.14</v>
      </c>
      <c r="H534" s="93">
        <v>6606.28</v>
      </c>
      <c r="I534" s="93">
        <v>0</v>
      </c>
      <c r="J534" s="93">
        <v>0</v>
      </c>
      <c r="K534" s="25">
        <v>0</v>
      </c>
      <c r="L534" s="25">
        <v>0</v>
      </c>
      <c r="M534" s="25">
        <v>0</v>
      </c>
      <c r="N534" s="25">
        <v>6606.28</v>
      </c>
      <c r="O534"/>
      <c r="P534"/>
      <c r="Q534"/>
    </row>
    <row r="535" spans="3:17" s="5" customFormat="1" ht="84" x14ac:dyDescent="0.3">
      <c r="C535" s="90" t="s">
        <v>1349</v>
      </c>
      <c r="D535" s="87" t="s">
        <v>1350</v>
      </c>
      <c r="E535" s="91" t="s">
        <v>68</v>
      </c>
      <c r="F535" s="92">
        <v>2</v>
      </c>
      <c r="G535" s="93">
        <v>3303.14</v>
      </c>
      <c r="H535" s="93">
        <v>6606.28</v>
      </c>
      <c r="I535" s="93">
        <v>0</v>
      </c>
      <c r="J535" s="93">
        <v>0</v>
      </c>
      <c r="K535" s="25">
        <v>0</v>
      </c>
      <c r="L535" s="25">
        <v>0</v>
      </c>
      <c r="M535" s="25">
        <v>0</v>
      </c>
      <c r="N535" s="25">
        <v>6606.28</v>
      </c>
      <c r="O535"/>
      <c r="P535"/>
      <c r="Q535"/>
    </row>
    <row r="536" spans="3:17" s="5" customFormat="1" ht="84" x14ac:dyDescent="0.3">
      <c r="C536" s="90" t="s">
        <v>1351</v>
      </c>
      <c r="D536" s="87" t="s">
        <v>1352</v>
      </c>
      <c r="E536" s="91" t="s">
        <v>68</v>
      </c>
      <c r="F536" s="92">
        <v>1</v>
      </c>
      <c r="G536" s="93">
        <v>3303.14</v>
      </c>
      <c r="H536" s="93">
        <v>3303.14</v>
      </c>
      <c r="I536" s="93">
        <v>0</v>
      </c>
      <c r="J536" s="93">
        <v>0</v>
      </c>
      <c r="K536" s="25">
        <v>0</v>
      </c>
      <c r="L536" s="25">
        <v>0</v>
      </c>
      <c r="M536" s="25">
        <v>0</v>
      </c>
      <c r="N536" s="25">
        <v>3303.14</v>
      </c>
      <c r="O536"/>
      <c r="P536"/>
      <c r="Q536"/>
    </row>
    <row r="537" spans="3:17" s="5" customFormat="1" ht="226.8" x14ac:dyDescent="0.3">
      <c r="C537" s="90" t="s">
        <v>1359</v>
      </c>
      <c r="D537" s="28" t="s">
        <v>1360</v>
      </c>
      <c r="E537" s="91" t="s">
        <v>68</v>
      </c>
      <c r="F537" s="92">
        <v>6</v>
      </c>
      <c r="G537" s="93">
        <v>15678.29</v>
      </c>
      <c r="H537" s="93">
        <v>94069.74</v>
      </c>
      <c r="I537" s="93">
        <v>0</v>
      </c>
      <c r="J537" s="93">
        <v>0</v>
      </c>
      <c r="K537" s="25">
        <v>0</v>
      </c>
      <c r="L537" s="25">
        <v>0</v>
      </c>
      <c r="M537" s="25">
        <v>0</v>
      </c>
      <c r="N537" s="25">
        <v>94069.74</v>
      </c>
      <c r="O537"/>
      <c r="P537"/>
      <c r="Q537"/>
    </row>
    <row r="538" spans="3:17" s="5" customFormat="1" ht="120" x14ac:dyDescent="0.3">
      <c r="C538" s="90" t="s">
        <v>1362</v>
      </c>
      <c r="D538" s="87" t="s">
        <v>1363</v>
      </c>
      <c r="E538" s="91" t="s">
        <v>68</v>
      </c>
      <c r="F538" s="92">
        <v>4</v>
      </c>
      <c r="G538" s="93">
        <v>7408</v>
      </c>
      <c r="H538" s="93">
        <v>29632</v>
      </c>
      <c r="I538" s="93">
        <v>0</v>
      </c>
      <c r="J538" s="93">
        <v>0</v>
      </c>
      <c r="K538" s="25">
        <v>0</v>
      </c>
      <c r="L538" s="25">
        <v>0</v>
      </c>
      <c r="M538" s="25">
        <v>0</v>
      </c>
      <c r="N538" s="25">
        <v>29632</v>
      </c>
      <c r="O538"/>
      <c r="P538"/>
      <c r="Q538"/>
    </row>
    <row r="539" spans="3:17" s="5" customFormat="1" ht="60" x14ac:dyDescent="0.3">
      <c r="C539" s="90" t="s">
        <v>1365</v>
      </c>
      <c r="D539" s="87" t="s">
        <v>1366</v>
      </c>
      <c r="E539" s="91" t="s">
        <v>68</v>
      </c>
      <c r="F539" s="92">
        <v>4</v>
      </c>
      <c r="G539" s="93">
        <v>159.72</v>
      </c>
      <c r="H539" s="93">
        <v>638.88</v>
      </c>
      <c r="I539" s="93">
        <v>0</v>
      </c>
      <c r="J539" s="93">
        <v>0</v>
      </c>
      <c r="K539" s="25">
        <v>0</v>
      </c>
      <c r="L539" s="25">
        <v>0</v>
      </c>
      <c r="M539" s="25">
        <v>638.88</v>
      </c>
      <c r="N539" s="25">
        <v>0</v>
      </c>
      <c r="O539"/>
      <c r="P539"/>
      <c r="Q539"/>
    </row>
    <row r="540" spans="3:17" s="5" customFormat="1" ht="72" x14ac:dyDescent="0.3">
      <c r="C540" s="90" t="s">
        <v>1368</v>
      </c>
      <c r="D540" s="87" t="s">
        <v>1369</v>
      </c>
      <c r="E540" s="91" t="s">
        <v>1370</v>
      </c>
      <c r="F540" s="92">
        <v>6</v>
      </c>
      <c r="G540" s="93">
        <v>87750</v>
      </c>
      <c r="H540" s="93">
        <v>526500</v>
      </c>
      <c r="I540" s="93">
        <v>0</v>
      </c>
      <c r="J540" s="93">
        <v>0</v>
      </c>
      <c r="K540" s="25">
        <v>0</v>
      </c>
      <c r="L540" s="25">
        <v>0</v>
      </c>
      <c r="M540" s="25">
        <v>526500</v>
      </c>
      <c r="N540" s="25">
        <v>0</v>
      </c>
      <c r="O540"/>
      <c r="P540"/>
      <c r="Q540"/>
    </row>
    <row r="541" spans="3:17" s="5" customFormat="1" ht="72" x14ac:dyDescent="0.3">
      <c r="C541" s="90" t="s">
        <v>1375</v>
      </c>
      <c r="D541" s="87" t="s">
        <v>1376</v>
      </c>
      <c r="E541" s="91" t="s">
        <v>68</v>
      </c>
      <c r="F541" s="92">
        <v>1</v>
      </c>
      <c r="G541" s="93">
        <v>5595.9</v>
      </c>
      <c r="H541" s="93">
        <v>5595.9</v>
      </c>
      <c r="I541" s="93">
        <v>0</v>
      </c>
      <c r="J541" s="93">
        <v>0</v>
      </c>
      <c r="K541" s="25">
        <v>0</v>
      </c>
      <c r="L541" s="25">
        <v>0</v>
      </c>
      <c r="M541" s="25">
        <v>5595.9</v>
      </c>
      <c r="N541" s="25">
        <v>0</v>
      </c>
      <c r="O541"/>
      <c r="P541"/>
      <c r="Q541"/>
    </row>
    <row r="542" spans="3:17" s="5" customFormat="1" ht="72" x14ac:dyDescent="0.3">
      <c r="C542" s="90" t="s">
        <v>1378</v>
      </c>
      <c r="D542" s="87" t="s">
        <v>1379</v>
      </c>
      <c r="E542" s="91" t="s">
        <v>68</v>
      </c>
      <c r="F542" s="92">
        <v>3</v>
      </c>
      <c r="G542" s="93">
        <v>2199.69</v>
      </c>
      <c r="H542" s="93">
        <v>6599.07</v>
      </c>
      <c r="I542" s="93">
        <v>0</v>
      </c>
      <c r="J542" s="93">
        <v>0</v>
      </c>
      <c r="K542" s="25">
        <v>0</v>
      </c>
      <c r="L542" s="25">
        <v>0</v>
      </c>
      <c r="M542" s="25">
        <v>6599.07</v>
      </c>
      <c r="N542" s="25">
        <v>0</v>
      </c>
      <c r="O542"/>
      <c r="P542"/>
      <c r="Q542"/>
    </row>
    <row r="543" spans="3:17" s="5" customFormat="1" ht="72" x14ac:dyDescent="0.3">
      <c r="C543" s="90" t="s">
        <v>1381</v>
      </c>
      <c r="D543" s="87" t="s">
        <v>1382</v>
      </c>
      <c r="E543" s="91" t="s">
        <v>68</v>
      </c>
      <c r="F543" s="92">
        <v>21</v>
      </c>
      <c r="G543" s="93">
        <v>4772.3999999999996</v>
      </c>
      <c r="H543" s="93">
        <v>100220.4</v>
      </c>
      <c r="I543" s="93">
        <v>0</v>
      </c>
      <c r="J543" s="93">
        <v>0</v>
      </c>
      <c r="K543" s="25">
        <v>0</v>
      </c>
      <c r="L543" s="25">
        <v>0</v>
      </c>
      <c r="M543" s="25">
        <v>100220.4</v>
      </c>
      <c r="N543" s="25">
        <v>0</v>
      </c>
      <c r="O543"/>
      <c r="P543"/>
      <c r="Q543"/>
    </row>
    <row r="544" spans="3:17" s="5" customFormat="1" ht="72" x14ac:dyDescent="0.3">
      <c r="C544" s="90" t="s">
        <v>1384</v>
      </c>
      <c r="D544" s="87" t="s">
        <v>1385</v>
      </c>
      <c r="E544" s="91" t="s">
        <v>68</v>
      </c>
      <c r="F544" s="92">
        <v>1</v>
      </c>
      <c r="G544" s="93">
        <v>14856.9</v>
      </c>
      <c r="H544" s="93">
        <v>14856.9</v>
      </c>
      <c r="I544" s="93">
        <v>0</v>
      </c>
      <c r="J544" s="93">
        <v>0</v>
      </c>
      <c r="K544" s="25">
        <v>0</v>
      </c>
      <c r="L544" s="25">
        <v>0</v>
      </c>
      <c r="M544" s="25">
        <v>14856.9</v>
      </c>
      <c r="N544" s="25">
        <v>0</v>
      </c>
      <c r="O544"/>
      <c r="P544"/>
      <c r="Q544"/>
    </row>
    <row r="545" spans="3:17" s="5" customFormat="1" ht="36" x14ac:dyDescent="0.3">
      <c r="C545" s="90"/>
      <c r="D545" s="87" t="s">
        <v>1393</v>
      </c>
      <c r="E545" s="91"/>
      <c r="F545" s="92"/>
      <c r="G545" s="93"/>
      <c r="H545" s="93">
        <v>8154509.7300000004</v>
      </c>
      <c r="I545" s="93">
        <v>0</v>
      </c>
      <c r="J545" s="93">
        <v>0</v>
      </c>
      <c r="K545" s="25">
        <v>0</v>
      </c>
      <c r="L545" s="25">
        <v>0</v>
      </c>
      <c r="M545" s="25">
        <v>3465681.06</v>
      </c>
      <c r="N545" s="25">
        <v>4688828.67</v>
      </c>
      <c r="O545"/>
      <c r="P545"/>
      <c r="Q545"/>
    </row>
    <row r="546" spans="3:17" s="5" customFormat="1" ht="36" x14ac:dyDescent="0.3">
      <c r="C546" s="90"/>
      <c r="D546" s="87" t="s">
        <v>1394</v>
      </c>
      <c r="E546" s="91"/>
      <c r="F546" s="92"/>
      <c r="G546" s="93"/>
      <c r="H546" s="93">
        <v>150199325.63</v>
      </c>
      <c r="I546" s="93">
        <v>924362.9</v>
      </c>
      <c r="J546" s="93">
        <v>30777723.940000001</v>
      </c>
      <c r="K546" s="25">
        <v>40030746.590000004</v>
      </c>
      <c r="L546" s="25">
        <v>22897988.170000002</v>
      </c>
      <c r="M546" s="25">
        <v>33220183.530000001</v>
      </c>
      <c r="N546" s="25">
        <v>22348320.5</v>
      </c>
      <c r="O546"/>
      <c r="P546"/>
      <c r="Q546"/>
    </row>
    <row r="547" spans="3:17" s="5" customFormat="1" x14ac:dyDescent="0.3">
      <c r="C547" s="90"/>
      <c r="D547" s="87"/>
      <c r="E547" s="91"/>
      <c r="F547" s="92"/>
      <c r="G547" s="93"/>
      <c r="H547" s="93"/>
      <c r="I547" s="93"/>
      <c r="J547" s="93"/>
      <c r="K547" s="93"/>
      <c r="L547" s="93"/>
      <c r="M547" s="93"/>
      <c r="N547" s="93"/>
      <c r="O547" s="93"/>
      <c r="P547" s="93"/>
      <c r="Q547" s="93"/>
    </row>
    <row r="548" spans="3:17" s="5" customFormat="1" x14ac:dyDescent="0.3">
      <c r="C548" s="90"/>
      <c r="D548" s="87"/>
      <c r="E548" s="91"/>
      <c r="F548" s="92"/>
      <c r="G548" s="93"/>
      <c r="H548" s="93"/>
      <c r="I548" s="93"/>
      <c r="J548" s="93"/>
      <c r="K548" s="93"/>
      <c r="L548" s="93"/>
      <c r="M548" s="93"/>
      <c r="N548" s="93"/>
      <c r="O548" s="93"/>
      <c r="P548" s="93"/>
      <c r="Q548" s="93"/>
    </row>
    <row r="549" spans="3:17" s="5" customFormat="1" x14ac:dyDescent="0.3">
      <c r="C549" s="90"/>
      <c r="D549" s="87"/>
      <c r="E549" s="91"/>
      <c r="F549" s="92"/>
      <c r="G549" s="93"/>
      <c r="H549" s="93"/>
      <c r="I549" s="93"/>
      <c r="J549" s="93"/>
      <c r="K549" s="93"/>
      <c r="L549" s="93"/>
      <c r="M549" s="93"/>
      <c r="N549" s="93"/>
      <c r="O549" s="93"/>
      <c r="P549" s="93"/>
      <c r="Q549" s="93"/>
    </row>
    <row r="550" spans="3:17" s="5" customFormat="1" x14ac:dyDescent="0.3">
      <c r="C550" s="90"/>
      <c r="D550" s="87"/>
      <c r="E550" s="91"/>
      <c r="F550" s="92"/>
      <c r="G550" s="93"/>
      <c r="H550" s="93"/>
      <c r="I550" s="93"/>
      <c r="J550" s="93"/>
      <c r="K550" s="93"/>
      <c r="L550" s="93"/>
      <c r="M550" s="93"/>
      <c r="N550" s="93"/>
      <c r="O550" s="93"/>
      <c r="P550" s="93"/>
      <c r="Q550" s="93"/>
    </row>
    <row r="551" spans="3:17" s="5" customFormat="1" x14ac:dyDescent="0.3">
      <c r="C551" s="90"/>
      <c r="D551" s="87"/>
      <c r="E551" s="91"/>
      <c r="F551" s="92"/>
      <c r="G551" s="93"/>
      <c r="H551" s="93"/>
      <c r="I551" s="93"/>
      <c r="J551" s="93"/>
      <c r="K551" s="93"/>
      <c r="L551" s="93"/>
      <c r="M551" s="93"/>
      <c r="N551" s="93"/>
      <c r="O551" s="93"/>
      <c r="P551" s="93"/>
      <c r="Q551" s="93"/>
    </row>
    <row r="552" spans="3:17" s="5" customFormat="1" x14ac:dyDescent="0.3">
      <c r="C552" s="90"/>
      <c r="D552" s="87"/>
      <c r="E552" s="91"/>
      <c r="F552" s="92"/>
      <c r="G552" s="93"/>
      <c r="H552" s="93"/>
      <c r="I552" s="93"/>
      <c r="J552" s="93"/>
      <c r="K552" s="93"/>
      <c r="L552" s="93"/>
      <c r="M552" s="93"/>
      <c r="N552" s="93"/>
      <c r="O552" s="93"/>
      <c r="P552" s="93"/>
      <c r="Q552" s="93"/>
    </row>
    <row r="553" spans="3:17" s="5" customFormat="1" x14ac:dyDescent="0.3">
      <c r="C553" s="90"/>
      <c r="D553" s="87"/>
      <c r="E553" s="91"/>
      <c r="F553" s="92"/>
      <c r="G553" s="93"/>
      <c r="H553" s="93"/>
      <c r="I553" s="93"/>
      <c r="J553" s="93"/>
      <c r="K553" s="93"/>
      <c r="L553" s="93"/>
      <c r="M553" s="93"/>
      <c r="N553" s="93"/>
      <c r="O553" s="93"/>
      <c r="P553" s="93"/>
      <c r="Q553" s="93"/>
    </row>
    <row r="554" spans="3:17" s="5" customFormat="1" x14ac:dyDescent="0.3">
      <c r="C554" s="90"/>
      <c r="D554" s="87"/>
      <c r="E554" s="91"/>
      <c r="F554" s="92"/>
      <c r="G554" s="93"/>
      <c r="H554" s="93"/>
      <c r="I554" s="93"/>
      <c r="J554" s="93"/>
      <c r="K554" s="93"/>
      <c r="L554" s="93"/>
      <c r="M554" s="93"/>
      <c r="N554" s="93"/>
      <c r="O554" s="93"/>
      <c r="P554" s="93"/>
      <c r="Q554" s="93"/>
    </row>
    <row r="555" spans="3:17" s="5" customFormat="1" x14ac:dyDescent="0.3">
      <c r="C555" s="90"/>
      <c r="D555" s="87"/>
      <c r="E555" s="91"/>
      <c r="F555" s="92"/>
      <c r="G555" s="93"/>
      <c r="H555" s="93"/>
      <c r="I555" s="93"/>
      <c r="J555" s="93"/>
      <c r="K555" s="93"/>
      <c r="L555" s="93"/>
      <c r="M555" s="93"/>
      <c r="N555" s="93"/>
      <c r="O555" s="93"/>
      <c r="P555" s="93"/>
      <c r="Q555" s="93"/>
    </row>
    <row r="556" spans="3:17" s="5" customFormat="1" x14ac:dyDescent="0.3">
      <c r="C556" s="90"/>
      <c r="D556" s="87"/>
      <c r="E556" s="91"/>
      <c r="F556" s="92"/>
      <c r="G556" s="93"/>
      <c r="H556" s="93"/>
      <c r="I556" s="93"/>
      <c r="J556" s="93"/>
      <c r="K556" s="93"/>
      <c r="L556" s="93"/>
      <c r="M556" s="93"/>
      <c r="N556" s="93"/>
      <c r="O556" s="93"/>
      <c r="P556" s="93"/>
      <c r="Q556" s="93"/>
    </row>
    <row r="557" spans="3:17" s="5" customFormat="1" x14ac:dyDescent="0.3">
      <c r="C557" s="90"/>
      <c r="D557" s="87"/>
      <c r="E557" s="91"/>
      <c r="F557" s="92"/>
      <c r="G557" s="93"/>
      <c r="H557" s="93"/>
      <c r="I557" s="93"/>
      <c r="J557" s="93"/>
      <c r="K557" s="93"/>
      <c r="L557" s="93"/>
      <c r="M557" s="93"/>
      <c r="N557" s="93"/>
      <c r="O557" s="93"/>
      <c r="P557" s="93"/>
      <c r="Q557" s="93"/>
    </row>
    <row r="558" spans="3:17" s="5" customFormat="1" x14ac:dyDescent="0.3">
      <c r="C558" s="90"/>
      <c r="D558" s="87"/>
      <c r="E558" s="91"/>
      <c r="F558" s="92"/>
      <c r="G558" s="93"/>
      <c r="H558" s="93"/>
      <c r="I558" s="93"/>
      <c r="J558" s="93"/>
      <c r="K558" s="93"/>
      <c r="L558" s="93"/>
      <c r="M558" s="93"/>
      <c r="N558" s="93"/>
      <c r="O558" s="93"/>
      <c r="P558" s="93"/>
      <c r="Q558" s="93"/>
    </row>
    <row r="559" spans="3:17" s="5" customFormat="1" x14ac:dyDescent="0.3">
      <c r="C559" s="90"/>
      <c r="D559" s="87"/>
      <c r="E559" s="91"/>
      <c r="F559" s="92"/>
      <c r="G559" s="93"/>
      <c r="H559" s="93"/>
      <c r="I559" s="93"/>
      <c r="J559" s="93"/>
      <c r="K559" s="93"/>
      <c r="L559" s="93"/>
      <c r="M559" s="93"/>
      <c r="N559" s="93"/>
      <c r="O559" s="93"/>
      <c r="P559" s="93"/>
      <c r="Q559" s="93"/>
    </row>
    <row r="560" spans="3:17" s="5" customFormat="1" x14ac:dyDescent="0.3">
      <c r="C560" s="90"/>
      <c r="D560" s="87"/>
      <c r="E560" s="91"/>
      <c r="F560" s="92"/>
      <c r="G560" s="93"/>
      <c r="H560" s="93"/>
      <c r="I560" s="93"/>
      <c r="J560" s="93"/>
      <c r="K560" s="93"/>
      <c r="L560" s="93"/>
      <c r="M560" s="93"/>
      <c r="N560" s="93"/>
      <c r="O560" s="93"/>
      <c r="P560" s="93"/>
      <c r="Q560" s="93"/>
    </row>
    <row r="561" spans="3:17" s="5" customFormat="1" x14ac:dyDescent="0.3">
      <c r="C561" s="90"/>
      <c r="D561" s="87"/>
      <c r="E561" s="91"/>
      <c r="F561" s="92"/>
      <c r="G561" s="93"/>
      <c r="H561" s="93"/>
      <c r="I561" s="93"/>
      <c r="J561" s="93"/>
      <c r="K561" s="93"/>
      <c r="L561" s="93"/>
      <c r="M561" s="93"/>
      <c r="N561" s="93"/>
      <c r="O561" s="93"/>
      <c r="P561" s="93"/>
      <c r="Q561" s="93"/>
    </row>
    <row r="562" spans="3:17" s="5" customFormat="1" x14ac:dyDescent="0.3">
      <c r="C562" s="90"/>
      <c r="D562" s="87"/>
      <c r="E562" s="91"/>
      <c r="F562" s="92"/>
      <c r="G562" s="93"/>
      <c r="H562" s="93"/>
      <c r="I562" s="93"/>
      <c r="J562" s="93"/>
      <c r="K562" s="93"/>
      <c r="L562" s="93"/>
      <c r="M562" s="93"/>
      <c r="N562" s="93"/>
      <c r="O562" s="93"/>
      <c r="P562" s="93"/>
      <c r="Q562" s="93"/>
    </row>
    <row r="563" spans="3:17" s="5" customFormat="1" x14ac:dyDescent="0.3">
      <c r="C563" s="90"/>
      <c r="D563" s="87"/>
      <c r="E563" s="91"/>
      <c r="F563" s="92"/>
      <c r="G563" s="93"/>
      <c r="H563" s="93"/>
      <c r="I563" s="93"/>
      <c r="J563" s="93"/>
      <c r="K563" s="93"/>
      <c r="L563" s="93"/>
      <c r="M563" s="93"/>
      <c r="N563" s="93"/>
      <c r="O563" s="93"/>
      <c r="P563" s="93"/>
      <c r="Q563" s="93"/>
    </row>
    <row r="564" spans="3:17" s="5" customFormat="1" x14ac:dyDescent="0.3">
      <c r="C564" s="90"/>
      <c r="D564" s="87"/>
      <c r="E564" s="91"/>
      <c r="F564" s="92"/>
      <c r="G564" s="93"/>
      <c r="H564" s="93"/>
      <c r="I564" s="93"/>
      <c r="J564" s="93"/>
      <c r="K564" s="93"/>
      <c r="L564" s="93"/>
      <c r="M564" s="93"/>
      <c r="N564" s="93"/>
      <c r="O564" s="93"/>
      <c r="P564" s="93"/>
      <c r="Q564" s="93"/>
    </row>
    <row r="565" spans="3:17" s="5" customFormat="1" x14ac:dyDescent="0.3">
      <c r="C565" s="90"/>
      <c r="D565" s="87"/>
      <c r="E565" s="91"/>
      <c r="F565" s="92"/>
      <c r="G565" s="93"/>
      <c r="H565" s="93"/>
      <c r="I565" s="93"/>
      <c r="J565" s="93"/>
      <c r="K565" s="93"/>
      <c r="L565" s="93"/>
      <c r="M565" s="93"/>
      <c r="N565" s="93"/>
      <c r="O565" s="93"/>
      <c r="P565" s="93"/>
      <c r="Q565" s="93"/>
    </row>
    <row r="566" spans="3:17" s="5" customFormat="1" x14ac:dyDescent="0.3">
      <c r="C566" s="90"/>
      <c r="D566" s="87"/>
      <c r="E566" s="91"/>
      <c r="F566" s="92"/>
      <c r="G566" s="93"/>
      <c r="H566" s="93"/>
      <c r="I566" s="93"/>
      <c r="J566" s="93"/>
      <c r="K566" s="93"/>
      <c r="L566" s="93"/>
      <c r="M566" s="93"/>
      <c r="N566" s="93"/>
      <c r="O566" s="93"/>
      <c r="P566" s="93"/>
      <c r="Q566" s="93"/>
    </row>
    <row r="567" spans="3:17" s="5" customFormat="1" x14ac:dyDescent="0.3">
      <c r="C567" s="90"/>
      <c r="D567" s="87"/>
      <c r="E567" s="91"/>
      <c r="F567" s="92"/>
      <c r="G567" s="93"/>
      <c r="H567" s="93"/>
      <c r="I567" s="93"/>
      <c r="J567" s="93"/>
      <c r="K567" s="93"/>
      <c r="L567" s="93"/>
      <c r="M567" s="93"/>
      <c r="N567" s="93"/>
      <c r="O567" s="93"/>
      <c r="P567" s="93"/>
      <c r="Q567" s="93"/>
    </row>
    <row r="568" spans="3:17" s="5" customFormat="1" x14ac:dyDescent="0.3">
      <c r="C568" s="90"/>
      <c r="D568" s="87"/>
      <c r="E568" s="91"/>
      <c r="F568" s="92"/>
      <c r="G568" s="93"/>
      <c r="H568" s="93"/>
      <c r="I568" s="93"/>
      <c r="J568" s="93"/>
      <c r="K568" s="93"/>
      <c r="L568" s="93"/>
      <c r="M568" s="93"/>
      <c r="N568" s="93"/>
      <c r="O568" s="93"/>
      <c r="P568" s="93"/>
      <c r="Q568" s="93"/>
    </row>
    <row r="569" spans="3:17" s="5" customFormat="1" x14ac:dyDescent="0.3">
      <c r="C569" s="90"/>
      <c r="D569" s="87"/>
      <c r="E569" s="91"/>
      <c r="F569" s="92"/>
      <c r="G569" s="93"/>
      <c r="H569" s="93"/>
      <c r="I569" s="93"/>
      <c r="J569" s="93"/>
      <c r="K569" s="93"/>
      <c r="L569" s="93"/>
      <c r="M569" s="93"/>
      <c r="N569" s="93"/>
      <c r="O569" s="93"/>
      <c r="P569" s="93"/>
      <c r="Q569" s="93"/>
    </row>
    <row r="570" spans="3:17" s="5" customFormat="1" x14ac:dyDescent="0.3">
      <c r="C570" s="90"/>
      <c r="D570" s="87"/>
      <c r="E570" s="91"/>
      <c r="F570" s="92"/>
      <c r="G570" s="93"/>
      <c r="H570" s="93"/>
      <c r="I570" s="93"/>
      <c r="J570" s="93"/>
      <c r="K570" s="93"/>
      <c r="L570" s="93"/>
      <c r="M570" s="93"/>
      <c r="N570" s="93"/>
      <c r="O570" s="93"/>
      <c r="P570" s="93"/>
      <c r="Q570" s="93"/>
    </row>
    <row r="571" spans="3:17" s="5" customFormat="1" x14ac:dyDescent="0.3">
      <c r="C571" s="90"/>
      <c r="D571" s="87"/>
      <c r="E571" s="91"/>
      <c r="F571" s="92"/>
      <c r="G571" s="93"/>
      <c r="H571" s="93"/>
      <c r="I571" s="93"/>
      <c r="J571" s="93"/>
      <c r="K571" s="93"/>
      <c r="L571" s="93"/>
      <c r="M571" s="93"/>
      <c r="N571" s="93"/>
      <c r="O571" s="93"/>
      <c r="P571" s="93"/>
      <c r="Q571" s="93"/>
    </row>
    <row r="572" spans="3:17" s="5" customFormat="1" x14ac:dyDescent="0.3">
      <c r="C572" s="90"/>
      <c r="D572" s="87"/>
      <c r="E572" s="91"/>
      <c r="F572" s="92"/>
      <c r="G572" s="93"/>
      <c r="H572" s="93"/>
      <c r="I572" s="93"/>
      <c r="J572" s="93"/>
      <c r="K572" s="93"/>
      <c r="L572" s="93"/>
      <c r="M572" s="93"/>
      <c r="N572" s="93"/>
      <c r="O572" s="93"/>
      <c r="P572" s="93"/>
      <c r="Q572" s="93"/>
    </row>
    <row r="573" spans="3:17" s="5" customFormat="1" x14ac:dyDescent="0.3">
      <c r="C573" s="90"/>
      <c r="D573" s="87"/>
      <c r="E573" s="91"/>
      <c r="F573" s="92"/>
      <c r="G573" s="93"/>
      <c r="H573" s="93"/>
      <c r="I573" s="93"/>
      <c r="J573" s="93"/>
      <c r="K573" s="93"/>
      <c r="L573" s="93"/>
      <c r="M573" s="93"/>
      <c r="N573" s="93"/>
      <c r="O573" s="93"/>
      <c r="P573" s="93"/>
      <c r="Q573" s="93"/>
    </row>
    <row r="574" spans="3:17" s="5" customFormat="1" x14ac:dyDescent="0.3">
      <c r="C574" s="90"/>
      <c r="D574" s="87"/>
      <c r="E574" s="91"/>
      <c r="F574" s="92"/>
      <c r="G574" s="93"/>
      <c r="H574" s="93"/>
      <c r="I574" s="93"/>
      <c r="J574" s="93"/>
      <c r="K574" s="93"/>
      <c r="L574" s="93"/>
      <c r="M574" s="93"/>
      <c r="N574" s="93"/>
      <c r="O574" s="93"/>
      <c r="P574" s="93"/>
      <c r="Q574" s="93"/>
    </row>
    <row r="575" spans="3:17" s="5" customFormat="1" x14ac:dyDescent="0.3">
      <c r="C575" s="90"/>
      <c r="D575" s="87"/>
      <c r="E575" s="91"/>
      <c r="F575" s="92"/>
      <c r="G575" s="93"/>
      <c r="H575" s="93"/>
      <c r="I575" s="93"/>
      <c r="J575" s="93"/>
      <c r="K575" s="93"/>
      <c r="L575" s="93"/>
      <c r="M575" s="93"/>
      <c r="N575" s="93"/>
      <c r="O575" s="93"/>
      <c r="P575" s="93"/>
      <c r="Q575" s="93"/>
    </row>
    <row r="576" spans="3:17" s="5" customFormat="1" x14ac:dyDescent="0.3">
      <c r="C576" s="90"/>
      <c r="D576" s="87"/>
      <c r="E576" s="91"/>
      <c r="F576" s="92"/>
      <c r="G576" s="93"/>
      <c r="H576" s="93"/>
      <c r="I576" s="93"/>
      <c r="J576" s="93"/>
      <c r="K576" s="93"/>
      <c r="L576" s="93"/>
      <c r="M576" s="93"/>
      <c r="N576" s="93"/>
      <c r="O576" s="93"/>
      <c r="P576" s="93"/>
      <c r="Q576" s="93"/>
    </row>
    <row r="577" spans="3:17" s="5" customFormat="1" x14ac:dyDescent="0.3">
      <c r="C577" s="90"/>
      <c r="D577" s="87"/>
      <c r="E577" s="91"/>
      <c r="F577" s="92"/>
      <c r="G577" s="93"/>
      <c r="H577" s="93"/>
      <c r="I577" s="93"/>
      <c r="J577" s="93"/>
      <c r="K577" s="93"/>
      <c r="L577" s="93"/>
      <c r="M577" s="93"/>
      <c r="N577" s="93"/>
      <c r="O577" s="93"/>
      <c r="P577" s="93"/>
      <c r="Q577" s="93"/>
    </row>
    <row r="578" spans="3:17" s="5" customFormat="1" x14ac:dyDescent="0.3">
      <c r="C578" s="90"/>
      <c r="D578" s="87"/>
      <c r="E578" s="91"/>
      <c r="F578" s="92"/>
      <c r="G578" s="93"/>
      <c r="H578" s="93"/>
      <c r="I578" s="93"/>
      <c r="J578" s="93"/>
      <c r="K578" s="93"/>
      <c r="L578" s="93"/>
      <c r="M578" s="93"/>
      <c r="N578" s="93"/>
      <c r="O578" s="93"/>
      <c r="P578" s="93"/>
      <c r="Q578" s="93"/>
    </row>
    <row r="579" spans="3:17" s="5" customFormat="1" x14ac:dyDescent="0.3">
      <c r="C579" s="90"/>
      <c r="D579" s="87"/>
      <c r="E579" s="91"/>
      <c r="F579" s="92"/>
      <c r="G579" s="93"/>
      <c r="H579" s="93"/>
      <c r="I579" s="93"/>
      <c r="J579" s="93"/>
      <c r="K579" s="93"/>
      <c r="L579" s="93"/>
      <c r="M579" s="93"/>
      <c r="N579" s="93"/>
      <c r="O579" s="93"/>
      <c r="P579" s="93"/>
      <c r="Q579" s="93"/>
    </row>
    <row r="580" spans="3:17" s="5" customFormat="1" x14ac:dyDescent="0.3">
      <c r="C580" s="90"/>
      <c r="D580" s="87"/>
      <c r="E580" s="91"/>
      <c r="F580" s="92"/>
      <c r="G580" s="93"/>
      <c r="H580" s="93"/>
      <c r="I580" s="93"/>
      <c r="J580" s="93"/>
      <c r="K580" s="93"/>
      <c r="L580" s="93"/>
      <c r="M580" s="93"/>
      <c r="N580" s="93"/>
      <c r="O580" s="93"/>
      <c r="P580" s="93"/>
      <c r="Q580" s="93"/>
    </row>
    <row r="581" spans="3:17" s="5" customFormat="1" x14ac:dyDescent="0.3">
      <c r="C581" s="90"/>
      <c r="D581" s="87"/>
      <c r="E581" s="91"/>
      <c r="F581" s="92"/>
      <c r="G581" s="93"/>
      <c r="H581" s="93"/>
      <c r="I581" s="93"/>
      <c r="J581" s="93"/>
      <c r="K581" s="93"/>
      <c r="L581" s="93"/>
      <c r="M581" s="93"/>
      <c r="N581" s="93"/>
      <c r="O581" s="93"/>
      <c r="P581" s="93"/>
      <c r="Q581" s="93"/>
    </row>
    <row r="582" spans="3:17" s="5" customFormat="1" x14ac:dyDescent="0.3">
      <c r="C582" s="90"/>
      <c r="D582" s="87"/>
      <c r="E582" s="91"/>
      <c r="F582" s="92"/>
      <c r="G582" s="93"/>
      <c r="H582" s="93"/>
      <c r="I582" s="93"/>
      <c r="J582" s="93"/>
      <c r="K582" s="93"/>
      <c r="L582" s="93"/>
      <c r="M582" s="93"/>
      <c r="N582" s="93"/>
      <c r="O582" s="93"/>
      <c r="P582" s="93"/>
      <c r="Q582" s="93"/>
    </row>
    <row r="583" spans="3:17" s="5" customFormat="1" x14ac:dyDescent="0.3">
      <c r="C583" s="90"/>
      <c r="D583" s="87"/>
      <c r="E583" s="91"/>
      <c r="F583" s="92"/>
      <c r="G583" s="93"/>
      <c r="H583" s="93"/>
      <c r="I583" s="93"/>
      <c r="J583" s="93"/>
      <c r="K583" s="93"/>
      <c r="L583" s="93"/>
      <c r="M583" s="93"/>
      <c r="N583" s="93"/>
      <c r="O583" s="93"/>
      <c r="P583" s="93"/>
      <c r="Q583" s="93"/>
    </row>
    <row r="584" spans="3:17" s="5" customFormat="1" x14ac:dyDescent="0.3">
      <c r="C584" s="90"/>
      <c r="D584" s="87"/>
      <c r="E584" s="91"/>
      <c r="F584" s="92"/>
      <c r="G584" s="93"/>
      <c r="H584" s="93"/>
      <c r="I584" s="93"/>
      <c r="J584" s="93"/>
      <c r="K584" s="93"/>
      <c r="L584" s="93"/>
      <c r="M584" s="93"/>
      <c r="N584" s="93"/>
      <c r="O584" s="93"/>
      <c r="P584" s="93"/>
      <c r="Q584" s="93"/>
    </row>
    <row r="585" spans="3:17" s="5" customFormat="1" x14ac:dyDescent="0.3">
      <c r="C585" s="90"/>
      <c r="D585" s="87"/>
      <c r="E585" s="91"/>
      <c r="F585" s="92"/>
      <c r="G585" s="93"/>
      <c r="H585" s="93"/>
      <c r="I585" s="93"/>
      <c r="J585" s="93"/>
      <c r="K585" s="93"/>
      <c r="L585" s="93"/>
      <c r="M585" s="93"/>
      <c r="N585" s="93"/>
      <c r="O585" s="93"/>
      <c r="P585" s="93"/>
      <c r="Q585" s="93"/>
    </row>
    <row r="586" spans="3:17" s="5" customFormat="1" x14ac:dyDescent="0.3">
      <c r="C586" s="90"/>
      <c r="D586" s="87"/>
      <c r="E586" s="91"/>
      <c r="F586" s="92"/>
      <c r="G586" s="93"/>
      <c r="H586" s="93"/>
      <c r="I586" s="93"/>
      <c r="J586" s="93"/>
      <c r="K586" s="93"/>
      <c r="L586" s="93"/>
      <c r="M586" s="93"/>
      <c r="N586" s="93"/>
      <c r="O586" s="93"/>
      <c r="P586" s="93"/>
      <c r="Q586" s="93"/>
    </row>
    <row r="587" spans="3:17" s="5" customFormat="1" x14ac:dyDescent="0.3">
      <c r="C587" s="90"/>
      <c r="D587" s="87"/>
      <c r="E587" s="91"/>
      <c r="F587" s="92"/>
      <c r="G587" s="93"/>
      <c r="H587" s="93"/>
      <c r="I587" s="93"/>
      <c r="J587" s="93"/>
      <c r="K587" s="93"/>
      <c r="L587" s="93"/>
      <c r="M587" s="93"/>
      <c r="N587" s="93"/>
      <c r="O587" s="93"/>
      <c r="P587" s="93"/>
      <c r="Q587" s="93"/>
    </row>
    <row r="588" spans="3:17" s="5" customFormat="1" x14ac:dyDescent="0.3">
      <c r="C588" s="90"/>
      <c r="D588" s="87"/>
      <c r="E588" s="91"/>
      <c r="F588" s="92"/>
      <c r="G588" s="93"/>
      <c r="H588" s="93"/>
      <c r="I588" s="93"/>
      <c r="J588" s="93"/>
      <c r="K588" s="93"/>
      <c r="L588" s="93"/>
      <c r="M588" s="93"/>
      <c r="N588" s="93"/>
      <c r="O588" s="93"/>
      <c r="P588" s="93"/>
      <c r="Q588" s="93"/>
    </row>
    <row r="589" spans="3:17" s="5" customFormat="1" x14ac:dyDescent="0.3">
      <c r="C589" s="90"/>
      <c r="D589" s="87"/>
      <c r="E589" s="91"/>
      <c r="F589" s="92"/>
      <c r="G589" s="93"/>
      <c r="H589" s="93"/>
      <c r="I589" s="93"/>
      <c r="J589" s="93"/>
      <c r="K589" s="93"/>
      <c r="L589" s="93"/>
      <c r="M589" s="93"/>
      <c r="N589" s="93"/>
      <c r="O589" s="93"/>
      <c r="P589" s="93"/>
      <c r="Q589" s="93"/>
    </row>
    <row r="590" spans="3:17" s="5" customFormat="1" x14ac:dyDescent="0.3">
      <c r="C590" s="90"/>
      <c r="D590" s="87"/>
      <c r="E590" s="91"/>
      <c r="F590" s="92"/>
      <c r="G590" s="93"/>
      <c r="H590" s="93"/>
      <c r="I590" s="93"/>
      <c r="J590" s="93"/>
      <c r="K590" s="93"/>
      <c r="L590" s="93"/>
      <c r="M590" s="93"/>
      <c r="N590" s="93"/>
      <c r="O590" s="93"/>
      <c r="P590" s="93"/>
      <c r="Q590" s="93"/>
    </row>
    <row r="591" spans="3:17" s="5" customFormat="1" x14ac:dyDescent="0.3">
      <c r="C591" s="90"/>
      <c r="D591" s="87"/>
      <c r="E591" s="91"/>
      <c r="F591" s="92"/>
      <c r="G591" s="93"/>
      <c r="H591" s="93"/>
      <c r="I591" s="93"/>
      <c r="J591" s="93"/>
      <c r="K591" s="93"/>
      <c r="L591" s="93"/>
      <c r="M591" s="93"/>
      <c r="N591" s="93"/>
      <c r="O591" s="93"/>
      <c r="P591" s="93"/>
      <c r="Q591" s="93"/>
    </row>
    <row r="592" spans="3:17" s="5" customFormat="1" x14ac:dyDescent="0.3">
      <c r="C592" s="90"/>
      <c r="D592" s="87"/>
      <c r="E592" s="91"/>
      <c r="F592" s="92"/>
      <c r="G592" s="93"/>
      <c r="H592" s="93"/>
      <c r="I592" s="93"/>
      <c r="J592" s="93"/>
      <c r="K592" s="93"/>
      <c r="L592" s="93"/>
      <c r="M592" s="93"/>
      <c r="N592" s="93"/>
      <c r="O592" s="93"/>
      <c r="P592" s="93"/>
      <c r="Q592" s="93"/>
    </row>
    <row r="593" spans="1:17" s="5" customFormat="1" x14ac:dyDescent="0.3">
      <c r="C593" s="90"/>
      <c r="D593" s="87"/>
      <c r="E593" s="91"/>
      <c r="F593" s="92"/>
      <c r="G593" s="93"/>
      <c r="H593" s="93"/>
      <c r="I593" s="93"/>
      <c r="J593" s="93"/>
      <c r="K593" s="93"/>
      <c r="L593" s="93"/>
      <c r="M593" s="93"/>
      <c r="N593" s="93"/>
      <c r="O593" s="93"/>
      <c r="P593" s="93"/>
      <c r="Q593" s="93"/>
    </row>
    <row r="594" spans="1:17" s="5" customFormat="1" x14ac:dyDescent="0.3">
      <c r="C594" s="90"/>
      <c r="D594" s="87"/>
      <c r="E594" s="91"/>
      <c r="F594" s="92"/>
      <c r="G594" s="93"/>
      <c r="H594" s="93"/>
      <c r="I594" s="93"/>
      <c r="J594" s="93"/>
      <c r="K594" s="93"/>
      <c r="L594" s="93"/>
      <c r="M594" s="93"/>
      <c r="N594" s="93"/>
      <c r="O594" s="93"/>
      <c r="P594" s="93"/>
      <c r="Q594" s="93"/>
    </row>
    <row r="595" spans="1:17" s="5" customFormat="1" x14ac:dyDescent="0.3">
      <c r="C595" s="90"/>
      <c r="D595" s="87"/>
      <c r="E595" s="91"/>
      <c r="F595" s="92"/>
      <c r="G595" s="93"/>
      <c r="H595" s="93"/>
      <c r="I595" s="93"/>
      <c r="J595" s="93"/>
      <c r="K595" s="93"/>
      <c r="L595" s="93"/>
      <c r="M595" s="93"/>
      <c r="N595" s="93"/>
      <c r="O595" s="93"/>
      <c r="P595" s="93"/>
      <c r="Q595" s="93"/>
    </row>
    <row r="596" spans="1:17" s="5" customFormat="1" x14ac:dyDescent="0.3">
      <c r="C596" s="90"/>
      <c r="D596" s="87"/>
      <c r="E596" s="91"/>
      <c r="F596" s="92"/>
      <c r="G596" s="93"/>
      <c r="H596" s="93"/>
      <c r="I596" s="93"/>
      <c r="J596" s="93"/>
      <c r="K596" s="93"/>
      <c r="L596" s="93"/>
      <c r="M596" s="93"/>
      <c r="N596" s="93"/>
      <c r="O596" s="93"/>
      <c r="P596" s="93"/>
      <c r="Q596" s="93"/>
    </row>
    <row r="597" spans="1:17" s="5" customFormat="1" x14ac:dyDescent="0.3">
      <c r="C597" s="90"/>
      <c r="D597" s="87"/>
      <c r="E597" s="91"/>
      <c r="F597" s="92"/>
      <c r="G597" s="93"/>
      <c r="H597" s="93"/>
      <c r="I597" s="93"/>
      <c r="J597" s="93"/>
      <c r="K597" s="93"/>
      <c r="L597" s="93"/>
      <c r="M597" s="93"/>
      <c r="N597" s="93"/>
      <c r="O597" s="93"/>
      <c r="P597" s="93"/>
      <c r="Q597" s="93"/>
    </row>
    <row r="598" spans="1:17" s="5" customFormat="1" x14ac:dyDescent="0.3">
      <c r="C598" s="90"/>
      <c r="D598" s="87"/>
      <c r="E598" s="91"/>
      <c r="F598" s="92"/>
      <c r="G598" s="93"/>
      <c r="H598" s="93"/>
      <c r="I598" s="93"/>
      <c r="J598" s="93"/>
      <c r="K598" s="93"/>
      <c r="L598" s="93"/>
      <c r="M598" s="93"/>
      <c r="N598" s="93"/>
      <c r="O598" s="93"/>
      <c r="P598" s="93"/>
      <c r="Q598" s="93"/>
    </row>
    <row r="599" spans="1:17" s="5" customFormat="1" x14ac:dyDescent="0.3">
      <c r="C599" s="90"/>
      <c r="D599" s="87"/>
      <c r="E599" s="91"/>
      <c r="F599" s="92"/>
      <c r="G599" s="93"/>
      <c r="H599" s="93"/>
      <c r="I599" s="93"/>
      <c r="J599" s="93"/>
      <c r="K599" s="93"/>
      <c r="L599" s="93"/>
      <c r="M599" s="93"/>
      <c r="N599" s="93"/>
      <c r="O599" s="93"/>
      <c r="P599" s="93"/>
      <c r="Q599" s="93"/>
    </row>
    <row r="600" spans="1:17" s="5" customFormat="1" x14ac:dyDescent="0.3">
      <c r="C600" s="90"/>
      <c r="D600" s="87"/>
      <c r="E600" s="91"/>
      <c r="F600" s="92"/>
      <c r="G600" s="93"/>
      <c r="H600" s="93"/>
      <c r="I600" s="93"/>
      <c r="J600" s="93"/>
      <c r="K600" s="93"/>
      <c r="L600" s="93"/>
      <c r="M600" s="93"/>
      <c r="N600" s="93"/>
      <c r="O600" s="93"/>
      <c r="P600" s="93"/>
      <c r="Q600" s="93"/>
    </row>
    <row r="601" spans="1:17" s="5" customFormat="1" x14ac:dyDescent="0.3">
      <c r="A601" s="84"/>
      <c r="B601" s="84"/>
      <c r="C601" s="90"/>
      <c r="D601" s="87"/>
      <c r="E601" s="91"/>
      <c r="F601" s="92"/>
      <c r="G601" s="93"/>
      <c r="H601" s="93"/>
      <c r="I601" s="93"/>
      <c r="J601" s="93"/>
      <c r="K601" s="93"/>
      <c r="L601" s="93"/>
      <c r="M601" s="93"/>
      <c r="N601" s="93"/>
      <c r="O601" s="93"/>
      <c r="P601" s="93"/>
      <c r="Q601" s="93"/>
    </row>
    <row r="602" spans="1:17" s="5" customFormat="1" x14ac:dyDescent="0.3">
      <c r="A602" s="84"/>
      <c r="B602" s="84"/>
      <c r="C602" s="90"/>
      <c r="D602" s="87"/>
      <c r="E602" s="91"/>
      <c r="F602" s="92"/>
      <c r="G602" s="93"/>
      <c r="H602" s="93"/>
      <c r="I602" s="93"/>
      <c r="J602" s="93"/>
      <c r="K602" s="93"/>
      <c r="L602" s="93"/>
      <c r="M602" s="93"/>
      <c r="N602" s="93"/>
      <c r="O602" s="93"/>
      <c r="P602" s="93"/>
      <c r="Q602" s="93"/>
    </row>
    <row r="603" spans="1:17" s="5" customFormat="1" x14ac:dyDescent="0.3">
      <c r="A603" s="84"/>
      <c r="B603" s="84"/>
      <c r="C603" s="90"/>
      <c r="D603" s="87"/>
      <c r="E603" s="91"/>
      <c r="F603" s="92"/>
      <c r="G603" s="93"/>
      <c r="H603" s="93"/>
      <c r="I603" s="93"/>
      <c r="J603" s="93"/>
      <c r="K603" s="93"/>
      <c r="L603" s="93"/>
      <c r="M603" s="93"/>
      <c r="N603" s="93"/>
      <c r="O603" s="93"/>
      <c r="P603" s="93"/>
      <c r="Q603" s="93"/>
    </row>
    <row r="604" spans="1:17" s="5" customFormat="1" x14ac:dyDescent="0.3">
      <c r="A604" s="84"/>
      <c r="B604" s="84"/>
      <c r="C604" s="90"/>
      <c r="D604" s="87"/>
      <c r="E604" s="91"/>
      <c r="F604" s="92"/>
      <c r="G604" s="93"/>
      <c r="H604" s="93"/>
      <c r="I604" s="93"/>
      <c r="J604" s="93"/>
      <c r="K604" s="93"/>
      <c r="L604" s="93"/>
      <c r="M604" s="93"/>
      <c r="N604" s="93"/>
      <c r="O604" s="93"/>
      <c r="P604" s="93"/>
      <c r="Q604" s="93"/>
    </row>
    <row r="605" spans="1:17" s="5" customFormat="1" x14ac:dyDescent="0.3">
      <c r="A605" s="84"/>
      <c r="B605" s="84"/>
      <c r="C605" s="90"/>
      <c r="D605" s="87"/>
      <c r="E605" s="91"/>
      <c r="F605" s="92"/>
      <c r="G605" s="93"/>
      <c r="H605" s="93"/>
      <c r="I605" s="93"/>
      <c r="J605" s="93"/>
      <c r="K605" s="93"/>
      <c r="L605" s="93"/>
      <c r="M605" s="93"/>
      <c r="N605" s="93"/>
      <c r="O605" s="93"/>
      <c r="P605" s="93"/>
      <c r="Q605" s="93"/>
    </row>
    <row r="606" spans="1:17" s="5" customFormat="1" x14ac:dyDescent="0.3">
      <c r="A606" s="84"/>
      <c r="B606" s="84"/>
      <c r="C606" s="90"/>
      <c r="D606" s="87"/>
      <c r="E606" s="91"/>
      <c r="F606" s="92"/>
      <c r="G606" s="93"/>
      <c r="H606" s="93"/>
      <c r="I606" s="93"/>
      <c r="J606" s="93"/>
      <c r="K606" s="93"/>
      <c r="L606" s="93"/>
      <c r="M606" s="93"/>
      <c r="N606" s="93"/>
      <c r="O606" s="93"/>
      <c r="P606" s="93"/>
      <c r="Q606" s="93"/>
    </row>
    <row r="607" spans="1:17" s="5" customFormat="1" x14ac:dyDescent="0.3">
      <c r="A607" s="84"/>
      <c r="B607" s="84"/>
      <c r="C607" s="90"/>
      <c r="D607" s="87"/>
      <c r="E607" s="91"/>
      <c r="F607" s="92"/>
      <c r="G607" s="93"/>
      <c r="H607" s="93"/>
      <c r="I607" s="93"/>
      <c r="J607" s="93"/>
      <c r="K607" s="93"/>
      <c r="L607" s="93"/>
      <c r="M607" s="93"/>
      <c r="N607" s="93"/>
      <c r="O607" s="93"/>
      <c r="P607" s="93"/>
      <c r="Q607" s="93"/>
    </row>
    <row r="608" spans="1:17" s="5" customFormat="1" x14ac:dyDescent="0.3">
      <c r="A608" s="84"/>
      <c r="B608" s="84"/>
      <c r="C608" s="90"/>
      <c r="D608" s="87"/>
      <c r="E608" s="91"/>
      <c r="F608" s="92"/>
      <c r="G608" s="93"/>
      <c r="H608" s="93"/>
      <c r="I608" s="93"/>
      <c r="J608" s="93"/>
      <c r="K608" s="93"/>
      <c r="L608" s="93"/>
      <c r="M608" s="93"/>
      <c r="N608" s="93"/>
      <c r="O608" s="93"/>
      <c r="P608" s="93"/>
      <c r="Q608" s="93"/>
    </row>
    <row r="609" spans="1:17" s="5" customFormat="1" x14ac:dyDescent="0.3">
      <c r="A609" s="84"/>
      <c r="B609" s="84"/>
      <c r="C609" s="90"/>
      <c r="D609" s="87"/>
      <c r="E609" s="91"/>
      <c r="F609" s="92"/>
      <c r="G609" s="93"/>
      <c r="H609" s="93"/>
      <c r="I609" s="93"/>
      <c r="J609" s="93"/>
      <c r="K609" s="93"/>
      <c r="L609" s="93"/>
      <c r="M609" s="93"/>
      <c r="N609" s="93"/>
      <c r="O609" s="93"/>
      <c r="P609" s="93"/>
      <c r="Q609" s="93"/>
    </row>
    <row r="610" spans="1:17" s="5" customFormat="1" x14ac:dyDescent="0.3">
      <c r="A610" s="84"/>
      <c r="B610" s="84"/>
      <c r="C610" s="90"/>
      <c r="D610" s="87"/>
      <c r="E610" s="91"/>
      <c r="F610" s="92"/>
      <c r="G610" s="93"/>
      <c r="H610" s="93"/>
      <c r="I610" s="93"/>
      <c r="J610" s="93"/>
      <c r="K610" s="93"/>
      <c r="L610" s="93"/>
      <c r="M610" s="93"/>
      <c r="N610" s="93"/>
      <c r="O610" s="93"/>
      <c r="P610" s="93"/>
      <c r="Q610" s="93"/>
    </row>
    <row r="611" spans="1:17" s="5" customFormat="1" x14ac:dyDescent="0.3">
      <c r="A611" s="84"/>
      <c r="B611" s="84"/>
      <c r="C611" s="90"/>
      <c r="D611" s="87"/>
      <c r="E611" s="91"/>
      <c r="F611" s="92"/>
      <c r="G611" s="93"/>
      <c r="H611" s="93"/>
      <c r="I611" s="93"/>
      <c r="J611" s="93"/>
      <c r="K611" s="93"/>
      <c r="L611" s="93"/>
      <c r="M611" s="93"/>
      <c r="N611" s="93"/>
      <c r="O611" s="93"/>
      <c r="P611" s="93"/>
      <c r="Q611" s="93"/>
    </row>
    <row r="612" spans="1:17" s="5" customFormat="1" x14ac:dyDescent="0.3">
      <c r="A612" s="84"/>
      <c r="B612" s="84"/>
      <c r="C612" s="90"/>
      <c r="D612" s="87"/>
      <c r="E612" s="91"/>
      <c r="F612" s="92"/>
      <c r="G612" s="93"/>
      <c r="H612" s="93"/>
      <c r="I612" s="93"/>
      <c r="J612" s="93"/>
      <c r="K612" s="93"/>
      <c r="L612" s="93"/>
      <c r="M612" s="93"/>
      <c r="N612" s="93"/>
      <c r="O612" s="93"/>
      <c r="P612" s="93"/>
      <c r="Q612" s="93"/>
    </row>
    <row r="613" spans="1:17" s="5" customFormat="1" x14ac:dyDescent="0.3">
      <c r="A613" s="84"/>
      <c r="B613" s="84"/>
      <c r="C613" s="90"/>
      <c r="D613" s="87"/>
      <c r="E613" s="91"/>
      <c r="F613" s="92"/>
      <c r="G613" s="93"/>
      <c r="H613" s="93"/>
      <c r="I613" s="93"/>
      <c r="J613" s="93"/>
      <c r="K613" s="93"/>
      <c r="L613" s="93"/>
      <c r="M613" s="93"/>
      <c r="N613" s="93"/>
      <c r="O613" s="93"/>
      <c r="P613" s="93"/>
      <c r="Q613" s="93"/>
    </row>
    <row r="614" spans="1:17" s="5" customFormat="1" x14ac:dyDescent="0.3">
      <c r="A614" s="84"/>
      <c r="B614" s="84"/>
      <c r="C614" s="90"/>
      <c r="D614" s="87"/>
      <c r="E614" s="91"/>
      <c r="F614" s="92"/>
      <c r="G614" s="93"/>
      <c r="H614" s="93"/>
      <c r="I614" s="93"/>
      <c r="J614" s="93"/>
      <c r="K614" s="93"/>
      <c r="L614" s="93"/>
      <c r="M614" s="93"/>
      <c r="N614" s="93"/>
      <c r="O614" s="93"/>
      <c r="P614" s="93"/>
      <c r="Q614" s="93"/>
    </row>
    <row r="615" spans="1:17" s="5" customFormat="1" x14ac:dyDescent="0.3">
      <c r="A615" s="84"/>
      <c r="B615" s="84"/>
      <c r="C615" s="90"/>
      <c r="D615" s="87"/>
      <c r="E615" s="91"/>
      <c r="F615" s="92"/>
      <c r="G615" s="93"/>
      <c r="H615" s="93"/>
      <c r="I615" s="93"/>
      <c r="J615" s="93"/>
      <c r="K615" s="93"/>
      <c r="L615" s="93"/>
      <c r="M615" s="93"/>
      <c r="N615" s="93"/>
      <c r="O615" s="93"/>
      <c r="P615" s="93"/>
      <c r="Q615" s="93"/>
    </row>
    <row r="616" spans="1:17" s="5" customFormat="1" x14ac:dyDescent="0.3">
      <c r="A616" s="84"/>
      <c r="B616" s="84"/>
      <c r="C616" s="90"/>
      <c r="D616" s="87"/>
      <c r="E616" s="91"/>
      <c r="F616" s="92"/>
      <c r="G616" s="93"/>
      <c r="H616" s="93"/>
      <c r="I616" s="93"/>
      <c r="J616" s="93"/>
      <c r="K616" s="93"/>
      <c r="L616" s="93"/>
      <c r="M616" s="93"/>
      <c r="N616" s="93"/>
      <c r="O616" s="93"/>
      <c r="P616" s="93"/>
      <c r="Q616" s="93"/>
    </row>
    <row r="617" spans="1:17" s="5" customFormat="1" x14ac:dyDescent="0.3">
      <c r="A617" s="84"/>
      <c r="B617" s="84"/>
      <c r="C617" s="90"/>
      <c r="D617" s="87"/>
      <c r="E617" s="91"/>
      <c r="F617" s="92"/>
      <c r="G617" s="93"/>
      <c r="H617" s="93"/>
      <c r="I617" s="93"/>
      <c r="J617" s="93"/>
      <c r="K617" s="93"/>
      <c r="L617" s="93"/>
      <c r="M617" s="93"/>
      <c r="N617" s="93"/>
      <c r="O617" s="93"/>
      <c r="P617" s="93"/>
      <c r="Q617" s="93"/>
    </row>
    <row r="618" spans="1:17" s="5" customFormat="1" x14ac:dyDescent="0.3">
      <c r="A618" s="84"/>
      <c r="B618" s="84"/>
      <c r="C618" s="90"/>
      <c r="D618" s="87"/>
      <c r="E618" s="91"/>
      <c r="F618" s="92"/>
      <c r="G618" s="93"/>
      <c r="H618" s="93"/>
      <c r="I618" s="93"/>
      <c r="J618" s="93"/>
      <c r="K618" s="93"/>
      <c r="L618" s="93"/>
      <c r="M618" s="93"/>
      <c r="N618" s="93"/>
      <c r="O618" s="93"/>
      <c r="P618" s="93"/>
      <c r="Q618" s="93"/>
    </row>
    <row r="619" spans="1:17" s="5" customFormat="1" x14ac:dyDescent="0.3">
      <c r="A619" s="84"/>
      <c r="B619" s="84"/>
      <c r="C619" s="90"/>
      <c r="D619" s="87"/>
      <c r="E619" s="91"/>
      <c r="F619" s="92"/>
      <c r="G619" s="93"/>
      <c r="H619" s="93"/>
      <c r="I619" s="93"/>
      <c r="J619" s="93"/>
      <c r="K619" s="93"/>
      <c r="L619" s="93"/>
      <c r="M619" s="93"/>
      <c r="N619" s="93"/>
      <c r="O619" s="93"/>
      <c r="P619" s="93"/>
      <c r="Q619" s="93"/>
    </row>
    <row r="620" spans="1:17" s="5" customFormat="1" x14ac:dyDescent="0.3">
      <c r="A620" s="84"/>
      <c r="B620" s="84"/>
      <c r="C620" s="90"/>
      <c r="D620" s="87"/>
      <c r="E620" s="91"/>
      <c r="F620" s="92"/>
      <c r="G620" s="93"/>
      <c r="H620" s="93"/>
      <c r="I620" s="93"/>
      <c r="J620" s="93"/>
      <c r="K620" s="93"/>
      <c r="L620" s="93"/>
      <c r="M620" s="93"/>
      <c r="N620" s="93"/>
      <c r="O620" s="93"/>
      <c r="P620" s="93"/>
      <c r="Q620" s="93"/>
    </row>
    <row r="621" spans="1:17" s="5" customFormat="1" x14ac:dyDescent="0.3">
      <c r="A621" s="84"/>
      <c r="B621" s="84"/>
      <c r="C621" s="90"/>
      <c r="D621" s="87"/>
      <c r="E621" s="91"/>
      <c r="F621" s="92"/>
      <c r="G621" s="93"/>
      <c r="H621" s="93"/>
      <c r="I621" s="93"/>
      <c r="J621" s="93"/>
      <c r="K621" s="93"/>
      <c r="L621" s="93"/>
      <c r="M621" s="93"/>
      <c r="N621" s="93"/>
      <c r="O621" s="93"/>
      <c r="P621" s="93"/>
      <c r="Q621" s="93"/>
    </row>
    <row r="622" spans="1:17" s="5" customFormat="1" x14ac:dyDescent="0.3">
      <c r="A622" s="84"/>
      <c r="B622" s="84"/>
      <c r="C622" s="90"/>
      <c r="D622" s="87"/>
      <c r="E622" s="91"/>
      <c r="F622" s="92"/>
      <c r="G622" s="93"/>
      <c r="H622" s="93"/>
      <c r="I622" s="93"/>
      <c r="J622" s="93"/>
      <c r="K622" s="93"/>
      <c r="L622" s="93"/>
      <c r="M622" s="93"/>
      <c r="N622" s="93"/>
      <c r="O622" s="93"/>
      <c r="P622" s="93"/>
      <c r="Q622" s="93"/>
    </row>
    <row r="623" spans="1:17" s="5" customFormat="1" x14ac:dyDescent="0.3">
      <c r="A623" s="84"/>
      <c r="B623" s="84"/>
      <c r="C623" s="90"/>
      <c r="D623" s="87"/>
      <c r="E623" s="91"/>
      <c r="F623" s="92"/>
      <c r="G623" s="93"/>
      <c r="H623" s="93"/>
      <c r="I623" s="93"/>
      <c r="J623" s="93"/>
      <c r="K623" s="93"/>
      <c r="L623" s="93"/>
      <c r="M623" s="93"/>
      <c r="N623" s="93"/>
      <c r="O623" s="93"/>
      <c r="P623" s="93"/>
      <c r="Q623" s="93"/>
    </row>
    <row r="624" spans="1:17" s="5" customFormat="1" x14ac:dyDescent="0.3">
      <c r="A624" s="84"/>
      <c r="B624" s="84"/>
      <c r="C624" s="90"/>
      <c r="D624" s="87"/>
      <c r="E624" s="91"/>
      <c r="F624" s="92"/>
      <c r="G624" s="93"/>
      <c r="H624" s="93"/>
      <c r="I624" s="93"/>
      <c r="J624" s="93"/>
      <c r="K624" s="93"/>
      <c r="L624" s="93"/>
      <c r="M624" s="93"/>
      <c r="N624" s="93"/>
      <c r="O624" s="93"/>
      <c r="P624" s="93"/>
      <c r="Q624" s="93"/>
    </row>
    <row r="625" spans="1:17" s="5" customFormat="1" x14ac:dyDescent="0.3">
      <c r="A625" s="84"/>
      <c r="B625" s="84"/>
      <c r="C625" s="90"/>
      <c r="D625" s="87"/>
      <c r="E625" s="91"/>
      <c r="F625" s="92"/>
      <c r="G625" s="93"/>
      <c r="H625" s="93"/>
      <c r="I625" s="93"/>
      <c r="J625" s="93"/>
      <c r="K625" s="93"/>
      <c r="L625" s="93"/>
      <c r="M625" s="93"/>
      <c r="N625" s="93"/>
      <c r="O625" s="93"/>
      <c r="P625" s="93"/>
      <c r="Q625" s="93"/>
    </row>
    <row r="626" spans="1:17" s="5" customFormat="1" x14ac:dyDescent="0.3">
      <c r="A626" s="84"/>
      <c r="B626" s="84"/>
      <c r="C626" s="90"/>
      <c r="D626" s="87"/>
      <c r="E626" s="91"/>
      <c r="F626" s="92"/>
      <c r="G626" s="93"/>
      <c r="H626" s="93"/>
      <c r="I626" s="93"/>
      <c r="J626" s="93"/>
      <c r="K626" s="93"/>
      <c r="L626" s="93"/>
      <c r="M626" s="93"/>
      <c r="N626" s="93"/>
      <c r="O626" s="93"/>
      <c r="P626" s="93"/>
      <c r="Q626" s="93"/>
    </row>
    <row r="627" spans="1:17" s="5" customFormat="1" x14ac:dyDescent="0.3">
      <c r="A627" s="84"/>
      <c r="B627" s="84"/>
      <c r="C627" s="90"/>
      <c r="D627" s="87"/>
      <c r="E627" s="91"/>
      <c r="F627" s="92"/>
      <c r="G627" s="93"/>
      <c r="H627" s="93"/>
      <c r="I627" s="93"/>
      <c r="J627" s="93"/>
      <c r="K627" s="93"/>
      <c r="L627" s="93"/>
      <c r="M627" s="93"/>
      <c r="N627" s="93"/>
      <c r="O627" s="93"/>
      <c r="P627" s="93"/>
      <c r="Q627" s="93"/>
    </row>
    <row r="628" spans="1:17" s="5" customFormat="1" x14ac:dyDescent="0.3">
      <c r="A628" s="84"/>
      <c r="B628" s="84"/>
      <c r="C628" s="90"/>
      <c r="D628" s="87"/>
      <c r="E628" s="91"/>
      <c r="F628" s="92"/>
      <c r="G628" s="93"/>
      <c r="H628" s="93"/>
      <c r="I628" s="93"/>
      <c r="J628" s="93"/>
      <c r="K628" s="93"/>
      <c r="L628" s="93"/>
      <c r="M628" s="93"/>
      <c r="N628" s="93"/>
      <c r="O628" s="93"/>
      <c r="P628" s="93"/>
      <c r="Q628" s="93"/>
    </row>
    <row r="629" spans="1:17" s="5" customFormat="1" x14ac:dyDescent="0.3">
      <c r="A629" s="84"/>
      <c r="B629" s="84"/>
      <c r="C629" s="90"/>
      <c r="D629" s="87"/>
      <c r="E629" s="91"/>
      <c r="F629" s="92"/>
      <c r="G629" s="93"/>
      <c r="H629" s="93"/>
      <c r="I629" s="93"/>
      <c r="J629" s="93"/>
      <c r="K629" s="93"/>
      <c r="L629" s="93"/>
      <c r="M629" s="93"/>
      <c r="N629" s="93"/>
      <c r="O629" s="93"/>
      <c r="P629" s="93"/>
      <c r="Q629" s="93"/>
    </row>
    <row r="630" spans="1:17" s="5" customFormat="1" x14ac:dyDescent="0.3">
      <c r="A630" s="84"/>
      <c r="B630" s="84"/>
      <c r="C630" s="90"/>
      <c r="D630" s="87"/>
      <c r="E630" s="91"/>
      <c r="F630" s="92"/>
      <c r="G630" s="93"/>
      <c r="H630" s="93"/>
      <c r="I630" s="93"/>
      <c r="J630" s="93"/>
      <c r="K630" s="93"/>
      <c r="L630" s="93"/>
      <c r="M630" s="93"/>
      <c r="N630" s="93"/>
      <c r="O630" s="93"/>
      <c r="P630" s="93"/>
      <c r="Q630" s="93"/>
    </row>
    <row r="631" spans="1:17" s="5" customFormat="1" x14ac:dyDescent="0.3">
      <c r="A631" s="84"/>
      <c r="B631" s="84"/>
      <c r="C631" s="90"/>
      <c r="D631" s="87"/>
      <c r="E631" s="91"/>
      <c r="F631" s="92"/>
      <c r="G631" s="93"/>
      <c r="H631" s="93"/>
      <c r="I631" s="93"/>
      <c r="J631" s="93"/>
      <c r="K631" s="93"/>
      <c r="L631" s="93"/>
      <c r="M631" s="93"/>
      <c r="N631" s="93"/>
      <c r="O631" s="93"/>
      <c r="P631" s="93"/>
      <c r="Q631" s="93"/>
    </row>
    <row r="632" spans="1:17" s="5" customFormat="1" x14ac:dyDescent="0.3">
      <c r="A632" s="84"/>
      <c r="B632" s="84"/>
      <c r="C632" s="90"/>
      <c r="D632" s="87"/>
      <c r="E632" s="91"/>
      <c r="F632" s="92"/>
      <c r="G632" s="93"/>
      <c r="H632" s="93"/>
      <c r="I632" s="93"/>
      <c r="J632" s="93"/>
      <c r="K632" s="93"/>
      <c r="L632" s="93"/>
      <c r="M632" s="93"/>
      <c r="N632" s="93"/>
      <c r="O632" s="93"/>
      <c r="P632" s="93"/>
      <c r="Q632" s="93"/>
    </row>
    <row r="633" spans="1:17" s="5" customFormat="1" x14ac:dyDescent="0.3">
      <c r="A633" s="84"/>
      <c r="B633" s="84"/>
      <c r="C633" s="90"/>
      <c r="D633" s="87"/>
      <c r="E633" s="91"/>
      <c r="F633" s="92"/>
      <c r="G633" s="93"/>
      <c r="H633" s="93"/>
      <c r="I633" s="93"/>
      <c r="J633" s="93"/>
      <c r="K633" s="93"/>
      <c r="L633" s="93"/>
      <c r="M633" s="93"/>
      <c r="N633" s="93"/>
      <c r="O633" s="93"/>
      <c r="P633" s="93"/>
      <c r="Q633" s="93"/>
    </row>
    <row r="634" spans="1:17" s="5" customFormat="1" x14ac:dyDescent="0.3">
      <c r="A634" s="84"/>
      <c r="B634" s="84"/>
      <c r="C634" s="90"/>
      <c r="D634" s="87"/>
      <c r="E634" s="91"/>
      <c r="F634" s="92"/>
      <c r="G634" s="93"/>
      <c r="H634" s="93"/>
      <c r="I634" s="93"/>
      <c r="J634" s="93"/>
      <c r="K634" s="93"/>
      <c r="L634" s="93"/>
      <c r="M634" s="93"/>
      <c r="N634" s="93"/>
      <c r="O634" s="93"/>
      <c r="P634" s="93"/>
      <c r="Q634" s="93"/>
    </row>
    <row r="635" spans="1:17" s="5" customFormat="1" x14ac:dyDescent="0.3">
      <c r="A635" s="84"/>
      <c r="B635" s="84"/>
      <c r="C635" s="90"/>
      <c r="D635" s="87"/>
      <c r="E635" s="91"/>
      <c r="F635" s="92"/>
      <c r="G635" s="93"/>
      <c r="H635" s="93"/>
      <c r="I635" s="93"/>
      <c r="J635" s="93"/>
      <c r="K635" s="93"/>
      <c r="L635" s="93"/>
      <c r="M635" s="93"/>
      <c r="N635" s="93"/>
      <c r="O635" s="93"/>
      <c r="P635" s="93"/>
      <c r="Q635" s="93"/>
    </row>
    <row r="636" spans="1:17" s="5" customFormat="1" x14ac:dyDescent="0.3">
      <c r="A636" s="84"/>
      <c r="B636" s="84"/>
      <c r="C636" s="90"/>
      <c r="D636" s="87"/>
      <c r="E636" s="91"/>
      <c r="F636" s="92"/>
      <c r="G636" s="93"/>
      <c r="H636" s="93"/>
      <c r="I636" s="93"/>
      <c r="J636" s="93"/>
      <c r="K636" s="93"/>
      <c r="L636" s="93"/>
      <c r="M636" s="93"/>
      <c r="N636" s="93"/>
      <c r="O636" s="93"/>
      <c r="P636" s="93"/>
      <c r="Q636" s="93"/>
    </row>
    <row r="637" spans="1:17" s="5" customFormat="1" x14ac:dyDescent="0.3">
      <c r="A637" s="84"/>
      <c r="B637" s="84"/>
      <c r="C637" s="90"/>
      <c r="D637" s="87"/>
      <c r="E637" s="91"/>
      <c r="F637" s="92"/>
      <c r="G637" s="93"/>
      <c r="H637" s="93"/>
      <c r="I637" s="93"/>
      <c r="J637" s="93"/>
      <c r="K637" s="93"/>
      <c r="L637" s="93"/>
      <c r="M637" s="93"/>
      <c r="N637" s="93"/>
      <c r="O637" s="93"/>
      <c r="P637" s="93"/>
      <c r="Q637" s="93"/>
    </row>
    <row r="638" spans="1:17" s="5" customFormat="1" x14ac:dyDescent="0.3">
      <c r="A638" s="84"/>
      <c r="B638" s="84"/>
      <c r="C638" s="90"/>
      <c r="D638" s="87"/>
      <c r="E638" s="91"/>
      <c r="F638" s="92"/>
      <c r="G638" s="93"/>
      <c r="H638" s="93"/>
      <c r="I638" s="93"/>
      <c r="J638" s="93"/>
      <c r="K638" s="93"/>
      <c r="L638" s="93"/>
      <c r="M638" s="93"/>
      <c r="N638" s="93"/>
      <c r="O638" s="93"/>
      <c r="P638" s="93"/>
      <c r="Q638" s="93"/>
    </row>
    <row r="639" spans="1:17" s="5" customFormat="1" x14ac:dyDescent="0.3">
      <c r="A639" s="84"/>
      <c r="B639" s="84"/>
      <c r="C639" s="90"/>
      <c r="D639" s="87"/>
      <c r="E639" s="91"/>
      <c r="F639" s="92"/>
      <c r="G639" s="93"/>
      <c r="H639" s="93"/>
      <c r="I639" s="93"/>
      <c r="J639" s="93"/>
      <c r="K639" s="93"/>
      <c r="L639" s="93"/>
      <c r="M639" s="93"/>
      <c r="N639" s="93"/>
      <c r="O639" s="93"/>
      <c r="P639" s="93"/>
      <c r="Q639" s="93"/>
    </row>
    <row r="640" spans="1:17" s="5" customFormat="1" x14ac:dyDescent="0.3">
      <c r="A640" s="84"/>
      <c r="B640" s="84"/>
      <c r="C640" s="90"/>
      <c r="D640" s="87"/>
      <c r="E640" s="91"/>
      <c r="F640" s="92"/>
      <c r="G640" s="93"/>
      <c r="H640" s="93"/>
      <c r="I640" s="93"/>
      <c r="J640" s="93"/>
      <c r="K640" s="93"/>
      <c r="L640" s="93"/>
      <c r="M640" s="93"/>
      <c r="N640" s="93"/>
      <c r="O640" s="93"/>
      <c r="P640" s="93"/>
      <c r="Q640" s="93"/>
    </row>
    <row r="641" spans="1:17" s="5" customFormat="1" x14ac:dyDescent="0.3">
      <c r="A641" s="84"/>
      <c r="B641" s="84"/>
      <c r="C641" s="90"/>
      <c r="D641" s="87"/>
      <c r="E641" s="91"/>
      <c r="F641" s="92"/>
      <c r="G641" s="93"/>
      <c r="H641" s="93"/>
      <c r="I641" s="93"/>
      <c r="J641" s="93"/>
      <c r="K641" s="93"/>
      <c r="L641" s="93"/>
      <c r="M641" s="93"/>
      <c r="N641" s="93"/>
      <c r="O641" s="93"/>
      <c r="P641" s="93"/>
      <c r="Q641" s="93"/>
    </row>
    <row r="642" spans="1:17" s="5" customFormat="1" x14ac:dyDescent="0.3">
      <c r="A642" s="84"/>
      <c r="B642" s="84"/>
      <c r="C642" s="90"/>
      <c r="D642" s="87"/>
      <c r="E642" s="91"/>
      <c r="F642" s="92"/>
      <c r="G642" s="93"/>
      <c r="H642" s="93"/>
      <c r="I642" s="93"/>
      <c r="J642" s="93"/>
      <c r="K642" s="93"/>
      <c r="L642" s="93"/>
      <c r="M642" s="93"/>
      <c r="N642" s="93"/>
      <c r="O642" s="93"/>
      <c r="P642" s="93"/>
      <c r="Q642" s="93"/>
    </row>
    <row r="643" spans="1:17" s="5" customFormat="1" x14ac:dyDescent="0.3">
      <c r="A643" s="84"/>
      <c r="B643" s="84"/>
      <c r="C643" s="90"/>
      <c r="D643" s="87"/>
      <c r="E643" s="91"/>
      <c r="F643" s="92"/>
      <c r="G643" s="93"/>
      <c r="H643" s="93"/>
      <c r="I643" s="93"/>
      <c r="J643" s="93"/>
      <c r="K643" s="93"/>
      <c r="L643" s="93"/>
      <c r="M643" s="93"/>
      <c r="N643" s="93"/>
      <c r="O643" s="93"/>
      <c r="P643" s="93"/>
      <c r="Q643" s="93"/>
    </row>
    <row r="644" spans="1:17" s="5" customFormat="1" x14ac:dyDescent="0.3">
      <c r="A644" s="84"/>
      <c r="B644" s="84"/>
      <c r="C644" s="90"/>
      <c r="D644" s="87"/>
      <c r="E644" s="91"/>
      <c r="F644" s="92"/>
      <c r="G644" s="93"/>
      <c r="H644" s="93"/>
      <c r="I644" s="93"/>
      <c r="J644" s="93"/>
      <c r="K644" s="93"/>
      <c r="L644" s="93"/>
      <c r="M644" s="93"/>
      <c r="N644" s="93"/>
      <c r="O644" s="93"/>
      <c r="P644" s="93"/>
      <c r="Q644" s="93"/>
    </row>
    <row r="645" spans="1:17" s="5" customFormat="1" x14ac:dyDescent="0.3">
      <c r="A645" s="84"/>
      <c r="B645" s="84"/>
      <c r="C645" s="90"/>
      <c r="D645" s="87"/>
      <c r="E645" s="91"/>
      <c r="F645" s="92"/>
      <c r="G645" s="93"/>
      <c r="H645" s="93"/>
      <c r="I645" s="93"/>
      <c r="J645" s="93"/>
      <c r="K645" s="93"/>
      <c r="L645" s="93"/>
      <c r="M645" s="93"/>
      <c r="N645" s="93"/>
      <c r="O645" s="93"/>
      <c r="P645" s="93"/>
      <c r="Q645" s="93"/>
    </row>
    <row r="646" spans="1:17" s="5" customFormat="1" x14ac:dyDescent="0.3">
      <c r="A646" s="84"/>
      <c r="B646" s="84"/>
      <c r="C646" s="90"/>
      <c r="D646" s="87"/>
      <c r="E646" s="91"/>
      <c r="F646" s="92"/>
      <c r="G646" s="93"/>
      <c r="H646" s="93"/>
      <c r="I646" s="93"/>
      <c r="J646" s="93"/>
      <c r="K646" s="93"/>
      <c r="L646" s="93"/>
      <c r="M646" s="93"/>
      <c r="N646" s="93"/>
      <c r="O646" s="93"/>
      <c r="P646" s="93"/>
      <c r="Q646" s="93"/>
    </row>
    <row r="647" spans="1:17" s="5" customFormat="1" x14ac:dyDescent="0.3">
      <c r="A647" s="84"/>
      <c r="B647" s="84"/>
      <c r="C647" s="90"/>
      <c r="D647" s="87"/>
      <c r="E647" s="91"/>
      <c r="F647" s="92"/>
      <c r="G647" s="93"/>
      <c r="H647" s="93"/>
      <c r="I647" s="93"/>
      <c r="J647" s="93"/>
      <c r="K647" s="93"/>
      <c r="L647" s="93"/>
      <c r="M647" s="93"/>
      <c r="N647" s="93"/>
      <c r="O647" s="93"/>
      <c r="P647" s="93"/>
      <c r="Q647" s="93"/>
    </row>
    <row r="648" spans="1:17" s="5" customFormat="1" x14ac:dyDescent="0.3">
      <c r="A648" s="84"/>
      <c r="B648" s="84"/>
      <c r="C648" s="90"/>
      <c r="D648" s="87"/>
      <c r="E648" s="91"/>
      <c r="F648" s="92"/>
      <c r="G648" s="93"/>
      <c r="H648" s="93"/>
      <c r="I648" s="93"/>
      <c r="J648" s="93"/>
      <c r="K648" s="93"/>
      <c r="L648" s="93"/>
      <c r="M648" s="93"/>
      <c r="N648" s="93"/>
      <c r="O648" s="93"/>
      <c r="P648" s="93"/>
      <c r="Q648" s="93"/>
    </row>
    <row r="649" spans="1:17" s="5" customFormat="1" x14ac:dyDescent="0.3">
      <c r="A649" s="84"/>
      <c r="B649" s="84"/>
      <c r="C649" s="90"/>
      <c r="D649" s="87"/>
      <c r="E649" s="91"/>
      <c r="F649" s="92"/>
      <c r="G649" s="93"/>
      <c r="H649" s="93"/>
      <c r="I649" s="93"/>
      <c r="J649" s="93"/>
      <c r="K649" s="93"/>
      <c r="L649" s="93"/>
      <c r="M649" s="93"/>
      <c r="N649" s="93"/>
      <c r="O649" s="93"/>
      <c r="P649" s="93"/>
      <c r="Q649" s="93"/>
    </row>
    <row r="650" spans="1:17" s="5" customFormat="1" x14ac:dyDescent="0.3">
      <c r="A650" s="84"/>
      <c r="B650" s="84"/>
      <c r="C650" s="90"/>
      <c r="D650" s="87"/>
      <c r="E650" s="91"/>
      <c r="F650" s="92"/>
      <c r="G650" s="93"/>
      <c r="H650" s="93"/>
      <c r="I650" s="93"/>
      <c r="J650" s="93"/>
      <c r="K650" s="93"/>
      <c r="L650" s="93"/>
      <c r="M650" s="93"/>
      <c r="N650" s="93"/>
      <c r="O650" s="93"/>
      <c r="P650" s="93"/>
      <c r="Q650" s="93"/>
    </row>
    <row r="651" spans="1:17" s="5" customFormat="1" x14ac:dyDescent="0.3">
      <c r="A651" s="84"/>
      <c r="B651" s="84"/>
      <c r="C651" s="90"/>
      <c r="D651" s="87"/>
      <c r="E651" s="91"/>
      <c r="F651" s="92"/>
      <c r="G651" s="93"/>
      <c r="H651" s="93"/>
      <c r="I651" s="93"/>
      <c r="J651" s="93"/>
      <c r="K651" s="93"/>
      <c r="L651" s="93"/>
      <c r="M651" s="93"/>
      <c r="N651" s="93"/>
      <c r="O651" s="93"/>
      <c r="P651" s="93"/>
      <c r="Q651" s="93"/>
    </row>
    <row r="652" spans="1:17" s="5" customFormat="1" x14ac:dyDescent="0.3">
      <c r="A652" s="84"/>
      <c r="B652" s="84"/>
      <c r="C652" s="90"/>
      <c r="D652" s="87"/>
      <c r="E652" s="91"/>
      <c r="F652" s="92"/>
      <c r="G652" s="93"/>
      <c r="H652" s="93"/>
      <c r="I652" s="93"/>
      <c r="J652" s="93"/>
      <c r="K652" s="93"/>
      <c r="L652" s="93"/>
      <c r="M652" s="93"/>
      <c r="N652" s="93"/>
      <c r="O652" s="93"/>
      <c r="P652" s="93"/>
      <c r="Q652" s="93"/>
    </row>
    <row r="653" spans="1:17" s="5" customFormat="1" x14ac:dyDescent="0.3">
      <c r="A653" s="84"/>
      <c r="B653" s="84"/>
      <c r="C653" s="90"/>
      <c r="D653" s="87"/>
      <c r="E653" s="91"/>
      <c r="F653" s="92"/>
      <c r="G653" s="93"/>
      <c r="H653" s="93"/>
      <c r="I653" s="93"/>
      <c r="J653" s="93"/>
      <c r="K653" s="93"/>
      <c r="L653" s="93"/>
      <c r="M653" s="93"/>
      <c r="N653" s="93"/>
      <c r="O653" s="93"/>
      <c r="P653" s="93"/>
      <c r="Q653" s="93"/>
    </row>
    <row r="654" spans="1:17" s="5" customFormat="1" x14ac:dyDescent="0.3">
      <c r="A654" s="84"/>
      <c r="B654" s="84"/>
      <c r="C654" s="90"/>
      <c r="D654" s="87"/>
      <c r="E654" s="91"/>
      <c r="F654" s="92"/>
      <c r="G654" s="93"/>
      <c r="H654" s="93"/>
      <c r="I654" s="93"/>
      <c r="J654" s="93"/>
      <c r="K654" s="93"/>
      <c r="L654" s="93"/>
      <c r="M654" s="93"/>
      <c r="N654" s="93"/>
      <c r="O654" s="93"/>
      <c r="P654" s="93"/>
      <c r="Q654" s="93"/>
    </row>
    <row r="655" spans="1:17" s="5" customFormat="1" x14ac:dyDescent="0.3">
      <c r="A655" s="84"/>
      <c r="B655" s="84"/>
      <c r="C655" s="90"/>
      <c r="D655" s="87"/>
      <c r="E655" s="91"/>
      <c r="F655" s="92"/>
      <c r="G655" s="93"/>
      <c r="H655" s="93"/>
      <c r="I655" s="93"/>
      <c r="J655" s="93"/>
      <c r="K655" s="93"/>
      <c r="L655" s="93"/>
      <c r="M655" s="93"/>
      <c r="N655" s="93"/>
      <c r="O655" s="93"/>
      <c r="P655" s="93"/>
      <c r="Q655" s="93"/>
    </row>
    <row r="656" spans="1:17" s="5" customFormat="1" x14ac:dyDescent="0.3">
      <c r="A656" s="84"/>
      <c r="B656" s="84"/>
      <c r="C656" s="90"/>
      <c r="D656" s="87"/>
      <c r="E656" s="91"/>
      <c r="F656" s="92"/>
      <c r="G656" s="93"/>
      <c r="H656" s="93"/>
      <c r="I656" s="93"/>
      <c r="J656" s="93"/>
      <c r="K656" s="93"/>
      <c r="L656" s="93"/>
      <c r="M656" s="93"/>
      <c r="N656" s="93"/>
      <c r="O656" s="93"/>
      <c r="P656" s="93"/>
      <c r="Q656" s="93"/>
    </row>
    <row r="657" spans="1:17" s="5" customFormat="1" x14ac:dyDescent="0.3">
      <c r="A657" s="84"/>
      <c r="B657" s="84"/>
      <c r="C657" s="90"/>
      <c r="D657" s="87"/>
      <c r="E657" s="91"/>
      <c r="F657" s="92"/>
      <c r="G657" s="93"/>
      <c r="H657" s="93"/>
      <c r="I657" s="93"/>
      <c r="J657" s="93"/>
      <c r="K657" s="93"/>
      <c r="L657" s="93"/>
      <c r="M657" s="93"/>
      <c r="N657" s="93"/>
      <c r="O657" s="93"/>
      <c r="P657" s="93"/>
      <c r="Q657" s="93"/>
    </row>
    <row r="658" spans="1:17" s="5" customFormat="1" x14ac:dyDescent="0.3">
      <c r="A658" s="84"/>
      <c r="B658" s="84"/>
      <c r="C658" s="90"/>
      <c r="D658" s="87"/>
      <c r="E658" s="91"/>
      <c r="F658" s="92"/>
      <c r="G658" s="93"/>
      <c r="H658" s="93"/>
      <c r="I658" s="93"/>
      <c r="J658" s="93"/>
      <c r="K658" s="93"/>
      <c r="L658" s="93"/>
      <c r="M658" s="93"/>
      <c r="N658" s="93"/>
      <c r="O658" s="93"/>
      <c r="P658" s="93"/>
      <c r="Q658" s="93"/>
    </row>
    <row r="659" spans="1:17" s="5" customFormat="1" x14ac:dyDescent="0.3">
      <c r="A659" s="84"/>
      <c r="B659" s="84"/>
      <c r="C659" s="90"/>
      <c r="D659" s="87"/>
      <c r="E659" s="91"/>
      <c r="F659" s="92"/>
      <c r="G659" s="93"/>
      <c r="H659" s="93"/>
      <c r="I659" s="93"/>
      <c r="J659" s="93"/>
      <c r="K659" s="93"/>
      <c r="L659" s="93"/>
      <c r="M659" s="93"/>
      <c r="N659" s="93"/>
      <c r="O659" s="93"/>
      <c r="P659" s="93"/>
      <c r="Q659" s="93"/>
    </row>
    <row r="660" spans="1:17" s="5" customFormat="1" x14ac:dyDescent="0.3">
      <c r="A660" s="84"/>
      <c r="B660" s="84"/>
      <c r="C660" s="90"/>
      <c r="D660" s="87"/>
      <c r="E660" s="91"/>
      <c r="F660" s="92"/>
      <c r="G660" s="93"/>
      <c r="H660" s="93"/>
      <c r="I660" s="93"/>
      <c r="J660" s="93"/>
      <c r="K660" s="93"/>
      <c r="L660" s="93"/>
      <c r="M660" s="93"/>
      <c r="N660" s="93"/>
      <c r="O660" s="93"/>
      <c r="P660" s="93"/>
      <c r="Q660" s="93"/>
    </row>
    <row r="661" spans="1:17" s="5" customFormat="1" x14ac:dyDescent="0.3">
      <c r="A661" s="84"/>
      <c r="B661" s="84"/>
      <c r="C661" s="90"/>
      <c r="D661" s="87"/>
      <c r="E661" s="91"/>
      <c r="F661" s="92"/>
      <c r="G661" s="93"/>
      <c r="H661" s="93"/>
      <c r="I661" s="93"/>
      <c r="J661" s="93"/>
      <c r="K661" s="93"/>
      <c r="L661" s="93"/>
      <c r="M661" s="93"/>
      <c r="N661" s="93"/>
      <c r="O661" s="93"/>
      <c r="P661" s="93"/>
      <c r="Q661" s="93"/>
    </row>
    <row r="662" spans="1:17" s="5" customFormat="1" x14ac:dyDescent="0.3">
      <c r="A662" s="84"/>
      <c r="B662" s="84"/>
      <c r="C662" s="90"/>
      <c r="D662" s="87"/>
      <c r="E662" s="91"/>
      <c r="F662" s="92"/>
      <c r="G662" s="93"/>
      <c r="H662" s="93"/>
      <c r="I662" s="93"/>
      <c r="J662" s="93"/>
      <c r="K662" s="93"/>
      <c r="L662" s="93"/>
      <c r="M662" s="93"/>
      <c r="N662" s="93"/>
      <c r="O662" s="93"/>
      <c r="P662" s="93"/>
      <c r="Q662" s="93"/>
    </row>
    <row r="663" spans="1:17" s="5" customFormat="1" x14ac:dyDescent="0.3">
      <c r="A663" s="84"/>
      <c r="B663" s="84"/>
      <c r="C663" s="90"/>
      <c r="D663" s="87"/>
      <c r="E663" s="91"/>
      <c r="F663" s="92"/>
      <c r="G663" s="93"/>
      <c r="H663" s="93"/>
      <c r="I663" s="93"/>
      <c r="J663" s="93"/>
      <c r="K663" s="93"/>
      <c r="L663" s="93"/>
      <c r="M663" s="93"/>
      <c r="N663" s="93"/>
      <c r="O663" s="93"/>
      <c r="P663" s="93"/>
      <c r="Q663" s="93"/>
    </row>
    <row r="664" spans="1:17" s="5" customFormat="1" x14ac:dyDescent="0.3">
      <c r="A664" s="84"/>
      <c r="B664" s="84"/>
      <c r="C664" s="90"/>
      <c r="D664" s="87"/>
      <c r="E664" s="91"/>
      <c r="F664" s="92"/>
      <c r="G664" s="93"/>
      <c r="H664" s="93"/>
      <c r="I664" s="93"/>
      <c r="J664" s="93"/>
      <c r="K664" s="93"/>
      <c r="L664" s="93"/>
      <c r="M664" s="93"/>
      <c r="N664" s="93"/>
      <c r="O664" s="93"/>
      <c r="P664" s="93"/>
      <c r="Q664" s="93"/>
    </row>
    <row r="665" spans="1:17" s="5" customFormat="1" x14ac:dyDescent="0.3">
      <c r="A665" s="84"/>
      <c r="B665" s="84"/>
      <c r="C665" s="90"/>
      <c r="D665" s="87"/>
      <c r="E665" s="91"/>
      <c r="F665" s="92"/>
      <c r="G665" s="93"/>
      <c r="H665" s="93"/>
      <c r="I665" s="93"/>
      <c r="J665" s="93"/>
      <c r="K665" s="93"/>
      <c r="L665" s="93"/>
      <c r="M665" s="93"/>
      <c r="N665" s="93"/>
      <c r="O665" s="93"/>
      <c r="P665" s="93"/>
      <c r="Q665" s="93"/>
    </row>
    <row r="666" spans="1:17" s="5" customFormat="1" x14ac:dyDescent="0.3">
      <c r="A666" s="84"/>
      <c r="B666" s="84"/>
      <c r="C666" s="90"/>
      <c r="D666" s="87"/>
      <c r="E666" s="91"/>
      <c r="F666" s="92"/>
      <c r="G666" s="93"/>
      <c r="H666" s="93"/>
      <c r="I666" s="93"/>
      <c r="J666" s="93"/>
      <c r="K666" s="93"/>
      <c r="L666" s="93"/>
      <c r="M666" s="93"/>
      <c r="N666" s="93"/>
      <c r="O666" s="93"/>
      <c r="P666" s="93"/>
      <c r="Q666" s="93"/>
    </row>
    <row r="667" spans="1:17" s="5" customFormat="1" x14ac:dyDescent="0.3">
      <c r="A667" s="84"/>
      <c r="B667" s="84"/>
      <c r="C667" s="90"/>
      <c r="D667" s="87"/>
      <c r="E667" s="91"/>
      <c r="F667" s="92"/>
      <c r="G667" s="93"/>
      <c r="H667" s="93"/>
      <c r="I667" s="93"/>
      <c r="J667" s="93"/>
      <c r="K667" s="93"/>
      <c r="L667" s="93"/>
      <c r="M667" s="93"/>
      <c r="N667" s="93"/>
      <c r="O667" s="93"/>
      <c r="P667" s="93"/>
      <c r="Q667" s="93"/>
    </row>
    <row r="668" spans="1:17" s="5" customFormat="1" x14ac:dyDescent="0.3">
      <c r="A668" s="84"/>
      <c r="B668" s="84"/>
      <c r="C668" s="90"/>
      <c r="D668" s="87"/>
      <c r="E668" s="91"/>
      <c r="F668" s="92"/>
      <c r="G668" s="93"/>
      <c r="H668" s="93"/>
      <c r="I668" s="93"/>
      <c r="J668" s="93"/>
      <c r="K668" s="93"/>
      <c r="L668" s="93"/>
      <c r="M668" s="93"/>
      <c r="N668" s="93"/>
      <c r="O668" s="93"/>
      <c r="P668" s="93"/>
      <c r="Q668" s="93"/>
    </row>
    <row r="669" spans="1:17" s="5" customFormat="1" x14ac:dyDescent="0.3">
      <c r="A669" s="84"/>
      <c r="B669" s="84"/>
      <c r="C669" s="90"/>
      <c r="D669" s="87"/>
      <c r="E669" s="91"/>
      <c r="F669" s="92"/>
      <c r="G669" s="93"/>
      <c r="H669" s="93"/>
      <c r="I669" s="93"/>
      <c r="J669" s="93"/>
      <c r="K669" s="93"/>
      <c r="L669" s="93"/>
      <c r="M669" s="93"/>
      <c r="N669" s="93"/>
      <c r="O669" s="93"/>
      <c r="P669" s="93"/>
      <c r="Q669" s="93"/>
    </row>
    <row r="670" spans="1:17" s="5" customFormat="1" x14ac:dyDescent="0.3">
      <c r="A670" s="84"/>
      <c r="B670" s="84"/>
      <c r="C670" s="90"/>
      <c r="D670" s="87"/>
      <c r="E670" s="91"/>
      <c r="F670" s="92"/>
      <c r="G670" s="93"/>
      <c r="H670" s="93"/>
      <c r="I670" s="93"/>
      <c r="J670" s="93"/>
      <c r="K670" s="93"/>
      <c r="L670" s="93"/>
      <c r="M670" s="93"/>
      <c r="N670" s="93"/>
      <c r="O670" s="93"/>
      <c r="P670" s="93"/>
      <c r="Q670" s="93"/>
    </row>
    <row r="671" spans="1:17" s="5" customFormat="1" x14ac:dyDescent="0.3">
      <c r="A671" s="84"/>
      <c r="B671" s="84"/>
      <c r="C671" s="90"/>
      <c r="D671" s="87"/>
      <c r="E671" s="91"/>
      <c r="F671" s="92"/>
      <c r="G671" s="93"/>
      <c r="H671" s="93"/>
      <c r="I671" s="93"/>
      <c r="J671" s="93"/>
      <c r="K671" s="93"/>
      <c r="L671" s="93"/>
      <c r="M671" s="93"/>
      <c r="N671" s="93"/>
      <c r="O671" s="93"/>
      <c r="P671" s="93"/>
      <c r="Q671" s="93"/>
    </row>
    <row r="672" spans="1:17" s="5" customFormat="1" x14ac:dyDescent="0.3">
      <c r="A672" s="84"/>
      <c r="B672" s="84"/>
      <c r="C672" s="90"/>
      <c r="D672" s="87"/>
      <c r="E672" s="91"/>
      <c r="F672" s="92"/>
      <c r="G672" s="93"/>
      <c r="H672" s="93"/>
      <c r="I672" s="93"/>
      <c r="J672" s="93"/>
      <c r="K672" s="93"/>
      <c r="L672" s="93"/>
      <c r="M672" s="93"/>
      <c r="N672" s="93"/>
      <c r="O672" s="93"/>
      <c r="P672" s="93"/>
      <c r="Q672" s="93"/>
    </row>
    <row r="673" spans="1:17" s="5" customFormat="1" x14ac:dyDescent="0.3">
      <c r="A673" s="84"/>
      <c r="B673" s="84"/>
      <c r="C673" s="90"/>
      <c r="D673" s="87"/>
      <c r="E673" s="91"/>
      <c r="F673" s="92"/>
      <c r="G673" s="93"/>
      <c r="H673" s="93"/>
      <c r="I673" s="93"/>
      <c r="J673" s="93"/>
      <c r="K673" s="93"/>
      <c r="L673" s="93"/>
      <c r="M673" s="93"/>
      <c r="N673" s="93"/>
      <c r="O673" s="93"/>
      <c r="P673" s="93"/>
      <c r="Q673" s="93"/>
    </row>
    <row r="674" spans="1:17" s="5" customFormat="1" x14ac:dyDescent="0.3">
      <c r="A674" s="84"/>
      <c r="B674" s="84"/>
      <c r="C674" s="90"/>
      <c r="D674" s="87"/>
      <c r="E674" s="91"/>
      <c r="F674" s="92"/>
      <c r="G674" s="93"/>
      <c r="H674" s="93"/>
      <c r="I674" s="93"/>
      <c r="J674" s="93"/>
      <c r="K674" s="93"/>
      <c r="L674" s="93"/>
      <c r="M674" s="93"/>
      <c r="N674" s="93"/>
      <c r="O674" s="93"/>
      <c r="P674" s="93"/>
      <c r="Q674" s="93"/>
    </row>
    <row r="675" spans="1:17" s="5" customFormat="1" x14ac:dyDescent="0.3">
      <c r="A675" s="84"/>
      <c r="B675" s="84"/>
      <c r="C675" s="90"/>
      <c r="D675" s="87"/>
      <c r="E675" s="91"/>
      <c r="F675" s="92"/>
      <c r="G675" s="93"/>
      <c r="H675" s="93"/>
      <c r="I675" s="93"/>
      <c r="J675" s="93"/>
      <c r="K675" s="93"/>
      <c r="L675" s="93"/>
      <c r="M675" s="93"/>
      <c r="N675" s="93"/>
      <c r="O675" s="93"/>
      <c r="P675" s="93"/>
      <c r="Q675" s="93"/>
    </row>
    <row r="676" spans="1:17" s="5" customFormat="1" x14ac:dyDescent="0.3">
      <c r="A676" s="84"/>
      <c r="B676" s="84"/>
      <c r="C676" s="90"/>
      <c r="D676" s="87"/>
      <c r="E676" s="91"/>
      <c r="F676" s="92"/>
      <c r="G676" s="93"/>
      <c r="H676" s="93"/>
      <c r="I676" s="93"/>
      <c r="J676" s="93"/>
      <c r="K676" s="93"/>
      <c r="L676" s="93"/>
      <c r="M676" s="93"/>
      <c r="N676" s="93"/>
      <c r="O676" s="93"/>
      <c r="P676" s="93"/>
      <c r="Q676" s="93"/>
    </row>
    <row r="677" spans="1:17" s="5" customFormat="1" x14ac:dyDescent="0.3">
      <c r="A677" s="84"/>
      <c r="B677" s="84"/>
      <c r="C677" s="90"/>
      <c r="D677" s="87"/>
      <c r="E677" s="91"/>
      <c r="F677" s="92"/>
      <c r="G677" s="93"/>
      <c r="H677" s="93"/>
      <c r="I677" s="93"/>
      <c r="J677" s="93"/>
      <c r="K677" s="93"/>
      <c r="L677" s="93"/>
      <c r="M677" s="93"/>
      <c r="N677" s="93"/>
      <c r="O677" s="93"/>
      <c r="P677" s="93"/>
      <c r="Q677" s="93"/>
    </row>
    <row r="678" spans="1:17" s="5" customFormat="1" x14ac:dyDescent="0.3">
      <c r="A678" s="84"/>
      <c r="B678" s="84"/>
      <c r="C678" s="90"/>
      <c r="D678" s="87"/>
      <c r="E678" s="91"/>
      <c r="F678" s="92"/>
      <c r="G678" s="93"/>
      <c r="H678" s="93"/>
      <c r="I678" s="93"/>
      <c r="J678" s="93"/>
      <c r="K678" s="93"/>
      <c r="L678" s="93"/>
      <c r="M678" s="93"/>
      <c r="N678" s="93"/>
      <c r="O678" s="93"/>
      <c r="P678" s="93"/>
      <c r="Q678" s="93"/>
    </row>
    <row r="679" spans="1:17" s="5" customFormat="1" x14ac:dyDescent="0.3">
      <c r="A679" s="84"/>
      <c r="B679" s="84"/>
      <c r="C679" s="90"/>
      <c r="D679" s="87"/>
      <c r="E679" s="91"/>
      <c r="F679" s="92"/>
      <c r="G679" s="93"/>
      <c r="H679" s="93"/>
      <c r="I679" s="93"/>
      <c r="J679" s="93"/>
      <c r="K679" s="93"/>
      <c r="L679" s="93"/>
      <c r="M679" s="93"/>
      <c r="N679" s="93"/>
      <c r="O679" s="93"/>
      <c r="P679" s="93"/>
      <c r="Q679" s="93"/>
    </row>
    <row r="680" spans="1:17" s="5" customFormat="1" x14ac:dyDescent="0.3">
      <c r="A680" s="84"/>
      <c r="B680" s="84"/>
      <c r="C680" s="90"/>
      <c r="D680" s="87"/>
      <c r="E680" s="91"/>
      <c r="F680" s="92"/>
      <c r="G680" s="93"/>
      <c r="H680" s="93"/>
      <c r="I680" s="93"/>
      <c r="J680" s="93"/>
      <c r="K680" s="93"/>
      <c r="L680" s="93"/>
      <c r="M680" s="93"/>
      <c r="N680" s="93"/>
      <c r="O680" s="93"/>
      <c r="P680" s="93"/>
      <c r="Q680" s="93"/>
    </row>
    <row r="681" spans="1:17" s="5" customFormat="1" x14ac:dyDescent="0.3">
      <c r="A681" s="84"/>
      <c r="B681" s="84"/>
      <c r="C681" s="90"/>
      <c r="D681" s="87"/>
      <c r="E681" s="91"/>
      <c r="F681" s="92"/>
      <c r="G681" s="93"/>
      <c r="H681" s="93"/>
      <c r="I681" s="93"/>
      <c r="J681" s="93"/>
      <c r="K681" s="93"/>
      <c r="L681" s="93"/>
      <c r="M681" s="93"/>
      <c r="N681" s="93"/>
      <c r="O681" s="93"/>
      <c r="P681" s="93"/>
      <c r="Q681" s="93"/>
    </row>
    <row r="682" spans="1:17" s="5" customFormat="1" x14ac:dyDescent="0.3">
      <c r="A682" s="84"/>
      <c r="B682" s="84"/>
      <c r="C682" s="90"/>
      <c r="D682" s="87"/>
      <c r="E682" s="91"/>
      <c r="F682" s="92"/>
      <c r="G682" s="93"/>
      <c r="H682" s="93"/>
      <c r="I682" s="93"/>
      <c r="J682" s="93"/>
      <c r="K682" s="93"/>
      <c r="L682" s="93"/>
      <c r="M682" s="93"/>
      <c r="N682" s="93"/>
      <c r="O682" s="93"/>
      <c r="P682" s="93"/>
      <c r="Q682" s="93"/>
    </row>
    <row r="683" spans="1:17" s="5" customFormat="1" x14ac:dyDescent="0.3">
      <c r="A683" s="84"/>
      <c r="B683" s="84"/>
      <c r="C683" s="90"/>
      <c r="D683" s="87"/>
      <c r="E683" s="91"/>
      <c r="F683" s="92"/>
      <c r="G683" s="93"/>
      <c r="H683" s="93"/>
      <c r="I683" s="93"/>
      <c r="J683" s="93"/>
      <c r="K683" s="93"/>
      <c r="L683" s="93"/>
      <c r="M683" s="93"/>
      <c r="N683" s="93"/>
      <c r="O683" s="93"/>
      <c r="P683" s="93"/>
      <c r="Q683" s="93"/>
    </row>
    <row r="684" spans="1:17" s="5" customFormat="1" x14ac:dyDescent="0.3">
      <c r="A684" s="84"/>
      <c r="B684" s="84"/>
      <c r="C684" s="90"/>
      <c r="D684" s="87"/>
      <c r="E684" s="91"/>
      <c r="F684" s="92"/>
      <c r="G684" s="93"/>
      <c r="H684" s="93"/>
      <c r="I684" s="93"/>
      <c r="J684" s="93"/>
      <c r="K684" s="93"/>
      <c r="L684" s="93"/>
      <c r="M684" s="93"/>
      <c r="N684" s="93"/>
      <c r="O684" s="93"/>
      <c r="P684" s="93"/>
      <c r="Q684" s="93"/>
    </row>
    <row r="685" spans="1:17" s="5" customFormat="1" x14ac:dyDescent="0.3">
      <c r="A685" s="84"/>
      <c r="B685" s="84"/>
      <c r="C685" s="90"/>
      <c r="D685" s="87"/>
      <c r="E685" s="91"/>
      <c r="F685" s="92"/>
      <c r="G685" s="93"/>
      <c r="H685" s="93"/>
      <c r="I685" s="93"/>
      <c r="J685" s="93"/>
      <c r="K685" s="93"/>
      <c r="L685" s="93"/>
      <c r="M685" s="93"/>
      <c r="N685" s="93"/>
      <c r="O685" s="93"/>
      <c r="P685" s="93"/>
      <c r="Q685" s="93"/>
    </row>
    <row r="686" spans="1:17" s="5" customFormat="1" x14ac:dyDescent="0.3">
      <c r="A686" s="84"/>
      <c r="B686" s="84"/>
      <c r="C686" s="90"/>
      <c r="D686" s="87"/>
      <c r="E686" s="91"/>
      <c r="F686" s="92"/>
      <c r="G686" s="93"/>
      <c r="H686" s="93"/>
      <c r="I686" s="93"/>
      <c r="J686" s="93"/>
      <c r="K686" s="93"/>
      <c r="L686" s="93"/>
      <c r="M686" s="93"/>
      <c r="N686" s="93"/>
      <c r="O686" s="93"/>
      <c r="P686" s="93"/>
      <c r="Q686" s="93"/>
    </row>
    <row r="687" spans="1:17" s="5" customFormat="1" x14ac:dyDescent="0.3">
      <c r="A687" s="84"/>
      <c r="B687" s="84"/>
      <c r="C687" s="90"/>
      <c r="D687" s="87"/>
      <c r="E687" s="91"/>
      <c r="F687" s="92"/>
      <c r="G687" s="93"/>
      <c r="H687" s="93"/>
      <c r="I687" s="93"/>
      <c r="J687" s="93"/>
      <c r="K687" s="93"/>
      <c r="L687" s="93"/>
      <c r="M687" s="93"/>
      <c r="N687" s="93"/>
      <c r="O687" s="93"/>
      <c r="P687" s="93"/>
      <c r="Q687" s="93"/>
    </row>
    <row r="688" spans="1:17" s="5" customFormat="1" x14ac:dyDescent="0.3">
      <c r="A688" s="84"/>
      <c r="B688" s="84"/>
      <c r="C688" s="90"/>
      <c r="D688" s="87"/>
      <c r="E688" s="91"/>
      <c r="F688" s="92"/>
      <c r="G688" s="93"/>
      <c r="H688" s="93"/>
      <c r="I688" s="93"/>
      <c r="J688" s="93"/>
      <c r="K688" s="93"/>
      <c r="L688" s="93"/>
      <c r="M688" s="93"/>
      <c r="N688" s="93"/>
      <c r="O688" s="93"/>
      <c r="P688" s="93"/>
      <c r="Q688" s="93"/>
    </row>
    <row r="689" spans="1:17" s="5" customFormat="1" x14ac:dyDescent="0.3">
      <c r="A689" s="84"/>
      <c r="B689" s="84"/>
      <c r="C689" s="90"/>
      <c r="D689" s="87"/>
      <c r="E689" s="91"/>
      <c r="F689" s="92"/>
      <c r="G689" s="93"/>
      <c r="H689" s="93"/>
      <c r="I689" s="93"/>
      <c r="J689" s="93"/>
      <c r="K689" s="93"/>
      <c r="L689" s="93"/>
      <c r="M689" s="93"/>
      <c r="N689" s="93"/>
      <c r="O689" s="93"/>
      <c r="P689" s="93"/>
      <c r="Q689" s="93"/>
    </row>
    <row r="690" spans="1:17" s="5" customFormat="1" x14ac:dyDescent="0.3">
      <c r="A690" s="84"/>
      <c r="B690" s="84"/>
      <c r="C690" s="90"/>
      <c r="D690" s="87"/>
      <c r="E690" s="91"/>
      <c r="F690" s="92"/>
      <c r="G690" s="93"/>
      <c r="H690" s="93"/>
      <c r="I690" s="93"/>
      <c r="J690" s="93"/>
      <c r="K690" s="93"/>
      <c r="L690" s="93"/>
      <c r="M690" s="93"/>
      <c r="N690" s="93"/>
      <c r="O690" s="93"/>
      <c r="P690" s="93"/>
      <c r="Q690" s="93"/>
    </row>
    <row r="691" spans="1:17" s="5" customFormat="1" x14ac:dyDescent="0.3">
      <c r="A691" s="84"/>
      <c r="B691" s="84"/>
      <c r="C691" s="90"/>
      <c r="D691" s="87"/>
      <c r="E691" s="91"/>
      <c r="F691" s="92"/>
      <c r="G691" s="93"/>
      <c r="H691" s="93"/>
      <c r="I691" s="93"/>
      <c r="J691" s="93"/>
      <c r="K691" s="93"/>
      <c r="L691" s="93"/>
      <c r="M691" s="93"/>
      <c r="N691" s="93"/>
      <c r="O691" s="93"/>
      <c r="P691" s="93"/>
      <c r="Q691" s="93"/>
    </row>
    <row r="692" spans="1:17" s="5" customFormat="1" x14ac:dyDescent="0.3">
      <c r="A692" s="84"/>
      <c r="B692" s="84"/>
      <c r="C692" s="90"/>
      <c r="D692" s="87"/>
      <c r="E692" s="91"/>
      <c r="F692" s="92"/>
      <c r="G692" s="93"/>
      <c r="H692" s="93"/>
      <c r="I692" s="93"/>
      <c r="J692" s="93"/>
      <c r="K692" s="93"/>
      <c r="L692" s="93"/>
      <c r="M692" s="93"/>
      <c r="N692" s="93"/>
      <c r="O692" s="93"/>
      <c r="P692" s="93"/>
      <c r="Q692" s="93"/>
    </row>
    <row r="693" spans="1:17" s="5" customFormat="1" x14ac:dyDescent="0.3">
      <c r="A693" s="84"/>
      <c r="B693" s="84"/>
      <c r="C693" s="90"/>
      <c r="D693" s="87"/>
      <c r="E693" s="91"/>
      <c r="F693" s="92"/>
      <c r="G693" s="93"/>
      <c r="H693" s="93"/>
      <c r="I693" s="93"/>
      <c r="J693" s="93"/>
      <c r="K693" s="93"/>
      <c r="L693" s="93"/>
      <c r="M693" s="93"/>
      <c r="N693" s="93"/>
      <c r="O693" s="93"/>
      <c r="P693" s="93"/>
      <c r="Q693" s="93"/>
    </row>
    <row r="694" spans="1:17" s="5" customFormat="1" x14ac:dyDescent="0.3">
      <c r="A694" s="84"/>
      <c r="B694" s="84"/>
      <c r="C694" s="90"/>
      <c r="D694" s="87"/>
      <c r="E694" s="91"/>
      <c r="F694" s="92"/>
      <c r="G694" s="93"/>
      <c r="H694" s="93"/>
      <c r="I694" s="93"/>
      <c r="J694" s="93"/>
      <c r="K694" s="93"/>
      <c r="L694" s="93"/>
      <c r="M694" s="93"/>
      <c r="N694" s="93"/>
      <c r="O694" s="93"/>
      <c r="P694" s="93"/>
      <c r="Q694" s="93"/>
    </row>
    <row r="695" spans="1:17" s="5" customFormat="1" x14ac:dyDescent="0.3">
      <c r="A695" s="84"/>
      <c r="B695" s="84"/>
      <c r="C695" s="90"/>
      <c r="D695" s="87"/>
      <c r="E695" s="91"/>
      <c r="F695" s="92"/>
      <c r="G695" s="93"/>
      <c r="H695" s="93"/>
      <c r="I695" s="93"/>
      <c r="J695" s="93"/>
      <c r="K695" s="93"/>
      <c r="L695" s="93"/>
      <c r="M695" s="93"/>
      <c r="N695" s="93"/>
      <c r="O695" s="93"/>
      <c r="P695" s="93"/>
      <c r="Q695" s="93"/>
    </row>
    <row r="696" spans="1:17" s="5" customFormat="1" x14ac:dyDescent="0.3">
      <c r="A696" s="84"/>
      <c r="B696" s="84"/>
      <c r="C696" s="90"/>
      <c r="D696" s="87"/>
      <c r="E696" s="91"/>
      <c r="F696" s="92"/>
      <c r="G696" s="93"/>
      <c r="H696" s="93"/>
      <c r="I696" s="93"/>
      <c r="J696" s="93"/>
      <c r="K696" s="93"/>
      <c r="L696" s="93"/>
      <c r="M696" s="93"/>
      <c r="N696" s="93"/>
      <c r="O696" s="93"/>
      <c r="P696" s="93"/>
      <c r="Q696" s="93"/>
    </row>
    <row r="697" spans="1:17" s="5" customFormat="1" x14ac:dyDescent="0.3">
      <c r="A697" s="84"/>
      <c r="B697" s="84"/>
      <c r="C697" s="90"/>
      <c r="D697" s="87"/>
      <c r="E697" s="91"/>
      <c r="F697" s="92"/>
      <c r="G697" s="93"/>
      <c r="H697" s="93"/>
      <c r="I697" s="93"/>
      <c r="J697" s="93"/>
      <c r="K697" s="93"/>
      <c r="L697" s="93"/>
      <c r="M697" s="93"/>
      <c r="N697" s="93"/>
      <c r="O697" s="93"/>
      <c r="P697" s="93"/>
      <c r="Q697" s="93"/>
    </row>
    <row r="698" spans="1:17" s="5" customFormat="1" x14ac:dyDescent="0.3">
      <c r="A698" s="84"/>
      <c r="B698" s="84"/>
      <c r="C698" s="90"/>
      <c r="D698" s="87"/>
      <c r="E698" s="91"/>
      <c r="F698" s="92"/>
      <c r="G698" s="93"/>
      <c r="H698" s="93"/>
      <c r="I698" s="93"/>
      <c r="J698" s="93"/>
      <c r="K698" s="93"/>
      <c r="L698" s="93"/>
      <c r="M698" s="93"/>
      <c r="N698" s="93"/>
      <c r="O698" s="93"/>
      <c r="P698" s="93"/>
      <c r="Q698" s="93"/>
    </row>
    <row r="699" spans="1:17" s="5" customFormat="1" x14ac:dyDescent="0.3">
      <c r="A699" s="84"/>
      <c r="B699" s="84"/>
      <c r="C699" s="90"/>
      <c r="D699" s="87"/>
      <c r="E699" s="91"/>
      <c r="F699" s="92"/>
      <c r="G699" s="93"/>
      <c r="H699" s="93"/>
      <c r="I699" s="93"/>
      <c r="J699" s="93"/>
      <c r="K699" s="93"/>
      <c r="L699" s="93"/>
      <c r="M699" s="93"/>
      <c r="N699" s="93"/>
      <c r="O699" s="93"/>
      <c r="P699" s="93"/>
      <c r="Q699" s="93"/>
    </row>
    <row r="700" spans="1:17" s="5" customFormat="1" x14ac:dyDescent="0.3">
      <c r="A700" s="6"/>
      <c r="B700" s="6"/>
      <c r="C700" s="90"/>
      <c r="D700" s="87"/>
      <c r="E700" s="91"/>
      <c r="F700" s="92"/>
      <c r="G700" s="93"/>
      <c r="H700" s="93"/>
      <c r="I700" s="93"/>
      <c r="J700" s="93"/>
      <c r="K700" s="93"/>
      <c r="L700" s="93"/>
      <c r="M700" s="93"/>
      <c r="N700" s="93"/>
      <c r="O700" s="93"/>
      <c r="P700" s="93"/>
      <c r="Q700" s="93"/>
    </row>
    <row r="701" spans="1:17" s="5" customFormat="1" x14ac:dyDescent="0.3">
      <c r="A701" s="6"/>
      <c r="B701" s="6"/>
      <c r="C701" s="90"/>
      <c r="D701" s="87"/>
      <c r="E701" s="91"/>
      <c r="F701" s="92"/>
      <c r="G701" s="93"/>
      <c r="H701" s="93"/>
      <c r="I701" s="93"/>
      <c r="J701" s="93"/>
      <c r="K701" s="93"/>
      <c r="L701" s="93"/>
      <c r="M701" s="93"/>
      <c r="N701" s="93"/>
      <c r="O701" s="93"/>
      <c r="P701" s="93"/>
      <c r="Q701" s="93"/>
    </row>
    <row r="702" spans="1:17" s="5" customFormat="1" x14ac:dyDescent="0.3">
      <c r="A702" s="84"/>
      <c r="B702" s="84"/>
      <c r="C702" s="90"/>
      <c r="D702" s="87"/>
      <c r="E702" s="91"/>
      <c r="F702" s="92"/>
      <c r="G702" s="93"/>
      <c r="H702" s="93"/>
      <c r="I702" s="93"/>
      <c r="J702" s="93"/>
      <c r="K702" s="93"/>
      <c r="L702" s="93"/>
      <c r="M702" s="93"/>
      <c r="N702" s="93"/>
      <c r="O702" s="93"/>
      <c r="P702" s="93"/>
      <c r="Q702" s="93"/>
    </row>
    <row r="703" spans="1:17" s="5" customFormat="1" x14ac:dyDescent="0.3">
      <c r="A703" s="84"/>
      <c r="B703" s="84"/>
      <c r="C703" s="90"/>
      <c r="D703" s="87"/>
      <c r="E703" s="91"/>
      <c r="F703" s="92"/>
      <c r="G703" s="93"/>
      <c r="H703" s="93"/>
      <c r="I703" s="93"/>
      <c r="J703" s="93"/>
      <c r="K703" s="93"/>
      <c r="L703" s="93"/>
      <c r="M703" s="93"/>
      <c r="N703" s="93"/>
      <c r="O703" s="93"/>
      <c r="P703" s="93"/>
      <c r="Q703" s="93"/>
    </row>
    <row r="704" spans="1:17" s="5" customFormat="1" x14ac:dyDescent="0.3">
      <c r="A704" s="84"/>
      <c r="B704" s="84"/>
      <c r="C704" s="90"/>
      <c r="D704" s="87"/>
      <c r="E704" s="91"/>
      <c r="F704" s="92"/>
      <c r="G704" s="93"/>
      <c r="H704" s="93"/>
      <c r="I704" s="93"/>
      <c r="J704" s="93"/>
      <c r="K704" s="93"/>
      <c r="L704" s="93"/>
      <c r="M704" s="93"/>
      <c r="N704" s="93"/>
      <c r="O704" s="93"/>
      <c r="P704" s="93"/>
      <c r="Q704" s="93"/>
    </row>
    <row r="705" spans="1:17" s="5" customFormat="1" x14ac:dyDescent="0.3">
      <c r="A705" s="6"/>
      <c r="B705" s="6"/>
      <c r="C705" s="90"/>
      <c r="D705" s="87"/>
      <c r="E705" s="91"/>
      <c r="F705" s="92"/>
      <c r="G705" s="93"/>
      <c r="H705" s="93"/>
      <c r="I705" s="93"/>
      <c r="J705" s="93"/>
      <c r="K705" s="93"/>
      <c r="L705" s="93"/>
      <c r="M705" s="93"/>
      <c r="N705" s="93"/>
      <c r="O705" s="93"/>
      <c r="P705" s="93"/>
      <c r="Q705" s="93"/>
    </row>
    <row r="706" spans="1:17" s="5" customFormat="1" x14ac:dyDescent="0.3">
      <c r="A706" s="6"/>
      <c r="B706" s="6"/>
      <c r="C706" s="90"/>
      <c r="D706" s="87"/>
      <c r="E706" s="91"/>
      <c r="F706" s="92"/>
      <c r="G706" s="93"/>
      <c r="H706" s="93"/>
      <c r="I706" s="93"/>
      <c r="J706" s="93"/>
      <c r="K706" s="93"/>
      <c r="L706" s="93"/>
      <c r="M706" s="93"/>
      <c r="N706" s="93"/>
      <c r="O706" s="93"/>
      <c r="P706" s="93"/>
      <c r="Q706" s="93"/>
    </row>
    <row r="707" spans="1:17" s="5" customFormat="1" x14ac:dyDescent="0.3">
      <c r="A707" s="84"/>
      <c r="B707" s="84"/>
      <c r="C707" s="90"/>
      <c r="D707" s="87"/>
      <c r="E707" s="91"/>
      <c r="F707" s="92"/>
      <c r="G707" s="93"/>
      <c r="H707" s="93"/>
      <c r="I707" s="93"/>
      <c r="J707" s="93"/>
      <c r="K707" s="93"/>
      <c r="L707" s="93"/>
      <c r="M707" s="93"/>
      <c r="N707" s="93"/>
      <c r="O707" s="93"/>
      <c r="P707" s="93"/>
      <c r="Q707" s="93"/>
    </row>
    <row r="708" spans="1:17" s="5" customFormat="1" x14ac:dyDescent="0.3">
      <c r="A708" s="84"/>
      <c r="B708" s="84"/>
      <c r="C708" s="90"/>
      <c r="D708" s="87"/>
      <c r="E708" s="91"/>
      <c r="F708" s="92"/>
      <c r="G708" s="93"/>
      <c r="H708" s="93"/>
      <c r="I708" s="93"/>
      <c r="J708" s="93"/>
      <c r="K708" s="93"/>
      <c r="L708" s="93"/>
      <c r="M708" s="93"/>
      <c r="N708" s="93"/>
      <c r="O708" s="93"/>
      <c r="P708" s="93"/>
      <c r="Q708" s="93"/>
    </row>
    <row r="709" spans="1:17" s="5" customFormat="1" x14ac:dyDescent="0.3">
      <c r="A709" s="84"/>
      <c r="B709" s="84"/>
      <c r="C709" s="90"/>
      <c r="D709" s="87"/>
      <c r="E709" s="91"/>
      <c r="F709" s="92"/>
      <c r="G709" s="93"/>
      <c r="H709" s="93"/>
      <c r="I709" s="93"/>
      <c r="J709" s="93"/>
      <c r="K709" s="93"/>
      <c r="L709" s="93"/>
      <c r="M709" s="93"/>
      <c r="N709" s="93"/>
      <c r="O709" s="93"/>
      <c r="P709" s="93"/>
      <c r="Q709" s="93"/>
    </row>
    <row r="710" spans="1:17" s="5" customFormat="1" x14ac:dyDescent="0.3">
      <c r="A710" s="84"/>
      <c r="B710" s="84"/>
      <c r="C710" s="90"/>
      <c r="D710" s="87"/>
      <c r="E710" s="91"/>
      <c r="F710" s="92"/>
      <c r="G710" s="93"/>
      <c r="H710" s="93"/>
      <c r="I710" s="93"/>
      <c r="J710" s="93"/>
      <c r="K710" s="93"/>
      <c r="L710" s="93"/>
      <c r="M710" s="93"/>
      <c r="N710" s="93"/>
      <c r="O710" s="93"/>
      <c r="P710" s="93"/>
      <c r="Q710" s="93"/>
    </row>
    <row r="711" spans="1:17" s="5" customFormat="1" x14ac:dyDescent="0.3">
      <c r="A711" s="84"/>
      <c r="B711" s="84"/>
      <c r="C711" s="90"/>
      <c r="D711" s="87"/>
      <c r="E711" s="91"/>
      <c r="F711" s="92"/>
      <c r="G711" s="93"/>
      <c r="H711" s="93"/>
      <c r="I711" s="93"/>
      <c r="J711" s="93"/>
      <c r="K711" s="93"/>
      <c r="L711" s="93"/>
      <c r="M711" s="93"/>
      <c r="N711" s="93"/>
      <c r="O711" s="93"/>
      <c r="P711" s="93"/>
      <c r="Q711" s="93"/>
    </row>
    <row r="712" spans="1:17" s="5" customFormat="1" x14ac:dyDescent="0.3">
      <c r="A712" s="84"/>
      <c r="B712" s="84"/>
      <c r="C712" s="90"/>
      <c r="D712" s="87"/>
      <c r="E712" s="91"/>
      <c r="F712" s="92"/>
      <c r="G712" s="93"/>
      <c r="H712" s="93"/>
      <c r="I712" s="93"/>
      <c r="J712" s="93"/>
      <c r="K712" s="93"/>
      <c r="L712" s="93"/>
      <c r="M712" s="93"/>
      <c r="N712" s="93"/>
      <c r="O712" s="93"/>
      <c r="P712" s="93"/>
      <c r="Q712" s="93"/>
    </row>
    <row r="713" spans="1:17" s="5" customFormat="1" x14ac:dyDescent="0.3">
      <c r="A713" s="84"/>
      <c r="B713" s="84"/>
      <c r="C713" s="90"/>
      <c r="D713" s="87"/>
      <c r="E713" s="91"/>
      <c r="F713" s="92"/>
      <c r="G713" s="93"/>
      <c r="H713" s="93"/>
      <c r="I713" s="93"/>
      <c r="J713" s="93"/>
      <c r="K713" s="93"/>
      <c r="L713" s="93"/>
      <c r="M713" s="93"/>
      <c r="N713" s="93"/>
      <c r="O713" s="93"/>
      <c r="P713" s="93"/>
      <c r="Q713" s="93"/>
    </row>
    <row r="714" spans="1:17" s="5" customFormat="1" x14ac:dyDescent="0.3">
      <c r="A714" s="84"/>
      <c r="B714" s="84"/>
      <c r="C714" s="90"/>
      <c r="D714" s="87"/>
      <c r="E714" s="91"/>
      <c r="F714" s="92"/>
      <c r="G714" s="93"/>
      <c r="H714" s="93"/>
      <c r="I714" s="93"/>
      <c r="J714" s="93"/>
      <c r="K714" s="93"/>
      <c r="L714" s="93"/>
      <c r="M714" s="93"/>
      <c r="N714" s="93"/>
      <c r="O714" s="93"/>
      <c r="P714" s="93"/>
      <c r="Q714" s="93"/>
    </row>
    <row r="715" spans="1:17" s="5" customFormat="1" x14ac:dyDescent="0.3">
      <c r="A715" s="84"/>
      <c r="B715" s="84"/>
      <c r="C715" s="90"/>
      <c r="D715" s="87"/>
      <c r="E715" s="91"/>
      <c r="F715" s="92"/>
      <c r="G715" s="93"/>
      <c r="H715" s="93"/>
      <c r="I715" s="93"/>
      <c r="J715" s="93"/>
      <c r="K715" s="93"/>
      <c r="L715" s="93"/>
      <c r="M715" s="93"/>
      <c r="N715" s="93"/>
      <c r="O715" s="93"/>
      <c r="P715" s="93"/>
      <c r="Q715" s="93"/>
    </row>
    <row r="716" spans="1:17" s="5" customFormat="1" x14ac:dyDescent="0.3">
      <c r="A716" s="84"/>
      <c r="B716" s="84"/>
      <c r="C716" s="90"/>
      <c r="D716" s="87"/>
      <c r="E716" s="91"/>
      <c r="F716" s="92"/>
      <c r="G716" s="93"/>
      <c r="H716" s="93"/>
      <c r="I716" s="93"/>
      <c r="J716" s="93"/>
      <c r="K716" s="93"/>
      <c r="L716" s="93"/>
      <c r="M716" s="93"/>
      <c r="N716" s="93"/>
      <c r="O716" s="93"/>
      <c r="P716" s="93"/>
      <c r="Q716" s="93"/>
    </row>
    <row r="717" spans="1:17" s="5" customFormat="1" x14ac:dyDescent="0.3">
      <c r="A717" s="84"/>
      <c r="B717" s="84"/>
      <c r="C717" s="90"/>
      <c r="D717" s="87"/>
      <c r="E717" s="91"/>
      <c r="F717" s="92"/>
      <c r="G717" s="93"/>
      <c r="H717" s="93"/>
      <c r="I717" s="93"/>
      <c r="J717" s="93"/>
      <c r="K717" s="93"/>
      <c r="L717" s="93"/>
      <c r="M717" s="93"/>
      <c r="N717" s="93"/>
      <c r="O717" s="93"/>
      <c r="P717" s="93"/>
      <c r="Q717" s="93"/>
    </row>
    <row r="718" spans="1:17" s="5" customFormat="1" x14ac:dyDescent="0.3">
      <c r="A718" s="84"/>
      <c r="B718" s="84"/>
      <c r="C718" s="90"/>
      <c r="D718" s="87"/>
      <c r="E718" s="91"/>
      <c r="F718" s="92"/>
      <c r="G718" s="93"/>
      <c r="H718" s="93"/>
      <c r="I718" s="93"/>
      <c r="J718" s="93"/>
      <c r="K718" s="93"/>
      <c r="L718" s="93"/>
      <c r="M718" s="93"/>
      <c r="N718" s="93"/>
      <c r="O718" s="93"/>
      <c r="P718" s="93"/>
      <c r="Q718" s="93"/>
    </row>
    <row r="719" spans="1:17" s="5" customFormat="1" x14ac:dyDescent="0.3">
      <c r="A719" s="84"/>
      <c r="B719" s="84"/>
      <c r="C719" s="90"/>
      <c r="D719" s="87"/>
      <c r="E719" s="91"/>
      <c r="F719" s="92"/>
      <c r="G719" s="93"/>
      <c r="H719" s="93"/>
      <c r="I719" s="93"/>
      <c r="J719" s="93"/>
      <c r="K719" s="93"/>
      <c r="L719" s="93"/>
      <c r="M719" s="93"/>
      <c r="N719" s="93"/>
      <c r="O719" s="93"/>
      <c r="P719" s="93"/>
      <c r="Q719" s="93"/>
    </row>
    <row r="720" spans="1:17" s="5" customFormat="1" x14ac:dyDescent="0.3">
      <c r="A720" s="84"/>
      <c r="B720" s="84"/>
      <c r="C720" s="90"/>
      <c r="D720" s="87"/>
      <c r="E720" s="91"/>
      <c r="F720" s="92"/>
      <c r="G720" s="93"/>
      <c r="H720" s="93"/>
      <c r="I720" s="93"/>
      <c r="J720" s="93"/>
      <c r="K720" s="93"/>
      <c r="L720" s="93"/>
      <c r="M720" s="93"/>
      <c r="N720" s="93"/>
      <c r="O720" s="93"/>
      <c r="P720" s="93"/>
      <c r="Q720" s="93"/>
    </row>
    <row r="721" spans="1:17" s="5" customFormat="1" x14ac:dyDescent="0.3">
      <c r="A721" s="84"/>
      <c r="B721" s="84"/>
      <c r="C721" s="90"/>
      <c r="D721" s="87"/>
      <c r="E721" s="91"/>
      <c r="F721" s="92"/>
      <c r="G721" s="93"/>
      <c r="H721" s="93"/>
      <c r="I721" s="93"/>
      <c r="J721" s="93"/>
      <c r="K721" s="93"/>
      <c r="L721" s="93"/>
      <c r="M721" s="93"/>
      <c r="N721" s="93"/>
      <c r="O721" s="93"/>
      <c r="P721" s="93"/>
      <c r="Q721" s="93"/>
    </row>
    <row r="722" spans="1:17" s="5" customFormat="1" x14ac:dyDescent="0.3">
      <c r="A722" s="84"/>
      <c r="B722" s="84"/>
      <c r="C722" s="90"/>
      <c r="D722" s="87"/>
      <c r="E722" s="91"/>
      <c r="F722" s="92"/>
      <c r="G722" s="93"/>
      <c r="H722" s="93"/>
      <c r="I722" s="93"/>
      <c r="J722" s="93"/>
      <c r="K722" s="93"/>
      <c r="L722" s="93"/>
      <c r="M722" s="93"/>
      <c r="N722" s="93"/>
      <c r="O722" s="93"/>
      <c r="P722" s="93"/>
      <c r="Q722" s="93"/>
    </row>
    <row r="723" spans="1:17" s="5" customFormat="1" x14ac:dyDescent="0.3">
      <c r="A723" s="84"/>
      <c r="B723" s="84"/>
      <c r="C723" s="90"/>
      <c r="D723" s="87"/>
      <c r="E723" s="91"/>
      <c r="F723" s="92"/>
      <c r="G723" s="93"/>
      <c r="H723" s="93"/>
      <c r="I723" s="93"/>
      <c r="J723" s="93"/>
      <c r="K723" s="93"/>
      <c r="L723" s="93"/>
      <c r="M723" s="93"/>
      <c r="N723" s="93"/>
      <c r="O723" s="93"/>
      <c r="P723" s="93"/>
      <c r="Q723" s="93"/>
    </row>
    <row r="724" spans="1:17" s="5" customFormat="1" x14ac:dyDescent="0.3">
      <c r="A724" s="84"/>
      <c r="B724" s="84"/>
      <c r="C724" s="90"/>
      <c r="D724" s="87"/>
      <c r="E724" s="91"/>
      <c r="F724" s="92"/>
      <c r="G724" s="93"/>
      <c r="H724" s="93"/>
      <c r="I724" s="93"/>
      <c r="J724" s="93"/>
      <c r="K724" s="93"/>
      <c r="L724" s="93"/>
      <c r="M724" s="93"/>
      <c r="N724" s="93"/>
      <c r="O724" s="93"/>
      <c r="P724" s="93"/>
      <c r="Q724" s="93"/>
    </row>
    <row r="725" spans="1:17" s="5" customFormat="1" x14ac:dyDescent="0.3">
      <c r="A725" s="84"/>
      <c r="B725" s="84"/>
      <c r="C725" s="90"/>
      <c r="D725" s="87"/>
      <c r="E725" s="91"/>
      <c r="F725" s="92"/>
      <c r="G725" s="93"/>
      <c r="H725" s="93"/>
      <c r="I725" s="93"/>
      <c r="J725" s="93"/>
      <c r="K725" s="93"/>
      <c r="L725" s="93"/>
      <c r="M725" s="93"/>
      <c r="N725" s="93"/>
      <c r="O725" s="93"/>
      <c r="P725" s="93"/>
      <c r="Q725" s="93"/>
    </row>
    <row r="726" spans="1:17" s="5" customFormat="1" x14ac:dyDescent="0.3">
      <c r="A726" s="84"/>
      <c r="B726" s="84"/>
      <c r="C726" s="90"/>
      <c r="D726" s="87"/>
      <c r="E726" s="91"/>
      <c r="F726" s="92"/>
      <c r="G726" s="93"/>
      <c r="H726" s="93"/>
      <c r="I726" s="93"/>
      <c r="J726" s="93"/>
      <c r="K726" s="93"/>
      <c r="L726" s="93"/>
      <c r="M726" s="93"/>
      <c r="N726" s="93"/>
      <c r="O726" s="93"/>
      <c r="P726" s="93"/>
      <c r="Q726" s="93"/>
    </row>
    <row r="727" spans="1:17" s="5" customFormat="1" x14ac:dyDescent="0.3">
      <c r="A727" s="84"/>
      <c r="B727" s="84"/>
      <c r="C727" s="90"/>
      <c r="D727" s="87"/>
      <c r="E727" s="91"/>
      <c r="F727" s="92"/>
      <c r="G727" s="93"/>
      <c r="H727" s="93"/>
      <c r="I727" s="93"/>
      <c r="J727" s="93"/>
      <c r="K727" s="93"/>
      <c r="L727" s="93"/>
      <c r="M727" s="93"/>
      <c r="N727" s="93"/>
      <c r="O727" s="93"/>
      <c r="P727" s="93"/>
      <c r="Q727" s="93"/>
    </row>
    <row r="728" spans="1:17" s="5" customFormat="1" x14ac:dyDescent="0.3">
      <c r="A728" s="84"/>
      <c r="B728" s="84"/>
      <c r="C728" s="90"/>
      <c r="D728" s="87"/>
      <c r="E728" s="91"/>
      <c r="F728" s="92"/>
      <c r="G728" s="93"/>
      <c r="H728" s="93"/>
      <c r="I728" s="93"/>
      <c r="J728" s="93"/>
      <c r="K728" s="93"/>
      <c r="L728" s="93"/>
      <c r="M728" s="93"/>
      <c r="N728" s="93"/>
      <c r="O728" s="93"/>
      <c r="P728" s="93"/>
      <c r="Q728" s="93"/>
    </row>
    <row r="729" spans="1:17" s="5" customFormat="1" x14ac:dyDescent="0.3">
      <c r="A729" s="84"/>
      <c r="B729" s="84"/>
      <c r="C729" s="90"/>
      <c r="D729" s="87"/>
      <c r="E729" s="91"/>
      <c r="F729" s="92"/>
      <c r="G729" s="93"/>
      <c r="H729" s="93"/>
      <c r="I729" s="93"/>
      <c r="J729" s="93"/>
      <c r="K729" s="93"/>
      <c r="L729" s="93"/>
      <c r="M729" s="93"/>
      <c r="N729" s="93"/>
      <c r="O729" s="93"/>
      <c r="P729" s="93"/>
      <c r="Q729" s="93"/>
    </row>
    <row r="730" spans="1:17" s="5" customFormat="1" x14ac:dyDescent="0.3">
      <c r="A730" s="84"/>
      <c r="B730" s="84"/>
      <c r="C730" s="90"/>
      <c r="D730" s="87"/>
      <c r="E730" s="91"/>
      <c r="F730" s="92"/>
      <c r="G730" s="93"/>
      <c r="H730" s="93"/>
      <c r="I730" s="93"/>
      <c r="J730" s="93"/>
      <c r="K730" s="93"/>
      <c r="L730" s="93"/>
      <c r="M730" s="93"/>
      <c r="N730" s="93"/>
      <c r="O730" s="93"/>
      <c r="P730" s="93"/>
      <c r="Q730" s="93"/>
    </row>
    <row r="731" spans="1:17" s="5" customFormat="1" x14ac:dyDescent="0.3">
      <c r="A731" s="84"/>
      <c r="B731" s="84"/>
      <c r="C731" s="90"/>
      <c r="D731" s="87"/>
      <c r="E731" s="91"/>
      <c r="F731" s="92"/>
      <c r="G731" s="93"/>
      <c r="H731" s="93"/>
      <c r="I731" s="93"/>
      <c r="J731" s="93"/>
      <c r="K731" s="93"/>
      <c r="L731" s="93"/>
      <c r="M731" s="93"/>
      <c r="N731" s="93"/>
      <c r="O731" s="93"/>
      <c r="P731" s="93"/>
      <c r="Q731" s="93"/>
    </row>
    <row r="732" spans="1:17" s="5" customFormat="1" x14ac:dyDescent="0.3">
      <c r="A732" s="84"/>
      <c r="B732" s="84"/>
      <c r="C732" s="90"/>
      <c r="D732" s="87"/>
      <c r="E732" s="91"/>
      <c r="F732" s="92"/>
      <c r="G732" s="93"/>
      <c r="H732" s="93"/>
      <c r="I732" s="93"/>
      <c r="J732" s="93"/>
      <c r="K732" s="93"/>
      <c r="L732" s="93"/>
      <c r="M732" s="93"/>
      <c r="N732" s="93"/>
      <c r="O732" s="93"/>
      <c r="P732" s="93"/>
      <c r="Q732" s="93"/>
    </row>
    <row r="733" spans="1:17" s="5" customFormat="1" x14ac:dyDescent="0.3">
      <c r="A733" s="84"/>
      <c r="B733" s="84"/>
      <c r="C733" s="90"/>
      <c r="D733" s="87"/>
      <c r="E733" s="91"/>
      <c r="F733" s="92"/>
      <c r="G733" s="93"/>
      <c r="H733" s="93"/>
      <c r="I733" s="93"/>
      <c r="J733" s="93"/>
      <c r="K733" s="93"/>
      <c r="L733" s="93"/>
      <c r="M733" s="93"/>
      <c r="N733" s="93"/>
      <c r="O733" s="93"/>
      <c r="P733" s="93"/>
      <c r="Q733" s="93"/>
    </row>
    <row r="734" spans="1:17" s="5" customFormat="1" x14ac:dyDescent="0.3">
      <c r="A734" s="84"/>
      <c r="B734" s="84"/>
      <c r="C734" s="90"/>
      <c r="D734" s="87"/>
      <c r="E734" s="91"/>
      <c r="F734" s="92"/>
      <c r="G734" s="93"/>
      <c r="H734" s="93"/>
      <c r="I734" s="93"/>
      <c r="J734" s="93"/>
      <c r="K734" s="93"/>
      <c r="L734" s="93"/>
      <c r="M734" s="93"/>
      <c r="N734" s="93"/>
      <c r="O734" s="93"/>
      <c r="P734" s="93"/>
      <c r="Q734" s="93"/>
    </row>
    <row r="735" spans="1:17" s="5" customFormat="1" x14ac:dyDescent="0.3">
      <c r="A735" s="84"/>
      <c r="B735" s="84"/>
      <c r="C735" s="90"/>
      <c r="D735" s="87"/>
      <c r="E735" s="91"/>
      <c r="F735" s="92"/>
      <c r="G735" s="93"/>
      <c r="H735" s="93"/>
      <c r="I735" s="93"/>
      <c r="J735" s="93"/>
      <c r="K735" s="93"/>
      <c r="L735" s="93"/>
      <c r="M735" s="93"/>
      <c r="N735" s="93"/>
      <c r="O735" s="93"/>
      <c r="P735" s="93"/>
      <c r="Q735" s="93"/>
    </row>
    <row r="736" spans="1:17" s="5" customFormat="1" x14ac:dyDescent="0.3">
      <c r="A736" s="84"/>
      <c r="B736" s="84"/>
      <c r="C736" s="90"/>
      <c r="D736" s="87"/>
      <c r="E736" s="91"/>
      <c r="F736" s="92"/>
      <c r="G736" s="93"/>
      <c r="H736" s="93"/>
      <c r="I736" s="93"/>
      <c r="J736" s="93"/>
      <c r="K736" s="93"/>
      <c r="L736" s="93"/>
      <c r="M736" s="93"/>
      <c r="N736" s="93"/>
      <c r="O736" s="93"/>
      <c r="P736" s="93"/>
      <c r="Q736" s="93"/>
    </row>
    <row r="737" spans="1:77" s="5" customFormat="1" x14ac:dyDescent="0.3">
      <c r="A737" s="84"/>
      <c r="B737" s="84"/>
      <c r="C737" s="90"/>
      <c r="D737" s="87"/>
      <c r="E737" s="91"/>
      <c r="F737" s="92"/>
      <c r="G737" s="93"/>
      <c r="H737" s="93"/>
      <c r="I737" s="93"/>
      <c r="J737" s="93"/>
      <c r="K737" s="93"/>
      <c r="L737" s="93"/>
      <c r="M737" s="93"/>
      <c r="N737" s="93"/>
      <c r="O737" s="93"/>
      <c r="P737" s="93"/>
      <c r="Q737" s="93"/>
    </row>
    <row r="738" spans="1:77" s="5" customFormat="1" x14ac:dyDescent="0.3">
      <c r="A738" s="84"/>
      <c r="B738" s="84"/>
      <c r="C738" s="90"/>
      <c r="D738" s="87"/>
      <c r="E738" s="91"/>
      <c r="F738" s="92"/>
      <c r="G738" s="93"/>
      <c r="H738" s="93"/>
      <c r="I738" s="93"/>
      <c r="J738" s="93"/>
      <c r="K738" s="93"/>
      <c r="L738" s="93"/>
      <c r="M738" s="93"/>
      <c r="N738" s="93"/>
      <c r="O738" s="93"/>
      <c r="P738" s="93"/>
      <c r="Q738" s="93"/>
    </row>
    <row r="739" spans="1:77" s="5" customFormat="1" x14ac:dyDescent="0.3">
      <c r="A739" s="84"/>
      <c r="B739" s="84"/>
      <c r="C739" s="90"/>
      <c r="D739" s="87"/>
      <c r="E739" s="91"/>
      <c r="F739" s="92"/>
      <c r="G739" s="93"/>
      <c r="H739" s="93"/>
      <c r="I739" s="93"/>
      <c r="J739" s="93"/>
      <c r="K739" s="93"/>
      <c r="L739" s="93"/>
      <c r="M739" s="93"/>
      <c r="N739" s="93"/>
      <c r="O739" s="93"/>
      <c r="P739" s="93"/>
      <c r="Q739" s="93"/>
    </row>
    <row r="740" spans="1:77" s="5" customFormat="1" x14ac:dyDescent="0.3">
      <c r="A740" s="6"/>
      <c r="B740" s="6"/>
      <c r="C740" s="90"/>
      <c r="D740" s="87"/>
      <c r="E740" s="91"/>
      <c r="F740" s="92"/>
      <c r="G740" s="93"/>
      <c r="H740" s="93"/>
      <c r="I740" s="93"/>
      <c r="J740" s="93"/>
      <c r="K740" s="93"/>
      <c r="L740" s="93"/>
      <c r="M740" s="93"/>
      <c r="N740" s="93"/>
      <c r="O740" s="93"/>
      <c r="P740" s="93"/>
      <c r="Q740" s="93"/>
    </row>
    <row r="741" spans="1:77" s="5" customFormat="1" x14ac:dyDescent="0.3">
      <c r="A741" s="84"/>
      <c r="B741" s="84"/>
      <c r="C741" s="90"/>
      <c r="D741" s="87"/>
      <c r="E741" s="91"/>
      <c r="F741" s="92"/>
      <c r="G741" s="93"/>
      <c r="H741" s="93"/>
      <c r="I741" s="93"/>
      <c r="J741" s="93"/>
      <c r="K741" s="93"/>
      <c r="L741" s="93"/>
      <c r="M741" s="93"/>
      <c r="N741" s="93"/>
      <c r="O741" s="93"/>
      <c r="P741" s="93"/>
      <c r="Q741" s="93"/>
    </row>
    <row r="742" spans="1:77" s="5" customFormat="1" x14ac:dyDescent="0.3">
      <c r="A742" s="84"/>
      <c r="B742" s="84"/>
      <c r="C742" s="90"/>
      <c r="D742" s="87"/>
      <c r="E742" s="91"/>
      <c r="F742" s="92"/>
      <c r="G742" s="93"/>
      <c r="H742" s="93"/>
      <c r="I742" s="93"/>
      <c r="J742" s="93"/>
      <c r="K742" s="93"/>
      <c r="L742" s="93"/>
      <c r="M742" s="93"/>
      <c r="N742" s="93"/>
      <c r="O742" s="93"/>
      <c r="P742" s="93"/>
      <c r="Q742" s="93"/>
    </row>
    <row r="743" spans="1:77" s="5" customFormat="1" x14ac:dyDescent="0.3">
      <c r="A743" s="90"/>
      <c r="B743" s="90"/>
      <c r="C743" s="90"/>
      <c r="D743" s="87"/>
      <c r="E743" s="91"/>
      <c r="F743" s="92"/>
      <c r="G743" s="93"/>
      <c r="H743" s="93"/>
      <c r="I743" s="93"/>
      <c r="J743" s="93"/>
      <c r="K743" s="93"/>
      <c r="L743" s="93"/>
      <c r="M743" s="93"/>
      <c r="N743" s="93"/>
      <c r="O743" s="93"/>
      <c r="P743" s="93"/>
      <c r="Q743" s="93"/>
    </row>
    <row r="744" spans="1:77" s="5" customFormat="1" x14ac:dyDescent="0.3">
      <c r="A744" s="90"/>
      <c r="B744" s="90"/>
      <c r="C744" s="90"/>
      <c r="D744" s="87"/>
      <c r="E744" s="91"/>
      <c r="F744" s="92"/>
      <c r="G744" s="93"/>
      <c r="H744" s="93"/>
      <c r="I744" s="93"/>
      <c r="J744" s="93"/>
      <c r="K744" s="93"/>
      <c r="L744" s="93"/>
      <c r="M744" s="93"/>
      <c r="N744" s="93"/>
      <c r="O744" s="93"/>
      <c r="P744" s="93"/>
      <c r="Q744" s="93"/>
    </row>
    <row r="745" spans="1:77" s="5" customFormat="1" x14ac:dyDescent="0.3">
      <c r="A745" s="90"/>
      <c r="B745" s="90"/>
      <c r="C745" s="90"/>
      <c r="D745" s="87"/>
      <c r="E745" s="91"/>
      <c r="F745" s="92"/>
      <c r="G745" s="93"/>
      <c r="H745" s="93"/>
      <c r="I745" s="93"/>
      <c r="J745" s="93"/>
      <c r="K745" s="93"/>
      <c r="L745" s="93"/>
      <c r="M745" s="93"/>
      <c r="N745" s="93"/>
      <c r="O745" s="93"/>
      <c r="P745" s="93"/>
      <c r="Q745" s="93"/>
    </row>
    <row r="746" spans="1:77" s="5" customFormat="1" x14ac:dyDescent="0.3">
      <c r="A746" s="90"/>
      <c r="B746" s="90"/>
      <c r="C746" s="90"/>
      <c r="D746" s="87"/>
      <c r="E746" s="91"/>
      <c r="F746" s="92"/>
      <c r="G746" s="93"/>
      <c r="H746" s="93"/>
      <c r="I746" s="93"/>
      <c r="J746" s="93"/>
      <c r="K746" s="93"/>
      <c r="L746" s="93"/>
      <c r="M746" s="93"/>
      <c r="N746" s="93"/>
      <c r="O746" s="93"/>
      <c r="P746" s="93"/>
      <c r="Q746" s="93"/>
    </row>
    <row r="747" spans="1:77" x14ac:dyDescent="0.3">
      <c r="A747" s="87"/>
      <c r="B747" s="87"/>
      <c r="C747" s="90"/>
      <c r="D747" s="87"/>
      <c r="E747" s="91"/>
      <c r="F747" s="92"/>
      <c r="G747" s="93"/>
      <c r="H747" s="93"/>
      <c r="I747" s="93"/>
      <c r="J747" s="93"/>
      <c r="K747" s="93"/>
      <c r="L747" s="93"/>
      <c r="M747" s="93"/>
      <c r="N747" s="93"/>
      <c r="O747" s="93"/>
      <c r="P747" s="93"/>
      <c r="Q747" s="93"/>
      <c r="R747" s="87"/>
      <c r="S747" s="87"/>
      <c r="T747" s="87"/>
      <c r="U747" s="19"/>
      <c r="V747" s="87"/>
      <c r="W747" s="87"/>
      <c r="X747" s="87"/>
      <c r="Y747" s="87"/>
      <c r="Z747" s="87"/>
      <c r="AA747" s="87"/>
      <c r="AB747" s="87"/>
      <c r="AC747" s="87"/>
      <c r="AD747" s="87"/>
      <c r="AE747" s="87"/>
      <c r="AF747" s="87"/>
      <c r="AG747" s="87"/>
      <c r="AH747" s="87"/>
      <c r="AI747" s="87"/>
      <c r="AJ747" s="87"/>
      <c r="AK747" s="87"/>
      <c r="AL747" s="87"/>
      <c r="AM747" s="87"/>
      <c r="AN747" s="87"/>
      <c r="AO747" s="87"/>
      <c r="AP747" s="87"/>
      <c r="AQ747" s="87"/>
      <c r="AR747" s="87"/>
      <c r="AS747" s="87"/>
      <c r="AT747" s="87"/>
      <c r="AU747" s="87"/>
      <c r="AV747" s="87"/>
      <c r="AW747" s="87"/>
      <c r="AX747" s="87"/>
      <c r="AY747" s="87"/>
      <c r="AZ747" s="87"/>
      <c r="BA747" s="87"/>
      <c r="BB747" s="87"/>
      <c r="BC747" s="87"/>
      <c r="BD747" s="87"/>
      <c r="BE747" s="87"/>
      <c r="BF747" s="87"/>
      <c r="BG747" s="87"/>
      <c r="BH747" s="87"/>
      <c r="BI747" s="87"/>
      <c r="BJ747" s="87"/>
      <c r="BK747" s="87"/>
      <c r="BL747" s="87"/>
      <c r="BM747" s="87"/>
      <c r="BN747" s="87"/>
      <c r="BO747" s="87"/>
      <c r="BP747" s="87"/>
      <c r="BQ747" s="87"/>
      <c r="BR747" s="87"/>
      <c r="BS747" s="87"/>
      <c r="BT747" s="87"/>
      <c r="BU747" s="87"/>
      <c r="BV747" s="87"/>
      <c r="BW747" s="87"/>
      <c r="BX747" s="87"/>
      <c r="BY747" s="87"/>
    </row>
    <row r="748" spans="1:77" x14ac:dyDescent="0.3">
      <c r="A748" s="87"/>
      <c r="B748" s="87"/>
      <c r="C748" s="90"/>
      <c r="D748" s="87"/>
      <c r="E748" s="91"/>
      <c r="F748" s="92"/>
      <c r="G748" s="93"/>
      <c r="H748" s="93"/>
      <c r="I748" s="93"/>
      <c r="J748" s="93"/>
      <c r="K748" s="93"/>
      <c r="L748" s="93"/>
      <c r="M748" s="93"/>
      <c r="N748" s="93"/>
      <c r="O748" s="93"/>
      <c r="P748" s="93"/>
      <c r="Q748" s="93"/>
      <c r="R748" s="87"/>
      <c r="S748" s="87"/>
      <c r="T748" s="87"/>
      <c r="U748" s="19"/>
      <c r="V748" s="87"/>
      <c r="W748" s="87"/>
      <c r="X748" s="87"/>
      <c r="Y748" s="87"/>
      <c r="Z748" s="87"/>
      <c r="AA748" s="87"/>
      <c r="AB748" s="87"/>
      <c r="AC748" s="87"/>
      <c r="AD748" s="87"/>
      <c r="AE748" s="87"/>
      <c r="AF748" s="87"/>
      <c r="AG748" s="87"/>
      <c r="AH748" s="87"/>
      <c r="AI748" s="87"/>
      <c r="AJ748" s="87"/>
      <c r="AK748" s="87"/>
      <c r="AL748" s="87"/>
      <c r="AM748" s="87"/>
      <c r="AN748" s="87"/>
      <c r="AO748" s="87"/>
      <c r="AP748" s="87"/>
      <c r="AQ748" s="87"/>
      <c r="AR748" s="87"/>
      <c r="AS748" s="87"/>
      <c r="AT748" s="87"/>
      <c r="AU748" s="87"/>
      <c r="AV748" s="87"/>
      <c r="AW748" s="87"/>
      <c r="AX748" s="87"/>
      <c r="AY748" s="87"/>
      <c r="AZ748" s="87"/>
      <c r="BA748" s="87"/>
      <c r="BB748" s="87"/>
      <c r="BC748" s="87"/>
      <c r="BD748" s="87"/>
      <c r="BE748" s="87"/>
      <c r="BF748" s="87"/>
      <c r="BG748" s="87"/>
      <c r="BH748" s="87"/>
      <c r="BI748" s="87"/>
      <c r="BJ748" s="87"/>
      <c r="BK748" s="87"/>
      <c r="BL748" s="87"/>
      <c r="BM748" s="87"/>
      <c r="BN748" s="87"/>
      <c r="BO748" s="87"/>
      <c r="BP748" s="87"/>
      <c r="BQ748" s="87"/>
      <c r="BR748" s="87"/>
      <c r="BS748" s="87"/>
      <c r="BT748" s="87"/>
      <c r="BU748" s="87"/>
      <c r="BV748" s="87"/>
      <c r="BW748" s="87"/>
      <c r="BX748" s="87"/>
      <c r="BY748" s="87"/>
    </row>
    <row r="749" spans="1:77" x14ac:dyDescent="0.3">
      <c r="A749" s="87"/>
      <c r="B749" s="87"/>
      <c r="C749" s="90"/>
      <c r="D749" s="87"/>
      <c r="E749" s="91"/>
      <c r="F749" s="92"/>
      <c r="G749" s="93"/>
      <c r="H749" s="93"/>
      <c r="I749" s="93"/>
      <c r="J749" s="93"/>
      <c r="K749" s="93"/>
      <c r="L749" s="93"/>
      <c r="M749" s="93"/>
      <c r="N749" s="93"/>
      <c r="O749" s="93"/>
      <c r="P749" s="93"/>
      <c r="Q749" s="93"/>
      <c r="R749" s="87"/>
      <c r="S749" s="87"/>
      <c r="T749" s="87"/>
      <c r="U749" s="19"/>
      <c r="V749" s="87"/>
      <c r="W749" s="87"/>
      <c r="X749" s="87"/>
      <c r="Y749" s="87"/>
      <c r="Z749" s="87"/>
      <c r="AA749" s="87"/>
      <c r="AB749" s="87"/>
      <c r="AC749" s="87"/>
      <c r="AD749" s="87"/>
      <c r="AE749" s="87"/>
      <c r="AF749" s="87"/>
      <c r="AG749" s="87"/>
      <c r="AH749" s="87"/>
      <c r="AI749" s="87"/>
      <c r="AJ749" s="87"/>
      <c r="AK749" s="87"/>
      <c r="AL749" s="87"/>
      <c r="AM749" s="87"/>
      <c r="AN749" s="87"/>
      <c r="AO749" s="87"/>
      <c r="AP749" s="87"/>
      <c r="AQ749" s="87"/>
      <c r="AR749" s="87"/>
      <c r="AS749" s="87"/>
      <c r="AT749" s="87"/>
      <c r="AU749" s="87"/>
      <c r="AV749" s="87"/>
      <c r="AW749" s="87"/>
      <c r="AX749" s="87"/>
      <c r="AY749" s="87"/>
      <c r="AZ749" s="87"/>
      <c r="BA749" s="87"/>
      <c r="BB749" s="87"/>
      <c r="BC749" s="87"/>
      <c r="BD749" s="87"/>
      <c r="BE749" s="87"/>
      <c r="BF749" s="87"/>
      <c r="BG749" s="87"/>
      <c r="BH749" s="87"/>
      <c r="BI749" s="87"/>
      <c r="BJ749" s="87"/>
      <c r="BK749" s="87"/>
      <c r="BL749" s="87"/>
      <c r="BM749" s="87"/>
      <c r="BN749" s="87"/>
      <c r="BO749" s="87"/>
      <c r="BP749" s="87"/>
      <c r="BQ749" s="87"/>
      <c r="BR749" s="87"/>
      <c r="BS749" s="87"/>
      <c r="BT749" s="87"/>
      <c r="BU749" s="87"/>
      <c r="BV749" s="87"/>
      <c r="BW749" s="87"/>
      <c r="BX749" s="87"/>
      <c r="BY749" s="87"/>
    </row>
    <row r="750" spans="1:77" x14ac:dyDescent="0.3">
      <c r="A750" s="87"/>
      <c r="B750" s="87"/>
      <c r="C750" s="90"/>
      <c r="D750" s="87"/>
      <c r="E750" s="91"/>
      <c r="F750" s="92"/>
      <c r="G750" s="93"/>
      <c r="H750" s="93"/>
      <c r="I750" s="93"/>
      <c r="J750" s="93"/>
      <c r="K750" s="93"/>
      <c r="L750" s="93"/>
      <c r="M750" s="93"/>
      <c r="N750" s="93"/>
      <c r="O750" s="93"/>
      <c r="P750" s="93"/>
      <c r="Q750" s="93"/>
      <c r="R750" s="87"/>
      <c r="S750" s="87"/>
      <c r="T750" s="87"/>
      <c r="U750" s="19"/>
      <c r="V750" s="87"/>
      <c r="W750" s="87"/>
      <c r="X750" s="87"/>
      <c r="Y750" s="87"/>
      <c r="Z750" s="87"/>
      <c r="AA750" s="87"/>
      <c r="AB750" s="87"/>
      <c r="AC750" s="87"/>
      <c r="AD750" s="87"/>
      <c r="AE750" s="87"/>
      <c r="AF750" s="87"/>
      <c r="AG750" s="87"/>
      <c r="AH750" s="87"/>
      <c r="AI750" s="87"/>
      <c r="AJ750" s="87"/>
      <c r="AK750" s="87"/>
      <c r="AL750" s="87"/>
      <c r="AM750" s="87"/>
      <c r="AN750" s="87"/>
      <c r="AO750" s="87"/>
      <c r="AP750" s="87"/>
      <c r="AQ750" s="87"/>
      <c r="AR750" s="87"/>
      <c r="AS750" s="87"/>
      <c r="AT750" s="87"/>
      <c r="AU750" s="87"/>
      <c r="AV750" s="87"/>
      <c r="AW750" s="87"/>
      <c r="AX750" s="87"/>
      <c r="AY750" s="87"/>
      <c r="AZ750" s="87"/>
      <c r="BA750" s="87"/>
      <c r="BB750" s="87"/>
      <c r="BC750" s="87"/>
      <c r="BD750" s="87"/>
      <c r="BE750" s="87"/>
      <c r="BF750" s="87"/>
      <c r="BG750" s="87"/>
      <c r="BH750" s="87"/>
      <c r="BI750" s="87"/>
      <c r="BJ750" s="87"/>
      <c r="BK750" s="87"/>
      <c r="BL750" s="87"/>
      <c r="BM750" s="87"/>
      <c r="BN750" s="87"/>
      <c r="BO750" s="87"/>
      <c r="BP750" s="87"/>
      <c r="BQ750" s="87"/>
      <c r="BR750" s="87"/>
      <c r="BS750" s="87"/>
      <c r="BT750" s="87"/>
      <c r="BU750" s="87"/>
      <c r="BV750" s="87"/>
      <c r="BW750" s="87"/>
      <c r="BX750" s="87"/>
      <c r="BY750" s="87"/>
    </row>
    <row r="751" spans="1:77" x14ac:dyDescent="0.3">
      <c r="A751" s="87"/>
      <c r="B751" s="87"/>
      <c r="C751" s="90"/>
      <c r="D751" s="87"/>
      <c r="E751" s="91"/>
      <c r="F751" s="92"/>
      <c r="G751" s="93"/>
      <c r="H751" s="93"/>
      <c r="I751" s="93"/>
      <c r="J751" s="93"/>
      <c r="K751" s="93"/>
      <c r="L751" s="93"/>
      <c r="M751" s="93"/>
      <c r="N751" s="93"/>
      <c r="O751" s="93"/>
      <c r="P751" s="93"/>
      <c r="Q751" s="93"/>
      <c r="R751" s="87"/>
      <c r="S751" s="87"/>
      <c r="T751" s="87"/>
      <c r="U751" s="19"/>
      <c r="V751" s="87"/>
      <c r="W751" s="87"/>
      <c r="X751" s="87"/>
      <c r="Y751" s="87"/>
      <c r="Z751" s="87"/>
      <c r="AA751" s="87"/>
      <c r="AB751" s="87"/>
      <c r="AC751" s="87"/>
      <c r="AD751" s="87"/>
      <c r="AE751" s="87"/>
      <c r="AF751" s="87"/>
      <c r="AG751" s="87"/>
      <c r="AH751" s="87"/>
      <c r="AI751" s="87"/>
      <c r="AJ751" s="87"/>
      <c r="AK751" s="87"/>
      <c r="AL751" s="87"/>
      <c r="AM751" s="87"/>
      <c r="AN751" s="87"/>
      <c r="AO751" s="87"/>
      <c r="AP751" s="87"/>
      <c r="AQ751" s="87"/>
      <c r="AR751" s="87"/>
      <c r="AS751" s="87"/>
      <c r="AT751" s="87"/>
      <c r="AU751" s="87"/>
      <c r="AV751" s="87"/>
      <c r="AW751" s="87"/>
      <c r="AX751" s="87"/>
      <c r="AY751" s="87"/>
      <c r="AZ751" s="87"/>
      <c r="BA751" s="87"/>
      <c r="BB751" s="87"/>
      <c r="BC751" s="87"/>
      <c r="BD751" s="87"/>
      <c r="BE751" s="87"/>
      <c r="BF751" s="87"/>
      <c r="BG751" s="87"/>
      <c r="BH751" s="87"/>
      <c r="BI751" s="87"/>
      <c r="BJ751" s="87"/>
      <c r="BK751" s="87"/>
      <c r="BL751" s="87"/>
      <c r="BM751" s="87"/>
      <c r="BN751" s="87"/>
      <c r="BO751" s="87"/>
      <c r="BP751" s="87"/>
      <c r="BQ751" s="87"/>
      <c r="BR751" s="87"/>
      <c r="BS751" s="87"/>
      <c r="BT751" s="87"/>
      <c r="BU751" s="87"/>
      <c r="BV751" s="87"/>
      <c r="BW751" s="87"/>
      <c r="BX751" s="87"/>
      <c r="BY751" s="87"/>
    </row>
    <row r="752" spans="1:77" x14ac:dyDescent="0.3">
      <c r="A752" s="87"/>
      <c r="B752" s="87"/>
      <c r="C752" s="90"/>
      <c r="D752" s="87"/>
      <c r="E752" s="91"/>
      <c r="F752" s="92"/>
      <c r="G752" s="93"/>
      <c r="H752" s="93"/>
      <c r="I752" s="93"/>
      <c r="J752" s="93"/>
      <c r="K752" s="93"/>
      <c r="L752" s="93"/>
      <c r="M752" s="93"/>
      <c r="N752" s="93"/>
      <c r="O752" s="93"/>
      <c r="P752" s="93"/>
      <c r="Q752" s="93"/>
      <c r="R752" s="87"/>
      <c r="S752" s="87"/>
      <c r="T752" s="87"/>
      <c r="U752" s="19"/>
      <c r="V752" s="87"/>
      <c r="W752" s="87"/>
      <c r="X752" s="87"/>
      <c r="Y752" s="87"/>
      <c r="Z752" s="87"/>
      <c r="AA752" s="87"/>
      <c r="AB752" s="87"/>
      <c r="AC752" s="87"/>
      <c r="AD752" s="87"/>
      <c r="AE752" s="87"/>
      <c r="AF752" s="87"/>
      <c r="AG752" s="87"/>
      <c r="AH752" s="87"/>
      <c r="AI752" s="87"/>
      <c r="AJ752" s="87"/>
      <c r="AK752" s="87"/>
      <c r="AL752" s="87"/>
      <c r="AM752" s="87"/>
      <c r="AN752" s="87"/>
      <c r="AO752" s="87"/>
      <c r="AP752" s="87"/>
      <c r="AQ752" s="87"/>
      <c r="AR752" s="87"/>
      <c r="AS752" s="87"/>
      <c r="AT752" s="87"/>
      <c r="AU752" s="87"/>
      <c r="AV752" s="87"/>
      <c r="AW752" s="87"/>
      <c r="AX752" s="87"/>
      <c r="AY752" s="87"/>
      <c r="AZ752" s="87"/>
      <c r="BA752" s="87"/>
      <c r="BB752" s="87"/>
      <c r="BC752" s="87"/>
      <c r="BD752" s="87"/>
      <c r="BE752" s="87"/>
      <c r="BF752" s="87"/>
      <c r="BG752" s="87"/>
      <c r="BH752" s="87"/>
      <c r="BI752" s="87"/>
      <c r="BJ752" s="87"/>
      <c r="BK752" s="87"/>
      <c r="BL752" s="87"/>
      <c r="BM752" s="87"/>
      <c r="BN752" s="87"/>
      <c r="BO752" s="87"/>
      <c r="BP752" s="87"/>
      <c r="BQ752" s="87"/>
      <c r="BR752" s="87"/>
      <c r="BS752" s="87"/>
      <c r="BT752" s="87"/>
      <c r="BU752" s="87"/>
      <c r="BV752" s="87"/>
      <c r="BW752" s="87"/>
      <c r="BX752" s="87"/>
      <c r="BY752" s="87"/>
    </row>
    <row r="753" spans="3:77" x14ac:dyDescent="0.3">
      <c r="C753" s="90"/>
      <c r="D753" s="87"/>
      <c r="E753" s="91"/>
      <c r="F753" s="92"/>
      <c r="G753" s="93"/>
      <c r="H753" s="93"/>
      <c r="I753" s="93"/>
      <c r="J753" s="93"/>
      <c r="K753" s="93"/>
      <c r="L753" s="93"/>
      <c r="M753" s="93"/>
      <c r="N753" s="93"/>
      <c r="O753" s="93"/>
      <c r="P753" s="93"/>
      <c r="Q753" s="93"/>
      <c r="R753" s="87"/>
      <c r="S753" s="87"/>
      <c r="T753" s="87"/>
      <c r="U753" s="19"/>
      <c r="V753" s="87"/>
      <c r="W753" s="87"/>
      <c r="X753" s="87"/>
      <c r="Y753" s="87"/>
      <c r="Z753" s="87"/>
      <c r="AA753" s="87"/>
      <c r="AB753" s="87"/>
      <c r="AC753" s="87"/>
      <c r="AD753" s="87"/>
      <c r="AE753" s="87"/>
      <c r="AF753" s="87"/>
      <c r="AG753" s="87"/>
      <c r="AH753" s="87"/>
      <c r="AI753" s="87"/>
      <c r="AJ753" s="87"/>
      <c r="AK753" s="87"/>
      <c r="AL753" s="87"/>
      <c r="AM753" s="87"/>
      <c r="AN753" s="87"/>
      <c r="AO753" s="87"/>
      <c r="AP753" s="87"/>
      <c r="AQ753" s="87"/>
      <c r="AR753" s="87"/>
      <c r="AS753" s="87"/>
      <c r="AT753" s="87"/>
      <c r="AU753" s="87"/>
      <c r="AV753" s="87"/>
      <c r="AW753" s="87"/>
      <c r="AX753" s="87"/>
      <c r="AY753" s="87"/>
      <c r="AZ753" s="87"/>
      <c r="BA753" s="87"/>
      <c r="BB753" s="87"/>
      <c r="BC753" s="87"/>
      <c r="BD753" s="87"/>
      <c r="BE753" s="87"/>
      <c r="BF753" s="87"/>
      <c r="BG753" s="87"/>
      <c r="BH753" s="87"/>
      <c r="BI753" s="87"/>
      <c r="BJ753" s="87"/>
      <c r="BK753" s="87"/>
      <c r="BL753" s="87"/>
      <c r="BM753" s="87"/>
      <c r="BN753" s="87"/>
      <c r="BO753" s="87"/>
      <c r="BP753" s="87"/>
      <c r="BQ753" s="87"/>
      <c r="BR753" s="87"/>
      <c r="BS753" s="87"/>
      <c r="BT753" s="87"/>
      <c r="BU753" s="87"/>
      <c r="BV753" s="87"/>
      <c r="BW753" s="87"/>
      <c r="BX753" s="87"/>
      <c r="BY753" s="87"/>
    </row>
    <row r="754" spans="3:77" x14ac:dyDescent="0.3">
      <c r="C754" s="90"/>
      <c r="D754" s="87"/>
      <c r="E754" s="91"/>
      <c r="F754" s="92"/>
      <c r="G754" s="93"/>
      <c r="H754" s="93"/>
      <c r="I754" s="93"/>
      <c r="J754" s="93"/>
      <c r="K754" s="93"/>
      <c r="L754" s="93"/>
      <c r="M754" s="93"/>
      <c r="N754" s="93"/>
      <c r="O754" s="93"/>
      <c r="P754" s="93"/>
      <c r="Q754" s="93"/>
      <c r="R754" s="87"/>
      <c r="S754" s="87"/>
      <c r="T754" s="87"/>
      <c r="U754" s="19"/>
      <c r="V754" s="87"/>
      <c r="W754" s="87"/>
      <c r="X754" s="87"/>
      <c r="Y754" s="87"/>
      <c r="Z754" s="87"/>
      <c r="AA754" s="87"/>
      <c r="AB754" s="87"/>
      <c r="AC754" s="87"/>
      <c r="AD754" s="87"/>
      <c r="AE754" s="87"/>
      <c r="AF754" s="87"/>
      <c r="AG754" s="87"/>
      <c r="AH754" s="87"/>
      <c r="AI754" s="87"/>
      <c r="AJ754" s="87"/>
      <c r="AK754" s="87"/>
      <c r="AL754" s="87"/>
      <c r="AM754" s="87"/>
      <c r="AN754" s="87"/>
      <c r="AO754" s="87"/>
      <c r="AP754" s="87"/>
      <c r="AQ754" s="87"/>
      <c r="AR754" s="87"/>
      <c r="AS754" s="87"/>
      <c r="AT754" s="87"/>
      <c r="AU754" s="87"/>
      <c r="AV754" s="87"/>
      <c r="AW754" s="87"/>
      <c r="AX754" s="87"/>
      <c r="AY754" s="87"/>
      <c r="AZ754" s="87"/>
      <c r="BA754" s="87"/>
      <c r="BB754" s="87"/>
      <c r="BC754" s="87"/>
      <c r="BD754" s="87"/>
      <c r="BE754" s="87"/>
      <c r="BF754" s="87"/>
      <c r="BG754" s="87"/>
      <c r="BH754" s="87"/>
      <c r="BI754" s="87"/>
      <c r="BJ754" s="87"/>
      <c r="BK754" s="87"/>
      <c r="BL754" s="87"/>
      <c r="BM754" s="87"/>
      <c r="BN754" s="87"/>
      <c r="BO754" s="87"/>
      <c r="BP754" s="87"/>
      <c r="BQ754" s="87"/>
      <c r="BR754" s="87"/>
      <c r="BS754" s="87"/>
      <c r="BT754" s="87"/>
      <c r="BU754" s="87"/>
      <c r="BV754" s="87"/>
      <c r="BW754" s="87"/>
      <c r="BX754" s="87"/>
      <c r="BY754" s="87"/>
    </row>
    <row r="755" spans="3:77" x14ac:dyDescent="0.3">
      <c r="C755" s="90"/>
      <c r="D755" s="87"/>
      <c r="E755" s="91"/>
      <c r="F755" s="92"/>
      <c r="G755" s="93"/>
      <c r="H755" s="93"/>
      <c r="I755" s="93"/>
      <c r="J755" s="93"/>
      <c r="K755" s="93"/>
      <c r="L755" s="93"/>
      <c r="M755" s="93"/>
      <c r="N755" s="93"/>
      <c r="O755" s="93"/>
      <c r="P755" s="93"/>
      <c r="Q755" s="93"/>
      <c r="R755" s="87"/>
      <c r="S755" s="87"/>
      <c r="T755" s="87"/>
      <c r="U755" s="19"/>
      <c r="V755" s="87"/>
      <c r="W755" s="87"/>
      <c r="X755" s="87"/>
      <c r="Y755" s="87"/>
      <c r="Z755" s="87"/>
      <c r="AA755" s="87"/>
      <c r="AB755" s="87"/>
      <c r="AC755" s="87"/>
      <c r="AD755" s="87"/>
      <c r="AE755" s="87"/>
      <c r="AF755" s="87"/>
      <c r="AG755" s="87"/>
      <c r="AH755" s="87"/>
      <c r="AI755" s="87"/>
      <c r="AJ755" s="87"/>
      <c r="AK755" s="87"/>
      <c r="AL755" s="87"/>
      <c r="AM755" s="87"/>
      <c r="AN755" s="87"/>
      <c r="AO755" s="87"/>
      <c r="AP755" s="87"/>
      <c r="AQ755" s="87"/>
      <c r="AR755" s="87"/>
      <c r="AS755" s="87"/>
      <c r="AT755" s="87"/>
      <c r="AU755" s="87"/>
      <c r="AV755" s="87"/>
      <c r="AW755" s="87"/>
      <c r="AX755" s="87"/>
      <c r="AY755" s="87"/>
      <c r="AZ755" s="87"/>
      <c r="BA755" s="87"/>
      <c r="BB755" s="87"/>
      <c r="BC755" s="87"/>
      <c r="BD755" s="87"/>
      <c r="BE755" s="87"/>
      <c r="BF755" s="87"/>
      <c r="BG755" s="87"/>
      <c r="BH755" s="87"/>
      <c r="BI755" s="87"/>
      <c r="BJ755" s="87"/>
      <c r="BK755" s="87"/>
      <c r="BL755" s="87"/>
      <c r="BM755" s="87"/>
      <c r="BN755" s="87"/>
      <c r="BO755" s="87"/>
      <c r="BP755" s="87"/>
      <c r="BQ755" s="87"/>
      <c r="BR755" s="87"/>
      <c r="BS755" s="87"/>
      <c r="BT755" s="87"/>
      <c r="BU755" s="87"/>
      <c r="BV755" s="87"/>
      <c r="BW755" s="87"/>
      <c r="BX755" s="87"/>
      <c r="BY755" s="87"/>
    </row>
    <row r="756" spans="3:77" x14ac:dyDescent="0.3">
      <c r="C756" s="90"/>
      <c r="D756" s="87"/>
      <c r="E756" s="91"/>
      <c r="F756" s="92"/>
      <c r="G756" s="93"/>
      <c r="H756" s="93"/>
      <c r="I756" s="93"/>
      <c r="J756" s="93"/>
      <c r="K756" s="93"/>
      <c r="L756" s="93"/>
      <c r="M756" s="93"/>
      <c r="N756" s="93"/>
      <c r="O756" s="93"/>
      <c r="P756" s="93"/>
      <c r="Q756" s="93"/>
      <c r="R756" s="87"/>
      <c r="S756" s="87"/>
      <c r="T756" s="87"/>
      <c r="U756" s="19"/>
      <c r="V756" s="87"/>
      <c r="W756" s="87"/>
      <c r="X756" s="87"/>
      <c r="Y756" s="87"/>
      <c r="Z756" s="87"/>
      <c r="AA756" s="87"/>
      <c r="AB756" s="87"/>
      <c r="AC756" s="87"/>
      <c r="AD756" s="87"/>
      <c r="AE756" s="87"/>
      <c r="AF756" s="87"/>
      <c r="AG756" s="87"/>
      <c r="AH756" s="87"/>
      <c r="AI756" s="87"/>
      <c r="AJ756" s="87"/>
      <c r="AK756" s="87"/>
      <c r="AL756" s="87"/>
      <c r="AM756" s="87"/>
      <c r="AN756" s="87"/>
      <c r="AO756" s="87"/>
      <c r="AP756" s="87"/>
      <c r="AQ756" s="87"/>
      <c r="AR756" s="87"/>
      <c r="AS756" s="87"/>
      <c r="AT756" s="87"/>
      <c r="AU756" s="87"/>
      <c r="AV756" s="87"/>
      <c r="AW756" s="87"/>
      <c r="AX756" s="87"/>
      <c r="AY756" s="87"/>
      <c r="AZ756" s="87"/>
      <c r="BA756" s="87"/>
      <c r="BB756" s="87"/>
      <c r="BC756" s="87"/>
      <c r="BD756" s="87"/>
      <c r="BE756" s="87"/>
      <c r="BF756" s="87"/>
      <c r="BG756" s="87"/>
      <c r="BH756" s="87"/>
      <c r="BI756" s="87"/>
      <c r="BJ756" s="87"/>
      <c r="BK756" s="87"/>
      <c r="BL756" s="87"/>
      <c r="BM756" s="87"/>
      <c r="BN756" s="87"/>
      <c r="BO756" s="87"/>
      <c r="BP756" s="87"/>
      <c r="BQ756" s="87"/>
      <c r="BR756" s="87"/>
      <c r="BS756" s="87"/>
      <c r="BT756" s="87"/>
      <c r="BU756" s="87"/>
      <c r="BV756" s="87"/>
      <c r="BW756" s="87"/>
      <c r="BX756" s="87"/>
      <c r="BY756" s="87"/>
    </row>
    <row r="757" spans="3:77" x14ac:dyDescent="0.3">
      <c r="C757" s="90"/>
      <c r="D757" s="87"/>
      <c r="E757" s="91"/>
      <c r="F757" s="92"/>
      <c r="G757" s="93"/>
      <c r="H757" s="93"/>
      <c r="I757" s="93"/>
      <c r="J757" s="93"/>
      <c r="K757" s="93"/>
      <c r="L757" s="93"/>
      <c r="M757" s="93"/>
      <c r="N757" s="93"/>
      <c r="O757" s="93"/>
      <c r="P757" s="93"/>
      <c r="Q757" s="93"/>
      <c r="R757" s="87"/>
      <c r="S757" s="87"/>
      <c r="T757" s="87"/>
      <c r="U757" s="19"/>
      <c r="V757" s="87"/>
      <c r="W757" s="87"/>
      <c r="X757" s="87"/>
      <c r="Y757" s="87"/>
      <c r="Z757" s="87"/>
      <c r="AA757" s="87"/>
      <c r="AB757" s="87"/>
      <c r="AC757" s="87"/>
      <c r="AD757" s="87"/>
      <c r="AE757" s="87"/>
      <c r="AF757" s="87"/>
      <c r="AG757" s="87"/>
      <c r="AH757" s="87"/>
      <c r="AI757" s="87"/>
      <c r="AJ757" s="87"/>
      <c r="AK757" s="87"/>
      <c r="AL757" s="87"/>
      <c r="AM757" s="87"/>
      <c r="AN757" s="87"/>
      <c r="AO757" s="87"/>
      <c r="AP757" s="87"/>
      <c r="AQ757" s="87"/>
      <c r="AR757" s="87"/>
      <c r="AS757" s="87"/>
      <c r="AT757" s="87"/>
      <c r="AU757" s="87"/>
      <c r="AV757" s="87"/>
      <c r="AW757" s="87"/>
      <c r="AX757" s="87"/>
      <c r="AY757" s="87"/>
      <c r="AZ757" s="87"/>
      <c r="BA757" s="87"/>
      <c r="BB757" s="87"/>
      <c r="BC757" s="87"/>
      <c r="BD757" s="87"/>
      <c r="BE757" s="87"/>
      <c r="BF757" s="87"/>
      <c r="BG757" s="87"/>
      <c r="BH757" s="87"/>
      <c r="BI757" s="87"/>
      <c r="BJ757" s="87"/>
      <c r="BK757" s="87"/>
      <c r="BL757" s="87"/>
      <c r="BM757" s="87"/>
      <c r="BN757" s="87"/>
      <c r="BO757" s="87"/>
      <c r="BP757" s="87"/>
      <c r="BQ757" s="87"/>
      <c r="BR757" s="87"/>
      <c r="BS757" s="87"/>
      <c r="BT757" s="87"/>
      <c r="BU757" s="87"/>
      <c r="BV757" s="87"/>
      <c r="BW757" s="87"/>
      <c r="BX757" s="87"/>
      <c r="BY757" s="87"/>
    </row>
    <row r="758" spans="3:77" x14ac:dyDescent="0.3">
      <c r="C758" s="90"/>
      <c r="D758" s="87"/>
      <c r="E758" s="91"/>
      <c r="F758" s="92"/>
      <c r="G758" s="93"/>
      <c r="H758" s="93"/>
      <c r="I758" s="93"/>
      <c r="J758" s="93"/>
      <c r="K758" s="93"/>
      <c r="L758" s="93"/>
      <c r="M758" s="93"/>
      <c r="N758" s="93"/>
      <c r="O758" s="93"/>
      <c r="P758" s="93"/>
      <c r="Q758" s="93"/>
      <c r="R758" s="87"/>
      <c r="S758" s="87"/>
      <c r="T758" s="87"/>
      <c r="U758" s="19"/>
      <c r="V758" s="87"/>
      <c r="W758" s="87"/>
      <c r="X758" s="87"/>
      <c r="Y758" s="87"/>
      <c r="Z758" s="87"/>
      <c r="AA758" s="87"/>
      <c r="AB758" s="87"/>
      <c r="AC758" s="87"/>
      <c r="AD758" s="87"/>
      <c r="AE758" s="87"/>
      <c r="AF758" s="87"/>
      <c r="AG758" s="87"/>
      <c r="AH758" s="87"/>
      <c r="AI758" s="87"/>
      <c r="AJ758" s="87"/>
      <c r="AK758" s="87"/>
      <c r="AL758" s="87"/>
      <c r="AM758" s="87"/>
      <c r="AN758" s="87"/>
      <c r="AO758" s="87"/>
      <c r="AP758" s="87"/>
      <c r="AQ758" s="87"/>
      <c r="AR758" s="87"/>
      <c r="AS758" s="87"/>
      <c r="AT758" s="87"/>
      <c r="AU758" s="87"/>
      <c r="AV758" s="87"/>
      <c r="AW758" s="87"/>
      <c r="AX758" s="87"/>
      <c r="AY758" s="87"/>
      <c r="AZ758" s="87"/>
      <c r="BA758" s="87"/>
      <c r="BB758" s="87"/>
      <c r="BC758" s="87"/>
      <c r="BD758" s="87"/>
      <c r="BE758" s="87"/>
      <c r="BF758" s="87"/>
      <c r="BG758" s="87"/>
      <c r="BH758" s="87"/>
      <c r="BI758" s="87"/>
      <c r="BJ758" s="87"/>
      <c r="BK758" s="87"/>
      <c r="BL758" s="87"/>
      <c r="BM758" s="87"/>
      <c r="BN758" s="87"/>
      <c r="BO758" s="87"/>
      <c r="BP758" s="87"/>
      <c r="BQ758" s="87"/>
      <c r="BR758" s="87"/>
      <c r="BS758" s="87"/>
      <c r="BT758" s="87"/>
      <c r="BU758" s="87"/>
      <c r="BV758" s="87"/>
      <c r="BW758" s="87"/>
      <c r="BX758" s="87"/>
      <c r="BY758" s="87"/>
    </row>
    <row r="759" spans="3:77" x14ac:dyDescent="0.3">
      <c r="C759" s="90"/>
      <c r="D759" s="87"/>
      <c r="E759" s="91"/>
      <c r="F759" s="92"/>
      <c r="G759" s="93"/>
      <c r="H759" s="93"/>
      <c r="I759" s="93"/>
      <c r="J759" s="93"/>
      <c r="K759" s="93"/>
      <c r="L759" s="93"/>
      <c r="M759" s="93"/>
      <c r="N759" s="93"/>
      <c r="O759" s="93"/>
      <c r="P759" s="93"/>
      <c r="Q759" s="93"/>
      <c r="R759" s="87"/>
      <c r="S759" s="87"/>
      <c r="T759" s="87"/>
      <c r="U759" s="19"/>
      <c r="V759" s="87"/>
      <c r="W759" s="87"/>
      <c r="X759" s="87"/>
      <c r="Y759" s="87"/>
      <c r="Z759" s="87"/>
      <c r="AA759" s="87"/>
      <c r="AB759" s="87"/>
      <c r="AC759" s="87"/>
      <c r="AD759" s="87"/>
      <c r="AE759" s="87"/>
      <c r="AF759" s="87"/>
      <c r="AG759" s="87"/>
      <c r="AH759" s="87"/>
      <c r="AI759" s="87"/>
      <c r="AJ759" s="87"/>
      <c r="AK759" s="87"/>
      <c r="AL759" s="87"/>
      <c r="AM759" s="87"/>
      <c r="AN759" s="87"/>
      <c r="AO759" s="87"/>
      <c r="AP759" s="87"/>
      <c r="AQ759" s="87"/>
      <c r="AR759" s="87"/>
      <c r="AS759" s="87"/>
      <c r="AT759" s="87"/>
      <c r="AU759" s="87"/>
      <c r="AV759" s="87"/>
      <c r="AW759" s="87"/>
      <c r="AX759" s="87"/>
      <c r="AY759" s="87"/>
      <c r="AZ759" s="87"/>
      <c r="BA759" s="87"/>
      <c r="BB759" s="87"/>
      <c r="BC759" s="87"/>
      <c r="BD759" s="87"/>
      <c r="BE759" s="87"/>
      <c r="BF759" s="87"/>
      <c r="BG759" s="87"/>
      <c r="BH759" s="87"/>
      <c r="BI759" s="87"/>
      <c r="BJ759" s="87"/>
      <c r="BK759" s="87"/>
      <c r="BL759" s="87"/>
      <c r="BM759" s="87"/>
      <c r="BN759" s="87"/>
      <c r="BO759" s="87"/>
      <c r="BP759" s="87"/>
      <c r="BQ759" s="87"/>
      <c r="BR759" s="87"/>
      <c r="BS759" s="87"/>
      <c r="BT759" s="87"/>
      <c r="BU759" s="87"/>
      <c r="BV759" s="87"/>
      <c r="BW759" s="87"/>
      <c r="BX759" s="87"/>
      <c r="BY759" s="87"/>
    </row>
    <row r="760" spans="3:77" x14ac:dyDescent="0.3">
      <c r="C760" s="90"/>
      <c r="D760" s="87"/>
      <c r="E760" s="91"/>
      <c r="F760" s="92"/>
      <c r="G760" s="93"/>
      <c r="H760" s="93"/>
      <c r="I760" s="93"/>
      <c r="J760" s="93"/>
      <c r="K760" s="93"/>
      <c r="L760" s="93"/>
      <c r="M760" s="93"/>
      <c r="N760" s="93"/>
      <c r="O760" s="93"/>
      <c r="P760" s="93"/>
      <c r="Q760" s="93"/>
      <c r="R760" s="87"/>
      <c r="S760" s="87"/>
      <c r="T760" s="87"/>
      <c r="U760" s="19"/>
      <c r="V760" s="87"/>
      <c r="W760" s="87"/>
      <c r="X760" s="87"/>
      <c r="Y760" s="87"/>
      <c r="Z760" s="87"/>
      <c r="AA760" s="87"/>
      <c r="AB760" s="87"/>
      <c r="AC760" s="87"/>
      <c r="AD760" s="87"/>
      <c r="AE760" s="87"/>
      <c r="AF760" s="87"/>
      <c r="AG760" s="87"/>
      <c r="AH760" s="87"/>
      <c r="AI760" s="87"/>
      <c r="AJ760" s="87"/>
      <c r="AK760" s="87"/>
      <c r="AL760" s="87"/>
      <c r="AM760" s="87"/>
      <c r="AN760" s="87"/>
      <c r="AO760" s="87"/>
      <c r="AP760" s="87"/>
      <c r="AQ760" s="87"/>
      <c r="AR760" s="87"/>
      <c r="AS760" s="87"/>
      <c r="AT760" s="87"/>
      <c r="AU760" s="87"/>
      <c r="AV760" s="87"/>
      <c r="AW760" s="87"/>
      <c r="AX760" s="87"/>
      <c r="AY760" s="87"/>
      <c r="AZ760" s="87"/>
      <c r="BA760" s="87"/>
      <c r="BB760" s="87"/>
      <c r="BC760" s="87"/>
      <c r="BD760" s="87"/>
      <c r="BE760" s="87"/>
      <c r="BF760" s="87"/>
      <c r="BG760" s="87"/>
      <c r="BH760" s="87"/>
      <c r="BI760" s="87"/>
      <c r="BJ760" s="87"/>
      <c r="BK760" s="87"/>
      <c r="BL760" s="87"/>
      <c r="BM760" s="87"/>
      <c r="BN760" s="87"/>
      <c r="BO760" s="87"/>
      <c r="BP760" s="87"/>
      <c r="BQ760" s="87"/>
      <c r="BR760" s="87"/>
      <c r="BS760" s="87"/>
      <c r="BT760" s="87"/>
      <c r="BU760" s="87"/>
      <c r="BV760" s="87"/>
      <c r="BW760" s="87"/>
      <c r="BX760" s="87"/>
      <c r="BY760" s="87"/>
    </row>
    <row r="761" spans="3:77" x14ac:dyDescent="0.3">
      <c r="C761" s="90"/>
      <c r="D761" s="87"/>
      <c r="E761" s="91"/>
      <c r="F761" s="92"/>
      <c r="G761" s="93"/>
      <c r="H761" s="93"/>
      <c r="I761" s="93"/>
      <c r="J761" s="93"/>
      <c r="K761" s="93"/>
      <c r="L761" s="93"/>
      <c r="M761" s="93"/>
      <c r="N761" s="93"/>
      <c r="O761" s="93"/>
      <c r="P761" s="93"/>
      <c r="Q761" s="93"/>
      <c r="R761" s="87"/>
      <c r="S761" s="87"/>
      <c r="T761" s="87"/>
      <c r="U761" s="19"/>
      <c r="V761" s="87"/>
      <c r="W761" s="87"/>
      <c r="X761" s="87"/>
      <c r="Y761" s="87"/>
      <c r="Z761" s="87"/>
      <c r="AA761" s="87"/>
      <c r="AB761" s="87"/>
      <c r="AC761" s="87"/>
      <c r="AD761" s="87"/>
      <c r="AE761" s="87"/>
      <c r="AF761" s="87"/>
      <c r="AG761" s="87"/>
      <c r="AH761" s="87"/>
      <c r="AI761" s="87"/>
      <c r="AJ761" s="87"/>
      <c r="AK761" s="87"/>
      <c r="AL761" s="87"/>
      <c r="AM761" s="87"/>
      <c r="AN761" s="87"/>
      <c r="AO761" s="87"/>
      <c r="AP761" s="87"/>
      <c r="AQ761" s="87"/>
      <c r="AR761" s="87"/>
      <c r="AS761" s="87"/>
      <c r="AT761" s="87"/>
      <c r="AU761" s="87"/>
      <c r="AV761" s="87"/>
      <c r="AW761" s="87"/>
      <c r="AX761" s="87"/>
      <c r="AY761" s="87"/>
      <c r="AZ761" s="87"/>
      <c r="BA761" s="87"/>
      <c r="BB761" s="87"/>
      <c r="BC761" s="87"/>
      <c r="BD761" s="87"/>
      <c r="BE761" s="87"/>
      <c r="BF761" s="87"/>
      <c r="BG761" s="87"/>
      <c r="BH761" s="87"/>
      <c r="BI761" s="87"/>
      <c r="BJ761" s="87"/>
      <c r="BK761" s="87"/>
      <c r="BL761" s="87"/>
      <c r="BM761" s="87"/>
      <c r="BN761" s="87"/>
      <c r="BO761" s="87"/>
      <c r="BP761" s="87"/>
      <c r="BQ761" s="87"/>
      <c r="BR761" s="87"/>
      <c r="BS761" s="87"/>
      <c r="BT761" s="87"/>
      <c r="BU761" s="87"/>
      <c r="BV761" s="87"/>
      <c r="BW761" s="87"/>
      <c r="BX761" s="87"/>
      <c r="BY761" s="87"/>
    </row>
    <row r="762" spans="3:77" x14ac:dyDescent="0.3">
      <c r="C762" s="90"/>
      <c r="D762" s="87"/>
      <c r="E762" s="91"/>
      <c r="F762" s="92"/>
      <c r="G762" s="93"/>
      <c r="H762" s="93"/>
      <c r="I762" s="93"/>
      <c r="J762" s="93"/>
      <c r="K762" s="93"/>
      <c r="L762" s="93"/>
      <c r="M762" s="93"/>
      <c r="N762" s="93"/>
      <c r="O762" s="93"/>
      <c r="P762" s="93"/>
      <c r="Q762" s="93"/>
      <c r="R762" s="87"/>
      <c r="S762" s="87"/>
      <c r="T762" s="87"/>
      <c r="U762" s="19"/>
      <c r="V762" s="87"/>
      <c r="W762" s="87"/>
      <c r="X762" s="87"/>
      <c r="Y762" s="87"/>
      <c r="Z762" s="87"/>
      <c r="AA762" s="87"/>
      <c r="AB762" s="87"/>
      <c r="AC762" s="87"/>
      <c r="AD762" s="87"/>
      <c r="AE762" s="87"/>
      <c r="AF762" s="87"/>
      <c r="AG762" s="87"/>
      <c r="AH762" s="87"/>
      <c r="AI762" s="87"/>
      <c r="AJ762" s="87"/>
      <c r="AK762" s="87"/>
      <c r="AL762" s="87"/>
      <c r="AM762" s="87"/>
      <c r="AN762" s="87"/>
      <c r="AO762" s="87"/>
      <c r="AP762" s="87"/>
      <c r="AQ762" s="87"/>
      <c r="AR762" s="87"/>
      <c r="AS762" s="87"/>
      <c r="AT762" s="87"/>
      <c r="AU762" s="87"/>
      <c r="AV762" s="87"/>
      <c r="AW762" s="87"/>
      <c r="AX762" s="87"/>
      <c r="AY762" s="87"/>
      <c r="AZ762" s="87"/>
      <c r="BA762" s="87"/>
      <c r="BB762" s="87"/>
      <c r="BC762" s="87"/>
      <c r="BD762" s="87"/>
      <c r="BE762" s="87"/>
      <c r="BF762" s="87"/>
      <c r="BG762" s="87"/>
      <c r="BH762" s="87"/>
      <c r="BI762" s="87"/>
      <c r="BJ762" s="87"/>
      <c r="BK762" s="87"/>
      <c r="BL762" s="87"/>
      <c r="BM762" s="87"/>
      <c r="BN762" s="87"/>
      <c r="BO762" s="87"/>
      <c r="BP762" s="87"/>
      <c r="BQ762" s="87"/>
      <c r="BR762" s="87"/>
      <c r="BS762" s="87"/>
      <c r="BT762" s="87"/>
      <c r="BU762" s="87"/>
      <c r="BV762" s="87"/>
      <c r="BW762" s="87"/>
      <c r="BX762" s="87"/>
      <c r="BY762" s="87"/>
    </row>
    <row r="763" spans="3:77" x14ac:dyDescent="0.3">
      <c r="C763" s="90"/>
      <c r="D763" s="87"/>
      <c r="E763" s="91"/>
      <c r="F763" s="92"/>
      <c r="G763" s="93"/>
      <c r="H763" s="93"/>
      <c r="I763" s="93"/>
      <c r="J763" s="93"/>
      <c r="K763" s="93"/>
      <c r="L763" s="93"/>
      <c r="M763" s="93"/>
      <c r="N763" s="93"/>
      <c r="O763" s="93"/>
      <c r="P763" s="93"/>
      <c r="Q763" s="93"/>
      <c r="R763" s="87"/>
      <c r="S763" s="87"/>
      <c r="T763" s="87"/>
      <c r="U763" s="19"/>
      <c r="V763" s="87"/>
      <c r="W763" s="87"/>
      <c r="X763" s="87"/>
      <c r="Y763" s="87"/>
      <c r="Z763" s="87"/>
      <c r="AA763" s="87"/>
      <c r="AB763" s="87"/>
      <c r="AC763" s="87"/>
      <c r="AD763" s="87"/>
      <c r="AE763" s="87"/>
      <c r="AF763" s="87"/>
      <c r="AG763" s="87"/>
      <c r="AH763" s="87"/>
      <c r="AI763" s="87"/>
      <c r="AJ763" s="87"/>
      <c r="AK763" s="87"/>
      <c r="AL763" s="87"/>
      <c r="AM763" s="87"/>
      <c r="AN763" s="87"/>
      <c r="AO763" s="87"/>
      <c r="AP763" s="87"/>
      <c r="AQ763" s="87"/>
      <c r="AR763" s="87"/>
      <c r="AS763" s="87"/>
      <c r="AT763" s="87"/>
      <c r="AU763" s="87"/>
      <c r="AV763" s="87"/>
      <c r="AW763" s="87"/>
      <c r="AX763" s="87"/>
      <c r="AY763" s="87"/>
      <c r="AZ763" s="87"/>
      <c r="BA763" s="87"/>
      <c r="BB763" s="87"/>
      <c r="BC763" s="87"/>
      <c r="BD763" s="87"/>
      <c r="BE763" s="87"/>
      <c r="BF763" s="87"/>
      <c r="BG763" s="87"/>
      <c r="BH763" s="87"/>
      <c r="BI763" s="87"/>
      <c r="BJ763" s="87"/>
      <c r="BK763" s="87"/>
      <c r="BL763" s="87"/>
      <c r="BM763" s="87"/>
      <c r="BN763" s="87"/>
      <c r="BO763" s="87"/>
      <c r="BP763" s="87"/>
      <c r="BQ763" s="87"/>
      <c r="BR763" s="87"/>
      <c r="BS763" s="87"/>
      <c r="BT763" s="87"/>
      <c r="BU763" s="87"/>
      <c r="BV763" s="87"/>
      <c r="BW763" s="87"/>
      <c r="BX763" s="87"/>
      <c r="BY763" s="87"/>
    </row>
    <row r="764" spans="3:77" x14ac:dyDescent="0.3">
      <c r="C764" s="90"/>
      <c r="D764" s="87"/>
      <c r="E764" s="91"/>
      <c r="F764" s="92"/>
      <c r="G764" s="93"/>
      <c r="H764" s="93"/>
      <c r="I764" s="93"/>
      <c r="J764" s="93"/>
      <c r="K764" s="93"/>
      <c r="L764" s="93"/>
      <c r="M764" s="93"/>
      <c r="N764" s="93"/>
      <c r="O764" s="93"/>
      <c r="P764" s="93"/>
      <c r="Q764" s="93"/>
      <c r="R764" s="87"/>
      <c r="S764" s="87"/>
      <c r="T764" s="87"/>
      <c r="U764" s="19"/>
      <c r="V764" s="87"/>
      <c r="W764" s="87"/>
      <c r="X764" s="87"/>
      <c r="Y764" s="87"/>
      <c r="Z764" s="87"/>
      <c r="AA764" s="87"/>
      <c r="AB764" s="87"/>
      <c r="AC764" s="87"/>
      <c r="AD764" s="87"/>
      <c r="AE764" s="87"/>
      <c r="AF764" s="87"/>
      <c r="AG764" s="87"/>
      <c r="AH764" s="87"/>
      <c r="AI764" s="87"/>
      <c r="AJ764" s="87"/>
      <c r="AK764" s="87"/>
      <c r="AL764" s="87"/>
      <c r="AM764" s="87"/>
      <c r="AN764" s="87"/>
      <c r="AO764" s="87"/>
      <c r="AP764" s="87"/>
      <c r="AQ764" s="87"/>
      <c r="AR764" s="87"/>
      <c r="AS764" s="87"/>
      <c r="AT764" s="87"/>
      <c r="AU764" s="87"/>
      <c r="AV764" s="87"/>
      <c r="AW764" s="87"/>
      <c r="AX764" s="87"/>
      <c r="AY764" s="87"/>
      <c r="AZ764" s="87"/>
      <c r="BA764" s="87"/>
      <c r="BB764" s="87"/>
      <c r="BC764" s="87"/>
      <c r="BD764" s="87"/>
      <c r="BE764" s="87"/>
      <c r="BF764" s="87"/>
      <c r="BG764" s="87"/>
      <c r="BH764" s="87"/>
      <c r="BI764" s="87"/>
      <c r="BJ764" s="87"/>
      <c r="BK764" s="87"/>
      <c r="BL764" s="87"/>
      <c r="BM764" s="87"/>
      <c r="BN764" s="87"/>
      <c r="BO764" s="87"/>
      <c r="BP764" s="87"/>
      <c r="BQ764" s="87"/>
      <c r="BR764" s="87"/>
      <c r="BS764" s="87"/>
      <c r="BT764" s="87"/>
      <c r="BU764" s="87"/>
      <c r="BV764" s="87"/>
      <c r="BW764" s="87"/>
      <c r="BX764" s="87"/>
      <c r="BY764" s="87"/>
    </row>
    <row r="765" spans="3:77" x14ac:dyDescent="0.3">
      <c r="C765" s="90"/>
      <c r="D765" s="87"/>
      <c r="E765" s="91"/>
      <c r="F765" s="92"/>
      <c r="G765" s="93"/>
      <c r="H765" s="93"/>
      <c r="I765" s="93"/>
      <c r="J765" s="93"/>
      <c r="K765" s="93"/>
      <c r="L765" s="93"/>
      <c r="M765" s="93"/>
      <c r="N765" s="93"/>
      <c r="O765" s="93"/>
      <c r="P765" s="93"/>
      <c r="Q765" s="93"/>
      <c r="R765" s="87"/>
      <c r="S765" s="87"/>
      <c r="T765" s="87"/>
      <c r="U765" s="19"/>
      <c r="V765" s="87"/>
      <c r="W765" s="87"/>
      <c r="X765" s="87"/>
      <c r="Y765" s="87"/>
      <c r="Z765" s="87"/>
      <c r="AA765" s="87"/>
      <c r="AB765" s="87"/>
      <c r="AC765" s="87"/>
      <c r="AD765" s="87"/>
      <c r="AE765" s="87"/>
      <c r="AF765" s="87"/>
      <c r="AG765" s="87"/>
      <c r="AH765" s="87"/>
      <c r="AI765" s="87"/>
      <c r="AJ765" s="87"/>
      <c r="AK765" s="87"/>
      <c r="AL765" s="87"/>
      <c r="AM765" s="87"/>
      <c r="AN765" s="87"/>
      <c r="AO765" s="87"/>
      <c r="AP765" s="87"/>
      <c r="AQ765" s="87"/>
      <c r="AR765" s="87"/>
      <c r="AS765" s="87"/>
      <c r="AT765" s="87"/>
      <c r="AU765" s="87"/>
      <c r="AV765" s="87"/>
      <c r="AW765" s="87"/>
      <c r="AX765" s="87"/>
      <c r="AY765" s="87"/>
      <c r="AZ765" s="87"/>
      <c r="BA765" s="87"/>
      <c r="BB765" s="87"/>
      <c r="BC765" s="87"/>
      <c r="BD765" s="87"/>
      <c r="BE765" s="87"/>
      <c r="BF765" s="87"/>
      <c r="BG765" s="87"/>
      <c r="BH765" s="87"/>
      <c r="BI765" s="87"/>
      <c r="BJ765" s="87"/>
      <c r="BK765" s="87"/>
      <c r="BL765" s="87"/>
      <c r="BM765" s="87"/>
      <c r="BN765" s="87"/>
      <c r="BO765" s="87"/>
      <c r="BP765" s="87"/>
      <c r="BQ765" s="87"/>
      <c r="BR765" s="87"/>
      <c r="BS765" s="87"/>
      <c r="BT765" s="87"/>
      <c r="BU765" s="87"/>
      <c r="BV765" s="87"/>
      <c r="BW765" s="87"/>
      <c r="BX765" s="87"/>
      <c r="BY765" s="87"/>
    </row>
    <row r="766" spans="3:77" x14ac:dyDescent="0.3">
      <c r="C766" s="90"/>
      <c r="D766" s="87"/>
      <c r="E766" s="91"/>
      <c r="F766" s="92"/>
      <c r="G766" s="93"/>
      <c r="H766" s="93"/>
      <c r="I766" s="93"/>
      <c r="J766" s="93"/>
      <c r="K766" s="93"/>
      <c r="L766" s="93"/>
      <c r="M766" s="93"/>
      <c r="N766" s="93"/>
      <c r="O766" s="93"/>
      <c r="P766" s="93"/>
      <c r="Q766" s="93"/>
      <c r="R766" s="87"/>
      <c r="S766" s="87"/>
      <c r="T766" s="87"/>
      <c r="U766" s="19"/>
      <c r="V766" s="87"/>
      <c r="W766" s="87"/>
      <c r="X766" s="87"/>
      <c r="Y766" s="87"/>
      <c r="Z766" s="87"/>
      <c r="AA766" s="87"/>
      <c r="AB766" s="87"/>
      <c r="AC766" s="87"/>
      <c r="AD766" s="87"/>
      <c r="AE766" s="87"/>
      <c r="AF766" s="87"/>
      <c r="AG766" s="87"/>
      <c r="AH766" s="87"/>
      <c r="AI766" s="87"/>
      <c r="AJ766" s="87"/>
      <c r="AK766" s="87"/>
      <c r="AL766" s="87"/>
      <c r="AM766" s="87"/>
      <c r="AN766" s="87"/>
      <c r="AO766" s="87"/>
      <c r="AP766" s="87"/>
      <c r="AQ766" s="87"/>
      <c r="AR766" s="87"/>
      <c r="AS766" s="87"/>
      <c r="AT766" s="87"/>
      <c r="AU766" s="87"/>
      <c r="AV766" s="87"/>
      <c r="AW766" s="87"/>
      <c r="AX766" s="87"/>
      <c r="AY766" s="87"/>
      <c r="AZ766" s="87"/>
      <c r="BA766" s="87"/>
      <c r="BB766" s="87"/>
      <c r="BC766" s="87"/>
      <c r="BD766" s="87"/>
      <c r="BE766" s="87"/>
      <c r="BF766" s="87"/>
      <c r="BG766" s="87"/>
      <c r="BH766" s="87"/>
      <c r="BI766" s="87"/>
      <c r="BJ766" s="87"/>
      <c r="BK766" s="87"/>
      <c r="BL766" s="87"/>
      <c r="BM766" s="87"/>
      <c r="BN766" s="87"/>
      <c r="BO766" s="87"/>
      <c r="BP766" s="87"/>
      <c r="BQ766" s="87"/>
      <c r="BR766" s="87"/>
      <c r="BS766" s="87"/>
      <c r="BT766" s="87"/>
      <c r="BU766" s="87"/>
      <c r="BV766" s="87"/>
      <c r="BW766" s="87"/>
      <c r="BX766" s="87"/>
      <c r="BY766" s="87"/>
    </row>
    <row r="767" spans="3:77" x14ac:dyDescent="0.3">
      <c r="C767" s="90"/>
      <c r="D767" s="87"/>
      <c r="E767" s="91"/>
      <c r="F767" s="92"/>
      <c r="G767" s="93"/>
      <c r="H767" s="93"/>
      <c r="I767" s="93"/>
      <c r="J767" s="93"/>
      <c r="K767" s="93"/>
      <c r="L767" s="93"/>
      <c r="M767" s="93"/>
      <c r="N767" s="93"/>
      <c r="O767" s="93"/>
      <c r="P767" s="93"/>
      <c r="Q767" s="93"/>
      <c r="R767" s="87"/>
      <c r="S767" s="87"/>
      <c r="T767" s="87"/>
      <c r="U767" s="19"/>
      <c r="V767" s="87"/>
      <c r="W767" s="87"/>
      <c r="X767" s="87"/>
      <c r="Y767" s="87"/>
      <c r="Z767" s="87"/>
      <c r="AA767" s="87"/>
      <c r="AB767" s="87"/>
      <c r="AC767" s="87"/>
      <c r="AD767" s="87"/>
      <c r="AE767" s="87"/>
      <c r="AF767" s="87"/>
      <c r="AG767" s="87"/>
      <c r="AH767" s="87"/>
      <c r="AI767" s="87"/>
      <c r="AJ767" s="87"/>
      <c r="AK767" s="87"/>
      <c r="AL767" s="87"/>
      <c r="AM767" s="87"/>
      <c r="AN767" s="87"/>
      <c r="AO767" s="87"/>
      <c r="AP767" s="87"/>
      <c r="AQ767" s="87"/>
      <c r="AR767" s="87"/>
      <c r="AS767" s="87"/>
      <c r="AT767" s="87"/>
      <c r="AU767" s="87"/>
      <c r="AV767" s="87"/>
      <c r="AW767" s="87"/>
      <c r="AX767" s="87"/>
      <c r="AY767" s="87"/>
      <c r="AZ767" s="87"/>
      <c r="BA767" s="87"/>
      <c r="BB767" s="87"/>
      <c r="BC767" s="87"/>
      <c r="BD767" s="87"/>
      <c r="BE767" s="87"/>
      <c r="BF767" s="87"/>
      <c r="BG767" s="87"/>
      <c r="BH767" s="87"/>
      <c r="BI767" s="87"/>
      <c r="BJ767" s="87"/>
      <c r="BK767" s="87"/>
      <c r="BL767" s="87"/>
      <c r="BM767" s="87"/>
      <c r="BN767" s="87"/>
      <c r="BO767" s="87"/>
      <c r="BP767" s="87"/>
      <c r="BQ767" s="87"/>
      <c r="BR767" s="87"/>
      <c r="BS767" s="87"/>
      <c r="BT767" s="87"/>
      <c r="BU767" s="87"/>
      <c r="BV767" s="87"/>
      <c r="BW767" s="87"/>
      <c r="BX767" s="87"/>
      <c r="BY767" s="87"/>
    </row>
    <row r="768" spans="3:77" x14ac:dyDescent="0.3">
      <c r="C768" s="90"/>
      <c r="D768" s="87"/>
      <c r="E768" s="91"/>
      <c r="F768" s="92"/>
      <c r="G768" s="93"/>
      <c r="H768" s="93"/>
      <c r="I768" s="93"/>
      <c r="J768" s="93"/>
      <c r="K768" s="93"/>
      <c r="L768" s="93"/>
      <c r="M768" s="93"/>
      <c r="N768" s="93"/>
      <c r="O768" s="93"/>
      <c r="P768" s="93"/>
      <c r="Q768" s="93"/>
      <c r="R768" s="87"/>
      <c r="S768" s="87"/>
      <c r="T768" s="87"/>
      <c r="U768" s="19"/>
      <c r="V768" s="87"/>
      <c r="W768" s="87"/>
      <c r="X768" s="87"/>
      <c r="Y768" s="87"/>
      <c r="Z768" s="87"/>
      <c r="AA768" s="87"/>
      <c r="AB768" s="87"/>
      <c r="AC768" s="87"/>
      <c r="AD768" s="87"/>
      <c r="AE768" s="87"/>
      <c r="AF768" s="87"/>
      <c r="AG768" s="87"/>
      <c r="AH768" s="87"/>
      <c r="AI768" s="87"/>
      <c r="AJ768" s="87"/>
      <c r="AK768" s="87"/>
      <c r="AL768" s="87"/>
      <c r="AM768" s="87"/>
      <c r="AN768" s="87"/>
      <c r="AO768" s="87"/>
      <c r="AP768" s="87"/>
      <c r="AQ768" s="87"/>
      <c r="AR768" s="87"/>
      <c r="AS768" s="87"/>
      <c r="AT768" s="87"/>
      <c r="AU768" s="87"/>
      <c r="AV768" s="87"/>
      <c r="AW768" s="87"/>
      <c r="AX768" s="87"/>
      <c r="AY768" s="87"/>
      <c r="AZ768" s="87"/>
      <c r="BA768" s="87"/>
      <c r="BB768" s="87"/>
      <c r="BC768" s="87"/>
      <c r="BD768" s="87"/>
      <c r="BE768" s="87"/>
      <c r="BF768" s="87"/>
      <c r="BG768" s="87"/>
      <c r="BH768" s="87"/>
      <c r="BI768" s="87"/>
      <c r="BJ768" s="87"/>
      <c r="BK768" s="87"/>
      <c r="BL768" s="87"/>
      <c r="BM768" s="87"/>
      <c r="BN768" s="87"/>
      <c r="BO768" s="87"/>
      <c r="BP768" s="87"/>
      <c r="BQ768" s="87"/>
      <c r="BR768" s="87"/>
      <c r="BS768" s="87"/>
      <c r="BT768" s="87"/>
      <c r="BU768" s="87"/>
      <c r="BV768" s="87"/>
      <c r="BW768" s="87"/>
      <c r="BX768" s="87"/>
      <c r="BY768" s="87"/>
    </row>
    <row r="769" spans="3:77" x14ac:dyDescent="0.3">
      <c r="C769" s="90"/>
      <c r="D769" s="87"/>
      <c r="E769" s="91"/>
      <c r="F769" s="92"/>
      <c r="G769" s="93"/>
      <c r="H769" s="93"/>
      <c r="I769" s="93"/>
      <c r="J769" s="93"/>
      <c r="K769" s="93"/>
      <c r="L769" s="93"/>
      <c r="M769" s="93"/>
      <c r="N769" s="93"/>
      <c r="O769" s="93"/>
      <c r="P769" s="93"/>
      <c r="Q769" s="93"/>
      <c r="R769" s="87"/>
      <c r="S769" s="87"/>
      <c r="T769" s="87"/>
      <c r="U769" s="19"/>
      <c r="V769" s="87"/>
      <c r="W769" s="87"/>
      <c r="X769" s="87"/>
      <c r="Y769" s="87"/>
      <c r="Z769" s="87"/>
      <c r="AA769" s="87"/>
      <c r="AB769" s="87"/>
      <c r="AC769" s="87"/>
      <c r="AD769" s="87"/>
      <c r="AE769" s="87"/>
      <c r="AF769" s="87"/>
      <c r="AG769" s="87"/>
      <c r="AH769" s="87"/>
      <c r="AI769" s="87"/>
      <c r="AJ769" s="87"/>
      <c r="AK769" s="87"/>
      <c r="AL769" s="87"/>
      <c r="AM769" s="87"/>
      <c r="AN769" s="87"/>
      <c r="AO769" s="87"/>
      <c r="AP769" s="87"/>
      <c r="AQ769" s="87"/>
      <c r="AR769" s="87"/>
      <c r="AS769" s="87"/>
      <c r="AT769" s="87"/>
      <c r="AU769" s="87"/>
      <c r="AV769" s="87"/>
      <c r="AW769" s="87"/>
      <c r="AX769" s="87"/>
      <c r="AY769" s="87"/>
      <c r="AZ769" s="87"/>
      <c r="BA769" s="87"/>
      <c r="BB769" s="87"/>
      <c r="BC769" s="87"/>
      <c r="BD769" s="87"/>
      <c r="BE769" s="87"/>
      <c r="BF769" s="87"/>
      <c r="BG769" s="87"/>
      <c r="BH769" s="87"/>
      <c r="BI769" s="87"/>
      <c r="BJ769" s="87"/>
      <c r="BK769" s="87"/>
      <c r="BL769" s="87"/>
      <c r="BM769" s="87"/>
      <c r="BN769" s="87"/>
      <c r="BO769" s="87"/>
      <c r="BP769" s="87"/>
      <c r="BQ769" s="87"/>
      <c r="BR769" s="87"/>
      <c r="BS769" s="87"/>
      <c r="BT769" s="87"/>
      <c r="BU769" s="87"/>
      <c r="BV769" s="87"/>
      <c r="BW769" s="87"/>
      <c r="BX769" s="87"/>
      <c r="BY769" s="87"/>
    </row>
    <row r="770" spans="3:77" x14ac:dyDescent="0.3">
      <c r="C770" s="90"/>
      <c r="D770" s="87"/>
      <c r="E770" s="91"/>
      <c r="F770" s="92"/>
      <c r="G770" s="93"/>
      <c r="H770" s="93"/>
      <c r="I770" s="93"/>
      <c r="J770" s="93"/>
      <c r="K770" s="93"/>
      <c r="L770" s="93"/>
      <c r="M770" s="93"/>
      <c r="N770" s="93"/>
      <c r="O770" s="93"/>
      <c r="P770" s="93"/>
      <c r="Q770" s="93"/>
      <c r="R770" s="87"/>
      <c r="S770" s="87"/>
      <c r="T770" s="87"/>
      <c r="U770" s="19"/>
      <c r="V770" s="87"/>
      <c r="W770" s="87"/>
      <c r="X770" s="87"/>
      <c r="Y770" s="87"/>
      <c r="Z770" s="87"/>
      <c r="AA770" s="87"/>
      <c r="AB770" s="87"/>
      <c r="AC770" s="87"/>
      <c r="AD770" s="87"/>
      <c r="AE770" s="87"/>
      <c r="AF770" s="87"/>
      <c r="AG770" s="87"/>
      <c r="AH770" s="87"/>
      <c r="AI770" s="87"/>
      <c r="AJ770" s="87"/>
      <c r="AK770" s="87"/>
      <c r="AL770" s="87"/>
      <c r="AM770" s="87"/>
      <c r="AN770" s="87"/>
      <c r="AO770" s="87"/>
      <c r="AP770" s="87"/>
      <c r="AQ770" s="87"/>
      <c r="AR770" s="87"/>
      <c r="AS770" s="87"/>
      <c r="AT770" s="87"/>
      <c r="AU770" s="87"/>
      <c r="AV770" s="87"/>
      <c r="AW770" s="87"/>
      <c r="AX770" s="87"/>
      <c r="AY770" s="87"/>
      <c r="AZ770" s="87"/>
      <c r="BA770" s="87"/>
      <c r="BB770" s="87"/>
      <c r="BC770" s="87"/>
      <c r="BD770" s="87"/>
      <c r="BE770" s="87"/>
      <c r="BF770" s="87"/>
      <c r="BG770" s="87"/>
      <c r="BH770" s="87"/>
      <c r="BI770" s="87"/>
      <c r="BJ770" s="87"/>
      <c r="BK770" s="87"/>
      <c r="BL770" s="87"/>
      <c r="BM770" s="87"/>
      <c r="BN770" s="87"/>
      <c r="BO770" s="87"/>
      <c r="BP770" s="87"/>
      <c r="BQ770" s="87"/>
      <c r="BR770" s="87"/>
      <c r="BS770" s="87"/>
      <c r="BT770" s="87"/>
      <c r="BU770" s="87"/>
      <c r="BV770" s="87"/>
      <c r="BW770" s="87"/>
      <c r="BX770" s="87"/>
      <c r="BY770" s="87"/>
    </row>
    <row r="771" spans="3:77" x14ac:dyDescent="0.3">
      <c r="C771" s="90"/>
      <c r="D771" s="87"/>
      <c r="E771" s="91"/>
      <c r="F771" s="92"/>
      <c r="G771" s="93"/>
      <c r="H771" s="93"/>
      <c r="I771" s="93"/>
      <c r="J771" s="93"/>
      <c r="K771" s="93"/>
      <c r="L771" s="93"/>
      <c r="M771" s="93"/>
      <c r="N771" s="93"/>
      <c r="O771" s="93"/>
      <c r="P771" s="93"/>
      <c r="Q771" s="93"/>
      <c r="R771" s="87"/>
      <c r="S771" s="87"/>
      <c r="T771" s="87"/>
      <c r="U771" s="19"/>
      <c r="V771" s="87"/>
      <c r="W771" s="87"/>
      <c r="X771" s="87"/>
      <c r="Y771" s="87"/>
      <c r="Z771" s="87"/>
      <c r="AA771" s="87"/>
      <c r="AB771" s="87"/>
      <c r="AC771" s="87"/>
      <c r="AD771" s="87"/>
      <c r="AE771" s="87"/>
      <c r="AF771" s="87"/>
      <c r="AG771" s="87"/>
      <c r="AH771" s="87"/>
      <c r="AI771" s="87"/>
      <c r="AJ771" s="87"/>
      <c r="AK771" s="87"/>
      <c r="AL771" s="87"/>
      <c r="AM771" s="87"/>
      <c r="AN771" s="87"/>
      <c r="AO771" s="87"/>
      <c r="AP771" s="87"/>
      <c r="AQ771" s="87"/>
      <c r="AR771" s="87"/>
      <c r="AS771" s="87"/>
      <c r="AT771" s="87"/>
      <c r="AU771" s="87"/>
      <c r="AV771" s="87"/>
      <c r="AW771" s="87"/>
      <c r="AX771" s="87"/>
      <c r="AY771" s="87"/>
      <c r="AZ771" s="87"/>
      <c r="BA771" s="87"/>
      <c r="BB771" s="87"/>
      <c r="BC771" s="87"/>
      <c r="BD771" s="87"/>
      <c r="BE771" s="87"/>
      <c r="BF771" s="87"/>
      <c r="BG771" s="87"/>
      <c r="BH771" s="87"/>
      <c r="BI771" s="87"/>
      <c r="BJ771" s="87"/>
      <c r="BK771" s="87"/>
      <c r="BL771" s="87"/>
      <c r="BM771" s="87"/>
      <c r="BN771" s="87"/>
      <c r="BO771" s="87"/>
      <c r="BP771" s="87"/>
      <c r="BQ771" s="87"/>
      <c r="BR771" s="87"/>
      <c r="BS771" s="87"/>
      <c r="BT771" s="87"/>
      <c r="BU771" s="87"/>
      <c r="BV771" s="87"/>
      <c r="BW771" s="87"/>
      <c r="BX771" s="87"/>
      <c r="BY771" s="87"/>
    </row>
    <row r="772" spans="3:77" x14ac:dyDescent="0.3">
      <c r="C772" s="90"/>
      <c r="D772" s="87"/>
      <c r="E772" s="91"/>
      <c r="F772" s="92"/>
      <c r="G772" s="93"/>
      <c r="H772" s="93"/>
      <c r="I772" s="93"/>
      <c r="J772" s="93"/>
      <c r="K772" s="93"/>
      <c r="L772" s="93"/>
      <c r="M772" s="93"/>
      <c r="N772" s="93"/>
      <c r="O772" s="93"/>
      <c r="P772" s="93"/>
      <c r="Q772" s="93"/>
      <c r="R772" s="87"/>
      <c r="S772" s="87"/>
      <c r="T772" s="87"/>
      <c r="U772" s="19"/>
      <c r="V772" s="87"/>
      <c r="W772" s="87"/>
      <c r="X772" s="87"/>
      <c r="Y772" s="87"/>
      <c r="Z772" s="87"/>
      <c r="AA772" s="87"/>
      <c r="AB772" s="87"/>
      <c r="AC772" s="87"/>
      <c r="AD772" s="87"/>
      <c r="AE772" s="87"/>
      <c r="AF772" s="87"/>
      <c r="AG772" s="87"/>
      <c r="AH772" s="87"/>
      <c r="AI772" s="87"/>
      <c r="AJ772" s="87"/>
      <c r="AK772" s="87"/>
      <c r="AL772" s="87"/>
      <c r="AM772" s="87"/>
      <c r="AN772" s="87"/>
      <c r="AO772" s="87"/>
      <c r="AP772" s="87"/>
      <c r="AQ772" s="87"/>
      <c r="AR772" s="87"/>
      <c r="AS772" s="87"/>
      <c r="AT772" s="87"/>
      <c r="AU772" s="87"/>
      <c r="AV772" s="87"/>
      <c r="AW772" s="87"/>
      <c r="AX772" s="87"/>
      <c r="AY772" s="87"/>
      <c r="AZ772" s="87"/>
      <c r="BA772" s="87"/>
      <c r="BB772" s="87"/>
      <c r="BC772" s="87"/>
      <c r="BD772" s="87"/>
      <c r="BE772" s="87"/>
      <c r="BF772" s="87"/>
      <c r="BG772" s="87"/>
      <c r="BH772" s="87"/>
      <c r="BI772" s="87"/>
      <c r="BJ772" s="87"/>
      <c r="BK772" s="87"/>
      <c r="BL772" s="87"/>
      <c r="BM772" s="87"/>
      <c r="BN772" s="87"/>
      <c r="BO772" s="87"/>
      <c r="BP772" s="87"/>
      <c r="BQ772" s="87"/>
      <c r="BR772" s="87"/>
      <c r="BS772" s="87"/>
      <c r="BT772" s="87"/>
      <c r="BU772" s="87"/>
      <c r="BV772" s="87"/>
      <c r="BW772" s="87"/>
      <c r="BX772" s="87"/>
      <c r="BY772" s="87"/>
    </row>
    <row r="773" spans="3:77" x14ac:dyDescent="0.3">
      <c r="C773" s="90"/>
      <c r="D773" s="87"/>
      <c r="E773" s="91"/>
      <c r="F773" s="92"/>
      <c r="G773" s="93"/>
      <c r="H773" s="93"/>
      <c r="I773" s="93"/>
      <c r="J773" s="93"/>
      <c r="K773" s="93"/>
      <c r="L773" s="93"/>
      <c r="M773" s="93"/>
      <c r="N773" s="93"/>
      <c r="O773" s="93"/>
      <c r="P773" s="93"/>
      <c r="Q773" s="93"/>
      <c r="R773" s="87"/>
      <c r="S773" s="87"/>
      <c r="T773" s="87"/>
      <c r="U773" s="19"/>
      <c r="V773" s="87"/>
      <c r="W773" s="87"/>
      <c r="X773" s="87"/>
      <c r="Y773" s="87"/>
      <c r="Z773" s="87"/>
      <c r="AA773" s="87"/>
      <c r="AB773" s="87"/>
      <c r="AC773" s="87"/>
      <c r="AD773" s="87"/>
      <c r="AE773" s="87"/>
      <c r="AF773" s="87"/>
      <c r="AG773" s="87"/>
      <c r="AH773" s="87"/>
      <c r="AI773" s="87"/>
      <c r="AJ773" s="87"/>
      <c r="AK773" s="87"/>
      <c r="AL773" s="87"/>
      <c r="AM773" s="87"/>
      <c r="AN773" s="87"/>
      <c r="AO773" s="87"/>
      <c r="AP773" s="87"/>
      <c r="AQ773" s="87"/>
      <c r="AR773" s="87"/>
      <c r="AS773" s="87"/>
      <c r="AT773" s="87"/>
      <c r="AU773" s="87"/>
      <c r="AV773" s="87"/>
      <c r="AW773" s="87"/>
      <c r="AX773" s="87"/>
      <c r="AY773" s="87"/>
      <c r="AZ773" s="87"/>
      <c r="BA773" s="87"/>
      <c r="BB773" s="87"/>
      <c r="BC773" s="87"/>
      <c r="BD773" s="87"/>
      <c r="BE773" s="87"/>
      <c r="BF773" s="87"/>
      <c r="BG773" s="87"/>
      <c r="BH773" s="87"/>
      <c r="BI773" s="87"/>
      <c r="BJ773" s="87"/>
      <c r="BK773" s="87"/>
      <c r="BL773" s="87"/>
      <c r="BM773" s="87"/>
      <c r="BN773" s="87"/>
      <c r="BO773" s="87"/>
      <c r="BP773" s="87"/>
      <c r="BQ773" s="87"/>
      <c r="BR773" s="87"/>
      <c r="BS773" s="87"/>
      <c r="BT773" s="87"/>
      <c r="BU773" s="87"/>
      <c r="BV773" s="87"/>
      <c r="BW773" s="87"/>
      <c r="BX773" s="87"/>
      <c r="BY773" s="87"/>
    </row>
    <row r="774" spans="3:77" x14ac:dyDescent="0.3">
      <c r="C774" s="90"/>
      <c r="D774" s="87"/>
      <c r="E774" s="91"/>
      <c r="F774" s="92"/>
      <c r="G774" s="93"/>
      <c r="H774" s="93"/>
      <c r="I774" s="93"/>
      <c r="J774" s="93"/>
      <c r="K774" s="93"/>
      <c r="L774" s="93"/>
      <c r="M774" s="93"/>
      <c r="N774" s="93"/>
      <c r="O774" s="93"/>
      <c r="P774" s="93"/>
      <c r="Q774" s="93"/>
      <c r="R774" s="87"/>
      <c r="S774" s="87"/>
      <c r="T774" s="87"/>
      <c r="U774" s="19"/>
      <c r="V774" s="87"/>
      <c r="W774" s="87"/>
      <c r="X774" s="87"/>
      <c r="Y774" s="87"/>
      <c r="Z774" s="87"/>
      <c r="AA774" s="87"/>
      <c r="AB774" s="87"/>
      <c r="AC774" s="87"/>
      <c r="AD774" s="87"/>
      <c r="AE774" s="87"/>
      <c r="AF774" s="87"/>
      <c r="AG774" s="87"/>
      <c r="AH774" s="87"/>
      <c r="AI774" s="87"/>
      <c r="AJ774" s="87"/>
      <c r="AK774" s="87"/>
      <c r="AL774" s="87"/>
      <c r="AM774" s="87"/>
      <c r="AN774" s="87"/>
      <c r="AO774" s="87"/>
      <c r="AP774" s="87"/>
      <c r="AQ774" s="87"/>
      <c r="AR774" s="87"/>
      <c r="AS774" s="87"/>
      <c r="AT774" s="87"/>
      <c r="AU774" s="87"/>
      <c r="AV774" s="87"/>
      <c r="AW774" s="87"/>
      <c r="AX774" s="87"/>
      <c r="AY774" s="87"/>
      <c r="AZ774" s="87"/>
      <c r="BA774" s="87"/>
      <c r="BB774" s="87"/>
      <c r="BC774" s="87"/>
      <c r="BD774" s="87"/>
      <c r="BE774" s="87"/>
      <c r="BF774" s="87"/>
      <c r="BG774" s="87"/>
      <c r="BH774" s="87"/>
      <c r="BI774" s="87"/>
      <c r="BJ774" s="87"/>
      <c r="BK774" s="87"/>
      <c r="BL774" s="87"/>
      <c r="BM774" s="87"/>
      <c r="BN774" s="87"/>
      <c r="BO774" s="87"/>
      <c r="BP774" s="87"/>
      <c r="BQ774" s="87"/>
      <c r="BR774" s="87"/>
      <c r="BS774" s="87"/>
      <c r="BT774" s="87"/>
      <c r="BU774" s="87"/>
      <c r="BV774" s="87"/>
      <c r="BW774" s="87"/>
      <c r="BX774" s="87"/>
      <c r="BY774" s="87"/>
    </row>
    <row r="775" spans="3:77" x14ac:dyDescent="0.3">
      <c r="C775" s="90"/>
      <c r="D775" s="87"/>
      <c r="E775" s="91"/>
      <c r="F775" s="92"/>
      <c r="G775" s="93"/>
      <c r="H775" s="93"/>
      <c r="I775" s="93"/>
      <c r="J775" s="93"/>
      <c r="K775" s="93"/>
      <c r="L775" s="93"/>
      <c r="M775" s="93"/>
      <c r="N775" s="93"/>
      <c r="O775" s="93"/>
      <c r="P775" s="93"/>
      <c r="Q775" s="93"/>
      <c r="R775" s="87"/>
      <c r="S775" s="87"/>
      <c r="T775" s="87"/>
      <c r="U775" s="19"/>
      <c r="V775" s="87"/>
      <c r="W775" s="87"/>
      <c r="X775" s="87"/>
      <c r="Y775" s="87"/>
      <c r="Z775" s="87"/>
      <c r="AA775" s="87"/>
      <c r="AB775" s="87"/>
      <c r="AC775" s="87"/>
      <c r="AD775" s="87"/>
      <c r="AE775" s="87"/>
      <c r="AF775" s="87"/>
      <c r="AG775" s="87"/>
      <c r="AH775" s="87"/>
      <c r="AI775" s="87"/>
      <c r="AJ775" s="87"/>
      <c r="AK775" s="87"/>
      <c r="AL775" s="87"/>
      <c r="AM775" s="87"/>
      <c r="AN775" s="87"/>
      <c r="AO775" s="87"/>
      <c r="AP775" s="87"/>
      <c r="AQ775" s="87"/>
      <c r="AR775" s="87"/>
      <c r="AS775" s="87"/>
      <c r="AT775" s="87"/>
      <c r="AU775" s="87"/>
      <c r="AV775" s="87"/>
      <c r="AW775" s="87"/>
      <c r="AX775" s="87"/>
      <c r="AY775" s="87"/>
      <c r="AZ775" s="87"/>
      <c r="BA775" s="87"/>
      <c r="BB775" s="87"/>
      <c r="BC775" s="87"/>
      <c r="BD775" s="87"/>
      <c r="BE775" s="87"/>
      <c r="BF775" s="87"/>
      <c r="BG775" s="87"/>
      <c r="BH775" s="87"/>
      <c r="BI775" s="87"/>
      <c r="BJ775" s="87"/>
      <c r="BK775" s="87"/>
      <c r="BL775" s="87"/>
      <c r="BM775" s="87"/>
      <c r="BN775" s="87"/>
      <c r="BO775" s="87"/>
      <c r="BP775" s="87"/>
      <c r="BQ775" s="87"/>
      <c r="BR775" s="87"/>
      <c r="BS775" s="87"/>
      <c r="BT775" s="87"/>
      <c r="BU775" s="87"/>
      <c r="BV775" s="87"/>
      <c r="BW775" s="87"/>
      <c r="BX775" s="87"/>
      <c r="BY775" s="87"/>
    </row>
    <row r="776" spans="3:77" x14ac:dyDescent="0.3">
      <c r="C776" s="90"/>
      <c r="D776" s="87"/>
      <c r="E776" s="91"/>
      <c r="F776" s="92"/>
      <c r="G776" s="93"/>
      <c r="H776" s="93"/>
      <c r="I776" s="93"/>
      <c r="J776" s="93"/>
      <c r="K776" s="93"/>
      <c r="L776" s="93"/>
      <c r="M776" s="93"/>
      <c r="N776" s="93"/>
      <c r="O776" s="93"/>
      <c r="P776" s="93"/>
      <c r="Q776" s="93"/>
      <c r="R776" s="87"/>
      <c r="S776" s="87"/>
      <c r="T776" s="87"/>
      <c r="U776" s="19"/>
      <c r="V776" s="87"/>
      <c r="W776" s="87"/>
      <c r="X776" s="87"/>
      <c r="Y776" s="87"/>
      <c r="Z776" s="87"/>
      <c r="AA776" s="87"/>
      <c r="AB776" s="87"/>
      <c r="AC776" s="87"/>
      <c r="AD776" s="87"/>
      <c r="AE776" s="87"/>
      <c r="AF776" s="87"/>
      <c r="AG776" s="87"/>
      <c r="AH776" s="87"/>
      <c r="AI776" s="87"/>
      <c r="AJ776" s="87"/>
      <c r="AK776" s="87"/>
      <c r="AL776" s="87"/>
      <c r="AM776" s="87"/>
      <c r="AN776" s="87"/>
      <c r="AO776" s="87"/>
      <c r="AP776" s="87"/>
      <c r="AQ776" s="87"/>
      <c r="AR776" s="87"/>
      <c r="AS776" s="87"/>
      <c r="AT776" s="87"/>
      <c r="AU776" s="87"/>
      <c r="AV776" s="87"/>
      <c r="AW776" s="87"/>
      <c r="AX776" s="87"/>
      <c r="AY776" s="87"/>
      <c r="AZ776" s="87"/>
      <c r="BA776" s="87"/>
      <c r="BB776" s="87"/>
      <c r="BC776" s="87"/>
      <c r="BD776" s="87"/>
      <c r="BE776" s="87"/>
      <c r="BF776" s="87"/>
      <c r="BG776" s="87"/>
      <c r="BH776" s="87"/>
      <c r="BI776" s="87"/>
      <c r="BJ776" s="87"/>
      <c r="BK776" s="87"/>
      <c r="BL776" s="87"/>
      <c r="BM776" s="87"/>
      <c r="BN776" s="87"/>
      <c r="BO776" s="87"/>
      <c r="BP776" s="87"/>
      <c r="BQ776" s="87"/>
      <c r="BR776" s="87"/>
      <c r="BS776" s="87"/>
      <c r="BT776" s="87"/>
      <c r="BU776" s="87"/>
      <c r="BV776" s="87"/>
      <c r="BW776" s="87"/>
      <c r="BX776" s="87"/>
      <c r="BY776" s="87"/>
    </row>
    <row r="777" spans="3:77" x14ac:dyDescent="0.3">
      <c r="C777" s="90"/>
      <c r="D777" s="87"/>
      <c r="E777" s="91"/>
      <c r="F777" s="92"/>
      <c r="G777" s="93"/>
      <c r="H777" s="93"/>
      <c r="I777" s="93"/>
      <c r="J777" s="93"/>
      <c r="K777" s="93"/>
      <c r="L777" s="93"/>
      <c r="M777" s="93"/>
      <c r="N777" s="93"/>
      <c r="O777" s="93"/>
      <c r="P777" s="93"/>
      <c r="Q777" s="93"/>
      <c r="R777" s="87"/>
      <c r="S777" s="87"/>
      <c r="T777" s="87"/>
      <c r="U777" s="19"/>
      <c r="V777" s="87"/>
      <c r="W777" s="87"/>
      <c r="X777" s="87"/>
      <c r="Y777" s="87"/>
      <c r="Z777" s="87"/>
      <c r="AA777" s="87"/>
      <c r="AB777" s="87"/>
      <c r="AC777" s="87"/>
      <c r="AD777" s="87"/>
      <c r="AE777" s="87"/>
      <c r="AF777" s="87"/>
      <c r="AG777" s="87"/>
      <c r="AH777" s="87"/>
      <c r="AI777" s="87"/>
      <c r="AJ777" s="87"/>
      <c r="AK777" s="87"/>
      <c r="AL777" s="87"/>
      <c r="AM777" s="87"/>
      <c r="AN777" s="87"/>
      <c r="AO777" s="87"/>
      <c r="AP777" s="87"/>
      <c r="AQ777" s="87"/>
      <c r="AR777" s="87"/>
      <c r="AS777" s="87"/>
      <c r="AT777" s="87"/>
      <c r="AU777" s="87"/>
      <c r="AV777" s="87"/>
      <c r="AW777" s="87"/>
      <c r="AX777" s="87"/>
      <c r="AY777" s="87"/>
      <c r="AZ777" s="87"/>
      <c r="BA777" s="87"/>
      <c r="BB777" s="87"/>
      <c r="BC777" s="87"/>
      <c r="BD777" s="87"/>
      <c r="BE777" s="87"/>
      <c r="BF777" s="87"/>
      <c r="BG777" s="87"/>
      <c r="BH777" s="87"/>
      <c r="BI777" s="87"/>
      <c r="BJ777" s="87"/>
      <c r="BK777" s="87"/>
      <c r="BL777" s="87"/>
      <c r="BM777" s="87"/>
      <c r="BN777" s="87"/>
      <c r="BO777" s="87"/>
      <c r="BP777" s="87"/>
      <c r="BQ777" s="87"/>
      <c r="BR777" s="87"/>
      <c r="BS777" s="87"/>
      <c r="BT777" s="87"/>
      <c r="BU777" s="87"/>
      <c r="BV777" s="87"/>
      <c r="BW777" s="87"/>
      <c r="BX777" s="87"/>
      <c r="BY777" s="87"/>
    </row>
    <row r="778" spans="3:77" x14ac:dyDescent="0.3">
      <c r="C778" s="90"/>
      <c r="D778" s="87"/>
      <c r="E778" s="91"/>
      <c r="F778" s="92"/>
      <c r="G778" s="93"/>
      <c r="H778" s="93"/>
      <c r="I778" s="93"/>
      <c r="J778" s="93"/>
      <c r="K778" s="93"/>
      <c r="L778" s="93"/>
      <c r="M778" s="93"/>
      <c r="N778" s="93"/>
      <c r="O778" s="93"/>
      <c r="P778" s="93"/>
      <c r="Q778" s="93"/>
      <c r="R778" s="87"/>
      <c r="S778" s="87"/>
      <c r="T778" s="87"/>
      <c r="U778" s="19"/>
      <c r="V778" s="87"/>
      <c r="W778" s="87"/>
      <c r="X778" s="87"/>
      <c r="Y778" s="87"/>
      <c r="Z778" s="87"/>
      <c r="AA778" s="87"/>
      <c r="AB778" s="87"/>
      <c r="AC778" s="87"/>
      <c r="AD778" s="87"/>
      <c r="AE778" s="87"/>
      <c r="AF778" s="87"/>
      <c r="AG778" s="87"/>
      <c r="AH778" s="87"/>
      <c r="AI778" s="87"/>
      <c r="AJ778" s="87"/>
      <c r="AK778" s="87"/>
      <c r="AL778" s="87"/>
      <c r="AM778" s="87"/>
      <c r="AN778" s="87"/>
      <c r="AO778" s="87"/>
      <c r="AP778" s="87"/>
      <c r="AQ778" s="87"/>
      <c r="AR778" s="87"/>
      <c r="AS778" s="87"/>
      <c r="AT778" s="87"/>
      <c r="AU778" s="87"/>
      <c r="AV778" s="87"/>
      <c r="AW778" s="87"/>
      <c r="AX778" s="87"/>
      <c r="AY778" s="87"/>
      <c r="AZ778" s="87"/>
      <c r="BA778" s="87"/>
      <c r="BB778" s="87"/>
      <c r="BC778" s="87"/>
      <c r="BD778" s="87"/>
      <c r="BE778" s="87"/>
      <c r="BF778" s="87"/>
      <c r="BG778" s="87"/>
      <c r="BH778" s="87"/>
      <c r="BI778" s="87"/>
      <c r="BJ778" s="87"/>
      <c r="BK778" s="87"/>
      <c r="BL778" s="87"/>
      <c r="BM778" s="87"/>
      <c r="BN778" s="87"/>
      <c r="BO778" s="87"/>
      <c r="BP778" s="87"/>
      <c r="BQ778" s="87"/>
      <c r="BR778" s="87"/>
      <c r="BS778" s="87"/>
      <c r="BT778" s="87"/>
      <c r="BU778" s="87"/>
      <c r="BV778" s="87"/>
      <c r="BW778" s="87"/>
      <c r="BX778" s="87"/>
      <c r="BY778" s="87"/>
    </row>
    <row r="779" spans="3:77" x14ac:dyDescent="0.3">
      <c r="C779" s="90"/>
      <c r="D779" s="87"/>
      <c r="E779" s="91"/>
      <c r="F779" s="92"/>
      <c r="G779" s="93"/>
      <c r="H779" s="93"/>
      <c r="I779" s="93"/>
      <c r="J779" s="93"/>
      <c r="K779" s="93"/>
      <c r="L779" s="93"/>
      <c r="M779" s="93"/>
      <c r="N779" s="93"/>
      <c r="O779" s="93"/>
      <c r="P779" s="93"/>
      <c r="Q779" s="93"/>
      <c r="R779" s="87"/>
      <c r="S779" s="87"/>
      <c r="T779" s="87"/>
      <c r="U779" s="19"/>
      <c r="V779" s="87"/>
      <c r="W779" s="87"/>
      <c r="X779" s="87"/>
      <c r="Y779" s="87"/>
      <c r="Z779" s="87"/>
      <c r="AA779" s="87"/>
      <c r="AB779" s="87"/>
      <c r="AC779" s="87"/>
      <c r="AD779" s="87"/>
      <c r="AE779" s="87"/>
      <c r="AF779" s="87"/>
      <c r="AG779" s="87"/>
      <c r="AH779" s="87"/>
      <c r="AI779" s="87"/>
      <c r="AJ779" s="87"/>
      <c r="AK779" s="87"/>
      <c r="AL779" s="87"/>
      <c r="AM779" s="87"/>
      <c r="AN779" s="87"/>
      <c r="AO779" s="87"/>
      <c r="AP779" s="87"/>
      <c r="AQ779" s="87"/>
      <c r="AR779" s="87"/>
      <c r="AS779" s="87"/>
      <c r="AT779" s="87"/>
      <c r="AU779" s="87"/>
      <c r="AV779" s="87"/>
      <c r="AW779" s="87"/>
      <c r="AX779" s="87"/>
      <c r="AY779" s="87"/>
      <c r="AZ779" s="87"/>
      <c r="BA779" s="87"/>
      <c r="BB779" s="87"/>
      <c r="BC779" s="87"/>
      <c r="BD779" s="87"/>
      <c r="BE779" s="87"/>
      <c r="BF779" s="87"/>
      <c r="BG779" s="87"/>
      <c r="BH779" s="87"/>
      <c r="BI779" s="87"/>
      <c r="BJ779" s="87"/>
      <c r="BK779" s="87"/>
      <c r="BL779" s="87"/>
      <c r="BM779" s="87"/>
      <c r="BN779" s="87"/>
      <c r="BO779" s="87"/>
      <c r="BP779" s="87"/>
      <c r="BQ779" s="87"/>
      <c r="BR779" s="87"/>
      <c r="BS779" s="87"/>
      <c r="BT779" s="87"/>
      <c r="BU779" s="87"/>
      <c r="BV779" s="87"/>
      <c r="BW779" s="87"/>
      <c r="BX779" s="87"/>
      <c r="BY779" s="87"/>
    </row>
    <row r="780" spans="3:77" x14ac:dyDescent="0.3">
      <c r="C780" s="90"/>
      <c r="D780" s="87"/>
      <c r="E780" s="91"/>
      <c r="F780" s="92"/>
      <c r="G780" s="93"/>
      <c r="H780" s="93"/>
      <c r="I780" s="93"/>
      <c r="J780" s="93"/>
      <c r="K780" s="93"/>
      <c r="L780" s="93"/>
      <c r="M780" s="93"/>
      <c r="N780" s="93"/>
      <c r="O780" s="93"/>
      <c r="P780" s="93"/>
      <c r="Q780" s="93"/>
      <c r="R780" s="87"/>
      <c r="S780" s="87"/>
      <c r="T780" s="87"/>
      <c r="U780" s="19"/>
      <c r="V780" s="87"/>
      <c r="W780" s="87"/>
      <c r="X780" s="87"/>
      <c r="Y780" s="87"/>
      <c r="Z780" s="87"/>
      <c r="AA780" s="87"/>
      <c r="AB780" s="87"/>
      <c r="AC780" s="87"/>
      <c r="AD780" s="87"/>
      <c r="AE780" s="87"/>
      <c r="AF780" s="87"/>
      <c r="AG780" s="87"/>
      <c r="AH780" s="87"/>
      <c r="AI780" s="87"/>
      <c r="AJ780" s="87"/>
      <c r="AK780" s="87"/>
      <c r="AL780" s="87"/>
      <c r="AM780" s="87"/>
      <c r="AN780" s="87"/>
      <c r="AO780" s="87"/>
      <c r="AP780" s="87"/>
      <c r="AQ780" s="87"/>
      <c r="AR780" s="87"/>
      <c r="AS780" s="87"/>
      <c r="AT780" s="87"/>
      <c r="AU780" s="87"/>
      <c r="AV780" s="87"/>
      <c r="AW780" s="87"/>
      <c r="AX780" s="87"/>
      <c r="AY780" s="87"/>
      <c r="AZ780" s="87"/>
      <c r="BA780" s="87"/>
      <c r="BB780" s="87"/>
      <c r="BC780" s="87"/>
      <c r="BD780" s="87"/>
      <c r="BE780" s="87"/>
      <c r="BF780" s="87"/>
      <c r="BG780" s="87"/>
      <c r="BH780" s="87"/>
      <c r="BI780" s="87"/>
      <c r="BJ780" s="87"/>
      <c r="BK780" s="87"/>
      <c r="BL780" s="87"/>
      <c r="BM780" s="87"/>
      <c r="BN780" s="87"/>
      <c r="BO780" s="87"/>
      <c r="BP780" s="87"/>
      <c r="BQ780" s="87"/>
      <c r="BR780" s="87"/>
      <c r="BS780" s="87"/>
      <c r="BT780" s="87"/>
      <c r="BU780" s="87"/>
      <c r="BV780" s="87"/>
      <c r="BW780" s="87"/>
      <c r="BX780" s="87"/>
      <c r="BY780" s="87"/>
    </row>
    <row r="781" spans="3:77" x14ac:dyDescent="0.3">
      <c r="C781" s="90"/>
      <c r="D781" s="87"/>
      <c r="E781" s="91"/>
      <c r="F781" s="92"/>
      <c r="G781" s="93"/>
      <c r="H781" s="93"/>
      <c r="I781" s="93"/>
      <c r="J781" s="93"/>
      <c r="K781" s="93"/>
      <c r="L781" s="93"/>
      <c r="M781" s="93"/>
      <c r="N781" s="93"/>
      <c r="O781" s="93"/>
      <c r="P781" s="93"/>
      <c r="Q781" s="93"/>
      <c r="R781" s="87"/>
      <c r="S781" s="87"/>
      <c r="T781" s="87"/>
      <c r="U781" s="19"/>
      <c r="V781" s="87"/>
      <c r="W781" s="87"/>
      <c r="X781" s="87"/>
      <c r="Y781" s="87"/>
      <c r="Z781" s="87"/>
      <c r="AA781" s="87"/>
      <c r="AB781" s="87"/>
      <c r="AC781" s="87"/>
      <c r="AD781" s="87"/>
      <c r="AE781" s="87"/>
      <c r="AF781" s="87"/>
      <c r="AG781" s="87"/>
      <c r="AH781" s="87"/>
      <c r="AI781" s="87"/>
      <c r="AJ781" s="87"/>
      <c r="AK781" s="87"/>
      <c r="AL781" s="87"/>
      <c r="AM781" s="87"/>
      <c r="AN781" s="87"/>
      <c r="AO781" s="87"/>
      <c r="AP781" s="87"/>
      <c r="AQ781" s="87"/>
      <c r="AR781" s="87"/>
      <c r="AS781" s="87"/>
      <c r="AT781" s="87"/>
      <c r="AU781" s="87"/>
      <c r="AV781" s="87"/>
      <c r="AW781" s="87"/>
      <c r="AX781" s="87"/>
      <c r="AY781" s="87"/>
      <c r="AZ781" s="87"/>
      <c r="BA781" s="87"/>
      <c r="BB781" s="87"/>
      <c r="BC781" s="87"/>
      <c r="BD781" s="87"/>
      <c r="BE781" s="87"/>
      <c r="BF781" s="87"/>
      <c r="BG781" s="87"/>
      <c r="BH781" s="87"/>
      <c r="BI781" s="87"/>
      <c r="BJ781" s="87"/>
      <c r="BK781" s="87"/>
      <c r="BL781" s="87"/>
      <c r="BM781" s="87"/>
      <c r="BN781" s="87"/>
      <c r="BO781" s="87"/>
      <c r="BP781" s="87"/>
      <c r="BQ781" s="87"/>
      <c r="BR781" s="87"/>
      <c r="BS781" s="87"/>
      <c r="BT781" s="87"/>
      <c r="BU781" s="87"/>
      <c r="BV781" s="87"/>
      <c r="BW781" s="87"/>
      <c r="BX781" s="87"/>
      <c r="BY781" s="87"/>
    </row>
    <row r="782" spans="3:77" x14ac:dyDescent="0.3">
      <c r="C782" s="90"/>
      <c r="D782" s="87"/>
      <c r="E782" s="91"/>
      <c r="F782" s="92"/>
      <c r="G782" s="93"/>
      <c r="H782" s="93"/>
      <c r="I782" s="93"/>
      <c r="J782" s="93"/>
      <c r="K782" s="93"/>
      <c r="L782" s="93"/>
      <c r="M782" s="93"/>
      <c r="N782" s="93"/>
      <c r="O782" s="93"/>
      <c r="P782" s="93"/>
      <c r="Q782" s="93"/>
      <c r="R782" s="87"/>
      <c r="S782" s="87"/>
      <c r="T782" s="87"/>
      <c r="U782" s="19"/>
      <c r="V782" s="87"/>
      <c r="W782" s="87"/>
      <c r="X782" s="87"/>
      <c r="Y782" s="87"/>
      <c r="Z782" s="87"/>
      <c r="AA782" s="87"/>
      <c r="AB782" s="87"/>
      <c r="AC782" s="87"/>
      <c r="AD782" s="87"/>
      <c r="AE782" s="87"/>
      <c r="AF782" s="87"/>
      <c r="AG782" s="87"/>
      <c r="AH782" s="87"/>
      <c r="AI782" s="87"/>
      <c r="AJ782" s="87"/>
      <c r="AK782" s="87"/>
      <c r="AL782" s="87"/>
      <c r="AM782" s="87"/>
      <c r="AN782" s="87"/>
      <c r="AO782" s="87"/>
      <c r="AP782" s="87"/>
      <c r="AQ782" s="87"/>
      <c r="AR782" s="87"/>
      <c r="AS782" s="87"/>
      <c r="AT782" s="87"/>
      <c r="AU782" s="87"/>
      <c r="AV782" s="87"/>
      <c r="AW782" s="87"/>
      <c r="AX782" s="87"/>
      <c r="AY782" s="87"/>
      <c r="AZ782" s="87"/>
      <c r="BA782" s="87"/>
      <c r="BB782" s="87"/>
      <c r="BC782" s="87"/>
      <c r="BD782" s="87"/>
      <c r="BE782" s="87"/>
      <c r="BF782" s="87"/>
      <c r="BG782" s="87"/>
      <c r="BH782" s="87"/>
      <c r="BI782" s="87"/>
      <c r="BJ782" s="87"/>
      <c r="BK782" s="87"/>
      <c r="BL782" s="87"/>
      <c r="BM782" s="87"/>
      <c r="BN782" s="87"/>
      <c r="BO782" s="87"/>
      <c r="BP782" s="87"/>
      <c r="BQ782" s="87"/>
      <c r="BR782" s="87"/>
      <c r="BS782" s="87"/>
      <c r="BT782" s="87"/>
      <c r="BU782" s="87"/>
      <c r="BV782" s="87"/>
      <c r="BW782" s="87"/>
      <c r="BX782" s="87"/>
      <c r="BY782" s="87"/>
    </row>
    <row r="783" spans="3:77" x14ac:dyDescent="0.3">
      <c r="C783" s="90"/>
      <c r="D783" s="87"/>
      <c r="E783" s="91"/>
      <c r="F783" s="92"/>
      <c r="G783" s="93"/>
      <c r="H783" s="93"/>
      <c r="I783" s="93"/>
      <c r="J783" s="93"/>
      <c r="K783" s="93"/>
      <c r="L783" s="93"/>
      <c r="M783" s="93"/>
      <c r="N783" s="93"/>
      <c r="O783" s="93"/>
      <c r="P783" s="93"/>
      <c r="Q783" s="93"/>
      <c r="R783" s="87"/>
      <c r="S783" s="87"/>
      <c r="T783" s="87"/>
      <c r="U783" s="19"/>
      <c r="V783" s="87"/>
      <c r="W783" s="87"/>
      <c r="X783" s="87"/>
      <c r="Y783" s="87"/>
      <c r="Z783" s="87"/>
      <c r="AA783" s="87"/>
      <c r="AB783" s="87"/>
      <c r="AC783" s="87"/>
      <c r="AD783" s="87"/>
      <c r="AE783" s="87"/>
      <c r="AF783" s="87"/>
      <c r="AG783" s="87"/>
      <c r="AH783" s="87"/>
      <c r="AI783" s="87"/>
      <c r="AJ783" s="87"/>
      <c r="AK783" s="87"/>
      <c r="AL783" s="87"/>
      <c r="AM783" s="87"/>
      <c r="AN783" s="87"/>
      <c r="AO783" s="87"/>
      <c r="AP783" s="87"/>
      <c r="AQ783" s="87"/>
      <c r="AR783" s="87"/>
      <c r="AS783" s="87"/>
      <c r="AT783" s="87"/>
      <c r="AU783" s="87"/>
      <c r="AV783" s="87"/>
      <c r="AW783" s="87"/>
      <c r="AX783" s="87"/>
      <c r="AY783" s="87"/>
      <c r="AZ783" s="87"/>
      <c r="BA783" s="87"/>
      <c r="BB783" s="87"/>
      <c r="BC783" s="87"/>
      <c r="BD783" s="87"/>
      <c r="BE783" s="87"/>
      <c r="BF783" s="87"/>
      <c r="BG783" s="87"/>
      <c r="BH783" s="87"/>
      <c r="BI783" s="87"/>
      <c r="BJ783" s="87"/>
      <c r="BK783" s="87"/>
      <c r="BL783" s="87"/>
      <c r="BM783" s="87"/>
      <c r="BN783" s="87"/>
      <c r="BO783" s="87"/>
      <c r="BP783" s="87"/>
      <c r="BQ783" s="87"/>
      <c r="BR783" s="87"/>
      <c r="BS783" s="87"/>
      <c r="BT783" s="87"/>
      <c r="BU783" s="87"/>
      <c r="BV783" s="87"/>
      <c r="BW783" s="87"/>
      <c r="BX783" s="87"/>
      <c r="BY783" s="87"/>
    </row>
    <row r="784" spans="3:77" x14ac:dyDescent="0.3">
      <c r="C784" s="90"/>
      <c r="D784" s="87"/>
      <c r="E784" s="91"/>
      <c r="F784" s="92"/>
      <c r="G784" s="93"/>
      <c r="H784" s="93"/>
      <c r="I784" s="93"/>
      <c r="J784" s="93"/>
      <c r="K784" s="93"/>
      <c r="L784" s="93"/>
      <c r="M784" s="93"/>
      <c r="N784" s="93"/>
      <c r="O784" s="93"/>
      <c r="P784" s="93"/>
      <c r="Q784" s="93"/>
      <c r="R784" s="87"/>
      <c r="S784" s="87"/>
      <c r="T784" s="87"/>
      <c r="U784" s="19"/>
      <c r="V784" s="87"/>
      <c r="W784" s="87"/>
      <c r="X784" s="87"/>
      <c r="Y784" s="87"/>
      <c r="Z784" s="87"/>
      <c r="AA784" s="87"/>
      <c r="AB784" s="87"/>
      <c r="AC784" s="87"/>
      <c r="AD784" s="87"/>
      <c r="AE784" s="87"/>
      <c r="AF784" s="87"/>
      <c r="AG784" s="87"/>
      <c r="AH784" s="87"/>
      <c r="AI784" s="87"/>
      <c r="AJ784" s="87"/>
      <c r="AK784" s="87"/>
      <c r="AL784" s="87"/>
      <c r="AM784" s="87"/>
      <c r="AN784" s="87"/>
      <c r="AO784" s="87"/>
      <c r="AP784" s="87"/>
      <c r="AQ784" s="87"/>
      <c r="AR784" s="87"/>
      <c r="AS784" s="87"/>
      <c r="AT784" s="87"/>
      <c r="AU784" s="87"/>
      <c r="AV784" s="87"/>
      <c r="AW784" s="87"/>
      <c r="AX784" s="87"/>
      <c r="AY784" s="87"/>
      <c r="AZ784" s="87"/>
      <c r="BA784" s="87"/>
      <c r="BB784" s="87"/>
      <c r="BC784" s="87"/>
      <c r="BD784" s="87"/>
      <c r="BE784" s="87"/>
      <c r="BF784" s="87"/>
      <c r="BG784" s="87"/>
      <c r="BH784" s="87"/>
      <c r="BI784" s="87"/>
      <c r="BJ784" s="87"/>
      <c r="BK784" s="87"/>
      <c r="BL784" s="87"/>
      <c r="BM784" s="87"/>
      <c r="BN784" s="87"/>
      <c r="BO784" s="87"/>
      <c r="BP784" s="87"/>
      <c r="BQ784" s="87"/>
      <c r="BR784" s="87"/>
      <c r="BS784" s="87"/>
      <c r="BT784" s="87"/>
      <c r="BU784" s="87"/>
      <c r="BV784" s="87"/>
      <c r="BW784" s="87"/>
      <c r="BX784" s="87"/>
      <c r="BY784" s="87"/>
    </row>
    <row r="785" spans="3:77" x14ac:dyDescent="0.3">
      <c r="C785" s="90"/>
      <c r="D785" s="87"/>
      <c r="E785" s="91"/>
      <c r="F785" s="92"/>
      <c r="G785" s="93"/>
      <c r="H785" s="93"/>
      <c r="I785" s="93"/>
      <c r="J785" s="93"/>
      <c r="K785" s="93"/>
      <c r="L785" s="93"/>
      <c r="M785" s="93"/>
      <c r="N785" s="93"/>
      <c r="O785" s="93"/>
      <c r="P785" s="93"/>
      <c r="Q785" s="93"/>
      <c r="R785" s="87"/>
      <c r="S785" s="87"/>
      <c r="T785" s="87"/>
      <c r="U785" s="19"/>
      <c r="V785" s="87"/>
      <c r="W785" s="87"/>
      <c r="X785" s="87"/>
      <c r="Y785" s="87"/>
      <c r="Z785" s="87"/>
      <c r="AA785" s="87"/>
      <c r="AB785" s="87"/>
      <c r="AC785" s="87"/>
      <c r="AD785" s="87"/>
      <c r="AE785" s="87"/>
      <c r="AF785" s="87"/>
      <c r="AG785" s="87"/>
      <c r="AH785" s="87"/>
      <c r="AI785" s="87"/>
      <c r="AJ785" s="87"/>
      <c r="AK785" s="87"/>
      <c r="AL785" s="87"/>
      <c r="AM785" s="87"/>
      <c r="AN785" s="87"/>
      <c r="AO785" s="87"/>
      <c r="AP785" s="87"/>
      <c r="AQ785" s="87"/>
      <c r="AR785" s="87"/>
      <c r="AS785" s="87"/>
      <c r="AT785" s="87"/>
      <c r="AU785" s="87"/>
      <c r="AV785" s="87"/>
      <c r="AW785" s="87"/>
      <c r="AX785" s="87"/>
      <c r="AY785" s="87"/>
      <c r="AZ785" s="87"/>
      <c r="BA785" s="87"/>
      <c r="BB785" s="87"/>
      <c r="BC785" s="87"/>
      <c r="BD785" s="87"/>
      <c r="BE785" s="87"/>
      <c r="BF785" s="87"/>
      <c r="BG785" s="87"/>
      <c r="BH785" s="87"/>
      <c r="BI785" s="87"/>
      <c r="BJ785" s="87"/>
      <c r="BK785" s="87"/>
      <c r="BL785" s="87"/>
      <c r="BM785" s="87"/>
      <c r="BN785" s="87"/>
      <c r="BO785" s="87"/>
      <c r="BP785" s="87"/>
      <c r="BQ785" s="87"/>
      <c r="BR785" s="87"/>
      <c r="BS785" s="87"/>
      <c r="BT785" s="87"/>
      <c r="BU785" s="87"/>
      <c r="BV785" s="87"/>
      <c r="BW785" s="87"/>
      <c r="BX785" s="87"/>
      <c r="BY785" s="87"/>
    </row>
    <row r="786" spans="3:77" x14ac:dyDescent="0.3">
      <c r="C786" s="90"/>
      <c r="D786" s="87"/>
      <c r="E786" s="91"/>
      <c r="F786" s="92"/>
      <c r="G786" s="93"/>
      <c r="H786" s="93"/>
      <c r="I786" s="93"/>
      <c r="J786" s="93"/>
      <c r="K786" s="93"/>
      <c r="L786" s="93"/>
      <c r="M786" s="93"/>
      <c r="N786" s="93"/>
      <c r="O786" s="93"/>
      <c r="P786" s="93"/>
      <c r="Q786" s="93"/>
      <c r="R786" s="87"/>
      <c r="S786" s="87"/>
      <c r="T786" s="87"/>
      <c r="U786" s="19"/>
      <c r="V786" s="87"/>
      <c r="W786" s="87"/>
      <c r="X786" s="87"/>
      <c r="Y786" s="87"/>
      <c r="Z786" s="87"/>
      <c r="AA786" s="87"/>
      <c r="AB786" s="87"/>
      <c r="AC786" s="87"/>
      <c r="AD786" s="87"/>
      <c r="AE786" s="87"/>
      <c r="AF786" s="87"/>
      <c r="AG786" s="87"/>
      <c r="AH786" s="87"/>
      <c r="AI786" s="87"/>
      <c r="AJ786" s="87"/>
      <c r="AK786" s="87"/>
      <c r="AL786" s="87"/>
      <c r="AM786" s="87"/>
      <c r="AN786" s="87"/>
      <c r="AO786" s="87"/>
      <c r="AP786" s="87"/>
      <c r="AQ786" s="87"/>
      <c r="AR786" s="87"/>
      <c r="AS786" s="87"/>
      <c r="AT786" s="87"/>
      <c r="AU786" s="87"/>
      <c r="AV786" s="87"/>
      <c r="AW786" s="87"/>
      <c r="AX786" s="87"/>
      <c r="AY786" s="87"/>
      <c r="AZ786" s="87"/>
      <c r="BA786" s="87"/>
      <c r="BB786" s="87"/>
      <c r="BC786" s="87"/>
      <c r="BD786" s="87"/>
      <c r="BE786" s="87"/>
      <c r="BF786" s="87"/>
      <c r="BG786" s="87"/>
      <c r="BH786" s="87"/>
      <c r="BI786" s="87"/>
      <c r="BJ786" s="87"/>
      <c r="BK786" s="87"/>
      <c r="BL786" s="87"/>
      <c r="BM786" s="87"/>
      <c r="BN786" s="87"/>
      <c r="BO786" s="87"/>
      <c r="BP786" s="87"/>
      <c r="BQ786" s="87"/>
      <c r="BR786" s="87"/>
      <c r="BS786" s="87"/>
      <c r="BT786" s="87"/>
      <c r="BU786" s="87"/>
      <c r="BV786" s="87"/>
      <c r="BW786" s="87"/>
      <c r="BX786" s="87"/>
      <c r="BY786" s="87"/>
    </row>
    <row r="787" spans="3:77" x14ac:dyDescent="0.3">
      <c r="C787" s="90"/>
      <c r="D787" s="87"/>
      <c r="E787" s="91"/>
      <c r="F787" s="92"/>
      <c r="G787" s="93"/>
      <c r="H787" s="93"/>
      <c r="I787" s="93"/>
      <c r="J787" s="93"/>
      <c r="K787" s="93"/>
      <c r="L787" s="93"/>
      <c r="M787" s="93"/>
      <c r="N787" s="93"/>
      <c r="O787" s="93"/>
      <c r="P787" s="93"/>
      <c r="Q787" s="93"/>
      <c r="R787" s="87"/>
      <c r="S787" s="87"/>
      <c r="T787" s="87"/>
      <c r="U787" s="19"/>
      <c r="V787" s="87"/>
      <c r="W787" s="87"/>
      <c r="X787" s="87"/>
      <c r="Y787" s="87"/>
      <c r="Z787" s="87"/>
      <c r="AA787" s="87"/>
      <c r="AB787" s="87"/>
      <c r="AC787" s="87"/>
      <c r="AD787" s="87"/>
      <c r="AE787" s="87"/>
      <c r="AF787" s="87"/>
      <c r="AG787" s="87"/>
      <c r="AH787" s="87"/>
      <c r="AI787" s="87"/>
      <c r="AJ787" s="87"/>
      <c r="AK787" s="87"/>
      <c r="AL787" s="87"/>
      <c r="AM787" s="87"/>
      <c r="AN787" s="87"/>
      <c r="AO787" s="87"/>
      <c r="AP787" s="87"/>
      <c r="AQ787" s="87"/>
      <c r="AR787" s="87"/>
      <c r="AS787" s="87"/>
      <c r="AT787" s="87"/>
      <c r="AU787" s="87"/>
      <c r="AV787" s="87"/>
      <c r="AW787" s="87"/>
      <c r="AX787" s="87"/>
      <c r="AY787" s="87"/>
      <c r="AZ787" s="87"/>
      <c r="BA787" s="87"/>
      <c r="BB787" s="87"/>
      <c r="BC787" s="87"/>
      <c r="BD787" s="87"/>
      <c r="BE787" s="87"/>
      <c r="BF787" s="87"/>
      <c r="BG787" s="87"/>
      <c r="BH787" s="87"/>
      <c r="BI787" s="87"/>
      <c r="BJ787" s="87"/>
      <c r="BK787" s="87"/>
      <c r="BL787" s="87"/>
      <c r="BM787" s="87"/>
      <c r="BN787" s="87"/>
      <c r="BO787" s="87"/>
      <c r="BP787" s="87"/>
      <c r="BQ787" s="87"/>
      <c r="BR787" s="87"/>
      <c r="BS787" s="87"/>
      <c r="BT787" s="87"/>
      <c r="BU787" s="87"/>
      <c r="BV787" s="87"/>
      <c r="BW787" s="87"/>
      <c r="BX787" s="87"/>
      <c r="BY787" s="87"/>
    </row>
    <row r="788" spans="3:77" x14ac:dyDescent="0.3">
      <c r="C788" s="90"/>
      <c r="D788" s="87"/>
      <c r="E788" s="91"/>
      <c r="F788" s="92"/>
      <c r="G788" s="93"/>
      <c r="H788" s="93"/>
      <c r="I788" s="93"/>
      <c r="J788" s="93"/>
      <c r="K788" s="93"/>
      <c r="L788" s="93"/>
      <c r="M788" s="93"/>
      <c r="N788" s="93"/>
      <c r="O788" s="93"/>
      <c r="P788" s="93"/>
      <c r="Q788" s="93"/>
      <c r="R788" s="87"/>
      <c r="S788" s="87"/>
      <c r="T788" s="87"/>
      <c r="U788" s="19"/>
      <c r="V788" s="87"/>
      <c r="W788" s="87"/>
      <c r="X788" s="87"/>
      <c r="Y788" s="87"/>
      <c r="Z788" s="87"/>
      <c r="AA788" s="87"/>
      <c r="AB788" s="87"/>
      <c r="AC788" s="87"/>
      <c r="AD788" s="87"/>
      <c r="AE788" s="87"/>
      <c r="AF788" s="87"/>
      <c r="AG788" s="87"/>
      <c r="AH788" s="87"/>
      <c r="AI788" s="87"/>
      <c r="AJ788" s="87"/>
      <c r="AK788" s="87"/>
      <c r="AL788" s="87"/>
      <c r="AM788" s="87"/>
      <c r="AN788" s="87"/>
      <c r="AO788" s="87"/>
      <c r="AP788" s="87"/>
      <c r="AQ788" s="87"/>
      <c r="AR788" s="87"/>
      <c r="AS788" s="87"/>
      <c r="AT788" s="87"/>
      <c r="AU788" s="87"/>
      <c r="AV788" s="87"/>
      <c r="AW788" s="87"/>
      <c r="AX788" s="87"/>
      <c r="AY788" s="87"/>
      <c r="AZ788" s="87"/>
      <c r="BA788" s="87"/>
      <c r="BB788" s="87"/>
      <c r="BC788" s="87"/>
      <c r="BD788" s="87"/>
      <c r="BE788" s="87"/>
      <c r="BF788" s="87"/>
      <c r="BG788" s="87"/>
      <c r="BH788" s="87"/>
      <c r="BI788" s="87"/>
      <c r="BJ788" s="87"/>
      <c r="BK788" s="87"/>
      <c r="BL788" s="87"/>
      <c r="BM788" s="87"/>
      <c r="BN788" s="87"/>
      <c r="BO788" s="87"/>
      <c r="BP788" s="87"/>
      <c r="BQ788" s="87"/>
      <c r="BR788" s="87"/>
      <c r="BS788" s="87"/>
      <c r="BT788" s="87"/>
      <c r="BU788" s="87"/>
      <c r="BV788" s="87"/>
      <c r="BW788" s="87"/>
      <c r="BX788" s="87"/>
      <c r="BY788" s="87"/>
    </row>
    <row r="789" spans="3:77" x14ac:dyDescent="0.3">
      <c r="C789" s="90"/>
      <c r="D789" s="87"/>
      <c r="E789" s="91"/>
      <c r="F789" s="92"/>
      <c r="G789" s="93"/>
      <c r="H789" s="93"/>
      <c r="I789" s="93"/>
      <c r="J789" s="93"/>
      <c r="K789" s="93"/>
      <c r="L789" s="93"/>
      <c r="M789" s="93"/>
      <c r="N789" s="93"/>
      <c r="O789" s="93"/>
      <c r="P789" s="93"/>
      <c r="Q789" s="93"/>
      <c r="R789" s="87"/>
      <c r="S789" s="87"/>
      <c r="T789" s="87"/>
      <c r="U789" s="19"/>
      <c r="V789" s="87"/>
      <c r="W789" s="87"/>
      <c r="X789" s="87"/>
      <c r="Y789" s="87"/>
      <c r="Z789" s="87"/>
      <c r="AA789" s="87"/>
      <c r="AB789" s="87"/>
      <c r="AC789" s="87"/>
      <c r="AD789" s="87"/>
      <c r="AE789" s="87"/>
      <c r="AF789" s="87"/>
      <c r="AG789" s="87"/>
      <c r="AH789" s="87"/>
      <c r="AI789" s="87"/>
      <c r="AJ789" s="87"/>
      <c r="AK789" s="87"/>
      <c r="AL789" s="87"/>
      <c r="AM789" s="87"/>
      <c r="AN789" s="87"/>
      <c r="AO789" s="87"/>
      <c r="AP789" s="87"/>
      <c r="AQ789" s="87"/>
      <c r="AR789" s="87"/>
      <c r="AS789" s="87"/>
      <c r="AT789" s="87"/>
      <c r="AU789" s="87"/>
      <c r="AV789" s="87"/>
      <c r="AW789" s="87"/>
      <c r="AX789" s="87"/>
      <c r="AY789" s="87"/>
      <c r="AZ789" s="87"/>
      <c r="BA789" s="87"/>
      <c r="BB789" s="87"/>
      <c r="BC789" s="87"/>
      <c r="BD789" s="87"/>
      <c r="BE789" s="87"/>
      <c r="BF789" s="87"/>
      <c r="BG789" s="87"/>
      <c r="BH789" s="87"/>
      <c r="BI789" s="87"/>
      <c r="BJ789" s="87"/>
      <c r="BK789" s="87"/>
      <c r="BL789" s="87"/>
      <c r="BM789" s="87"/>
      <c r="BN789" s="87"/>
      <c r="BO789" s="87"/>
      <c r="BP789" s="87"/>
      <c r="BQ789" s="87"/>
      <c r="BR789" s="87"/>
      <c r="BS789" s="87"/>
      <c r="BT789" s="87"/>
      <c r="BU789" s="87"/>
      <c r="BV789" s="87"/>
      <c r="BW789" s="87"/>
      <c r="BX789" s="87"/>
      <c r="BY789" s="87"/>
    </row>
    <row r="790" spans="3:77" x14ac:dyDescent="0.3">
      <c r="C790" s="90"/>
      <c r="D790" s="87"/>
      <c r="E790" s="91"/>
      <c r="F790" s="92"/>
      <c r="G790" s="93"/>
      <c r="H790" s="93"/>
      <c r="I790" s="93"/>
      <c r="J790" s="93"/>
      <c r="K790" s="93"/>
      <c r="L790" s="93"/>
      <c r="M790" s="93"/>
      <c r="N790" s="93"/>
      <c r="O790" s="93"/>
      <c r="P790" s="93"/>
      <c r="Q790" s="93"/>
      <c r="R790" s="87"/>
      <c r="S790" s="87"/>
      <c r="T790" s="87"/>
      <c r="U790" s="19"/>
      <c r="V790" s="87"/>
      <c r="W790" s="87"/>
      <c r="X790" s="87"/>
      <c r="Y790" s="87"/>
      <c r="Z790" s="87"/>
      <c r="AA790" s="87"/>
      <c r="AB790" s="87"/>
      <c r="AC790" s="87"/>
      <c r="AD790" s="87"/>
      <c r="AE790" s="87"/>
      <c r="AF790" s="87"/>
      <c r="AG790" s="87"/>
      <c r="AH790" s="87"/>
      <c r="AI790" s="87"/>
      <c r="AJ790" s="87"/>
      <c r="AK790" s="87"/>
      <c r="AL790" s="87"/>
      <c r="AM790" s="87"/>
      <c r="AN790" s="87"/>
      <c r="AO790" s="87"/>
      <c r="AP790" s="87"/>
      <c r="AQ790" s="87"/>
      <c r="AR790" s="87"/>
      <c r="AS790" s="87"/>
      <c r="AT790" s="87"/>
      <c r="AU790" s="87"/>
      <c r="AV790" s="87"/>
      <c r="AW790" s="87"/>
      <c r="AX790" s="87"/>
      <c r="AY790" s="87"/>
      <c r="AZ790" s="87"/>
      <c r="BA790" s="87"/>
      <c r="BB790" s="87"/>
      <c r="BC790" s="87"/>
      <c r="BD790" s="87"/>
      <c r="BE790" s="87"/>
      <c r="BF790" s="87"/>
      <c r="BG790" s="87"/>
      <c r="BH790" s="87"/>
      <c r="BI790" s="87"/>
      <c r="BJ790" s="87"/>
      <c r="BK790" s="87"/>
      <c r="BL790" s="87"/>
      <c r="BM790" s="87"/>
      <c r="BN790" s="87"/>
      <c r="BO790" s="87"/>
      <c r="BP790" s="87"/>
      <c r="BQ790" s="87"/>
      <c r="BR790" s="87"/>
      <c r="BS790" s="87"/>
      <c r="BT790" s="87"/>
      <c r="BU790" s="87"/>
      <c r="BV790" s="87"/>
      <c r="BW790" s="87"/>
      <c r="BX790" s="87"/>
      <c r="BY790" s="87"/>
    </row>
    <row r="791" spans="3:77" x14ac:dyDescent="0.3">
      <c r="C791" s="90"/>
      <c r="D791" s="87"/>
      <c r="E791" s="91"/>
      <c r="F791" s="92"/>
      <c r="G791" s="93"/>
      <c r="H791" s="93"/>
      <c r="I791" s="93"/>
      <c r="J791" s="93"/>
      <c r="K791" s="93"/>
      <c r="L791" s="93"/>
      <c r="M791" s="93"/>
      <c r="N791" s="93"/>
      <c r="O791" s="93"/>
      <c r="P791" s="93"/>
      <c r="Q791" s="93"/>
      <c r="R791" s="87"/>
      <c r="S791" s="87"/>
      <c r="T791" s="87"/>
      <c r="U791" s="19"/>
      <c r="V791" s="87"/>
      <c r="W791" s="87"/>
      <c r="X791" s="87"/>
      <c r="Y791" s="87"/>
      <c r="Z791" s="87"/>
      <c r="AA791" s="87"/>
      <c r="AB791" s="87"/>
      <c r="AC791" s="87"/>
      <c r="AD791" s="87"/>
      <c r="AE791" s="87"/>
      <c r="AF791" s="87"/>
      <c r="AG791" s="87"/>
      <c r="AH791" s="87"/>
      <c r="AI791" s="87"/>
      <c r="AJ791" s="87"/>
      <c r="AK791" s="87"/>
      <c r="AL791" s="87"/>
      <c r="AM791" s="87"/>
      <c r="AN791" s="87"/>
      <c r="AO791" s="87"/>
      <c r="AP791" s="87"/>
      <c r="AQ791" s="87"/>
      <c r="AR791" s="87"/>
      <c r="AS791" s="87"/>
      <c r="AT791" s="87"/>
      <c r="AU791" s="87"/>
      <c r="AV791" s="87"/>
      <c r="AW791" s="87"/>
      <c r="AX791" s="87"/>
      <c r="AY791" s="87"/>
      <c r="AZ791" s="87"/>
      <c r="BA791" s="87"/>
      <c r="BB791" s="87"/>
      <c r="BC791" s="87"/>
      <c r="BD791" s="87"/>
      <c r="BE791" s="87"/>
      <c r="BF791" s="87"/>
      <c r="BG791" s="87"/>
      <c r="BH791" s="87"/>
      <c r="BI791" s="87"/>
      <c r="BJ791" s="87"/>
      <c r="BK791" s="87"/>
      <c r="BL791" s="87"/>
      <c r="BM791" s="87"/>
      <c r="BN791" s="87"/>
      <c r="BO791" s="87"/>
      <c r="BP791" s="87"/>
      <c r="BQ791" s="87"/>
      <c r="BR791" s="87"/>
      <c r="BS791" s="87"/>
      <c r="BT791" s="87"/>
      <c r="BU791" s="87"/>
      <c r="BV791" s="87"/>
      <c r="BW791" s="87"/>
      <c r="BX791" s="87"/>
      <c r="BY791" s="87"/>
    </row>
    <row r="792" spans="3:77" x14ac:dyDescent="0.3">
      <c r="C792" s="90"/>
      <c r="D792" s="87"/>
      <c r="E792" s="91"/>
      <c r="F792" s="92"/>
      <c r="G792" s="93"/>
      <c r="H792" s="93"/>
      <c r="I792" s="93"/>
      <c r="J792" s="93"/>
      <c r="K792" s="93"/>
      <c r="L792" s="93"/>
      <c r="M792" s="93"/>
      <c r="N792" s="93"/>
      <c r="O792" s="93"/>
      <c r="P792" s="93"/>
      <c r="Q792" s="93"/>
      <c r="R792" s="87"/>
      <c r="S792" s="87"/>
      <c r="T792" s="87"/>
      <c r="U792" s="19"/>
      <c r="V792" s="87"/>
      <c r="W792" s="87"/>
      <c r="X792" s="87"/>
      <c r="Y792" s="87"/>
      <c r="Z792" s="87"/>
      <c r="AA792" s="87"/>
      <c r="AB792" s="87"/>
      <c r="AC792" s="87"/>
      <c r="AD792" s="87"/>
      <c r="AE792" s="87"/>
      <c r="AF792" s="87"/>
      <c r="AG792" s="87"/>
      <c r="AH792" s="87"/>
      <c r="AI792" s="87"/>
      <c r="AJ792" s="87"/>
      <c r="AK792" s="87"/>
      <c r="AL792" s="87"/>
      <c r="AM792" s="87"/>
      <c r="AN792" s="87"/>
      <c r="AO792" s="87"/>
      <c r="AP792" s="87"/>
      <c r="AQ792" s="87"/>
      <c r="AR792" s="87"/>
      <c r="AS792" s="87"/>
      <c r="AT792" s="87"/>
      <c r="AU792" s="87"/>
      <c r="AV792" s="87"/>
      <c r="AW792" s="87"/>
      <c r="AX792" s="87"/>
      <c r="AY792" s="87"/>
      <c r="AZ792" s="87"/>
      <c r="BA792" s="87"/>
      <c r="BB792" s="87"/>
      <c r="BC792" s="87"/>
      <c r="BD792" s="87"/>
      <c r="BE792" s="87"/>
      <c r="BF792" s="87"/>
      <c r="BG792" s="87"/>
      <c r="BH792" s="87"/>
      <c r="BI792" s="87"/>
      <c r="BJ792" s="87"/>
      <c r="BK792" s="87"/>
      <c r="BL792" s="87"/>
      <c r="BM792" s="87"/>
      <c r="BN792" s="87"/>
      <c r="BO792" s="87"/>
      <c r="BP792" s="87"/>
      <c r="BQ792" s="87"/>
      <c r="BR792" s="87"/>
      <c r="BS792" s="87"/>
      <c r="BT792" s="87"/>
      <c r="BU792" s="87"/>
      <c r="BV792" s="87"/>
      <c r="BW792" s="87"/>
      <c r="BX792" s="87"/>
      <c r="BY792" s="87"/>
    </row>
    <row r="793" spans="3:77" x14ac:dyDescent="0.3">
      <c r="C793" s="90"/>
      <c r="D793" s="87"/>
      <c r="E793" s="91"/>
      <c r="F793" s="92"/>
      <c r="G793" s="93"/>
      <c r="H793" s="93"/>
      <c r="I793" s="93"/>
      <c r="J793" s="93"/>
      <c r="K793" s="93"/>
      <c r="L793" s="93"/>
      <c r="M793" s="93"/>
      <c r="N793" s="93"/>
      <c r="O793" s="93"/>
      <c r="P793" s="93"/>
      <c r="Q793" s="93"/>
      <c r="R793" s="87"/>
      <c r="S793" s="87"/>
      <c r="T793" s="87"/>
      <c r="U793" s="19"/>
      <c r="V793" s="87"/>
      <c r="W793" s="87"/>
      <c r="X793" s="87"/>
      <c r="Y793" s="87"/>
      <c r="Z793" s="87"/>
      <c r="AA793" s="87"/>
      <c r="AB793" s="87"/>
      <c r="AC793" s="87"/>
      <c r="AD793" s="87"/>
      <c r="AE793" s="87"/>
      <c r="AF793" s="87"/>
      <c r="AG793" s="87"/>
      <c r="AH793" s="87"/>
      <c r="AI793" s="87"/>
      <c r="AJ793" s="87"/>
      <c r="AK793" s="87"/>
      <c r="AL793" s="87"/>
      <c r="AM793" s="87"/>
      <c r="AN793" s="87"/>
      <c r="AO793" s="87"/>
      <c r="AP793" s="87"/>
      <c r="AQ793" s="87"/>
      <c r="AR793" s="87"/>
      <c r="AS793" s="87"/>
      <c r="AT793" s="87"/>
      <c r="AU793" s="87"/>
      <c r="AV793" s="87"/>
      <c r="AW793" s="87"/>
      <c r="AX793" s="87"/>
      <c r="AY793" s="87"/>
      <c r="AZ793" s="87"/>
      <c r="BA793" s="87"/>
      <c r="BB793" s="87"/>
      <c r="BC793" s="87"/>
      <c r="BD793" s="87"/>
      <c r="BE793" s="87"/>
      <c r="BF793" s="87"/>
      <c r="BG793" s="87"/>
      <c r="BH793" s="87"/>
      <c r="BI793" s="87"/>
      <c r="BJ793" s="87"/>
      <c r="BK793" s="87"/>
      <c r="BL793" s="87"/>
      <c r="BM793" s="87"/>
      <c r="BN793" s="87"/>
      <c r="BO793" s="87"/>
      <c r="BP793" s="87"/>
      <c r="BQ793" s="87"/>
      <c r="BR793" s="87"/>
      <c r="BS793" s="87"/>
      <c r="BT793" s="87"/>
      <c r="BU793" s="87"/>
      <c r="BV793" s="87"/>
      <c r="BW793" s="87"/>
      <c r="BX793" s="87"/>
      <c r="BY793" s="87"/>
    </row>
    <row r="794" spans="3:77" x14ac:dyDescent="0.3">
      <c r="C794" s="90"/>
      <c r="D794" s="87"/>
      <c r="E794" s="91"/>
      <c r="F794" s="92"/>
      <c r="G794" s="93"/>
      <c r="H794" s="93"/>
      <c r="I794" s="93"/>
      <c r="J794" s="93"/>
      <c r="K794" s="93"/>
      <c r="L794" s="93"/>
      <c r="M794" s="93"/>
      <c r="N794" s="93"/>
      <c r="O794" s="93"/>
      <c r="P794" s="93"/>
      <c r="Q794" s="93"/>
      <c r="R794" s="87"/>
      <c r="S794" s="87"/>
      <c r="T794" s="87"/>
      <c r="U794" s="19"/>
      <c r="V794" s="87"/>
      <c r="W794" s="87"/>
      <c r="X794" s="87"/>
      <c r="Y794" s="87"/>
      <c r="Z794" s="87"/>
      <c r="AA794" s="87"/>
      <c r="AB794" s="87"/>
      <c r="AC794" s="87"/>
      <c r="AD794" s="87"/>
      <c r="AE794" s="87"/>
      <c r="AF794" s="87"/>
      <c r="AG794" s="87"/>
      <c r="AH794" s="87"/>
      <c r="AI794" s="87"/>
      <c r="AJ794" s="87"/>
      <c r="AK794" s="87"/>
      <c r="AL794" s="87"/>
      <c r="AM794" s="87"/>
      <c r="AN794" s="87"/>
      <c r="AO794" s="87"/>
      <c r="AP794" s="87"/>
      <c r="AQ794" s="87"/>
      <c r="AR794" s="87"/>
      <c r="AS794" s="87"/>
      <c r="AT794" s="87"/>
      <c r="AU794" s="87"/>
      <c r="AV794" s="87"/>
      <c r="AW794" s="87"/>
      <c r="AX794" s="87"/>
      <c r="AY794" s="87"/>
      <c r="AZ794" s="87"/>
      <c r="BA794" s="87"/>
      <c r="BB794" s="87"/>
      <c r="BC794" s="87"/>
      <c r="BD794" s="87"/>
      <c r="BE794" s="87"/>
      <c r="BF794" s="87"/>
      <c r="BG794" s="87"/>
      <c r="BH794" s="87"/>
      <c r="BI794" s="87"/>
      <c r="BJ794" s="87"/>
      <c r="BK794" s="87"/>
      <c r="BL794" s="87"/>
      <c r="BM794" s="87"/>
      <c r="BN794" s="87"/>
      <c r="BO794" s="87"/>
      <c r="BP794" s="87"/>
      <c r="BQ794" s="87"/>
      <c r="BR794" s="87"/>
      <c r="BS794" s="87"/>
      <c r="BT794" s="87"/>
      <c r="BU794" s="87"/>
      <c r="BV794" s="87"/>
      <c r="BW794" s="87"/>
      <c r="BX794" s="87"/>
      <c r="BY794" s="87"/>
    </row>
    <row r="795" spans="3:77" x14ac:dyDescent="0.3">
      <c r="C795" s="90"/>
      <c r="D795" s="87"/>
      <c r="E795" s="91"/>
      <c r="F795" s="92"/>
      <c r="G795" s="93"/>
      <c r="H795" s="93"/>
      <c r="I795" s="93"/>
      <c r="J795" s="93"/>
      <c r="K795" s="93"/>
      <c r="L795" s="93"/>
      <c r="M795" s="93"/>
      <c r="N795" s="93"/>
      <c r="O795" s="93"/>
      <c r="P795" s="93"/>
      <c r="Q795" s="93"/>
      <c r="R795" s="87"/>
      <c r="S795" s="87"/>
      <c r="T795" s="87"/>
      <c r="U795" s="19"/>
      <c r="V795" s="87"/>
      <c r="W795" s="87"/>
      <c r="X795" s="87"/>
      <c r="Y795" s="87"/>
      <c r="Z795" s="87"/>
      <c r="AA795" s="87"/>
      <c r="AB795" s="87"/>
      <c r="AC795" s="87"/>
      <c r="AD795" s="87"/>
      <c r="AE795" s="87"/>
      <c r="AF795" s="87"/>
      <c r="AG795" s="87"/>
      <c r="AH795" s="87"/>
      <c r="AI795" s="87"/>
      <c r="AJ795" s="87"/>
      <c r="AK795" s="87"/>
      <c r="AL795" s="87"/>
      <c r="AM795" s="87"/>
      <c r="AN795" s="87"/>
      <c r="AO795" s="87"/>
      <c r="AP795" s="87"/>
      <c r="AQ795" s="87"/>
      <c r="AR795" s="87"/>
      <c r="AS795" s="87"/>
      <c r="AT795" s="87"/>
      <c r="AU795" s="87"/>
      <c r="AV795" s="87"/>
      <c r="AW795" s="87"/>
      <c r="AX795" s="87"/>
      <c r="AY795" s="87"/>
      <c r="AZ795" s="87"/>
      <c r="BA795" s="87"/>
      <c r="BB795" s="87"/>
      <c r="BC795" s="87"/>
      <c r="BD795" s="87"/>
      <c r="BE795" s="87"/>
      <c r="BF795" s="87"/>
      <c r="BG795" s="87"/>
      <c r="BH795" s="87"/>
      <c r="BI795" s="87"/>
      <c r="BJ795" s="87"/>
      <c r="BK795" s="87"/>
      <c r="BL795" s="87"/>
      <c r="BM795" s="87"/>
      <c r="BN795" s="87"/>
      <c r="BO795" s="87"/>
      <c r="BP795" s="87"/>
      <c r="BQ795" s="87"/>
      <c r="BR795" s="87"/>
      <c r="BS795" s="87"/>
      <c r="BT795" s="87"/>
      <c r="BU795" s="87"/>
      <c r="BV795" s="87"/>
      <c r="BW795" s="87"/>
      <c r="BX795" s="87"/>
      <c r="BY795" s="87"/>
    </row>
    <row r="796" spans="3:77" x14ac:dyDescent="0.3">
      <c r="C796" s="90"/>
      <c r="D796" s="87"/>
      <c r="E796" s="91"/>
      <c r="F796" s="92"/>
      <c r="G796" s="93"/>
      <c r="H796" s="93"/>
      <c r="I796" s="93"/>
      <c r="J796" s="93"/>
      <c r="K796" s="93"/>
      <c r="L796" s="93"/>
      <c r="M796" s="93"/>
      <c r="N796" s="93"/>
      <c r="O796" s="93"/>
      <c r="P796" s="93"/>
      <c r="Q796" s="93"/>
      <c r="R796" s="87"/>
      <c r="S796" s="87"/>
      <c r="T796" s="87"/>
      <c r="U796" s="19"/>
      <c r="V796" s="87"/>
      <c r="W796" s="87"/>
      <c r="X796" s="87"/>
      <c r="Y796" s="87"/>
      <c r="Z796" s="87"/>
      <c r="AA796" s="87"/>
      <c r="AB796" s="87"/>
      <c r="AC796" s="87"/>
      <c r="AD796" s="87"/>
      <c r="AE796" s="87"/>
      <c r="AF796" s="87"/>
      <c r="AG796" s="87"/>
      <c r="AH796" s="87"/>
      <c r="AI796" s="87"/>
      <c r="AJ796" s="87"/>
      <c r="AK796" s="87"/>
      <c r="AL796" s="87"/>
      <c r="AM796" s="87"/>
      <c r="AN796" s="87"/>
      <c r="AO796" s="87"/>
      <c r="AP796" s="87"/>
      <c r="AQ796" s="87"/>
      <c r="AR796" s="87"/>
      <c r="AS796" s="87"/>
      <c r="AT796" s="87"/>
      <c r="AU796" s="87"/>
      <c r="AV796" s="87"/>
      <c r="AW796" s="87"/>
      <c r="AX796" s="87"/>
      <c r="AY796" s="87"/>
      <c r="AZ796" s="87"/>
      <c r="BA796" s="87"/>
      <c r="BB796" s="87"/>
      <c r="BC796" s="87"/>
      <c r="BD796" s="87"/>
      <c r="BE796" s="87"/>
      <c r="BF796" s="87"/>
      <c r="BG796" s="87"/>
      <c r="BH796" s="87"/>
      <c r="BI796" s="87"/>
      <c r="BJ796" s="87"/>
      <c r="BK796" s="87"/>
      <c r="BL796" s="87"/>
      <c r="BM796" s="87"/>
      <c r="BN796" s="87"/>
      <c r="BO796" s="87"/>
      <c r="BP796" s="87"/>
      <c r="BQ796" s="87"/>
      <c r="BR796" s="87"/>
      <c r="BS796" s="87"/>
      <c r="BT796" s="87"/>
      <c r="BU796" s="87"/>
      <c r="BV796" s="87"/>
      <c r="BW796" s="87"/>
      <c r="BX796" s="87"/>
      <c r="BY796" s="87"/>
    </row>
    <row r="797" spans="3:77" x14ac:dyDescent="0.3">
      <c r="C797" s="90"/>
      <c r="D797" s="87"/>
      <c r="E797" s="91"/>
      <c r="F797" s="92"/>
      <c r="G797" s="93"/>
      <c r="H797" s="93"/>
      <c r="I797" s="93"/>
      <c r="J797" s="93"/>
      <c r="K797" s="93"/>
      <c r="L797" s="93"/>
      <c r="M797" s="93"/>
      <c r="N797" s="93"/>
      <c r="O797" s="93"/>
      <c r="P797" s="93"/>
      <c r="Q797" s="93"/>
      <c r="R797" s="87"/>
      <c r="S797" s="87"/>
      <c r="T797" s="87"/>
      <c r="U797" s="19"/>
      <c r="V797" s="87"/>
      <c r="W797" s="87"/>
      <c r="X797" s="87"/>
      <c r="Y797" s="87"/>
      <c r="Z797" s="87"/>
      <c r="AA797" s="87"/>
      <c r="AB797" s="87"/>
      <c r="AC797" s="87"/>
      <c r="AD797" s="87"/>
      <c r="AE797" s="87"/>
      <c r="AF797" s="87"/>
      <c r="AG797" s="87"/>
      <c r="AH797" s="87"/>
      <c r="AI797" s="87"/>
      <c r="AJ797" s="87"/>
      <c r="AK797" s="87"/>
      <c r="AL797" s="87"/>
      <c r="AM797" s="87"/>
      <c r="AN797" s="87"/>
      <c r="AO797" s="87"/>
      <c r="AP797" s="87"/>
      <c r="AQ797" s="87"/>
      <c r="AR797" s="87"/>
      <c r="AS797" s="87"/>
      <c r="AT797" s="87"/>
      <c r="AU797" s="87"/>
      <c r="AV797" s="87"/>
      <c r="AW797" s="87"/>
      <c r="AX797" s="87"/>
      <c r="AY797" s="87"/>
      <c r="AZ797" s="87"/>
      <c r="BA797" s="87"/>
      <c r="BB797" s="87"/>
      <c r="BC797" s="87"/>
      <c r="BD797" s="87"/>
      <c r="BE797" s="87"/>
      <c r="BF797" s="87"/>
      <c r="BG797" s="87"/>
      <c r="BH797" s="87"/>
      <c r="BI797" s="87"/>
      <c r="BJ797" s="87"/>
      <c r="BK797" s="87"/>
      <c r="BL797" s="87"/>
      <c r="BM797" s="87"/>
      <c r="BN797" s="87"/>
      <c r="BO797" s="87"/>
      <c r="BP797" s="87"/>
      <c r="BQ797" s="87"/>
      <c r="BR797" s="87"/>
      <c r="BS797" s="87"/>
      <c r="BT797" s="87"/>
      <c r="BU797" s="87"/>
      <c r="BV797" s="87"/>
      <c r="BW797" s="87"/>
      <c r="BX797" s="87"/>
      <c r="BY797" s="87"/>
    </row>
    <row r="798" spans="3:77" x14ac:dyDescent="0.3">
      <c r="C798" s="90"/>
      <c r="D798" s="87"/>
      <c r="E798" s="91"/>
      <c r="F798" s="92"/>
      <c r="G798" s="93"/>
      <c r="H798" s="93"/>
      <c r="I798" s="93"/>
      <c r="J798" s="93"/>
      <c r="K798" s="93"/>
      <c r="L798" s="93"/>
      <c r="M798" s="93"/>
      <c r="N798" s="93"/>
      <c r="O798" s="93"/>
      <c r="P798" s="93"/>
      <c r="Q798" s="93"/>
      <c r="R798" s="87"/>
      <c r="S798" s="87"/>
      <c r="T798" s="87"/>
      <c r="U798" s="19"/>
      <c r="V798" s="87"/>
      <c r="W798" s="87"/>
      <c r="X798" s="87"/>
      <c r="Y798" s="87"/>
      <c r="Z798" s="87"/>
      <c r="AA798" s="87"/>
      <c r="AB798" s="87"/>
      <c r="AC798" s="87"/>
      <c r="AD798" s="87"/>
      <c r="AE798" s="87"/>
      <c r="AF798" s="87"/>
      <c r="AG798" s="87"/>
      <c r="AH798" s="87"/>
      <c r="AI798" s="87"/>
      <c r="AJ798" s="87"/>
      <c r="AK798" s="87"/>
      <c r="AL798" s="87"/>
      <c r="AM798" s="87"/>
      <c r="AN798" s="87"/>
      <c r="AO798" s="87"/>
      <c r="AP798" s="87"/>
      <c r="AQ798" s="87"/>
      <c r="AR798" s="87"/>
      <c r="AS798" s="87"/>
      <c r="AT798" s="87"/>
      <c r="AU798" s="87"/>
      <c r="AV798" s="87"/>
      <c r="AW798" s="87"/>
      <c r="AX798" s="87"/>
      <c r="AY798" s="87"/>
      <c r="AZ798" s="87"/>
      <c r="BA798" s="87"/>
      <c r="BB798" s="87"/>
      <c r="BC798" s="87"/>
      <c r="BD798" s="87"/>
      <c r="BE798" s="87"/>
      <c r="BF798" s="87"/>
      <c r="BG798" s="87"/>
      <c r="BH798" s="87"/>
      <c r="BI798" s="87"/>
      <c r="BJ798" s="87"/>
      <c r="BK798" s="87"/>
      <c r="BL798" s="87"/>
      <c r="BM798" s="87"/>
      <c r="BN798" s="87"/>
      <c r="BO798" s="87"/>
      <c r="BP798" s="87"/>
      <c r="BQ798" s="87"/>
      <c r="BR798" s="87"/>
      <c r="BS798" s="87"/>
      <c r="BT798" s="87"/>
      <c r="BU798" s="87"/>
      <c r="BV798" s="87"/>
      <c r="BW798" s="87"/>
      <c r="BX798" s="87"/>
      <c r="BY798" s="87"/>
    </row>
    <row r="799" spans="3:77" x14ac:dyDescent="0.3">
      <c r="C799" s="90"/>
      <c r="D799" s="87"/>
      <c r="E799" s="91"/>
      <c r="F799" s="92"/>
      <c r="G799" s="93"/>
      <c r="H799" s="93"/>
      <c r="I799" s="93"/>
      <c r="J799" s="93"/>
      <c r="K799" s="93"/>
      <c r="L799" s="93"/>
      <c r="M799" s="93"/>
      <c r="N799" s="93"/>
      <c r="O799" s="93"/>
      <c r="P799" s="93"/>
      <c r="Q799" s="93"/>
      <c r="R799" s="87"/>
      <c r="S799" s="87"/>
      <c r="T799" s="87"/>
      <c r="U799" s="19"/>
      <c r="V799" s="87"/>
      <c r="W799" s="87"/>
      <c r="X799" s="87"/>
      <c r="Y799" s="87"/>
      <c r="Z799" s="87"/>
      <c r="AA799" s="87"/>
      <c r="AB799" s="87"/>
      <c r="AC799" s="87"/>
      <c r="AD799" s="87"/>
      <c r="AE799" s="87"/>
      <c r="AF799" s="87"/>
      <c r="AG799" s="87"/>
      <c r="AH799" s="87"/>
      <c r="AI799" s="87"/>
      <c r="AJ799" s="87"/>
      <c r="AK799" s="87"/>
      <c r="AL799" s="87"/>
      <c r="AM799" s="87"/>
      <c r="AN799" s="87"/>
      <c r="AO799" s="87"/>
      <c r="AP799" s="87"/>
      <c r="AQ799" s="87"/>
      <c r="AR799" s="87"/>
      <c r="AS799" s="87"/>
      <c r="AT799" s="87"/>
      <c r="AU799" s="87"/>
      <c r="AV799" s="87"/>
      <c r="AW799" s="87"/>
      <c r="AX799" s="87"/>
      <c r="AY799" s="87"/>
      <c r="AZ799" s="87"/>
      <c r="BA799" s="87"/>
      <c r="BB799" s="87"/>
      <c r="BC799" s="87"/>
      <c r="BD799" s="87"/>
      <c r="BE799" s="87"/>
      <c r="BF799" s="87"/>
      <c r="BG799" s="87"/>
      <c r="BH799" s="87"/>
      <c r="BI799" s="87"/>
      <c r="BJ799" s="87"/>
      <c r="BK799" s="87"/>
      <c r="BL799" s="87"/>
      <c r="BM799" s="87"/>
      <c r="BN799" s="87"/>
      <c r="BO799" s="87"/>
      <c r="BP799" s="87"/>
      <c r="BQ799" s="87"/>
      <c r="BR799" s="87"/>
      <c r="BS799" s="87"/>
      <c r="BT799" s="87"/>
      <c r="BU799" s="87"/>
      <c r="BV799" s="87"/>
      <c r="BW799" s="87"/>
      <c r="BX799" s="87"/>
      <c r="BY799" s="87"/>
    </row>
    <row r="800" spans="3:77" x14ac:dyDescent="0.3">
      <c r="C800" s="90"/>
      <c r="D800" s="87"/>
      <c r="E800" s="91"/>
      <c r="F800" s="92"/>
      <c r="G800" s="93"/>
      <c r="H800" s="93"/>
      <c r="I800" s="93"/>
      <c r="J800" s="93"/>
      <c r="K800" s="93"/>
      <c r="L800" s="93"/>
      <c r="M800" s="93"/>
      <c r="N800" s="93"/>
      <c r="O800" s="93"/>
      <c r="P800" s="93"/>
      <c r="Q800" s="93"/>
      <c r="R800" s="87"/>
      <c r="S800" s="87"/>
      <c r="T800" s="87"/>
      <c r="U800" s="19"/>
      <c r="V800" s="87"/>
      <c r="W800" s="87"/>
      <c r="X800" s="87"/>
      <c r="Y800" s="87"/>
      <c r="Z800" s="87"/>
      <c r="AA800" s="87"/>
      <c r="AB800" s="87"/>
      <c r="AC800" s="87"/>
      <c r="AD800" s="87"/>
      <c r="AE800" s="87"/>
      <c r="AF800" s="87"/>
      <c r="AG800" s="87"/>
      <c r="AH800" s="87"/>
      <c r="AI800" s="87"/>
      <c r="AJ800" s="87"/>
      <c r="AK800" s="87"/>
      <c r="AL800" s="87"/>
      <c r="AM800" s="87"/>
      <c r="AN800" s="87"/>
      <c r="AO800" s="87"/>
      <c r="AP800" s="87"/>
      <c r="AQ800" s="87"/>
      <c r="AR800" s="87"/>
      <c r="AS800" s="87"/>
      <c r="AT800" s="87"/>
      <c r="AU800" s="87"/>
      <c r="AV800" s="87"/>
      <c r="AW800" s="87"/>
      <c r="AX800" s="87"/>
      <c r="AY800" s="87"/>
      <c r="AZ800" s="87"/>
      <c r="BA800" s="87"/>
      <c r="BB800" s="87"/>
      <c r="BC800" s="87"/>
      <c r="BD800" s="87"/>
      <c r="BE800" s="87"/>
      <c r="BF800" s="87"/>
      <c r="BG800" s="87"/>
      <c r="BH800" s="87"/>
      <c r="BI800" s="87"/>
      <c r="BJ800" s="87"/>
      <c r="BK800" s="87"/>
      <c r="BL800" s="87"/>
      <c r="BM800" s="87"/>
      <c r="BN800" s="87"/>
      <c r="BO800" s="87"/>
      <c r="BP800" s="87"/>
      <c r="BQ800" s="87"/>
      <c r="BR800" s="87"/>
      <c r="BS800" s="87"/>
      <c r="BT800" s="87"/>
      <c r="BU800" s="87"/>
      <c r="BV800" s="87"/>
      <c r="BW800" s="87"/>
      <c r="BX800" s="87"/>
      <c r="BY800" s="87"/>
    </row>
    <row r="801" spans="3:77" x14ac:dyDescent="0.3">
      <c r="C801" s="90"/>
      <c r="D801" s="87"/>
      <c r="E801" s="91"/>
      <c r="F801" s="92"/>
      <c r="G801" s="93"/>
      <c r="H801" s="93"/>
      <c r="I801" s="93"/>
      <c r="J801" s="93"/>
      <c r="K801" s="93"/>
      <c r="L801" s="93"/>
      <c r="M801" s="93"/>
      <c r="N801" s="93"/>
      <c r="O801" s="93"/>
      <c r="P801" s="93"/>
      <c r="Q801" s="93"/>
      <c r="R801" s="87"/>
      <c r="S801" s="87"/>
      <c r="T801" s="87"/>
      <c r="U801" s="19"/>
      <c r="V801" s="87"/>
      <c r="W801" s="87"/>
      <c r="X801" s="87"/>
      <c r="Y801" s="87"/>
      <c r="Z801" s="87"/>
      <c r="AA801" s="87"/>
      <c r="AB801" s="87"/>
      <c r="AC801" s="87"/>
      <c r="AD801" s="87"/>
      <c r="AE801" s="87"/>
      <c r="AF801" s="87"/>
      <c r="AG801" s="87"/>
      <c r="AH801" s="87"/>
      <c r="AI801" s="87"/>
      <c r="AJ801" s="87"/>
      <c r="AK801" s="87"/>
      <c r="AL801" s="87"/>
      <c r="AM801" s="87"/>
      <c r="AN801" s="87"/>
      <c r="AO801" s="87"/>
      <c r="AP801" s="87"/>
      <c r="AQ801" s="87"/>
      <c r="AR801" s="87"/>
      <c r="AS801" s="87"/>
      <c r="AT801" s="87"/>
      <c r="AU801" s="87"/>
      <c r="AV801" s="87"/>
      <c r="AW801" s="87"/>
      <c r="AX801" s="87"/>
      <c r="AY801" s="87"/>
      <c r="AZ801" s="87"/>
      <c r="BA801" s="87"/>
      <c r="BB801" s="87"/>
      <c r="BC801" s="87"/>
      <c r="BD801" s="87"/>
      <c r="BE801" s="87"/>
      <c r="BF801" s="87"/>
      <c r="BG801" s="87"/>
      <c r="BH801" s="87"/>
      <c r="BI801" s="87"/>
      <c r="BJ801" s="87"/>
      <c r="BK801" s="87"/>
      <c r="BL801" s="87"/>
      <c r="BM801" s="87"/>
      <c r="BN801" s="87"/>
      <c r="BO801" s="87"/>
      <c r="BP801" s="87"/>
      <c r="BQ801" s="87"/>
      <c r="BR801" s="87"/>
      <c r="BS801" s="87"/>
      <c r="BT801" s="87"/>
      <c r="BU801" s="87"/>
      <c r="BV801" s="87"/>
      <c r="BW801" s="87"/>
      <c r="BX801" s="87"/>
      <c r="BY801" s="87"/>
    </row>
    <row r="802" spans="3:77" x14ac:dyDescent="0.3">
      <c r="C802" s="90"/>
      <c r="D802" s="87"/>
      <c r="E802" s="91"/>
      <c r="F802" s="92"/>
      <c r="G802" s="93"/>
      <c r="H802" s="93"/>
      <c r="I802" s="93"/>
      <c r="J802" s="93"/>
      <c r="K802" s="93"/>
      <c r="L802" s="93"/>
      <c r="M802" s="93"/>
      <c r="N802" s="93"/>
      <c r="O802" s="93"/>
      <c r="P802" s="93"/>
      <c r="Q802" s="93"/>
      <c r="R802" s="87"/>
      <c r="S802" s="87"/>
      <c r="T802" s="87"/>
      <c r="U802" s="19"/>
      <c r="V802" s="87"/>
      <c r="W802" s="87"/>
      <c r="X802" s="87"/>
      <c r="Y802" s="87"/>
      <c r="Z802" s="87"/>
      <c r="AA802" s="87"/>
      <c r="AB802" s="87"/>
      <c r="AC802" s="87"/>
      <c r="AD802" s="87"/>
      <c r="AE802" s="87"/>
      <c r="AF802" s="87"/>
      <c r="AG802" s="87"/>
      <c r="AH802" s="87"/>
      <c r="AI802" s="87"/>
      <c r="AJ802" s="87"/>
      <c r="AK802" s="87"/>
      <c r="AL802" s="87"/>
      <c r="AM802" s="87"/>
      <c r="AN802" s="87"/>
      <c r="AO802" s="87"/>
      <c r="AP802" s="87"/>
      <c r="AQ802" s="87"/>
      <c r="AR802" s="87"/>
      <c r="AS802" s="87"/>
      <c r="AT802" s="87"/>
      <c r="AU802" s="87"/>
      <c r="AV802" s="87"/>
      <c r="AW802" s="87"/>
      <c r="AX802" s="87"/>
      <c r="AY802" s="87"/>
      <c r="AZ802" s="87"/>
      <c r="BA802" s="87"/>
      <c r="BB802" s="87"/>
      <c r="BC802" s="87"/>
      <c r="BD802" s="87"/>
      <c r="BE802" s="87"/>
      <c r="BF802" s="87"/>
      <c r="BG802" s="87"/>
      <c r="BH802" s="87"/>
      <c r="BI802" s="87"/>
      <c r="BJ802" s="87"/>
      <c r="BK802" s="87"/>
      <c r="BL802" s="87"/>
      <c r="BM802" s="87"/>
      <c r="BN802" s="87"/>
      <c r="BO802" s="87"/>
      <c r="BP802" s="87"/>
      <c r="BQ802" s="87"/>
      <c r="BR802" s="87"/>
      <c r="BS802" s="87"/>
      <c r="BT802" s="87"/>
      <c r="BU802" s="87"/>
      <c r="BV802" s="87"/>
      <c r="BW802" s="87"/>
      <c r="BX802" s="87"/>
      <c r="BY802" s="87"/>
    </row>
    <row r="803" spans="3:77" x14ac:dyDescent="0.3">
      <c r="C803" s="90"/>
      <c r="D803" s="87"/>
      <c r="E803" s="91"/>
      <c r="F803" s="92"/>
      <c r="G803" s="93"/>
      <c r="H803" s="93"/>
      <c r="I803" s="93"/>
      <c r="J803" s="93"/>
      <c r="K803" s="93"/>
      <c r="L803" s="93"/>
      <c r="M803" s="93"/>
      <c r="N803" s="93"/>
      <c r="O803" s="93"/>
      <c r="P803" s="93"/>
      <c r="Q803" s="93"/>
      <c r="R803" s="87"/>
      <c r="S803" s="87"/>
      <c r="T803" s="87"/>
      <c r="U803" s="19"/>
      <c r="V803" s="87"/>
      <c r="W803" s="87"/>
      <c r="X803" s="87"/>
      <c r="Y803" s="87"/>
      <c r="Z803" s="87"/>
      <c r="AA803" s="87"/>
      <c r="AB803" s="87"/>
      <c r="AC803" s="87"/>
      <c r="AD803" s="87"/>
      <c r="AE803" s="87"/>
      <c r="AF803" s="87"/>
      <c r="AG803" s="87"/>
      <c r="AH803" s="87"/>
      <c r="AI803" s="87"/>
      <c r="AJ803" s="87"/>
      <c r="AK803" s="87"/>
      <c r="AL803" s="87"/>
      <c r="AM803" s="87"/>
      <c r="AN803" s="87"/>
      <c r="AO803" s="87"/>
      <c r="AP803" s="87"/>
      <c r="AQ803" s="87"/>
      <c r="AR803" s="87"/>
      <c r="AS803" s="87"/>
      <c r="AT803" s="87"/>
      <c r="AU803" s="87"/>
      <c r="AV803" s="87"/>
      <c r="AW803" s="87"/>
      <c r="AX803" s="87"/>
      <c r="AY803" s="87"/>
      <c r="AZ803" s="87"/>
      <c r="BA803" s="87"/>
      <c r="BB803" s="87"/>
      <c r="BC803" s="87"/>
      <c r="BD803" s="87"/>
      <c r="BE803" s="87"/>
      <c r="BF803" s="87"/>
      <c r="BG803" s="87"/>
      <c r="BH803" s="87"/>
      <c r="BI803" s="87"/>
      <c r="BJ803" s="87"/>
      <c r="BK803" s="87"/>
      <c r="BL803" s="87"/>
      <c r="BM803" s="87"/>
      <c r="BN803" s="87"/>
      <c r="BO803" s="87"/>
      <c r="BP803" s="87"/>
      <c r="BQ803" s="87"/>
      <c r="BR803" s="87"/>
      <c r="BS803" s="87"/>
      <c r="BT803" s="87"/>
      <c r="BU803" s="87"/>
      <c r="BV803" s="87"/>
      <c r="BW803" s="87"/>
      <c r="BX803" s="87"/>
      <c r="BY803" s="87"/>
    </row>
    <row r="804" spans="3:77" x14ac:dyDescent="0.3">
      <c r="C804" s="90"/>
      <c r="D804" s="87"/>
      <c r="E804" s="91"/>
      <c r="F804" s="92"/>
      <c r="G804" s="93"/>
      <c r="H804" s="93"/>
      <c r="I804" s="93"/>
      <c r="J804" s="93"/>
      <c r="K804" s="93"/>
      <c r="L804" s="93"/>
      <c r="M804" s="93"/>
      <c r="N804" s="93"/>
      <c r="O804" s="93"/>
      <c r="P804" s="93"/>
      <c r="Q804" s="93"/>
      <c r="R804" s="87"/>
      <c r="S804" s="87"/>
      <c r="T804" s="87"/>
      <c r="U804" s="19"/>
      <c r="V804" s="87"/>
      <c r="W804" s="87"/>
      <c r="X804" s="87"/>
      <c r="Y804" s="87"/>
      <c r="Z804" s="87"/>
      <c r="AA804" s="87"/>
      <c r="AB804" s="87"/>
      <c r="AC804" s="87"/>
      <c r="AD804" s="87"/>
      <c r="AE804" s="87"/>
      <c r="AF804" s="87"/>
      <c r="AG804" s="87"/>
      <c r="AH804" s="87"/>
      <c r="AI804" s="87"/>
      <c r="AJ804" s="87"/>
      <c r="AK804" s="87"/>
      <c r="AL804" s="87"/>
      <c r="AM804" s="87"/>
      <c r="AN804" s="87"/>
      <c r="AO804" s="87"/>
      <c r="AP804" s="87"/>
      <c r="AQ804" s="87"/>
      <c r="AR804" s="87"/>
      <c r="AS804" s="87"/>
      <c r="AT804" s="87"/>
      <c r="AU804" s="87"/>
      <c r="AV804" s="87"/>
      <c r="AW804" s="87"/>
      <c r="AX804" s="87"/>
      <c r="AY804" s="87"/>
      <c r="AZ804" s="87"/>
      <c r="BA804" s="87"/>
      <c r="BB804" s="87"/>
      <c r="BC804" s="87"/>
      <c r="BD804" s="87"/>
      <c r="BE804" s="87"/>
      <c r="BF804" s="87"/>
      <c r="BG804" s="87"/>
      <c r="BH804" s="87"/>
      <c r="BI804" s="87"/>
      <c r="BJ804" s="87"/>
      <c r="BK804" s="87"/>
      <c r="BL804" s="87"/>
      <c r="BM804" s="87"/>
      <c r="BN804" s="87"/>
      <c r="BO804" s="87"/>
      <c r="BP804" s="87"/>
      <c r="BQ804" s="87"/>
      <c r="BR804" s="87"/>
      <c r="BS804" s="87"/>
      <c r="BT804" s="87"/>
      <c r="BU804" s="87"/>
      <c r="BV804" s="87"/>
      <c r="BW804" s="87"/>
      <c r="BX804" s="87"/>
      <c r="BY804" s="87"/>
    </row>
    <row r="805" spans="3:77" x14ac:dyDescent="0.3">
      <c r="C805" s="90"/>
      <c r="D805" s="87"/>
      <c r="E805" s="91"/>
      <c r="F805" s="92"/>
      <c r="G805" s="93"/>
      <c r="H805" s="93"/>
      <c r="I805" s="93"/>
      <c r="J805" s="93"/>
      <c r="K805" s="93"/>
      <c r="L805" s="93"/>
      <c r="M805" s="93"/>
      <c r="N805" s="93"/>
      <c r="O805" s="93"/>
      <c r="P805" s="93"/>
      <c r="Q805" s="93"/>
      <c r="R805" s="87"/>
      <c r="S805" s="87"/>
      <c r="T805" s="87"/>
      <c r="U805" s="19"/>
      <c r="V805" s="87"/>
      <c r="W805" s="87"/>
      <c r="X805" s="87"/>
      <c r="Y805" s="87"/>
      <c r="Z805" s="87"/>
      <c r="AA805" s="87"/>
      <c r="AB805" s="87"/>
      <c r="AC805" s="87"/>
      <c r="AD805" s="87"/>
      <c r="AE805" s="87"/>
      <c r="AF805" s="87"/>
      <c r="AG805" s="87"/>
      <c r="AH805" s="87"/>
      <c r="AI805" s="87"/>
      <c r="AJ805" s="87"/>
      <c r="AK805" s="87"/>
      <c r="AL805" s="87"/>
      <c r="AM805" s="87"/>
      <c r="AN805" s="87"/>
      <c r="AO805" s="87"/>
      <c r="AP805" s="87"/>
      <c r="AQ805" s="87"/>
      <c r="AR805" s="87"/>
      <c r="AS805" s="87"/>
      <c r="AT805" s="87"/>
      <c r="AU805" s="87"/>
      <c r="AV805" s="87"/>
      <c r="AW805" s="87"/>
      <c r="AX805" s="87"/>
      <c r="AY805" s="87"/>
      <c r="AZ805" s="87"/>
      <c r="BA805" s="87"/>
      <c r="BB805" s="87"/>
      <c r="BC805" s="87"/>
      <c r="BD805" s="87"/>
      <c r="BE805" s="87"/>
      <c r="BF805" s="87"/>
      <c r="BG805" s="87"/>
      <c r="BH805" s="87"/>
      <c r="BI805" s="87"/>
      <c r="BJ805" s="87"/>
      <c r="BK805" s="87"/>
      <c r="BL805" s="87"/>
      <c r="BM805" s="87"/>
      <c r="BN805" s="87"/>
      <c r="BO805" s="87"/>
      <c r="BP805" s="87"/>
      <c r="BQ805" s="87"/>
      <c r="BR805" s="87"/>
      <c r="BS805" s="87"/>
      <c r="BT805" s="87"/>
      <c r="BU805" s="87"/>
      <c r="BV805" s="87"/>
      <c r="BW805" s="87"/>
      <c r="BX805" s="87"/>
      <c r="BY805" s="87"/>
    </row>
    <row r="806" spans="3:77" x14ac:dyDescent="0.3">
      <c r="C806" s="90"/>
      <c r="D806" s="87"/>
      <c r="E806" s="91"/>
      <c r="F806" s="92"/>
      <c r="G806" s="93"/>
      <c r="H806" s="93"/>
      <c r="I806" s="93"/>
      <c r="J806" s="93"/>
      <c r="K806" s="93"/>
      <c r="L806" s="93"/>
      <c r="M806" s="93"/>
      <c r="N806" s="93"/>
      <c r="O806" s="93"/>
      <c r="P806" s="93"/>
      <c r="Q806" s="93"/>
      <c r="R806" s="87"/>
      <c r="S806" s="87"/>
      <c r="T806" s="87"/>
      <c r="U806" s="19"/>
      <c r="V806" s="87"/>
      <c r="W806" s="87"/>
      <c r="X806" s="87"/>
      <c r="Y806" s="87"/>
      <c r="Z806" s="87"/>
      <c r="AA806" s="87"/>
      <c r="AB806" s="87"/>
      <c r="AC806" s="87"/>
      <c r="AD806" s="87"/>
      <c r="AE806" s="87"/>
      <c r="AF806" s="87"/>
      <c r="AG806" s="87"/>
      <c r="AH806" s="87"/>
      <c r="AI806" s="87"/>
      <c r="AJ806" s="87"/>
      <c r="AK806" s="87"/>
      <c r="AL806" s="87"/>
      <c r="AM806" s="87"/>
      <c r="AN806" s="87"/>
      <c r="AO806" s="87"/>
      <c r="AP806" s="87"/>
      <c r="AQ806" s="87"/>
      <c r="AR806" s="87"/>
      <c r="AS806" s="87"/>
      <c r="AT806" s="87"/>
      <c r="AU806" s="87"/>
      <c r="AV806" s="87"/>
      <c r="AW806" s="87"/>
      <c r="AX806" s="87"/>
      <c r="AY806" s="87"/>
      <c r="AZ806" s="87"/>
      <c r="BA806" s="87"/>
      <c r="BB806" s="87"/>
      <c r="BC806" s="87"/>
      <c r="BD806" s="87"/>
      <c r="BE806" s="87"/>
      <c r="BF806" s="87"/>
      <c r="BG806" s="87"/>
      <c r="BH806" s="87"/>
      <c r="BI806" s="87"/>
      <c r="BJ806" s="87"/>
      <c r="BK806" s="87"/>
      <c r="BL806" s="87"/>
      <c r="BM806" s="87"/>
      <c r="BN806" s="87"/>
      <c r="BO806" s="87"/>
      <c r="BP806" s="87"/>
      <c r="BQ806" s="87"/>
      <c r="BR806" s="87"/>
      <c r="BS806" s="87"/>
      <c r="BT806" s="87"/>
      <c r="BU806" s="87"/>
      <c r="BV806" s="87"/>
      <c r="BW806" s="87"/>
      <c r="BX806" s="87"/>
      <c r="BY806" s="87"/>
    </row>
    <row r="807" spans="3:77" x14ac:dyDescent="0.3">
      <c r="C807" s="90"/>
      <c r="D807" s="87"/>
      <c r="E807" s="91"/>
      <c r="F807" s="92"/>
      <c r="G807" s="93"/>
      <c r="H807" s="93"/>
      <c r="I807" s="93"/>
      <c r="J807" s="93"/>
      <c r="K807" s="93"/>
      <c r="L807" s="93"/>
      <c r="M807" s="93"/>
      <c r="N807" s="93"/>
      <c r="O807" s="93"/>
      <c r="P807" s="93"/>
      <c r="Q807" s="93"/>
      <c r="R807" s="87"/>
      <c r="S807" s="87"/>
      <c r="T807" s="87"/>
      <c r="U807" s="19"/>
      <c r="V807" s="87"/>
      <c r="W807" s="87"/>
      <c r="X807" s="87"/>
      <c r="Y807" s="87"/>
      <c r="Z807" s="87"/>
      <c r="AA807" s="87"/>
      <c r="AB807" s="87"/>
      <c r="AC807" s="87"/>
      <c r="AD807" s="87"/>
      <c r="AE807" s="87"/>
      <c r="AF807" s="87"/>
      <c r="AG807" s="87"/>
      <c r="AH807" s="87"/>
      <c r="AI807" s="87"/>
      <c r="AJ807" s="87"/>
      <c r="AK807" s="87"/>
      <c r="AL807" s="87"/>
      <c r="AM807" s="87"/>
      <c r="AN807" s="87"/>
      <c r="AO807" s="87"/>
      <c r="AP807" s="87"/>
      <c r="AQ807" s="87"/>
      <c r="AR807" s="87"/>
      <c r="AS807" s="87"/>
      <c r="AT807" s="87"/>
      <c r="AU807" s="87"/>
      <c r="AV807" s="87"/>
      <c r="AW807" s="87"/>
      <c r="AX807" s="87"/>
      <c r="AY807" s="87"/>
      <c r="AZ807" s="87"/>
      <c r="BA807" s="87"/>
      <c r="BB807" s="87"/>
      <c r="BC807" s="87"/>
      <c r="BD807" s="87"/>
      <c r="BE807" s="87"/>
      <c r="BF807" s="87"/>
      <c r="BG807" s="87"/>
      <c r="BH807" s="87"/>
      <c r="BI807" s="87"/>
      <c r="BJ807" s="87"/>
      <c r="BK807" s="87"/>
      <c r="BL807" s="87"/>
      <c r="BM807" s="87"/>
      <c r="BN807" s="87"/>
      <c r="BO807" s="87"/>
      <c r="BP807" s="87"/>
      <c r="BQ807" s="87"/>
      <c r="BR807" s="87"/>
      <c r="BS807" s="87"/>
      <c r="BT807" s="87"/>
      <c r="BU807" s="87"/>
      <c r="BV807" s="87"/>
      <c r="BW807" s="87"/>
      <c r="BX807" s="87"/>
      <c r="BY807" s="87"/>
    </row>
    <row r="808" spans="3:77" x14ac:dyDescent="0.3">
      <c r="C808" s="90"/>
      <c r="D808" s="87"/>
      <c r="E808" s="91"/>
      <c r="F808" s="92"/>
      <c r="G808" s="93"/>
      <c r="H808" s="93"/>
      <c r="I808" s="93"/>
      <c r="J808" s="93"/>
      <c r="K808" s="93"/>
      <c r="L808" s="93"/>
      <c r="M808" s="93"/>
      <c r="N808" s="93"/>
      <c r="O808" s="93"/>
      <c r="P808" s="93"/>
      <c r="Q808" s="93"/>
      <c r="R808" s="87"/>
      <c r="S808" s="87"/>
      <c r="T808" s="87"/>
      <c r="U808" s="19"/>
      <c r="V808" s="87"/>
      <c r="W808" s="87"/>
      <c r="X808" s="87"/>
      <c r="Y808" s="87"/>
      <c r="Z808" s="87"/>
      <c r="AA808" s="87"/>
      <c r="AB808" s="87"/>
      <c r="AC808" s="87"/>
      <c r="AD808" s="87"/>
      <c r="AE808" s="87"/>
      <c r="AF808" s="87"/>
      <c r="AG808" s="87"/>
      <c r="AH808" s="87"/>
      <c r="AI808" s="87"/>
      <c r="AJ808" s="87"/>
      <c r="AK808" s="87"/>
      <c r="AL808" s="87"/>
      <c r="AM808" s="87"/>
      <c r="AN808" s="87"/>
      <c r="AO808" s="87"/>
      <c r="AP808" s="87"/>
      <c r="AQ808" s="87"/>
      <c r="AR808" s="87"/>
      <c r="AS808" s="87"/>
      <c r="AT808" s="87"/>
      <c r="AU808" s="87"/>
      <c r="AV808" s="87"/>
      <c r="AW808" s="87"/>
      <c r="AX808" s="87"/>
      <c r="AY808" s="87"/>
      <c r="AZ808" s="87"/>
      <c r="BA808" s="87"/>
      <c r="BB808" s="87"/>
      <c r="BC808" s="87"/>
      <c r="BD808" s="87"/>
      <c r="BE808" s="87"/>
      <c r="BF808" s="87"/>
      <c r="BG808" s="87"/>
      <c r="BH808" s="87"/>
      <c r="BI808" s="87"/>
      <c r="BJ808" s="87"/>
      <c r="BK808" s="87"/>
      <c r="BL808" s="87"/>
      <c r="BM808" s="87"/>
      <c r="BN808" s="87"/>
      <c r="BO808" s="87"/>
      <c r="BP808" s="87"/>
      <c r="BQ808" s="87"/>
      <c r="BR808" s="87"/>
      <c r="BS808" s="87"/>
      <c r="BT808" s="87"/>
      <c r="BU808" s="87"/>
      <c r="BV808" s="87"/>
      <c r="BW808" s="87"/>
      <c r="BX808" s="87"/>
      <c r="BY808" s="87"/>
    </row>
    <row r="809" spans="3:77" x14ac:dyDescent="0.3">
      <c r="C809" s="90"/>
      <c r="D809" s="87"/>
      <c r="E809" s="91"/>
      <c r="F809" s="92"/>
      <c r="G809" s="93"/>
      <c r="H809" s="93"/>
      <c r="I809" s="93"/>
      <c r="J809" s="93"/>
      <c r="K809" s="93"/>
      <c r="L809" s="93"/>
      <c r="M809" s="93"/>
      <c r="N809" s="93"/>
      <c r="O809" s="93"/>
      <c r="P809" s="93"/>
      <c r="Q809" s="93"/>
      <c r="R809" s="87"/>
      <c r="S809" s="87"/>
      <c r="T809" s="87"/>
      <c r="U809" s="19"/>
      <c r="V809" s="87"/>
      <c r="W809" s="87"/>
      <c r="X809" s="87"/>
      <c r="Y809" s="87"/>
      <c r="Z809" s="87"/>
      <c r="AA809" s="87"/>
      <c r="AB809" s="87"/>
      <c r="AC809" s="87"/>
      <c r="AD809" s="87"/>
      <c r="AE809" s="87"/>
      <c r="AF809" s="87"/>
      <c r="AG809" s="87"/>
      <c r="AH809" s="87"/>
      <c r="AI809" s="87"/>
      <c r="AJ809" s="87"/>
      <c r="AK809" s="87"/>
      <c r="AL809" s="87"/>
      <c r="AM809" s="87"/>
      <c r="AN809" s="87"/>
      <c r="AO809" s="87"/>
      <c r="AP809" s="87"/>
      <c r="AQ809" s="87"/>
      <c r="AR809" s="87"/>
      <c r="AS809" s="87"/>
      <c r="AT809" s="87"/>
      <c r="AU809" s="87"/>
      <c r="AV809" s="87"/>
      <c r="AW809" s="87"/>
      <c r="AX809" s="87"/>
      <c r="AY809" s="87"/>
      <c r="AZ809" s="87"/>
      <c r="BA809" s="87"/>
      <c r="BB809" s="87"/>
      <c r="BC809" s="87"/>
      <c r="BD809" s="87"/>
      <c r="BE809" s="87"/>
      <c r="BF809" s="87"/>
      <c r="BG809" s="87"/>
      <c r="BH809" s="87"/>
      <c r="BI809" s="87"/>
      <c r="BJ809" s="87"/>
      <c r="BK809" s="87"/>
      <c r="BL809" s="87"/>
      <c r="BM809" s="87"/>
      <c r="BN809" s="87"/>
      <c r="BO809" s="87"/>
      <c r="BP809" s="87"/>
      <c r="BQ809" s="87"/>
      <c r="BR809" s="87"/>
      <c r="BS809" s="87"/>
      <c r="BT809" s="87"/>
      <c r="BU809" s="87"/>
      <c r="BV809" s="87"/>
      <c r="BW809" s="87"/>
      <c r="BX809" s="87"/>
      <c r="BY809" s="87"/>
    </row>
    <row r="810" spans="3:77" x14ac:dyDescent="0.3">
      <c r="C810" s="90"/>
      <c r="D810" s="87"/>
      <c r="E810" s="91"/>
      <c r="F810" s="92"/>
      <c r="G810" s="93"/>
      <c r="H810" s="93"/>
      <c r="I810" s="93"/>
      <c r="J810" s="93"/>
      <c r="K810" s="93"/>
      <c r="L810" s="93"/>
      <c r="M810" s="93"/>
      <c r="N810" s="93"/>
      <c r="O810" s="93"/>
      <c r="P810" s="93"/>
      <c r="Q810" s="93"/>
      <c r="R810" s="87"/>
      <c r="S810" s="87"/>
      <c r="T810" s="87"/>
      <c r="U810" s="19"/>
      <c r="V810" s="87"/>
      <c r="W810" s="87"/>
      <c r="X810" s="87"/>
      <c r="Y810" s="87"/>
      <c r="Z810" s="87"/>
      <c r="AA810" s="87"/>
      <c r="AB810" s="87"/>
      <c r="AC810" s="87"/>
      <c r="AD810" s="87"/>
      <c r="AE810" s="87"/>
      <c r="AF810" s="87"/>
      <c r="AG810" s="87"/>
      <c r="AH810" s="87"/>
      <c r="AI810" s="87"/>
      <c r="AJ810" s="87"/>
      <c r="AK810" s="87"/>
      <c r="AL810" s="87"/>
      <c r="AM810" s="87"/>
      <c r="AN810" s="87"/>
      <c r="AO810" s="87"/>
      <c r="AP810" s="87"/>
      <c r="AQ810" s="87"/>
      <c r="AR810" s="87"/>
      <c r="AS810" s="87"/>
      <c r="AT810" s="87"/>
      <c r="AU810" s="87"/>
      <c r="AV810" s="87"/>
      <c r="AW810" s="87"/>
      <c r="AX810" s="87"/>
      <c r="AY810" s="87"/>
      <c r="AZ810" s="87"/>
      <c r="BA810" s="87"/>
      <c r="BB810" s="87"/>
      <c r="BC810" s="87"/>
      <c r="BD810" s="87"/>
      <c r="BE810" s="87"/>
      <c r="BF810" s="87"/>
      <c r="BG810" s="87"/>
      <c r="BH810" s="87"/>
      <c r="BI810" s="87"/>
      <c r="BJ810" s="87"/>
      <c r="BK810" s="87"/>
      <c r="BL810" s="87"/>
      <c r="BM810" s="87"/>
      <c r="BN810" s="87"/>
      <c r="BO810" s="87"/>
      <c r="BP810" s="87"/>
      <c r="BQ810" s="87"/>
      <c r="BR810" s="87"/>
      <c r="BS810" s="87"/>
      <c r="BT810" s="87"/>
      <c r="BU810" s="87"/>
      <c r="BV810" s="87"/>
      <c r="BW810" s="87"/>
      <c r="BX810" s="87"/>
      <c r="BY810" s="87"/>
    </row>
    <row r="811" spans="3:77" x14ac:dyDescent="0.3">
      <c r="C811" s="90"/>
      <c r="D811" s="87"/>
      <c r="E811" s="91"/>
      <c r="F811" s="92"/>
      <c r="G811" s="93"/>
      <c r="H811" s="93"/>
      <c r="I811" s="93"/>
      <c r="J811" s="93"/>
      <c r="K811" s="93"/>
      <c r="L811" s="93"/>
      <c r="M811" s="93"/>
      <c r="N811" s="93"/>
      <c r="O811" s="93"/>
      <c r="P811" s="93"/>
      <c r="Q811" s="93"/>
      <c r="R811" s="87"/>
      <c r="S811" s="87"/>
      <c r="T811" s="87"/>
      <c r="U811" s="19"/>
      <c r="V811" s="87"/>
      <c r="W811" s="87"/>
      <c r="X811" s="87"/>
      <c r="Y811" s="87"/>
      <c r="Z811" s="87"/>
      <c r="AA811" s="87"/>
      <c r="AB811" s="87"/>
      <c r="AC811" s="87"/>
      <c r="AD811" s="87"/>
      <c r="AE811" s="87"/>
      <c r="AF811" s="87"/>
      <c r="AG811" s="87"/>
      <c r="AH811" s="87"/>
      <c r="AI811" s="87"/>
      <c r="AJ811" s="87"/>
      <c r="AK811" s="87"/>
      <c r="AL811" s="87"/>
      <c r="AM811" s="87"/>
      <c r="AN811" s="87"/>
      <c r="AO811" s="87"/>
      <c r="AP811" s="87"/>
      <c r="AQ811" s="87"/>
      <c r="AR811" s="87"/>
      <c r="AS811" s="87"/>
      <c r="AT811" s="87"/>
      <c r="AU811" s="87"/>
      <c r="AV811" s="87"/>
      <c r="AW811" s="87"/>
      <c r="AX811" s="87"/>
      <c r="AY811" s="87"/>
      <c r="AZ811" s="87"/>
      <c r="BA811" s="87"/>
      <c r="BB811" s="87"/>
      <c r="BC811" s="87"/>
      <c r="BD811" s="87"/>
      <c r="BE811" s="87"/>
      <c r="BF811" s="87"/>
      <c r="BG811" s="87"/>
      <c r="BH811" s="87"/>
      <c r="BI811" s="87"/>
      <c r="BJ811" s="87"/>
      <c r="BK811" s="87"/>
      <c r="BL811" s="87"/>
      <c r="BM811" s="87"/>
      <c r="BN811" s="87"/>
      <c r="BO811" s="87"/>
      <c r="BP811" s="87"/>
      <c r="BQ811" s="87"/>
      <c r="BR811" s="87"/>
      <c r="BS811" s="87"/>
      <c r="BT811" s="87"/>
      <c r="BU811" s="87"/>
      <c r="BV811" s="87"/>
      <c r="BW811" s="87"/>
      <c r="BX811" s="87"/>
      <c r="BY811" s="87"/>
    </row>
    <row r="812" spans="3:77" x14ac:dyDescent="0.3">
      <c r="C812" s="90"/>
      <c r="D812" s="87"/>
      <c r="E812" s="91"/>
      <c r="F812" s="92"/>
      <c r="G812" s="93"/>
      <c r="H812" s="93"/>
      <c r="I812" s="93"/>
      <c r="J812" s="93"/>
      <c r="K812" s="93"/>
      <c r="L812" s="93"/>
      <c r="M812" s="93"/>
      <c r="N812" s="93"/>
      <c r="O812" s="93"/>
      <c r="P812" s="93"/>
      <c r="Q812" s="93"/>
      <c r="R812" s="87"/>
      <c r="S812" s="87"/>
      <c r="T812" s="87"/>
      <c r="U812" s="19"/>
      <c r="V812" s="87"/>
      <c r="W812" s="87"/>
      <c r="X812" s="87"/>
      <c r="Y812" s="87"/>
      <c r="Z812" s="87"/>
      <c r="AA812" s="87"/>
      <c r="AB812" s="87"/>
      <c r="AC812" s="87"/>
      <c r="AD812" s="87"/>
      <c r="AE812" s="87"/>
      <c r="AF812" s="87"/>
      <c r="AG812" s="87"/>
      <c r="AH812" s="87"/>
      <c r="AI812" s="87"/>
      <c r="AJ812" s="87"/>
      <c r="AK812" s="87"/>
      <c r="AL812" s="87"/>
      <c r="AM812" s="87"/>
      <c r="AN812" s="87"/>
      <c r="AO812" s="87"/>
      <c r="AP812" s="87"/>
      <c r="AQ812" s="87"/>
      <c r="AR812" s="87"/>
      <c r="AS812" s="87"/>
      <c r="AT812" s="87"/>
      <c r="AU812" s="87"/>
      <c r="AV812" s="87"/>
      <c r="AW812" s="87"/>
      <c r="AX812" s="87"/>
      <c r="AY812" s="87"/>
      <c r="AZ812" s="87"/>
      <c r="BA812" s="87"/>
      <c r="BB812" s="87"/>
      <c r="BC812" s="87"/>
      <c r="BD812" s="87"/>
      <c r="BE812" s="87"/>
      <c r="BF812" s="87"/>
      <c r="BG812" s="87"/>
      <c r="BH812" s="87"/>
      <c r="BI812" s="87"/>
      <c r="BJ812" s="87"/>
      <c r="BK812" s="87"/>
      <c r="BL812" s="87"/>
      <c r="BM812" s="87"/>
      <c r="BN812" s="87"/>
      <c r="BO812" s="87"/>
      <c r="BP812" s="87"/>
      <c r="BQ812" s="87"/>
      <c r="BR812" s="87"/>
      <c r="BS812" s="87"/>
      <c r="BT812" s="87"/>
      <c r="BU812" s="87"/>
      <c r="BV812" s="87"/>
      <c r="BW812" s="87"/>
      <c r="BX812" s="87"/>
      <c r="BY812" s="87"/>
    </row>
    <row r="813" spans="3:77" x14ac:dyDescent="0.3">
      <c r="C813" s="90"/>
      <c r="D813" s="87"/>
      <c r="E813" s="91"/>
      <c r="F813" s="92"/>
      <c r="G813" s="93"/>
      <c r="H813" s="93"/>
      <c r="I813" s="93"/>
      <c r="J813" s="93"/>
      <c r="K813" s="93"/>
      <c r="L813" s="93"/>
      <c r="M813" s="93"/>
      <c r="N813" s="93"/>
      <c r="O813" s="93"/>
      <c r="P813" s="93"/>
      <c r="Q813" s="93"/>
      <c r="R813" s="87"/>
      <c r="S813" s="87"/>
      <c r="T813" s="87"/>
      <c r="U813" s="19"/>
      <c r="V813" s="87"/>
      <c r="W813" s="87"/>
      <c r="X813" s="87"/>
      <c r="Y813" s="87"/>
      <c r="Z813" s="87"/>
      <c r="AA813" s="87"/>
      <c r="AB813" s="87"/>
      <c r="AC813" s="87"/>
      <c r="AD813" s="87"/>
      <c r="AE813" s="87"/>
      <c r="AF813" s="87"/>
      <c r="AG813" s="87"/>
      <c r="AH813" s="87"/>
      <c r="AI813" s="87"/>
      <c r="AJ813" s="87"/>
      <c r="AK813" s="87"/>
      <c r="AL813" s="87"/>
      <c r="AM813" s="87"/>
      <c r="AN813" s="87"/>
      <c r="AO813" s="87"/>
      <c r="AP813" s="87"/>
      <c r="AQ813" s="87"/>
      <c r="AR813" s="87"/>
      <c r="AS813" s="87"/>
      <c r="AT813" s="87"/>
      <c r="AU813" s="87"/>
      <c r="AV813" s="87"/>
      <c r="AW813" s="87"/>
      <c r="AX813" s="87"/>
      <c r="AY813" s="87"/>
      <c r="AZ813" s="87"/>
      <c r="BA813" s="87"/>
      <c r="BB813" s="87"/>
      <c r="BC813" s="87"/>
      <c r="BD813" s="87"/>
      <c r="BE813" s="87"/>
      <c r="BF813" s="87"/>
      <c r="BG813" s="87"/>
      <c r="BH813" s="87"/>
      <c r="BI813" s="87"/>
      <c r="BJ813" s="87"/>
      <c r="BK813" s="87"/>
      <c r="BL813" s="87"/>
      <c r="BM813" s="87"/>
      <c r="BN813" s="87"/>
      <c r="BO813" s="87"/>
      <c r="BP813" s="87"/>
      <c r="BQ813" s="87"/>
      <c r="BR813" s="87"/>
      <c r="BS813" s="87"/>
      <c r="BT813" s="87"/>
      <c r="BU813" s="87"/>
      <c r="BV813" s="87"/>
      <c r="BW813" s="87"/>
      <c r="BX813" s="87"/>
      <c r="BY813" s="87"/>
    </row>
    <row r="814" spans="3:77" x14ac:dyDescent="0.3">
      <c r="C814" s="90"/>
      <c r="D814" s="87"/>
      <c r="E814" s="91"/>
      <c r="F814" s="92"/>
      <c r="G814" s="93"/>
      <c r="H814" s="93"/>
      <c r="I814" s="93"/>
      <c r="J814" s="93"/>
      <c r="K814" s="93"/>
      <c r="L814" s="93"/>
      <c r="M814" s="93"/>
      <c r="N814" s="93"/>
      <c r="O814" s="93"/>
      <c r="P814" s="93"/>
      <c r="Q814" s="93"/>
      <c r="R814" s="87"/>
      <c r="S814" s="87"/>
      <c r="T814" s="87"/>
      <c r="U814" s="19"/>
      <c r="V814" s="87"/>
      <c r="W814" s="87"/>
      <c r="X814" s="87"/>
      <c r="Y814" s="87"/>
      <c r="Z814" s="87"/>
      <c r="AA814" s="87"/>
      <c r="AB814" s="87"/>
      <c r="AC814" s="87"/>
      <c r="AD814" s="87"/>
      <c r="AE814" s="87"/>
      <c r="AF814" s="87"/>
      <c r="AG814" s="87"/>
      <c r="AH814" s="87"/>
      <c r="AI814" s="87"/>
      <c r="AJ814" s="87"/>
      <c r="AK814" s="87"/>
      <c r="AL814" s="87"/>
      <c r="AM814" s="87"/>
      <c r="AN814" s="87"/>
      <c r="AO814" s="87"/>
      <c r="AP814" s="87"/>
      <c r="AQ814" s="87"/>
      <c r="AR814" s="87"/>
      <c r="AS814" s="87"/>
      <c r="AT814" s="87"/>
      <c r="AU814" s="87"/>
      <c r="AV814" s="87"/>
      <c r="AW814" s="87"/>
      <c r="AX814" s="87"/>
      <c r="AY814" s="87"/>
      <c r="AZ814" s="87"/>
      <c r="BA814" s="87"/>
      <c r="BB814" s="87"/>
      <c r="BC814" s="87"/>
      <c r="BD814" s="87"/>
      <c r="BE814" s="87"/>
      <c r="BF814" s="87"/>
      <c r="BG814" s="87"/>
      <c r="BH814" s="87"/>
      <c r="BI814" s="87"/>
      <c r="BJ814" s="87"/>
      <c r="BK814" s="87"/>
      <c r="BL814" s="87"/>
      <c r="BM814" s="87"/>
      <c r="BN814" s="87"/>
      <c r="BO814" s="87"/>
      <c r="BP814" s="87"/>
      <c r="BQ814" s="87"/>
      <c r="BR814" s="87"/>
      <c r="BS814" s="87"/>
      <c r="BT814" s="87"/>
      <c r="BU814" s="87"/>
      <c r="BV814" s="87"/>
      <c r="BW814" s="87"/>
      <c r="BX814" s="87"/>
      <c r="BY814" s="87"/>
    </row>
    <row r="815" spans="3:77" x14ac:dyDescent="0.3">
      <c r="C815" s="90"/>
      <c r="D815" s="87"/>
      <c r="E815" s="91"/>
      <c r="F815" s="92"/>
      <c r="G815" s="93"/>
      <c r="H815" s="93"/>
      <c r="I815" s="93"/>
      <c r="J815" s="93"/>
      <c r="K815" s="93"/>
      <c r="L815" s="93"/>
      <c r="M815" s="93"/>
      <c r="N815" s="93"/>
      <c r="O815" s="93"/>
      <c r="P815" s="93"/>
      <c r="Q815" s="93"/>
      <c r="R815" s="87"/>
      <c r="S815" s="87"/>
      <c r="T815" s="87"/>
      <c r="U815" s="19"/>
      <c r="V815" s="87"/>
      <c r="W815" s="87"/>
      <c r="X815" s="87"/>
      <c r="Y815" s="87"/>
      <c r="Z815" s="87"/>
      <c r="AA815" s="87"/>
      <c r="AB815" s="87"/>
      <c r="AC815" s="87"/>
      <c r="AD815" s="87"/>
      <c r="AE815" s="87"/>
      <c r="AF815" s="87"/>
      <c r="AG815" s="87"/>
      <c r="AH815" s="87"/>
      <c r="AI815" s="87"/>
      <c r="AJ815" s="87"/>
      <c r="AK815" s="87"/>
      <c r="AL815" s="87"/>
      <c r="AM815" s="87"/>
      <c r="AN815" s="87"/>
      <c r="AO815" s="87"/>
      <c r="AP815" s="87"/>
      <c r="AQ815" s="87"/>
      <c r="AR815" s="87"/>
      <c r="AS815" s="87"/>
      <c r="AT815" s="87"/>
      <c r="AU815" s="87"/>
      <c r="AV815" s="87"/>
      <c r="AW815" s="87"/>
      <c r="AX815" s="87"/>
      <c r="AY815" s="87"/>
      <c r="AZ815" s="87"/>
      <c r="BA815" s="87"/>
      <c r="BB815" s="87"/>
      <c r="BC815" s="87"/>
      <c r="BD815" s="87"/>
      <c r="BE815" s="87"/>
      <c r="BF815" s="87"/>
      <c r="BG815" s="87"/>
      <c r="BH815" s="87"/>
      <c r="BI815" s="87"/>
      <c r="BJ815" s="87"/>
      <c r="BK815" s="87"/>
      <c r="BL815" s="87"/>
      <c r="BM815" s="87"/>
      <c r="BN815" s="87"/>
      <c r="BO815" s="87"/>
      <c r="BP815" s="87"/>
      <c r="BQ815" s="87"/>
      <c r="BR815" s="87"/>
      <c r="BS815" s="87"/>
      <c r="BT815" s="87"/>
      <c r="BU815" s="87"/>
      <c r="BV815" s="87"/>
      <c r="BW815" s="87"/>
      <c r="BX815" s="87"/>
      <c r="BY815" s="87"/>
    </row>
    <row r="816" spans="3:77" x14ac:dyDescent="0.3">
      <c r="C816" s="90"/>
      <c r="D816" s="87"/>
      <c r="E816" s="91"/>
      <c r="F816" s="92"/>
      <c r="G816" s="93"/>
      <c r="H816" s="93"/>
      <c r="I816" s="93"/>
      <c r="J816" s="93"/>
      <c r="K816" s="93"/>
      <c r="L816" s="93"/>
      <c r="M816" s="93"/>
      <c r="N816" s="93"/>
      <c r="O816" s="93"/>
      <c r="P816" s="93"/>
      <c r="Q816" s="93"/>
      <c r="R816" s="87"/>
      <c r="S816" s="87"/>
      <c r="T816" s="87"/>
      <c r="U816" s="19"/>
      <c r="V816" s="87"/>
      <c r="W816" s="87"/>
      <c r="X816" s="87"/>
      <c r="Y816" s="87"/>
      <c r="Z816" s="87"/>
      <c r="AA816" s="87"/>
      <c r="AB816" s="87"/>
      <c r="AC816" s="87"/>
      <c r="AD816" s="87"/>
      <c r="AE816" s="87"/>
      <c r="AF816" s="87"/>
      <c r="AG816" s="87"/>
      <c r="AH816" s="87"/>
      <c r="AI816" s="87"/>
      <c r="AJ816" s="87"/>
      <c r="AK816" s="87"/>
      <c r="AL816" s="87"/>
      <c r="AM816" s="87"/>
      <c r="AN816" s="87"/>
      <c r="AO816" s="87"/>
      <c r="AP816" s="87"/>
      <c r="AQ816" s="87"/>
      <c r="AR816" s="87"/>
      <c r="AS816" s="87"/>
      <c r="AT816" s="87"/>
      <c r="AU816" s="87"/>
      <c r="AV816" s="87"/>
      <c r="AW816" s="87"/>
      <c r="AX816" s="87"/>
      <c r="AY816" s="87"/>
      <c r="AZ816" s="87"/>
      <c r="BA816" s="87"/>
      <c r="BB816" s="87"/>
      <c r="BC816" s="87"/>
      <c r="BD816" s="87"/>
      <c r="BE816" s="87"/>
      <c r="BF816" s="87"/>
      <c r="BG816" s="87"/>
      <c r="BH816" s="87"/>
      <c r="BI816" s="87"/>
      <c r="BJ816" s="87"/>
      <c r="BK816" s="87"/>
      <c r="BL816" s="87"/>
      <c r="BM816" s="87"/>
      <c r="BN816" s="87"/>
      <c r="BO816" s="87"/>
      <c r="BP816" s="87"/>
      <c r="BQ816" s="87"/>
      <c r="BR816" s="87"/>
      <c r="BS816" s="87"/>
      <c r="BT816" s="87"/>
      <c r="BU816" s="87"/>
      <c r="BV816" s="87"/>
      <c r="BW816" s="87"/>
      <c r="BX816" s="87"/>
      <c r="BY816" s="87"/>
    </row>
    <row r="817" spans="3:77" x14ac:dyDescent="0.3">
      <c r="C817" s="90"/>
      <c r="D817" s="87"/>
      <c r="E817" s="91"/>
      <c r="F817" s="92"/>
      <c r="G817" s="93"/>
      <c r="H817" s="93"/>
      <c r="I817" s="93"/>
      <c r="J817" s="93"/>
      <c r="K817" s="93"/>
      <c r="L817" s="93"/>
      <c r="M817" s="93"/>
      <c r="N817" s="93"/>
      <c r="O817" s="93"/>
      <c r="P817" s="93"/>
      <c r="Q817" s="93"/>
      <c r="R817" s="87"/>
      <c r="S817" s="87"/>
      <c r="T817" s="87"/>
      <c r="U817" s="19"/>
      <c r="V817" s="87"/>
      <c r="W817" s="87"/>
      <c r="X817" s="87"/>
      <c r="Y817" s="87"/>
      <c r="Z817" s="87"/>
      <c r="AA817" s="87"/>
      <c r="AB817" s="87"/>
      <c r="AC817" s="87"/>
      <c r="AD817" s="87"/>
      <c r="AE817" s="87"/>
      <c r="AF817" s="87"/>
      <c r="AG817" s="87"/>
      <c r="AH817" s="87"/>
      <c r="AI817" s="87"/>
      <c r="AJ817" s="87"/>
      <c r="AK817" s="87"/>
      <c r="AL817" s="87"/>
      <c r="AM817" s="87"/>
      <c r="AN817" s="87"/>
      <c r="AO817" s="87"/>
      <c r="AP817" s="87"/>
      <c r="AQ817" s="87"/>
      <c r="AR817" s="87"/>
      <c r="AS817" s="87"/>
      <c r="AT817" s="87"/>
      <c r="AU817" s="87"/>
      <c r="AV817" s="87"/>
      <c r="AW817" s="87"/>
      <c r="AX817" s="87"/>
      <c r="AY817" s="87"/>
      <c r="AZ817" s="87"/>
      <c r="BA817" s="87"/>
      <c r="BB817" s="87"/>
      <c r="BC817" s="87"/>
      <c r="BD817" s="87"/>
      <c r="BE817" s="87"/>
      <c r="BF817" s="87"/>
      <c r="BG817" s="87"/>
      <c r="BH817" s="87"/>
      <c r="BI817" s="87"/>
      <c r="BJ817" s="87"/>
      <c r="BK817" s="87"/>
      <c r="BL817" s="87"/>
      <c r="BM817" s="87"/>
      <c r="BN817" s="87"/>
      <c r="BO817" s="87"/>
      <c r="BP817" s="87"/>
      <c r="BQ817" s="87"/>
      <c r="BR817" s="87"/>
      <c r="BS817" s="87"/>
      <c r="BT817" s="87"/>
      <c r="BU817" s="87"/>
      <c r="BV817" s="87"/>
      <c r="BW817" s="87"/>
      <c r="BX817" s="87"/>
      <c r="BY817" s="87"/>
    </row>
    <row r="818" spans="3:77" x14ac:dyDescent="0.3">
      <c r="C818" s="90"/>
      <c r="D818" s="87"/>
      <c r="E818" s="91"/>
      <c r="F818" s="92"/>
      <c r="G818" s="93"/>
      <c r="H818" s="93"/>
      <c r="I818" s="93"/>
      <c r="J818" s="93"/>
      <c r="K818" s="93"/>
      <c r="L818" s="93"/>
      <c r="M818" s="93"/>
      <c r="N818" s="93"/>
      <c r="O818" s="93"/>
      <c r="P818" s="93"/>
      <c r="Q818" s="93"/>
      <c r="R818" s="87"/>
      <c r="S818" s="87"/>
      <c r="T818" s="87"/>
      <c r="U818" s="19"/>
      <c r="V818" s="87"/>
      <c r="W818" s="87"/>
      <c r="X818" s="87"/>
      <c r="Y818" s="87"/>
      <c r="Z818" s="87"/>
      <c r="AA818" s="87"/>
      <c r="AB818" s="87"/>
      <c r="AC818" s="87"/>
      <c r="AD818" s="87"/>
      <c r="AE818" s="87"/>
      <c r="AF818" s="87"/>
      <c r="AG818" s="87"/>
      <c r="AH818" s="87"/>
      <c r="AI818" s="87"/>
      <c r="AJ818" s="87"/>
      <c r="AK818" s="87"/>
      <c r="AL818" s="87"/>
      <c r="AM818" s="87"/>
      <c r="AN818" s="87"/>
      <c r="AO818" s="87"/>
      <c r="AP818" s="87"/>
      <c r="AQ818" s="87"/>
      <c r="AR818" s="87"/>
      <c r="AS818" s="87"/>
      <c r="AT818" s="87"/>
      <c r="AU818" s="87"/>
      <c r="AV818" s="87"/>
      <c r="AW818" s="87"/>
      <c r="AX818" s="87"/>
      <c r="AY818" s="87"/>
      <c r="AZ818" s="87"/>
      <c r="BA818" s="87"/>
      <c r="BB818" s="87"/>
      <c r="BC818" s="87"/>
      <c r="BD818" s="87"/>
      <c r="BE818" s="87"/>
      <c r="BF818" s="87"/>
      <c r="BG818" s="87"/>
      <c r="BH818" s="87"/>
      <c r="BI818" s="87"/>
      <c r="BJ818" s="87"/>
      <c r="BK818" s="87"/>
      <c r="BL818" s="87"/>
      <c r="BM818" s="87"/>
      <c r="BN818" s="87"/>
      <c r="BO818" s="87"/>
      <c r="BP818" s="87"/>
      <c r="BQ818" s="87"/>
      <c r="BR818" s="87"/>
      <c r="BS818" s="87"/>
      <c r="BT818" s="87"/>
      <c r="BU818" s="87"/>
      <c r="BV818" s="87"/>
      <c r="BW818" s="87"/>
      <c r="BX818" s="87"/>
      <c r="BY818" s="87"/>
    </row>
    <row r="819" spans="3:77" x14ac:dyDescent="0.3">
      <c r="C819" s="90"/>
      <c r="D819" s="87"/>
      <c r="E819" s="91"/>
      <c r="F819" s="92"/>
      <c r="G819" s="93"/>
      <c r="H819" s="93"/>
      <c r="I819" s="93"/>
      <c r="J819" s="93"/>
      <c r="K819" s="93"/>
      <c r="L819" s="93"/>
      <c r="M819" s="93"/>
      <c r="N819" s="93"/>
      <c r="O819" s="93"/>
      <c r="P819" s="93"/>
      <c r="Q819" s="93"/>
      <c r="R819" s="87"/>
      <c r="S819" s="87"/>
      <c r="T819" s="87"/>
      <c r="U819" s="19"/>
      <c r="V819" s="87"/>
      <c r="W819" s="87"/>
      <c r="X819" s="87"/>
      <c r="Y819" s="87"/>
      <c r="Z819" s="87"/>
      <c r="AA819" s="87"/>
      <c r="AB819" s="87"/>
      <c r="AC819" s="87"/>
      <c r="AD819" s="87"/>
      <c r="AE819" s="87"/>
      <c r="AF819" s="87"/>
      <c r="AG819" s="87"/>
      <c r="AH819" s="87"/>
      <c r="AI819" s="87"/>
      <c r="AJ819" s="87"/>
      <c r="AK819" s="87"/>
      <c r="AL819" s="87"/>
      <c r="AM819" s="87"/>
      <c r="AN819" s="87"/>
      <c r="AO819" s="87"/>
      <c r="AP819" s="87"/>
      <c r="AQ819" s="87"/>
      <c r="AR819" s="87"/>
      <c r="AS819" s="87"/>
      <c r="AT819" s="87"/>
      <c r="AU819" s="87"/>
      <c r="AV819" s="87"/>
      <c r="AW819" s="87"/>
      <c r="AX819" s="87"/>
      <c r="AY819" s="87"/>
      <c r="AZ819" s="87"/>
      <c r="BA819" s="87"/>
      <c r="BB819" s="87"/>
      <c r="BC819" s="87"/>
      <c r="BD819" s="87"/>
      <c r="BE819" s="87"/>
      <c r="BF819" s="87"/>
      <c r="BG819" s="87"/>
      <c r="BH819" s="87"/>
      <c r="BI819" s="87"/>
      <c r="BJ819" s="87"/>
      <c r="BK819" s="87"/>
      <c r="BL819" s="87"/>
      <c r="BM819" s="87"/>
      <c r="BN819" s="87"/>
      <c r="BO819" s="87"/>
      <c r="BP819" s="87"/>
      <c r="BQ819" s="87"/>
      <c r="BR819" s="87"/>
      <c r="BS819" s="87"/>
      <c r="BT819" s="87"/>
      <c r="BU819" s="87"/>
      <c r="BV819" s="87"/>
      <c r="BW819" s="87"/>
      <c r="BX819" s="87"/>
      <c r="BY819" s="87"/>
    </row>
    <row r="820" spans="3:77" x14ac:dyDescent="0.3">
      <c r="C820" s="90"/>
      <c r="D820" s="87"/>
      <c r="E820" s="91"/>
      <c r="F820" s="92"/>
      <c r="G820" s="93"/>
      <c r="H820" s="93"/>
      <c r="I820" s="93"/>
      <c r="J820" s="93"/>
      <c r="K820" s="93"/>
      <c r="L820" s="93"/>
      <c r="M820" s="93"/>
      <c r="N820" s="93"/>
      <c r="O820" s="93"/>
      <c r="P820" s="93"/>
      <c r="Q820" s="93"/>
      <c r="R820" s="87"/>
      <c r="S820" s="87"/>
      <c r="T820" s="87"/>
      <c r="U820" s="19"/>
      <c r="V820" s="87"/>
      <c r="W820" s="87"/>
      <c r="X820" s="87"/>
      <c r="Y820" s="87"/>
      <c r="Z820" s="87"/>
      <c r="AA820" s="87"/>
      <c r="AB820" s="87"/>
      <c r="AC820" s="87"/>
      <c r="AD820" s="87"/>
      <c r="AE820" s="87"/>
      <c r="AF820" s="87"/>
      <c r="AG820" s="87"/>
      <c r="AH820" s="87"/>
      <c r="AI820" s="87"/>
      <c r="AJ820" s="87"/>
      <c r="AK820" s="87"/>
      <c r="AL820" s="87"/>
      <c r="AM820" s="87"/>
      <c r="AN820" s="87"/>
      <c r="AO820" s="87"/>
      <c r="AP820" s="87"/>
      <c r="AQ820" s="87"/>
      <c r="AR820" s="87"/>
      <c r="AS820" s="87"/>
      <c r="AT820" s="87"/>
      <c r="AU820" s="87"/>
      <c r="AV820" s="87"/>
      <c r="AW820" s="87"/>
      <c r="AX820" s="87"/>
      <c r="AY820" s="87"/>
      <c r="AZ820" s="87"/>
      <c r="BA820" s="87"/>
      <c r="BB820" s="87"/>
      <c r="BC820" s="87"/>
      <c r="BD820" s="87"/>
      <c r="BE820" s="87"/>
      <c r="BF820" s="87"/>
      <c r="BG820" s="87"/>
      <c r="BH820" s="87"/>
      <c r="BI820" s="87"/>
      <c r="BJ820" s="87"/>
      <c r="BK820" s="87"/>
      <c r="BL820" s="87"/>
      <c r="BM820" s="87"/>
      <c r="BN820" s="87"/>
      <c r="BO820" s="87"/>
      <c r="BP820" s="87"/>
      <c r="BQ820" s="87"/>
      <c r="BR820" s="87"/>
      <c r="BS820" s="87"/>
      <c r="BT820" s="87"/>
      <c r="BU820" s="87"/>
      <c r="BV820" s="87"/>
      <c r="BW820" s="87"/>
      <c r="BX820" s="87"/>
      <c r="BY820" s="87"/>
    </row>
    <row r="821" spans="3:77" x14ac:dyDescent="0.3">
      <c r="C821" s="90"/>
      <c r="D821" s="87"/>
      <c r="E821" s="91"/>
      <c r="F821" s="92"/>
      <c r="G821" s="93"/>
      <c r="H821" s="93"/>
      <c r="I821" s="93"/>
      <c r="J821" s="93"/>
      <c r="K821" s="93"/>
      <c r="L821" s="93"/>
      <c r="M821" s="93"/>
      <c r="N821" s="93"/>
      <c r="O821" s="93"/>
      <c r="P821" s="93"/>
      <c r="Q821" s="93"/>
      <c r="R821" s="87"/>
      <c r="S821" s="87"/>
      <c r="T821" s="87"/>
      <c r="U821" s="19"/>
      <c r="V821" s="87"/>
      <c r="W821" s="87"/>
      <c r="X821" s="87"/>
      <c r="Y821" s="87"/>
      <c r="Z821" s="87"/>
      <c r="AA821" s="87"/>
      <c r="AB821" s="87"/>
      <c r="AC821" s="87"/>
      <c r="AD821" s="87"/>
      <c r="AE821" s="87"/>
      <c r="AF821" s="87"/>
      <c r="AG821" s="87"/>
      <c r="AH821" s="87"/>
      <c r="AI821" s="87"/>
      <c r="AJ821" s="87"/>
      <c r="AK821" s="87"/>
      <c r="AL821" s="87"/>
      <c r="AM821" s="87"/>
      <c r="AN821" s="87"/>
      <c r="AO821" s="87"/>
      <c r="AP821" s="87"/>
      <c r="AQ821" s="87"/>
      <c r="AR821" s="87"/>
      <c r="AS821" s="87"/>
      <c r="AT821" s="87"/>
      <c r="AU821" s="87"/>
      <c r="AV821" s="87"/>
      <c r="AW821" s="87"/>
      <c r="AX821" s="87"/>
      <c r="AY821" s="87"/>
      <c r="AZ821" s="87"/>
      <c r="BA821" s="87"/>
      <c r="BB821" s="87"/>
      <c r="BC821" s="87"/>
      <c r="BD821" s="87"/>
      <c r="BE821" s="87"/>
      <c r="BF821" s="87"/>
      <c r="BG821" s="87"/>
      <c r="BH821" s="87"/>
      <c r="BI821" s="87"/>
      <c r="BJ821" s="87"/>
      <c r="BK821" s="87"/>
      <c r="BL821" s="87"/>
      <c r="BM821" s="87"/>
      <c r="BN821" s="87"/>
      <c r="BO821" s="87"/>
      <c r="BP821" s="87"/>
      <c r="BQ821" s="87"/>
      <c r="BR821" s="87"/>
      <c r="BS821" s="87"/>
      <c r="BT821" s="87"/>
      <c r="BU821" s="87"/>
      <c r="BV821" s="87"/>
      <c r="BW821" s="87"/>
      <c r="BX821" s="87"/>
      <c r="BY821" s="87"/>
    </row>
    <row r="822" spans="3:77" x14ac:dyDescent="0.3">
      <c r="C822" s="90"/>
      <c r="D822" s="87"/>
      <c r="E822" s="91"/>
      <c r="F822" s="92"/>
      <c r="G822" s="93"/>
      <c r="H822" s="93"/>
      <c r="I822" s="93"/>
      <c r="J822" s="93"/>
      <c r="K822" s="93"/>
      <c r="L822" s="93"/>
      <c r="M822" s="93"/>
      <c r="N822" s="93"/>
      <c r="O822" s="93"/>
      <c r="P822" s="93"/>
      <c r="Q822" s="93"/>
      <c r="R822" s="87"/>
      <c r="S822" s="87"/>
      <c r="T822" s="87"/>
      <c r="U822" s="19"/>
      <c r="V822" s="87"/>
      <c r="W822" s="87"/>
      <c r="X822" s="87"/>
      <c r="Y822" s="87"/>
      <c r="Z822" s="87"/>
      <c r="AA822" s="87"/>
      <c r="AB822" s="87"/>
      <c r="AC822" s="87"/>
      <c r="AD822" s="87"/>
      <c r="AE822" s="87"/>
      <c r="AF822" s="87"/>
      <c r="AG822" s="87"/>
      <c r="AH822" s="87"/>
      <c r="AI822" s="87"/>
      <c r="AJ822" s="87"/>
      <c r="AK822" s="87"/>
      <c r="AL822" s="87"/>
      <c r="AM822" s="87"/>
      <c r="AN822" s="87"/>
      <c r="AO822" s="87"/>
      <c r="AP822" s="87"/>
      <c r="AQ822" s="87"/>
      <c r="AR822" s="87"/>
      <c r="AS822" s="87"/>
      <c r="AT822" s="87"/>
      <c r="AU822" s="87"/>
      <c r="AV822" s="87"/>
      <c r="AW822" s="87"/>
      <c r="AX822" s="87"/>
      <c r="AY822" s="87"/>
      <c r="AZ822" s="87"/>
      <c r="BA822" s="87"/>
      <c r="BB822" s="87"/>
      <c r="BC822" s="87"/>
      <c r="BD822" s="87"/>
      <c r="BE822" s="87"/>
      <c r="BF822" s="87"/>
      <c r="BG822" s="87"/>
      <c r="BH822" s="87"/>
      <c r="BI822" s="87"/>
      <c r="BJ822" s="87"/>
      <c r="BK822" s="87"/>
      <c r="BL822" s="87"/>
      <c r="BM822" s="87"/>
      <c r="BN822" s="87"/>
      <c r="BO822" s="87"/>
      <c r="BP822" s="87"/>
      <c r="BQ822" s="87"/>
      <c r="BR822" s="87"/>
      <c r="BS822" s="87"/>
      <c r="BT822" s="87"/>
      <c r="BU822" s="87"/>
      <c r="BV822" s="87"/>
      <c r="BW822" s="87"/>
      <c r="BX822" s="87"/>
      <c r="BY822" s="87"/>
    </row>
    <row r="823" spans="3:77" x14ac:dyDescent="0.3">
      <c r="C823" s="90"/>
      <c r="D823" s="87"/>
      <c r="E823" s="91"/>
      <c r="F823" s="92"/>
      <c r="G823" s="93"/>
      <c r="H823" s="93"/>
      <c r="I823" s="93"/>
      <c r="J823" s="93"/>
      <c r="K823" s="93"/>
      <c r="L823" s="93"/>
      <c r="M823" s="93"/>
      <c r="N823" s="93"/>
      <c r="O823" s="93"/>
      <c r="P823" s="93"/>
      <c r="Q823" s="93"/>
      <c r="R823" s="87"/>
      <c r="S823" s="87"/>
      <c r="T823" s="87"/>
      <c r="U823" s="19"/>
      <c r="V823" s="87"/>
      <c r="W823" s="87"/>
      <c r="X823" s="87"/>
      <c r="Y823" s="87"/>
      <c r="Z823" s="87"/>
      <c r="AA823" s="87"/>
      <c r="AB823" s="87"/>
      <c r="AC823" s="87"/>
      <c r="AD823" s="87"/>
      <c r="AE823" s="87"/>
      <c r="AF823" s="87"/>
      <c r="AG823" s="87"/>
      <c r="AH823" s="87"/>
      <c r="AI823" s="87"/>
      <c r="AJ823" s="87"/>
      <c r="AK823" s="87"/>
      <c r="AL823" s="87"/>
      <c r="AM823" s="87"/>
      <c r="AN823" s="87"/>
      <c r="AO823" s="87"/>
      <c r="AP823" s="87"/>
      <c r="AQ823" s="87"/>
      <c r="AR823" s="87"/>
      <c r="AS823" s="87"/>
      <c r="AT823" s="87"/>
      <c r="AU823" s="87"/>
      <c r="AV823" s="87"/>
      <c r="AW823" s="87"/>
      <c r="AX823" s="87"/>
      <c r="AY823" s="87"/>
      <c r="AZ823" s="87"/>
      <c r="BA823" s="87"/>
      <c r="BB823" s="87"/>
      <c r="BC823" s="87"/>
      <c r="BD823" s="87"/>
      <c r="BE823" s="87"/>
      <c r="BF823" s="87"/>
      <c r="BG823" s="87"/>
      <c r="BH823" s="87"/>
      <c r="BI823" s="87"/>
      <c r="BJ823" s="87"/>
      <c r="BK823" s="87"/>
      <c r="BL823" s="87"/>
      <c r="BM823" s="87"/>
      <c r="BN823" s="87"/>
      <c r="BO823" s="87"/>
      <c r="BP823" s="87"/>
      <c r="BQ823" s="87"/>
      <c r="BR823" s="87"/>
      <c r="BS823" s="87"/>
      <c r="BT823" s="87"/>
      <c r="BU823" s="87"/>
      <c r="BV823" s="87"/>
      <c r="BW823" s="87"/>
      <c r="BX823" s="87"/>
      <c r="BY823" s="87"/>
    </row>
    <row r="824" spans="3:77" x14ac:dyDescent="0.3">
      <c r="C824" s="90"/>
      <c r="D824" s="87"/>
      <c r="E824" s="91"/>
      <c r="F824" s="92"/>
      <c r="G824" s="93"/>
      <c r="H824" s="93"/>
      <c r="I824" s="93"/>
      <c r="J824" s="93"/>
      <c r="K824" s="93"/>
      <c r="L824" s="93"/>
      <c r="M824" s="93"/>
      <c r="N824" s="93"/>
      <c r="O824" s="93"/>
      <c r="P824" s="93"/>
      <c r="Q824" s="93"/>
      <c r="R824" s="87"/>
      <c r="S824" s="87"/>
      <c r="T824" s="87"/>
      <c r="U824" s="19"/>
      <c r="V824" s="87"/>
      <c r="W824" s="87"/>
      <c r="X824" s="87"/>
      <c r="Y824" s="87"/>
      <c r="Z824" s="87"/>
      <c r="AA824" s="87"/>
      <c r="AB824" s="87"/>
      <c r="AC824" s="87"/>
      <c r="AD824" s="87"/>
      <c r="AE824" s="87"/>
      <c r="AF824" s="87"/>
      <c r="AG824" s="87"/>
      <c r="AH824" s="87"/>
      <c r="AI824" s="87"/>
      <c r="AJ824" s="87"/>
      <c r="AK824" s="87"/>
      <c r="AL824" s="87"/>
      <c r="AM824" s="87"/>
      <c r="AN824" s="87"/>
      <c r="AO824" s="87"/>
      <c r="AP824" s="87"/>
      <c r="AQ824" s="87"/>
      <c r="AR824" s="87"/>
      <c r="AS824" s="87"/>
      <c r="AT824" s="87"/>
      <c r="AU824" s="87"/>
      <c r="AV824" s="87"/>
      <c r="AW824" s="87"/>
      <c r="AX824" s="87"/>
      <c r="AY824" s="87"/>
      <c r="AZ824" s="87"/>
      <c r="BA824" s="87"/>
      <c r="BB824" s="87"/>
      <c r="BC824" s="87"/>
      <c r="BD824" s="87"/>
      <c r="BE824" s="87"/>
      <c r="BF824" s="87"/>
      <c r="BG824" s="87"/>
      <c r="BH824" s="87"/>
      <c r="BI824" s="87"/>
      <c r="BJ824" s="87"/>
      <c r="BK824" s="87"/>
      <c r="BL824" s="87"/>
      <c r="BM824" s="87"/>
      <c r="BN824" s="87"/>
      <c r="BO824" s="87"/>
      <c r="BP824" s="87"/>
      <c r="BQ824" s="87"/>
      <c r="BR824" s="87"/>
      <c r="BS824" s="87"/>
      <c r="BT824" s="87"/>
      <c r="BU824" s="87"/>
      <c r="BV824" s="87"/>
      <c r="BW824" s="87"/>
      <c r="BX824" s="87"/>
      <c r="BY824" s="87"/>
    </row>
    <row r="825" spans="3:77" x14ac:dyDescent="0.3">
      <c r="C825" s="90"/>
      <c r="D825" s="87"/>
      <c r="E825" s="91"/>
      <c r="F825" s="92"/>
      <c r="G825" s="93"/>
      <c r="H825" s="93"/>
      <c r="I825" s="93"/>
      <c r="J825" s="93"/>
      <c r="K825" s="93"/>
      <c r="L825" s="93"/>
      <c r="M825" s="93"/>
      <c r="N825" s="93"/>
      <c r="O825" s="93"/>
      <c r="P825" s="93"/>
      <c r="Q825" s="93"/>
      <c r="R825" s="87"/>
      <c r="S825" s="87"/>
      <c r="T825" s="87"/>
      <c r="U825" s="19"/>
      <c r="V825" s="87"/>
      <c r="W825" s="87"/>
      <c r="X825" s="87"/>
      <c r="Y825" s="87"/>
      <c r="Z825" s="87"/>
      <c r="AA825" s="87"/>
      <c r="AB825" s="87"/>
      <c r="AC825" s="87"/>
      <c r="AD825" s="87"/>
      <c r="AE825" s="87"/>
      <c r="AF825" s="87"/>
      <c r="AG825" s="87"/>
      <c r="AH825" s="87"/>
      <c r="AI825" s="87"/>
      <c r="AJ825" s="87"/>
      <c r="AK825" s="87"/>
      <c r="AL825" s="87"/>
      <c r="AM825" s="87"/>
      <c r="AN825" s="87"/>
      <c r="AO825" s="87"/>
      <c r="AP825" s="87"/>
      <c r="AQ825" s="87"/>
      <c r="AR825" s="87"/>
      <c r="AS825" s="87"/>
      <c r="AT825" s="87"/>
      <c r="AU825" s="87"/>
      <c r="AV825" s="87"/>
      <c r="AW825" s="87"/>
      <c r="AX825" s="87"/>
      <c r="AY825" s="87"/>
      <c r="AZ825" s="87"/>
      <c r="BA825" s="87"/>
      <c r="BB825" s="87"/>
      <c r="BC825" s="87"/>
      <c r="BD825" s="87"/>
      <c r="BE825" s="87"/>
      <c r="BF825" s="87"/>
      <c r="BG825" s="87"/>
      <c r="BH825" s="87"/>
      <c r="BI825" s="87"/>
      <c r="BJ825" s="87"/>
      <c r="BK825" s="87"/>
      <c r="BL825" s="87"/>
      <c r="BM825" s="87"/>
      <c r="BN825" s="87"/>
      <c r="BO825" s="87"/>
      <c r="BP825" s="87"/>
      <c r="BQ825" s="87"/>
      <c r="BR825" s="87"/>
      <c r="BS825" s="87"/>
      <c r="BT825" s="87"/>
      <c r="BU825" s="87"/>
      <c r="BV825" s="87"/>
      <c r="BW825" s="87"/>
      <c r="BX825" s="87"/>
      <c r="BY825" s="87"/>
    </row>
    <row r="826" spans="3:77" x14ac:dyDescent="0.3">
      <c r="C826" s="90"/>
      <c r="D826" s="87"/>
      <c r="E826" s="91"/>
      <c r="F826" s="92"/>
      <c r="G826" s="93"/>
      <c r="H826" s="93"/>
      <c r="I826" s="93"/>
      <c r="J826" s="93"/>
      <c r="K826" s="93"/>
      <c r="L826" s="93"/>
      <c r="M826" s="93"/>
      <c r="N826" s="93"/>
      <c r="O826" s="93"/>
      <c r="P826" s="93"/>
      <c r="Q826" s="93"/>
      <c r="R826" s="87"/>
      <c r="S826" s="87"/>
      <c r="T826" s="87"/>
      <c r="U826" s="19"/>
      <c r="V826" s="87"/>
      <c r="W826" s="87"/>
      <c r="X826" s="87"/>
      <c r="Y826" s="87"/>
      <c r="Z826" s="87"/>
      <c r="AA826" s="87"/>
      <c r="AB826" s="87"/>
      <c r="AC826" s="87"/>
      <c r="AD826" s="87"/>
      <c r="AE826" s="87"/>
      <c r="AF826" s="87"/>
      <c r="AG826" s="87"/>
      <c r="AH826" s="87"/>
      <c r="AI826" s="87"/>
      <c r="AJ826" s="87"/>
      <c r="AK826" s="87"/>
      <c r="AL826" s="87"/>
      <c r="AM826" s="87"/>
      <c r="AN826" s="87"/>
      <c r="AO826" s="87"/>
      <c r="AP826" s="87"/>
      <c r="AQ826" s="87"/>
      <c r="AR826" s="87"/>
      <c r="AS826" s="87"/>
      <c r="AT826" s="87"/>
      <c r="AU826" s="87"/>
      <c r="AV826" s="87"/>
      <c r="AW826" s="87"/>
      <c r="AX826" s="87"/>
      <c r="AY826" s="87"/>
      <c r="AZ826" s="87"/>
      <c r="BA826" s="87"/>
      <c r="BB826" s="87"/>
      <c r="BC826" s="87"/>
      <c r="BD826" s="87"/>
      <c r="BE826" s="87"/>
      <c r="BF826" s="87"/>
      <c r="BG826" s="87"/>
      <c r="BH826" s="87"/>
      <c r="BI826" s="87"/>
      <c r="BJ826" s="87"/>
      <c r="BK826" s="87"/>
      <c r="BL826" s="87"/>
      <c r="BM826" s="87"/>
      <c r="BN826" s="87"/>
      <c r="BO826" s="87"/>
      <c r="BP826" s="87"/>
      <c r="BQ826" s="87"/>
      <c r="BR826" s="87"/>
      <c r="BS826" s="87"/>
      <c r="BT826" s="87"/>
      <c r="BU826" s="87"/>
      <c r="BV826" s="87"/>
      <c r="BW826" s="87"/>
      <c r="BX826" s="87"/>
      <c r="BY826" s="87"/>
    </row>
    <row r="827" spans="3:77" x14ac:dyDescent="0.3">
      <c r="C827" s="90"/>
      <c r="D827" s="87"/>
      <c r="E827" s="91"/>
      <c r="F827" s="92"/>
      <c r="G827" s="93"/>
      <c r="H827" s="93"/>
      <c r="I827" s="93"/>
      <c r="J827" s="93"/>
      <c r="K827" s="93"/>
      <c r="L827" s="93"/>
      <c r="M827" s="93"/>
      <c r="N827" s="93"/>
      <c r="O827" s="93"/>
      <c r="P827" s="93"/>
      <c r="Q827" s="93"/>
      <c r="R827" s="87"/>
      <c r="S827" s="87"/>
      <c r="T827" s="87"/>
      <c r="U827" s="19"/>
      <c r="V827" s="87"/>
      <c r="W827" s="87"/>
      <c r="X827" s="87"/>
      <c r="Y827" s="87"/>
      <c r="Z827" s="87"/>
      <c r="AA827" s="87"/>
      <c r="AB827" s="87"/>
      <c r="AC827" s="87"/>
      <c r="AD827" s="87"/>
      <c r="AE827" s="87"/>
      <c r="AF827" s="87"/>
      <c r="AG827" s="87"/>
      <c r="AH827" s="87"/>
      <c r="AI827" s="87"/>
      <c r="AJ827" s="87"/>
      <c r="AK827" s="87"/>
      <c r="AL827" s="87"/>
      <c r="AM827" s="87"/>
      <c r="AN827" s="87"/>
      <c r="AO827" s="87"/>
      <c r="AP827" s="87"/>
      <c r="AQ827" s="87"/>
      <c r="AR827" s="87"/>
      <c r="AS827" s="87"/>
      <c r="AT827" s="87"/>
      <c r="AU827" s="87"/>
      <c r="AV827" s="87"/>
      <c r="AW827" s="87"/>
      <c r="AX827" s="87"/>
      <c r="AY827" s="87"/>
      <c r="AZ827" s="87"/>
      <c r="BA827" s="87"/>
      <c r="BB827" s="87"/>
      <c r="BC827" s="87"/>
      <c r="BD827" s="87"/>
      <c r="BE827" s="87"/>
      <c r="BF827" s="87"/>
      <c r="BG827" s="87"/>
      <c r="BH827" s="87"/>
      <c r="BI827" s="87"/>
      <c r="BJ827" s="87"/>
      <c r="BK827" s="87"/>
      <c r="BL827" s="87"/>
      <c r="BM827" s="87"/>
      <c r="BN827" s="87"/>
      <c r="BO827" s="87"/>
      <c r="BP827" s="87"/>
      <c r="BQ827" s="87"/>
      <c r="BR827" s="87"/>
      <c r="BS827" s="87"/>
      <c r="BT827" s="87"/>
      <c r="BU827" s="87"/>
      <c r="BV827" s="87"/>
      <c r="BW827" s="87"/>
      <c r="BX827" s="87"/>
      <c r="BY827" s="87"/>
    </row>
    <row r="828" spans="3:77" x14ac:dyDescent="0.3">
      <c r="C828" s="90"/>
      <c r="D828" s="87"/>
      <c r="E828" s="91"/>
      <c r="F828" s="92"/>
      <c r="G828" s="93"/>
      <c r="H828" s="93"/>
      <c r="I828" s="93"/>
      <c r="J828" s="93"/>
      <c r="K828" s="93"/>
      <c r="L828" s="93"/>
      <c r="M828" s="93"/>
      <c r="N828" s="93"/>
      <c r="O828" s="93"/>
      <c r="P828" s="93"/>
      <c r="Q828" s="93"/>
      <c r="R828" s="87"/>
      <c r="S828" s="87"/>
      <c r="T828" s="87"/>
      <c r="U828" s="19"/>
      <c r="V828" s="87"/>
      <c r="W828" s="87"/>
      <c r="X828" s="87"/>
      <c r="Y828" s="87"/>
      <c r="Z828" s="87"/>
      <c r="AA828" s="87"/>
      <c r="AB828" s="87"/>
      <c r="AC828" s="87"/>
      <c r="AD828" s="87"/>
      <c r="AE828" s="87"/>
      <c r="AF828" s="87"/>
      <c r="AG828" s="87"/>
      <c r="AH828" s="87"/>
      <c r="AI828" s="87"/>
      <c r="AJ828" s="87"/>
      <c r="AK828" s="87"/>
      <c r="AL828" s="87"/>
      <c r="AM828" s="87"/>
      <c r="AN828" s="87"/>
      <c r="AO828" s="87"/>
      <c r="AP828" s="87"/>
      <c r="AQ828" s="87"/>
      <c r="AR828" s="87"/>
      <c r="AS828" s="87"/>
      <c r="AT828" s="87"/>
      <c r="AU828" s="87"/>
      <c r="AV828" s="87"/>
      <c r="AW828" s="87"/>
      <c r="AX828" s="87"/>
      <c r="AY828" s="87"/>
      <c r="AZ828" s="87"/>
      <c r="BA828" s="87"/>
      <c r="BB828" s="87"/>
      <c r="BC828" s="87"/>
      <c r="BD828" s="87"/>
      <c r="BE828" s="87"/>
      <c r="BF828" s="87"/>
      <c r="BG828" s="87"/>
      <c r="BH828" s="87"/>
      <c r="BI828" s="87"/>
      <c r="BJ828" s="87"/>
      <c r="BK828" s="87"/>
      <c r="BL828" s="87"/>
      <c r="BM828" s="87"/>
      <c r="BN828" s="87"/>
      <c r="BO828" s="87"/>
      <c r="BP828" s="87"/>
      <c r="BQ828" s="87"/>
      <c r="BR828" s="87"/>
      <c r="BS828" s="87"/>
      <c r="BT828" s="87"/>
      <c r="BU828" s="87"/>
      <c r="BV828" s="87"/>
      <c r="BW828" s="87"/>
      <c r="BX828" s="87"/>
      <c r="BY828" s="87"/>
    </row>
    <row r="829" spans="3:77" x14ac:dyDescent="0.3">
      <c r="C829" s="90"/>
      <c r="D829" s="87"/>
      <c r="E829" s="91"/>
      <c r="F829" s="92"/>
      <c r="G829" s="93"/>
      <c r="H829" s="93"/>
      <c r="I829" s="93"/>
      <c r="J829" s="93"/>
      <c r="K829" s="93"/>
      <c r="L829" s="93"/>
      <c r="M829" s="93"/>
      <c r="N829" s="93"/>
      <c r="O829" s="93"/>
      <c r="P829" s="93"/>
      <c r="Q829" s="93"/>
      <c r="R829" s="87"/>
      <c r="S829" s="87"/>
      <c r="T829" s="87"/>
      <c r="U829" s="19"/>
      <c r="V829" s="87"/>
      <c r="W829" s="87"/>
      <c r="X829" s="87"/>
      <c r="Y829" s="87"/>
      <c r="Z829" s="87"/>
      <c r="AA829" s="87"/>
      <c r="AB829" s="87"/>
      <c r="AC829" s="87"/>
      <c r="AD829" s="87"/>
      <c r="AE829" s="87"/>
      <c r="AF829" s="87"/>
      <c r="AG829" s="87"/>
      <c r="AH829" s="87"/>
      <c r="AI829" s="87"/>
      <c r="AJ829" s="87"/>
      <c r="AK829" s="87"/>
      <c r="AL829" s="87"/>
      <c r="AM829" s="87"/>
      <c r="AN829" s="87"/>
      <c r="AO829" s="87"/>
      <c r="AP829" s="87"/>
      <c r="AQ829" s="87"/>
      <c r="AR829" s="87"/>
      <c r="AS829" s="87"/>
      <c r="AT829" s="87"/>
      <c r="AU829" s="87"/>
      <c r="AV829" s="87"/>
      <c r="AW829" s="87"/>
      <c r="AX829" s="87"/>
      <c r="AY829" s="87"/>
      <c r="AZ829" s="87"/>
      <c r="BA829" s="87"/>
      <c r="BB829" s="87"/>
      <c r="BC829" s="87"/>
      <c r="BD829" s="87"/>
      <c r="BE829" s="87"/>
      <c r="BF829" s="87"/>
      <c r="BG829" s="87"/>
      <c r="BH829" s="87"/>
      <c r="BI829" s="87"/>
      <c r="BJ829" s="87"/>
      <c r="BK829" s="87"/>
      <c r="BL829" s="87"/>
      <c r="BM829" s="87"/>
      <c r="BN829" s="87"/>
      <c r="BO829" s="87"/>
      <c r="BP829" s="87"/>
      <c r="BQ829" s="87"/>
      <c r="BR829" s="87"/>
      <c r="BS829" s="87"/>
      <c r="BT829" s="87"/>
      <c r="BU829" s="87"/>
      <c r="BV829" s="87"/>
      <c r="BW829" s="87"/>
      <c r="BX829" s="87"/>
      <c r="BY829" s="87"/>
    </row>
    <row r="830" spans="3:77" x14ac:dyDescent="0.3">
      <c r="C830" s="90"/>
      <c r="D830" s="87"/>
      <c r="E830" s="91"/>
      <c r="F830" s="92"/>
      <c r="G830" s="93"/>
      <c r="H830" s="93"/>
      <c r="I830" s="93"/>
      <c r="J830" s="93"/>
      <c r="K830" s="93"/>
      <c r="L830" s="93"/>
      <c r="M830" s="93"/>
      <c r="N830" s="93"/>
      <c r="O830" s="93"/>
      <c r="P830" s="93"/>
      <c r="Q830" s="93"/>
      <c r="R830" s="87"/>
      <c r="S830" s="87"/>
      <c r="T830" s="87"/>
      <c r="U830" s="19"/>
      <c r="V830" s="87"/>
      <c r="W830" s="87"/>
      <c r="X830" s="87"/>
      <c r="Y830" s="87"/>
      <c r="Z830" s="87"/>
      <c r="AA830" s="87"/>
      <c r="AB830" s="87"/>
      <c r="AC830" s="87"/>
      <c r="AD830" s="87"/>
      <c r="AE830" s="87"/>
      <c r="AF830" s="87"/>
      <c r="AG830" s="87"/>
      <c r="AH830" s="87"/>
      <c r="AI830" s="87"/>
      <c r="AJ830" s="87"/>
      <c r="AK830" s="87"/>
      <c r="AL830" s="87"/>
      <c r="AM830" s="87"/>
      <c r="AN830" s="87"/>
      <c r="AO830" s="87"/>
      <c r="AP830" s="87"/>
      <c r="AQ830" s="87"/>
      <c r="AR830" s="87"/>
      <c r="AS830" s="87"/>
      <c r="AT830" s="87"/>
      <c r="AU830" s="87"/>
      <c r="AV830" s="87"/>
      <c r="AW830" s="87"/>
      <c r="AX830" s="87"/>
      <c r="AY830" s="87"/>
      <c r="AZ830" s="87"/>
      <c r="BA830" s="87"/>
      <c r="BB830" s="87"/>
      <c r="BC830" s="87"/>
      <c r="BD830" s="87"/>
      <c r="BE830" s="87"/>
      <c r="BF830" s="87"/>
      <c r="BG830" s="87"/>
      <c r="BH830" s="87"/>
      <c r="BI830" s="87"/>
      <c r="BJ830" s="87"/>
      <c r="BK830" s="87"/>
      <c r="BL830" s="87"/>
      <c r="BM830" s="87"/>
      <c r="BN830" s="87"/>
      <c r="BO830" s="87"/>
      <c r="BP830" s="87"/>
      <c r="BQ830" s="87"/>
      <c r="BR830" s="87"/>
      <c r="BS830" s="87"/>
      <c r="BT830" s="87"/>
      <c r="BU830" s="87"/>
      <c r="BV830" s="87"/>
      <c r="BW830" s="87"/>
      <c r="BX830" s="87"/>
      <c r="BY830" s="87"/>
    </row>
    <row r="831" spans="3:77" x14ac:dyDescent="0.3">
      <c r="C831" s="90"/>
      <c r="D831" s="87"/>
      <c r="E831" s="91"/>
      <c r="F831" s="92"/>
      <c r="G831" s="93"/>
      <c r="H831" s="93"/>
      <c r="I831" s="93"/>
      <c r="J831" s="93"/>
      <c r="K831" s="93"/>
      <c r="L831" s="93"/>
      <c r="M831" s="93"/>
      <c r="N831" s="93"/>
      <c r="O831" s="93"/>
      <c r="P831" s="93"/>
      <c r="Q831" s="93"/>
      <c r="R831" s="87"/>
      <c r="S831" s="87"/>
      <c r="T831" s="87"/>
      <c r="U831" s="19"/>
      <c r="V831" s="87"/>
      <c r="W831" s="87"/>
      <c r="X831" s="87"/>
      <c r="Y831" s="87"/>
      <c r="Z831" s="87"/>
      <c r="AA831" s="87"/>
      <c r="AB831" s="87"/>
      <c r="AC831" s="87"/>
      <c r="AD831" s="87"/>
      <c r="AE831" s="87"/>
      <c r="AF831" s="87"/>
      <c r="AG831" s="87"/>
      <c r="AH831" s="87"/>
      <c r="AI831" s="87"/>
      <c r="AJ831" s="87"/>
      <c r="AK831" s="87"/>
      <c r="AL831" s="87"/>
      <c r="AM831" s="87"/>
      <c r="AN831" s="87"/>
      <c r="AO831" s="87"/>
      <c r="AP831" s="87"/>
      <c r="AQ831" s="87"/>
      <c r="AR831" s="87"/>
      <c r="AS831" s="87"/>
      <c r="AT831" s="87"/>
      <c r="AU831" s="87"/>
      <c r="AV831" s="87"/>
      <c r="AW831" s="87"/>
      <c r="AX831" s="87"/>
      <c r="AY831" s="87"/>
      <c r="AZ831" s="87"/>
      <c r="BA831" s="87"/>
      <c r="BB831" s="87"/>
      <c r="BC831" s="87"/>
      <c r="BD831" s="87"/>
      <c r="BE831" s="87"/>
      <c r="BF831" s="87"/>
      <c r="BG831" s="87"/>
      <c r="BH831" s="87"/>
      <c r="BI831" s="87"/>
      <c r="BJ831" s="87"/>
      <c r="BK831" s="87"/>
      <c r="BL831" s="87"/>
      <c r="BM831" s="87"/>
      <c r="BN831" s="87"/>
      <c r="BO831" s="87"/>
      <c r="BP831" s="87"/>
      <c r="BQ831" s="87"/>
      <c r="BR831" s="87"/>
      <c r="BS831" s="87"/>
      <c r="BT831" s="87"/>
      <c r="BU831" s="87"/>
      <c r="BV831" s="87"/>
      <c r="BW831" s="87"/>
      <c r="BX831" s="87"/>
      <c r="BY831" s="87"/>
    </row>
    <row r="832" spans="3:77" x14ac:dyDescent="0.3">
      <c r="C832" s="90"/>
      <c r="D832" s="87"/>
      <c r="E832" s="91"/>
      <c r="F832" s="92"/>
      <c r="G832" s="93"/>
      <c r="H832" s="93"/>
      <c r="I832" s="93"/>
      <c r="J832" s="93"/>
      <c r="K832" s="93"/>
      <c r="L832" s="93"/>
      <c r="M832" s="93"/>
      <c r="N832" s="93"/>
      <c r="O832" s="93"/>
      <c r="P832" s="93"/>
      <c r="Q832" s="93"/>
      <c r="R832" s="87"/>
      <c r="S832" s="87"/>
      <c r="T832" s="87"/>
      <c r="U832" s="19"/>
      <c r="V832" s="87"/>
      <c r="W832" s="87"/>
      <c r="X832" s="87"/>
      <c r="Y832" s="87"/>
      <c r="Z832" s="87"/>
      <c r="AA832" s="87"/>
      <c r="AB832" s="87"/>
      <c r="AC832" s="87"/>
      <c r="AD832" s="87"/>
      <c r="AE832" s="87"/>
      <c r="AF832" s="87"/>
      <c r="AG832" s="87"/>
      <c r="AH832" s="87"/>
      <c r="AI832" s="87"/>
      <c r="AJ832" s="87"/>
      <c r="AK832" s="87"/>
      <c r="AL832" s="87"/>
      <c r="AM832" s="87"/>
      <c r="AN832" s="87"/>
      <c r="AO832" s="87"/>
      <c r="AP832" s="87"/>
      <c r="AQ832" s="87"/>
      <c r="AR832" s="87"/>
      <c r="AS832" s="87"/>
      <c r="AT832" s="87"/>
      <c r="AU832" s="87"/>
      <c r="AV832" s="87"/>
      <c r="AW832" s="87"/>
      <c r="AX832" s="87"/>
      <c r="AY832" s="87"/>
      <c r="AZ832" s="87"/>
      <c r="BA832" s="87"/>
      <c r="BB832" s="87"/>
      <c r="BC832" s="87"/>
      <c r="BD832" s="87"/>
      <c r="BE832" s="87"/>
      <c r="BF832" s="87"/>
      <c r="BG832" s="87"/>
      <c r="BH832" s="87"/>
      <c r="BI832" s="87"/>
      <c r="BJ832" s="87"/>
      <c r="BK832" s="87"/>
      <c r="BL832" s="87"/>
      <c r="BM832" s="87"/>
      <c r="BN832" s="87"/>
      <c r="BO832" s="87"/>
      <c r="BP832" s="87"/>
      <c r="BQ832" s="87"/>
      <c r="BR832" s="87"/>
      <c r="BS832" s="87"/>
      <c r="BT832" s="87"/>
      <c r="BU832" s="87"/>
      <c r="BV832" s="87"/>
      <c r="BW832" s="87"/>
      <c r="BX832" s="87"/>
      <c r="BY832" s="87"/>
    </row>
    <row r="833" spans="3:77" x14ac:dyDescent="0.3">
      <c r="C833" s="90"/>
      <c r="D833" s="87"/>
      <c r="E833" s="91"/>
      <c r="F833" s="92"/>
      <c r="G833" s="93"/>
      <c r="H833" s="93"/>
      <c r="I833" s="93"/>
      <c r="J833" s="93"/>
      <c r="K833" s="93"/>
      <c r="L833" s="93"/>
      <c r="M833" s="93"/>
      <c r="N833" s="93"/>
      <c r="O833" s="93"/>
      <c r="P833" s="93"/>
      <c r="Q833" s="93"/>
      <c r="R833" s="87"/>
      <c r="S833" s="87"/>
      <c r="T833" s="87"/>
      <c r="U833" s="19"/>
      <c r="V833" s="87"/>
      <c r="W833" s="87"/>
      <c r="X833" s="87"/>
      <c r="Y833" s="87"/>
      <c r="Z833" s="87"/>
      <c r="AA833" s="87"/>
      <c r="AB833" s="87"/>
      <c r="AC833" s="87"/>
      <c r="AD833" s="87"/>
      <c r="AE833" s="87"/>
      <c r="AF833" s="87"/>
      <c r="AG833" s="87"/>
      <c r="AH833" s="87"/>
      <c r="AI833" s="87"/>
      <c r="AJ833" s="87"/>
      <c r="AK833" s="87"/>
      <c r="AL833" s="87"/>
      <c r="AM833" s="87"/>
      <c r="AN833" s="87"/>
      <c r="AO833" s="87"/>
      <c r="AP833" s="87"/>
      <c r="AQ833" s="87"/>
      <c r="AR833" s="87"/>
      <c r="AS833" s="87"/>
      <c r="AT833" s="87"/>
      <c r="AU833" s="87"/>
      <c r="AV833" s="87"/>
      <c r="AW833" s="87"/>
      <c r="AX833" s="87"/>
      <c r="AY833" s="87"/>
      <c r="AZ833" s="87"/>
      <c r="BA833" s="87"/>
      <c r="BB833" s="87"/>
      <c r="BC833" s="87"/>
      <c r="BD833" s="87"/>
      <c r="BE833" s="87"/>
      <c r="BF833" s="87"/>
      <c r="BG833" s="87"/>
      <c r="BH833" s="87"/>
      <c r="BI833" s="87"/>
      <c r="BJ833" s="87"/>
      <c r="BK833" s="87"/>
      <c r="BL833" s="87"/>
      <c r="BM833" s="87"/>
      <c r="BN833" s="87"/>
      <c r="BO833" s="87"/>
      <c r="BP833" s="87"/>
      <c r="BQ833" s="87"/>
      <c r="BR833" s="87"/>
      <c r="BS833" s="87"/>
      <c r="BT833" s="87"/>
      <c r="BU833" s="87"/>
      <c r="BV833" s="87"/>
      <c r="BW833" s="87"/>
      <c r="BX833" s="87"/>
      <c r="BY833" s="87"/>
    </row>
    <row r="834" spans="3:77" x14ac:dyDescent="0.3">
      <c r="C834" s="90"/>
      <c r="D834" s="87"/>
      <c r="E834" s="91"/>
      <c r="F834" s="92"/>
      <c r="G834" s="93"/>
      <c r="H834" s="93"/>
      <c r="I834" s="93"/>
      <c r="J834" s="93"/>
      <c r="K834" s="93"/>
      <c r="L834" s="93"/>
      <c r="M834" s="93"/>
      <c r="N834" s="93"/>
      <c r="O834" s="93"/>
      <c r="P834" s="93"/>
      <c r="Q834" s="93"/>
      <c r="R834" s="87"/>
      <c r="S834" s="87"/>
      <c r="T834" s="87"/>
      <c r="U834" s="19"/>
      <c r="V834" s="87"/>
      <c r="W834" s="87"/>
      <c r="X834" s="87"/>
      <c r="Y834" s="87"/>
      <c r="Z834" s="87"/>
      <c r="AA834" s="87"/>
      <c r="AB834" s="87"/>
      <c r="AC834" s="87"/>
      <c r="AD834" s="87"/>
      <c r="AE834" s="87"/>
      <c r="AF834" s="87"/>
      <c r="AG834" s="87"/>
      <c r="AH834" s="87"/>
      <c r="AI834" s="87"/>
      <c r="AJ834" s="87"/>
      <c r="AK834" s="87"/>
      <c r="AL834" s="87"/>
      <c r="AM834" s="87"/>
      <c r="AN834" s="87"/>
      <c r="AO834" s="87"/>
      <c r="AP834" s="87"/>
      <c r="AQ834" s="87"/>
      <c r="AR834" s="87"/>
      <c r="AS834" s="87"/>
      <c r="AT834" s="87"/>
      <c r="AU834" s="87"/>
      <c r="AV834" s="87"/>
      <c r="AW834" s="87"/>
      <c r="AX834" s="87"/>
      <c r="AY834" s="87"/>
      <c r="AZ834" s="87"/>
      <c r="BA834" s="87"/>
      <c r="BB834" s="87"/>
      <c r="BC834" s="87"/>
      <c r="BD834" s="87"/>
      <c r="BE834" s="87"/>
      <c r="BF834" s="87"/>
      <c r="BG834" s="87"/>
      <c r="BH834" s="87"/>
      <c r="BI834" s="87"/>
      <c r="BJ834" s="87"/>
      <c r="BK834" s="87"/>
      <c r="BL834" s="87"/>
      <c r="BM834" s="87"/>
      <c r="BN834" s="87"/>
      <c r="BO834" s="87"/>
      <c r="BP834" s="87"/>
      <c r="BQ834" s="87"/>
      <c r="BR834" s="87"/>
      <c r="BS834" s="87"/>
      <c r="BT834" s="87"/>
      <c r="BU834" s="87"/>
      <c r="BV834" s="87"/>
      <c r="BW834" s="87"/>
      <c r="BX834" s="87"/>
      <c r="BY834" s="87"/>
    </row>
    <row r="835" spans="3:77" x14ac:dyDescent="0.3">
      <c r="C835" s="90"/>
      <c r="D835" s="87"/>
      <c r="E835" s="91"/>
      <c r="F835" s="92"/>
      <c r="G835" s="93"/>
      <c r="H835" s="93"/>
      <c r="I835" s="93"/>
      <c r="J835" s="93"/>
      <c r="K835" s="93"/>
      <c r="L835" s="93"/>
      <c r="M835" s="93"/>
      <c r="N835" s="93"/>
      <c r="O835" s="93"/>
      <c r="P835" s="93"/>
      <c r="Q835" s="93"/>
      <c r="R835" s="87"/>
      <c r="S835" s="87"/>
      <c r="T835" s="87"/>
      <c r="U835" s="19"/>
      <c r="V835" s="87"/>
      <c r="W835" s="87"/>
      <c r="X835" s="87"/>
      <c r="Y835" s="87"/>
      <c r="Z835" s="87"/>
      <c r="AA835" s="87"/>
      <c r="AB835" s="87"/>
      <c r="AC835" s="87"/>
      <c r="AD835" s="87"/>
      <c r="AE835" s="87"/>
      <c r="AF835" s="87"/>
      <c r="AG835" s="87"/>
      <c r="AH835" s="87"/>
      <c r="AI835" s="87"/>
      <c r="AJ835" s="87"/>
      <c r="AK835" s="87"/>
      <c r="AL835" s="87"/>
      <c r="AM835" s="87"/>
      <c r="AN835" s="87"/>
      <c r="AO835" s="87"/>
      <c r="AP835" s="87"/>
      <c r="AQ835" s="87"/>
      <c r="AR835" s="87"/>
      <c r="AS835" s="87"/>
      <c r="AT835" s="87"/>
      <c r="AU835" s="87"/>
      <c r="AV835" s="87"/>
      <c r="AW835" s="87"/>
      <c r="AX835" s="87"/>
      <c r="AY835" s="87"/>
      <c r="AZ835" s="87"/>
      <c r="BA835" s="87"/>
      <c r="BB835" s="87"/>
      <c r="BC835" s="87"/>
      <c r="BD835" s="87"/>
      <c r="BE835" s="87"/>
      <c r="BF835" s="87"/>
      <c r="BG835" s="87"/>
      <c r="BH835" s="87"/>
      <c r="BI835" s="87"/>
      <c r="BJ835" s="87"/>
      <c r="BK835" s="87"/>
      <c r="BL835" s="87"/>
      <c r="BM835" s="87"/>
      <c r="BN835" s="87"/>
      <c r="BO835" s="87"/>
      <c r="BP835" s="87"/>
      <c r="BQ835" s="87"/>
      <c r="BR835" s="87"/>
      <c r="BS835" s="87"/>
      <c r="BT835" s="87"/>
      <c r="BU835" s="87"/>
      <c r="BV835" s="87"/>
      <c r="BW835" s="87"/>
      <c r="BX835" s="87"/>
      <c r="BY835" s="87"/>
    </row>
    <row r="836" spans="3:77" x14ac:dyDescent="0.3">
      <c r="C836" s="90"/>
      <c r="D836" s="87"/>
      <c r="E836" s="91"/>
      <c r="F836" s="92"/>
      <c r="G836" s="93"/>
      <c r="H836" s="93"/>
      <c r="I836" s="93"/>
      <c r="J836" s="93"/>
      <c r="K836" s="93"/>
      <c r="L836" s="93"/>
      <c r="M836" s="93"/>
      <c r="N836" s="93"/>
      <c r="O836" s="93"/>
      <c r="P836" s="93"/>
      <c r="Q836" s="93"/>
      <c r="R836" s="87"/>
      <c r="S836" s="87"/>
      <c r="T836" s="87"/>
      <c r="U836" s="19"/>
      <c r="V836" s="87"/>
      <c r="W836" s="87"/>
      <c r="X836" s="87"/>
      <c r="Y836" s="87"/>
      <c r="Z836" s="87"/>
      <c r="AA836" s="87"/>
      <c r="AB836" s="87"/>
      <c r="AC836" s="87"/>
      <c r="AD836" s="87"/>
      <c r="AE836" s="87"/>
      <c r="AF836" s="87"/>
      <c r="AG836" s="87"/>
      <c r="AH836" s="87"/>
      <c r="AI836" s="87"/>
      <c r="AJ836" s="87"/>
      <c r="AK836" s="87"/>
      <c r="AL836" s="87"/>
      <c r="AM836" s="87"/>
      <c r="AN836" s="87"/>
      <c r="AO836" s="87"/>
      <c r="AP836" s="87"/>
      <c r="AQ836" s="87"/>
      <c r="AR836" s="87"/>
      <c r="AS836" s="87"/>
      <c r="AT836" s="87"/>
      <c r="AU836" s="87"/>
      <c r="AV836" s="87"/>
      <c r="AW836" s="87"/>
      <c r="AX836" s="87"/>
      <c r="AY836" s="87"/>
      <c r="AZ836" s="87"/>
      <c r="BA836" s="87"/>
      <c r="BB836" s="87"/>
      <c r="BC836" s="87"/>
      <c r="BD836" s="87"/>
      <c r="BE836" s="87"/>
      <c r="BF836" s="87"/>
      <c r="BG836" s="87"/>
      <c r="BH836" s="87"/>
      <c r="BI836" s="87"/>
      <c r="BJ836" s="87"/>
      <c r="BK836" s="87"/>
      <c r="BL836" s="87"/>
      <c r="BM836" s="87"/>
      <c r="BN836" s="87"/>
      <c r="BO836" s="87"/>
      <c r="BP836" s="87"/>
      <c r="BQ836" s="87"/>
      <c r="BR836" s="87"/>
      <c r="BS836" s="87"/>
      <c r="BT836" s="87"/>
      <c r="BU836" s="87"/>
      <c r="BV836" s="87"/>
      <c r="BW836" s="87"/>
      <c r="BX836" s="87"/>
      <c r="BY836" s="87"/>
    </row>
    <row r="837" spans="3:77" x14ac:dyDescent="0.3">
      <c r="C837" s="90"/>
      <c r="D837" s="87"/>
      <c r="E837" s="91"/>
      <c r="F837" s="92"/>
      <c r="G837" s="93"/>
      <c r="H837" s="93"/>
      <c r="I837" s="93"/>
      <c r="J837" s="93"/>
      <c r="K837" s="93"/>
      <c r="L837" s="93"/>
      <c r="M837" s="93"/>
      <c r="N837" s="93"/>
      <c r="O837" s="93"/>
      <c r="P837" s="93"/>
      <c r="Q837" s="93"/>
      <c r="R837" s="87"/>
      <c r="S837" s="87"/>
      <c r="T837" s="87"/>
      <c r="U837" s="19"/>
      <c r="V837" s="87"/>
      <c r="W837" s="87"/>
      <c r="X837" s="87"/>
      <c r="Y837" s="87"/>
      <c r="Z837" s="87"/>
      <c r="AA837" s="87"/>
      <c r="AB837" s="87"/>
      <c r="AC837" s="87"/>
      <c r="AD837" s="87"/>
      <c r="AE837" s="87"/>
      <c r="AF837" s="87"/>
      <c r="AG837" s="87"/>
      <c r="AH837" s="87"/>
      <c r="AI837" s="87"/>
      <c r="AJ837" s="87"/>
      <c r="AK837" s="87"/>
      <c r="AL837" s="87"/>
      <c r="AM837" s="87"/>
      <c r="AN837" s="87"/>
      <c r="AO837" s="87"/>
      <c r="AP837" s="87"/>
      <c r="AQ837" s="87"/>
      <c r="AR837" s="87"/>
      <c r="AS837" s="87"/>
      <c r="AT837" s="87"/>
      <c r="AU837" s="87"/>
      <c r="AV837" s="87"/>
      <c r="AW837" s="87"/>
      <c r="AX837" s="87"/>
      <c r="AY837" s="87"/>
      <c r="AZ837" s="87"/>
      <c r="BA837" s="87"/>
      <c r="BB837" s="87"/>
      <c r="BC837" s="87"/>
      <c r="BD837" s="87"/>
      <c r="BE837" s="87"/>
      <c r="BF837" s="87"/>
      <c r="BG837" s="87"/>
      <c r="BH837" s="87"/>
      <c r="BI837" s="87"/>
      <c r="BJ837" s="87"/>
      <c r="BK837" s="87"/>
      <c r="BL837" s="87"/>
      <c r="BM837" s="87"/>
      <c r="BN837" s="87"/>
      <c r="BO837" s="87"/>
      <c r="BP837" s="87"/>
      <c r="BQ837" s="87"/>
      <c r="BR837" s="87"/>
      <c r="BS837" s="87"/>
      <c r="BT837" s="87"/>
      <c r="BU837" s="87"/>
      <c r="BV837" s="87"/>
      <c r="BW837" s="87"/>
      <c r="BX837" s="87"/>
      <c r="BY837" s="87"/>
    </row>
    <row r="838" spans="3:77" x14ac:dyDescent="0.3">
      <c r="C838" s="90"/>
      <c r="D838" s="87"/>
      <c r="E838" s="91"/>
      <c r="F838" s="92"/>
      <c r="G838" s="93"/>
      <c r="H838" s="93"/>
      <c r="I838" s="93"/>
      <c r="J838" s="93"/>
      <c r="K838" s="93"/>
      <c r="L838" s="93"/>
      <c r="M838" s="93"/>
      <c r="N838" s="93"/>
      <c r="O838" s="93"/>
      <c r="P838" s="93"/>
      <c r="Q838" s="93"/>
      <c r="R838" s="87"/>
      <c r="S838" s="87"/>
      <c r="T838" s="87"/>
      <c r="U838" s="19"/>
      <c r="V838" s="87"/>
      <c r="W838" s="87"/>
      <c r="X838" s="87"/>
      <c r="Y838" s="87"/>
      <c r="Z838" s="87"/>
      <c r="AA838" s="87"/>
      <c r="AB838" s="87"/>
      <c r="AC838" s="87"/>
      <c r="AD838" s="87"/>
      <c r="AE838" s="87"/>
      <c r="AF838" s="87"/>
      <c r="AG838" s="87"/>
      <c r="AH838" s="87"/>
      <c r="AI838" s="87"/>
      <c r="AJ838" s="87"/>
      <c r="AK838" s="87"/>
      <c r="AL838" s="87"/>
      <c r="AM838" s="87"/>
      <c r="AN838" s="87"/>
      <c r="AO838" s="87"/>
      <c r="AP838" s="87"/>
      <c r="AQ838" s="87"/>
      <c r="AR838" s="87"/>
      <c r="AS838" s="87"/>
      <c r="AT838" s="87"/>
      <c r="AU838" s="87"/>
      <c r="AV838" s="87"/>
      <c r="AW838" s="87"/>
      <c r="AX838" s="87"/>
      <c r="AY838" s="87"/>
      <c r="AZ838" s="87"/>
      <c r="BA838" s="87"/>
      <c r="BB838" s="87"/>
      <c r="BC838" s="87"/>
      <c r="BD838" s="87"/>
      <c r="BE838" s="87"/>
      <c r="BF838" s="87"/>
      <c r="BG838" s="87"/>
      <c r="BH838" s="87"/>
      <c r="BI838" s="87"/>
      <c r="BJ838" s="87"/>
      <c r="BK838" s="87"/>
      <c r="BL838" s="87"/>
      <c r="BM838" s="87"/>
      <c r="BN838" s="87"/>
      <c r="BO838" s="87"/>
      <c r="BP838" s="87"/>
      <c r="BQ838" s="87"/>
      <c r="BR838" s="87"/>
      <c r="BS838" s="87"/>
      <c r="BT838" s="87"/>
      <c r="BU838" s="87"/>
      <c r="BV838" s="87"/>
      <c r="BW838" s="87"/>
      <c r="BX838" s="87"/>
      <c r="BY838" s="87"/>
    </row>
    <row r="839" spans="3:77" x14ac:dyDescent="0.3">
      <c r="C839" s="90"/>
      <c r="D839" s="87"/>
      <c r="E839" s="91"/>
      <c r="F839" s="92"/>
      <c r="G839" s="93"/>
      <c r="H839" s="93"/>
      <c r="I839" s="93"/>
      <c r="J839" s="93"/>
      <c r="K839" s="93"/>
      <c r="L839" s="93"/>
      <c r="M839" s="93"/>
      <c r="N839" s="93"/>
      <c r="O839" s="93"/>
      <c r="P839" s="93"/>
      <c r="Q839" s="93"/>
      <c r="R839" s="87"/>
      <c r="S839" s="87"/>
      <c r="T839" s="87"/>
      <c r="U839" s="19"/>
      <c r="V839" s="87"/>
      <c r="W839" s="87"/>
      <c r="X839" s="87"/>
      <c r="Y839" s="87"/>
      <c r="Z839" s="87"/>
      <c r="AA839" s="87"/>
      <c r="AB839" s="87"/>
      <c r="AC839" s="87"/>
      <c r="AD839" s="87"/>
      <c r="AE839" s="87"/>
      <c r="AF839" s="87"/>
      <c r="AG839" s="87"/>
      <c r="AH839" s="87"/>
      <c r="AI839" s="87"/>
      <c r="AJ839" s="87"/>
      <c r="AK839" s="87"/>
      <c r="AL839" s="87"/>
      <c r="AM839" s="87"/>
      <c r="AN839" s="87"/>
      <c r="AO839" s="87"/>
      <c r="AP839" s="87"/>
      <c r="AQ839" s="87"/>
      <c r="AR839" s="87"/>
      <c r="AS839" s="87"/>
      <c r="AT839" s="87"/>
      <c r="AU839" s="87"/>
      <c r="AV839" s="87"/>
      <c r="AW839" s="87"/>
      <c r="AX839" s="87"/>
      <c r="AY839" s="87"/>
      <c r="AZ839" s="87"/>
      <c r="BA839" s="87"/>
      <c r="BB839" s="87"/>
      <c r="BC839" s="87"/>
      <c r="BD839" s="87"/>
      <c r="BE839" s="87"/>
      <c r="BF839" s="87"/>
      <c r="BG839" s="87"/>
      <c r="BH839" s="87"/>
      <c r="BI839" s="87"/>
      <c r="BJ839" s="87"/>
      <c r="BK839" s="87"/>
      <c r="BL839" s="87"/>
      <c r="BM839" s="87"/>
      <c r="BN839" s="87"/>
      <c r="BO839" s="87"/>
      <c r="BP839" s="87"/>
      <c r="BQ839" s="87"/>
      <c r="BR839" s="87"/>
      <c r="BS839" s="87"/>
      <c r="BT839" s="87"/>
      <c r="BU839" s="87"/>
      <c r="BV839" s="87"/>
      <c r="BW839" s="87"/>
      <c r="BX839" s="87"/>
      <c r="BY839" s="87"/>
    </row>
    <row r="840" spans="3:77" x14ac:dyDescent="0.3">
      <c r="C840" s="90"/>
      <c r="D840" s="87"/>
      <c r="E840" s="91"/>
      <c r="F840" s="92"/>
      <c r="G840" s="93"/>
      <c r="H840" s="93"/>
      <c r="I840" s="93"/>
      <c r="J840" s="93"/>
      <c r="K840" s="93"/>
      <c r="L840" s="93"/>
      <c r="M840" s="93"/>
      <c r="N840" s="93"/>
      <c r="O840" s="93"/>
      <c r="P840" s="93"/>
      <c r="Q840" s="93"/>
      <c r="R840" s="87"/>
      <c r="S840" s="87"/>
      <c r="T840" s="87"/>
      <c r="U840" s="19"/>
      <c r="V840" s="87"/>
      <c r="W840" s="87"/>
      <c r="X840" s="87"/>
      <c r="Y840" s="87"/>
      <c r="Z840" s="87"/>
      <c r="AA840" s="87"/>
      <c r="AB840" s="87"/>
      <c r="AC840" s="87"/>
      <c r="AD840" s="87"/>
      <c r="AE840" s="87"/>
      <c r="AF840" s="87"/>
      <c r="AG840" s="87"/>
      <c r="AH840" s="87"/>
      <c r="AI840" s="87"/>
      <c r="AJ840" s="87"/>
      <c r="AK840" s="87"/>
      <c r="AL840" s="87"/>
      <c r="AM840" s="87"/>
      <c r="AN840" s="87"/>
      <c r="AO840" s="87"/>
      <c r="AP840" s="87"/>
      <c r="AQ840" s="87"/>
      <c r="AR840" s="87"/>
      <c r="AS840" s="87"/>
      <c r="AT840" s="87"/>
      <c r="AU840" s="87"/>
      <c r="AV840" s="87"/>
      <c r="AW840" s="87"/>
      <c r="AX840" s="87"/>
      <c r="AY840" s="87"/>
      <c r="AZ840" s="87"/>
      <c r="BA840" s="87"/>
      <c r="BB840" s="87"/>
      <c r="BC840" s="87"/>
      <c r="BD840" s="87"/>
      <c r="BE840" s="87"/>
      <c r="BF840" s="87"/>
      <c r="BG840" s="87"/>
      <c r="BH840" s="87"/>
      <c r="BI840" s="87"/>
      <c r="BJ840" s="87"/>
      <c r="BK840" s="87"/>
      <c r="BL840" s="87"/>
      <c r="BM840" s="87"/>
      <c r="BN840" s="87"/>
      <c r="BO840" s="87"/>
      <c r="BP840" s="87"/>
      <c r="BQ840" s="87"/>
      <c r="BR840" s="87"/>
      <c r="BS840" s="87"/>
      <c r="BT840" s="87"/>
      <c r="BU840" s="87"/>
      <c r="BV840" s="87"/>
      <c r="BW840" s="87"/>
      <c r="BX840" s="87"/>
      <c r="BY840" s="87"/>
    </row>
    <row r="841" spans="3:77" x14ac:dyDescent="0.3">
      <c r="C841" s="90"/>
      <c r="D841" s="87"/>
      <c r="E841" s="91"/>
      <c r="F841" s="92"/>
      <c r="G841" s="93"/>
      <c r="H841" s="93"/>
      <c r="I841" s="93"/>
      <c r="J841" s="93"/>
      <c r="K841" s="93"/>
      <c r="L841" s="93"/>
      <c r="M841" s="93"/>
      <c r="N841" s="93"/>
      <c r="O841" s="93"/>
      <c r="P841" s="93"/>
      <c r="Q841" s="93"/>
      <c r="R841" s="87"/>
      <c r="S841" s="87"/>
      <c r="T841" s="87"/>
      <c r="U841" s="19"/>
      <c r="V841" s="87"/>
      <c r="W841" s="87"/>
      <c r="X841" s="87"/>
      <c r="Y841" s="87"/>
      <c r="Z841" s="87"/>
      <c r="AA841" s="87"/>
      <c r="AB841" s="87"/>
      <c r="AC841" s="87"/>
      <c r="AD841" s="87"/>
      <c r="AE841" s="87"/>
      <c r="AF841" s="87"/>
      <c r="AG841" s="87"/>
      <c r="AH841" s="87"/>
      <c r="AI841" s="87"/>
      <c r="AJ841" s="87"/>
      <c r="AK841" s="87"/>
      <c r="AL841" s="87"/>
      <c r="AM841" s="87"/>
      <c r="AN841" s="87"/>
      <c r="AO841" s="87"/>
      <c r="AP841" s="87"/>
      <c r="AQ841" s="87"/>
      <c r="AR841" s="87"/>
      <c r="AS841" s="87"/>
      <c r="AT841" s="87"/>
      <c r="AU841" s="87"/>
      <c r="AV841" s="87"/>
      <c r="AW841" s="87"/>
      <c r="AX841" s="87"/>
      <c r="AY841" s="87"/>
      <c r="AZ841" s="87"/>
      <c r="BA841" s="87"/>
      <c r="BB841" s="87"/>
      <c r="BC841" s="87"/>
      <c r="BD841" s="87"/>
      <c r="BE841" s="87"/>
      <c r="BF841" s="87"/>
      <c r="BG841" s="87"/>
      <c r="BH841" s="87"/>
      <c r="BI841" s="87"/>
      <c r="BJ841" s="87"/>
      <c r="BK841" s="87"/>
      <c r="BL841" s="87"/>
      <c r="BM841" s="87"/>
      <c r="BN841" s="87"/>
      <c r="BO841" s="87"/>
      <c r="BP841" s="87"/>
      <c r="BQ841" s="87"/>
      <c r="BR841" s="87"/>
      <c r="BS841" s="87"/>
      <c r="BT841" s="87"/>
      <c r="BU841" s="87"/>
      <c r="BV841" s="87"/>
      <c r="BW841" s="87"/>
      <c r="BX841" s="87"/>
      <c r="BY841" s="87"/>
    </row>
    <row r="842" spans="3:77" x14ac:dyDescent="0.3">
      <c r="C842" s="90"/>
      <c r="D842" s="87"/>
      <c r="E842" s="91"/>
      <c r="F842" s="92"/>
      <c r="G842" s="93"/>
      <c r="H842" s="93"/>
      <c r="I842" s="93"/>
      <c r="J842" s="93"/>
      <c r="K842" s="93"/>
      <c r="L842" s="93"/>
      <c r="M842" s="93"/>
      <c r="N842" s="93"/>
      <c r="O842" s="93"/>
      <c r="P842" s="93"/>
      <c r="Q842" s="93"/>
      <c r="R842" s="87"/>
      <c r="S842" s="87"/>
      <c r="T842" s="87"/>
      <c r="U842" s="19"/>
      <c r="V842" s="87"/>
      <c r="W842" s="87"/>
      <c r="X842" s="87"/>
      <c r="Y842" s="87"/>
      <c r="Z842" s="87"/>
      <c r="AA842" s="87"/>
      <c r="AB842" s="87"/>
      <c r="AC842" s="87"/>
      <c r="AD842" s="87"/>
      <c r="AE842" s="87"/>
      <c r="AF842" s="87"/>
      <c r="AG842" s="87"/>
      <c r="AH842" s="87"/>
      <c r="AI842" s="87"/>
      <c r="AJ842" s="87"/>
      <c r="AK842" s="87"/>
      <c r="AL842" s="87"/>
      <c r="AM842" s="87"/>
      <c r="AN842" s="87"/>
      <c r="AO842" s="87"/>
      <c r="AP842" s="87"/>
      <c r="AQ842" s="87"/>
      <c r="AR842" s="87"/>
      <c r="AS842" s="87"/>
      <c r="AT842" s="87"/>
      <c r="AU842" s="87"/>
      <c r="AV842" s="87"/>
      <c r="AW842" s="87"/>
      <c r="AX842" s="87"/>
      <c r="AY842" s="87"/>
      <c r="AZ842" s="87"/>
      <c r="BA842" s="87"/>
      <c r="BB842" s="87"/>
      <c r="BC842" s="87"/>
      <c r="BD842" s="87"/>
      <c r="BE842" s="87"/>
      <c r="BF842" s="87"/>
      <c r="BG842" s="87"/>
      <c r="BH842" s="87"/>
      <c r="BI842" s="87"/>
      <c r="BJ842" s="87"/>
      <c r="BK842" s="87"/>
      <c r="BL842" s="87"/>
      <c r="BM842" s="87"/>
      <c r="BN842" s="87"/>
      <c r="BO842" s="87"/>
      <c r="BP842" s="87"/>
      <c r="BQ842" s="87"/>
      <c r="BR842" s="87"/>
      <c r="BS842" s="87"/>
      <c r="BT842" s="87"/>
      <c r="BU842" s="87"/>
      <c r="BV842" s="87"/>
      <c r="BW842" s="87"/>
      <c r="BX842" s="87"/>
      <c r="BY842" s="87"/>
    </row>
    <row r="843" spans="3:77" x14ac:dyDescent="0.3">
      <c r="C843" s="90"/>
      <c r="D843" s="87"/>
      <c r="E843" s="91"/>
      <c r="F843" s="92"/>
      <c r="G843" s="93"/>
      <c r="H843" s="93"/>
      <c r="I843" s="93"/>
      <c r="J843" s="93"/>
      <c r="K843" s="93"/>
      <c r="L843" s="93"/>
      <c r="M843" s="93"/>
      <c r="N843" s="93"/>
      <c r="O843" s="93"/>
      <c r="P843" s="93"/>
      <c r="Q843" s="93"/>
      <c r="R843" s="87"/>
      <c r="S843" s="87"/>
      <c r="T843" s="87"/>
      <c r="U843" s="19"/>
      <c r="V843" s="87"/>
      <c r="W843" s="87"/>
      <c r="X843" s="87"/>
      <c r="Y843" s="87"/>
      <c r="Z843" s="87"/>
      <c r="AA843" s="87"/>
      <c r="AB843" s="87"/>
      <c r="AC843" s="87"/>
      <c r="AD843" s="87"/>
      <c r="AE843" s="87"/>
      <c r="AF843" s="87"/>
      <c r="AG843" s="87"/>
      <c r="AH843" s="87"/>
      <c r="AI843" s="87"/>
      <c r="AJ843" s="87"/>
      <c r="AK843" s="87"/>
      <c r="AL843" s="87"/>
      <c r="AM843" s="87"/>
      <c r="AN843" s="87"/>
      <c r="AO843" s="87"/>
      <c r="AP843" s="87"/>
      <c r="AQ843" s="87"/>
      <c r="AR843" s="87"/>
      <c r="AS843" s="87"/>
      <c r="AT843" s="87"/>
      <c r="AU843" s="87"/>
      <c r="AV843" s="87"/>
      <c r="AW843" s="87"/>
      <c r="AX843" s="87"/>
      <c r="AY843" s="87"/>
      <c r="AZ843" s="87"/>
      <c r="BA843" s="87"/>
      <c r="BB843" s="87"/>
      <c r="BC843" s="87"/>
      <c r="BD843" s="87"/>
      <c r="BE843" s="87"/>
      <c r="BF843" s="87"/>
      <c r="BG843" s="87"/>
      <c r="BH843" s="87"/>
      <c r="BI843" s="87"/>
      <c r="BJ843" s="87"/>
      <c r="BK843" s="87"/>
      <c r="BL843" s="87"/>
      <c r="BM843" s="87"/>
      <c r="BN843" s="87"/>
      <c r="BO843" s="87"/>
      <c r="BP843" s="87"/>
      <c r="BQ843" s="87"/>
      <c r="BR843" s="87"/>
      <c r="BS843" s="87"/>
      <c r="BT843" s="87"/>
      <c r="BU843" s="87"/>
      <c r="BV843" s="87"/>
      <c r="BW843" s="87"/>
      <c r="BX843" s="87"/>
      <c r="BY843" s="87"/>
    </row>
    <row r="844" spans="3:77" x14ac:dyDescent="0.3">
      <c r="C844" s="90"/>
      <c r="D844" s="87"/>
      <c r="E844" s="91"/>
      <c r="F844" s="92"/>
      <c r="G844" s="93"/>
      <c r="H844" s="93"/>
      <c r="I844" s="93"/>
      <c r="J844" s="93"/>
      <c r="K844" s="93"/>
      <c r="L844" s="93"/>
      <c r="M844" s="93"/>
      <c r="N844" s="93"/>
      <c r="O844" s="93"/>
      <c r="P844" s="93"/>
      <c r="Q844" s="93"/>
      <c r="R844" s="87"/>
      <c r="S844" s="87"/>
      <c r="T844" s="87"/>
      <c r="U844" s="19"/>
      <c r="V844" s="87"/>
      <c r="W844" s="87"/>
      <c r="X844" s="87"/>
      <c r="Y844" s="87"/>
      <c r="Z844" s="87"/>
      <c r="AA844" s="87"/>
      <c r="AB844" s="87"/>
      <c r="AC844" s="87"/>
      <c r="AD844" s="87"/>
      <c r="AE844" s="87"/>
      <c r="AF844" s="87"/>
      <c r="AG844" s="87"/>
      <c r="AH844" s="87"/>
      <c r="AI844" s="87"/>
      <c r="AJ844" s="87"/>
      <c r="AK844" s="87"/>
      <c r="AL844" s="87"/>
      <c r="AM844" s="87"/>
      <c r="AN844" s="87"/>
      <c r="AO844" s="87"/>
      <c r="AP844" s="87"/>
      <c r="AQ844" s="87"/>
      <c r="AR844" s="87"/>
      <c r="AS844" s="87"/>
      <c r="AT844" s="87"/>
      <c r="AU844" s="87"/>
      <c r="AV844" s="87"/>
      <c r="AW844" s="87"/>
      <c r="AX844" s="87"/>
      <c r="AY844" s="87"/>
      <c r="AZ844" s="87"/>
      <c r="BA844" s="87"/>
      <c r="BB844" s="87"/>
      <c r="BC844" s="87"/>
      <c r="BD844" s="87"/>
      <c r="BE844" s="87"/>
      <c r="BF844" s="87"/>
      <c r="BG844" s="87"/>
      <c r="BH844" s="87"/>
      <c r="BI844" s="87"/>
      <c r="BJ844" s="87"/>
      <c r="BK844" s="87"/>
      <c r="BL844" s="87"/>
      <c r="BM844" s="87"/>
      <c r="BN844" s="87"/>
      <c r="BO844" s="87"/>
      <c r="BP844" s="87"/>
      <c r="BQ844" s="87"/>
      <c r="BR844" s="87"/>
      <c r="BS844" s="87"/>
      <c r="BT844" s="87"/>
      <c r="BU844" s="87"/>
      <c r="BV844" s="87"/>
      <c r="BW844" s="87"/>
      <c r="BX844" s="87"/>
      <c r="BY844" s="87"/>
    </row>
    <row r="845" spans="3:77" x14ac:dyDescent="0.3">
      <c r="C845" s="90"/>
      <c r="D845" s="87"/>
      <c r="E845" s="91"/>
      <c r="F845" s="92"/>
      <c r="G845" s="93"/>
      <c r="H845" s="93"/>
      <c r="I845" s="93"/>
      <c r="J845" s="93"/>
      <c r="K845" s="93"/>
      <c r="L845" s="93"/>
      <c r="M845" s="93"/>
      <c r="N845" s="93"/>
      <c r="O845" s="93"/>
      <c r="P845" s="93"/>
      <c r="Q845" s="93"/>
      <c r="R845" s="87"/>
      <c r="S845" s="87"/>
      <c r="T845" s="87"/>
      <c r="U845" s="19"/>
      <c r="V845" s="87"/>
      <c r="W845" s="87"/>
      <c r="X845" s="87"/>
      <c r="Y845" s="87"/>
      <c r="Z845" s="87"/>
      <c r="AA845" s="87"/>
      <c r="AB845" s="87"/>
      <c r="AC845" s="87"/>
      <c r="AD845" s="87"/>
      <c r="AE845" s="87"/>
      <c r="AF845" s="87"/>
      <c r="AG845" s="87"/>
      <c r="AH845" s="87"/>
      <c r="AI845" s="87"/>
      <c r="AJ845" s="87"/>
      <c r="AK845" s="87"/>
      <c r="AL845" s="87"/>
      <c r="AM845" s="87"/>
      <c r="AN845" s="87"/>
      <c r="AO845" s="87"/>
      <c r="AP845" s="87"/>
      <c r="AQ845" s="87"/>
      <c r="AR845" s="87"/>
      <c r="AS845" s="87"/>
      <c r="AT845" s="87"/>
      <c r="AU845" s="87"/>
      <c r="AV845" s="87"/>
      <c r="AW845" s="87"/>
      <c r="AX845" s="87"/>
      <c r="AY845" s="87"/>
      <c r="AZ845" s="87"/>
      <c r="BA845" s="87"/>
      <c r="BB845" s="87"/>
      <c r="BC845" s="87"/>
      <c r="BD845" s="87"/>
      <c r="BE845" s="87"/>
      <c r="BF845" s="87"/>
      <c r="BG845" s="87"/>
      <c r="BH845" s="87"/>
      <c r="BI845" s="87"/>
      <c r="BJ845" s="87"/>
      <c r="BK845" s="87"/>
      <c r="BL845" s="87"/>
      <c r="BM845" s="87"/>
      <c r="BN845" s="87"/>
      <c r="BO845" s="87"/>
      <c r="BP845" s="87"/>
      <c r="BQ845" s="87"/>
      <c r="BR845" s="87"/>
      <c r="BS845" s="87"/>
      <c r="BT845" s="87"/>
      <c r="BU845" s="87"/>
      <c r="BV845" s="87"/>
      <c r="BW845" s="87"/>
      <c r="BX845" s="87"/>
      <c r="BY845" s="87"/>
    </row>
    <row r="846" spans="3:77" x14ac:dyDescent="0.3">
      <c r="C846" s="90"/>
      <c r="D846" s="87"/>
      <c r="E846" s="91"/>
      <c r="F846" s="92"/>
      <c r="G846" s="93"/>
      <c r="H846" s="93"/>
      <c r="I846" s="93"/>
      <c r="J846" s="93"/>
      <c r="K846" s="93"/>
      <c r="L846" s="93"/>
      <c r="M846" s="93"/>
      <c r="N846" s="93"/>
      <c r="O846" s="93"/>
      <c r="P846" s="93"/>
      <c r="Q846" s="93"/>
      <c r="R846" s="87"/>
      <c r="S846" s="87"/>
      <c r="T846" s="87"/>
      <c r="U846" s="19"/>
      <c r="V846" s="87"/>
      <c r="W846" s="87"/>
      <c r="X846" s="87"/>
      <c r="Y846" s="87"/>
      <c r="Z846" s="87"/>
      <c r="AA846" s="87"/>
      <c r="AB846" s="87"/>
      <c r="AC846" s="87"/>
      <c r="AD846" s="87"/>
      <c r="AE846" s="87"/>
      <c r="AF846" s="87"/>
      <c r="AG846" s="87"/>
      <c r="AH846" s="87"/>
      <c r="AI846" s="87"/>
      <c r="AJ846" s="87"/>
      <c r="AK846" s="87"/>
      <c r="AL846" s="87"/>
      <c r="AM846" s="87"/>
      <c r="AN846" s="87"/>
      <c r="AO846" s="87"/>
      <c r="AP846" s="87"/>
      <c r="AQ846" s="87"/>
      <c r="AR846" s="87"/>
      <c r="AS846" s="87"/>
      <c r="AT846" s="87"/>
      <c r="AU846" s="87"/>
      <c r="AV846" s="87"/>
      <c r="AW846" s="87"/>
      <c r="AX846" s="87"/>
      <c r="AY846" s="87"/>
      <c r="AZ846" s="87"/>
      <c r="BA846" s="87"/>
      <c r="BB846" s="87"/>
      <c r="BC846" s="87"/>
      <c r="BD846" s="87"/>
      <c r="BE846" s="87"/>
      <c r="BF846" s="87"/>
      <c r="BG846" s="87"/>
      <c r="BH846" s="87"/>
      <c r="BI846" s="87"/>
      <c r="BJ846" s="87"/>
      <c r="BK846" s="87"/>
      <c r="BL846" s="87"/>
      <c r="BM846" s="87"/>
      <c r="BN846" s="87"/>
      <c r="BO846" s="87"/>
      <c r="BP846" s="87"/>
      <c r="BQ846" s="87"/>
      <c r="BR846" s="87"/>
      <c r="BS846" s="87"/>
      <c r="BT846" s="87"/>
      <c r="BU846" s="87"/>
      <c r="BV846" s="87"/>
      <c r="BW846" s="87"/>
      <c r="BX846" s="87"/>
      <c r="BY846" s="87"/>
    </row>
    <row r="847" spans="3:77" x14ac:dyDescent="0.3">
      <c r="C847" s="90"/>
      <c r="D847" s="87"/>
      <c r="E847" s="91"/>
      <c r="F847" s="92"/>
      <c r="G847" s="93"/>
      <c r="H847" s="93"/>
      <c r="I847" s="93"/>
      <c r="J847" s="93"/>
      <c r="K847" s="93"/>
      <c r="L847" s="93"/>
      <c r="M847" s="93"/>
      <c r="N847" s="93"/>
      <c r="O847" s="93"/>
      <c r="P847" s="93"/>
      <c r="Q847" s="93"/>
      <c r="R847" s="87"/>
      <c r="S847" s="87"/>
      <c r="T847" s="87"/>
      <c r="U847" s="19"/>
      <c r="V847" s="87"/>
      <c r="W847" s="87"/>
      <c r="X847" s="87"/>
      <c r="Y847" s="87"/>
      <c r="Z847" s="87"/>
      <c r="AA847" s="87"/>
      <c r="AB847" s="87"/>
      <c r="AC847" s="87"/>
      <c r="AD847" s="87"/>
      <c r="AE847" s="87"/>
      <c r="AF847" s="87"/>
      <c r="AG847" s="87"/>
      <c r="AH847" s="87"/>
      <c r="AI847" s="87"/>
      <c r="AJ847" s="87"/>
      <c r="AK847" s="87"/>
      <c r="AL847" s="87"/>
      <c r="AM847" s="87"/>
      <c r="AN847" s="87"/>
      <c r="AO847" s="87"/>
      <c r="AP847" s="87"/>
      <c r="AQ847" s="87"/>
      <c r="AR847" s="87"/>
      <c r="AS847" s="87"/>
      <c r="AT847" s="87"/>
      <c r="AU847" s="87"/>
      <c r="AV847" s="87"/>
      <c r="AW847" s="87"/>
      <c r="AX847" s="87"/>
      <c r="AY847" s="87"/>
      <c r="AZ847" s="87"/>
      <c r="BA847" s="87"/>
      <c r="BB847" s="87"/>
      <c r="BC847" s="87"/>
      <c r="BD847" s="87"/>
      <c r="BE847" s="87"/>
      <c r="BF847" s="87"/>
      <c r="BG847" s="87"/>
      <c r="BH847" s="87"/>
      <c r="BI847" s="87"/>
      <c r="BJ847" s="87"/>
      <c r="BK847" s="87"/>
      <c r="BL847" s="87"/>
      <c r="BM847" s="87"/>
      <c r="BN847" s="87"/>
      <c r="BO847" s="87"/>
      <c r="BP847" s="87"/>
      <c r="BQ847" s="87"/>
      <c r="BR847" s="87"/>
      <c r="BS847" s="87"/>
      <c r="BT847" s="87"/>
      <c r="BU847" s="87"/>
      <c r="BV847" s="87"/>
      <c r="BW847" s="87"/>
      <c r="BX847" s="87"/>
      <c r="BY847" s="87"/>
    </row>
    <row r="848" spans="3:77" x14ac:dyDescent="0.3">
      <c r="C848" s="90"/>
      <c r="D848" s="87"/>
      <c r="E848" s="91"/>
      <c r="F848" s="92"/>
      <c r="G848" s="93"/>
      <c r="H848" s="93"/>
      <c r="I848" s="93"/>
      <c r="J848" s="93"/>
      <c r="K848" s="93"/>
      <c r="L848" s="93"/>
      <c r="M848" s="93"/>
      <c r="N848" s="93"/>
      <c r="O848" s="93"/>
      <c r="P848" s="93"/>
      <c r="Q848" s="93"/>
      <c r="R848" s="87"/>
      <c r="S848" s="87"/>
      <c r="T848" s="87"/>
      <c r="U848" s="19"/>
      <c r="V848" s="87"/>
      <c r="W848" s="87"/>
      <c r="X848" s="87"/>
      <c r="Y848" s="87"/>
      <c r="Z848" s="87"/>
      <c r="AA848" s="87"/>
      <c r="AB848" s="87"/>
      <c r="AC848" s="87"/>
      <c r="AD848" s="87"/>
      <c r="AE848" s="87"/>
      <c r="AF848" s="87"/>
      <c r="AG848" s="87"/>
      <c r="AH848" s="87"/>
      <c r="AI848" s="87"/>
      <c r="AJ848" s="87"/>
      <c r="AK848" s="87"/>
      <c r="AL848" s="87"/>
      <c r="AM848" s="87"/>
      <c r="AN848" s="87"/>
      <c r="AO848" s="87"/>
      <c r="AP848" s="87"/>
      <c r="AQ848" s="87"/>
      <c r="AR848" s="87"/>
      <c r="AS848" s="87"/>
      <c r="AT848" s="87"/>
      <c r="AU848" s="87"/>
      <c r="AV848" s="87"/>
      <c r="AW848" s="87"/>
      <c r="AX848" s="87"/>
      <c r="AY848" s="87"/>
      <c r="AZ848" s="87"/>
      <c r="BA848" s="87"/>
      <c r="BB848" s="87"/>
      <c r="BC848" s="87"/>
      <c r="BD848" s="87"/>
      <c r="BE848" s="87"/>
      <c r="BF848" s="87"/>
      <c r="BG848" s="87"/>
      <c r="BH848" s="87"/>
      <c r="BI848" s="87"/>
      <c r="BJ848" s="87"/>
      <c r="BK848" s="87"/>
      <c r="BL848" s="87"/>
      <c r="BM848" s="87"/>
      <c r="BN848" s="87"/>
      <c r="BO848" s="87"/>
      <c r="BP848" s="87"/>
      <c r="BQ848" s="87"/>
      <c r="BR848" s="87"/>
      <c r="BS848" s="87"/>
      <c r="BT848" s="87"/>
      <c r="BU848" s="87"/>
      <c r="BV848" s="87"/>
      <c r="BW848" s="87"/>
      <c r="BX848" s="87"/>
      <c r="BY848" s="87"/>
    </row>
    <row r="849" spans="3:77" x14ac:dyDescent="0.3">
      <c r="C849" s="90"/>
      <c r="D849" s="87"/>
      <c r="E849" s="91"/>
      <c r="F849" s="92"/>
      <c r="G849" s="93"/>
      <c r="H849" s="93"/>
      <c r="I849" s="93"/>
      <c r="J849" s="93"/>
      <c r="K849" s="93"/>
      <c r="L849" s="93"/>
      <c r="M849" s="93"/>
      <c r="N849" s="93"/>
      <c r="O849" s="93"/>
      <c r="P849" s="93"/>
      <c r="Q849" s="93"/>
      <c r="R849" s="87"/>
      <c r="S849" s="87"/>
      <c r="T849" s="87"/>
      <c r="U849" s="19"/>
      <c r="V849" s="87"/>
      <c r="W849" s="87"/>
      <c r="X849" s="87"/>
      <c r="Y849" s="87"/>
      <c r="Z849" s="87"/>
      <c r="AA849" s="87"/>
      <c r="AB849" s="87"/>
      <c r="AC849" s="87"/>
      <c r="AD849" s="87"/>
      <c r="AE849" s="87"/>
      <c r="AF849" s="87"/>
      <c r="AG849" s="87"/>
      <c r="AH849" s="87"/>
      <c r="AI849" s="87"/>
      <c r="AJ849" s="87"/>
      <c r="AK849" s="87"/>
      <c r="AL849" s="87"/>
      <c r="AM849" s="87"/>
      <c r="AN849" s="87"/>
      <c r="AO849" s="87"/>
      <c r="AP849" s="87"/>
      <c r="AQ849" s="87"/>
      <c r="AR849" s="87"/>
      <c r="AS849" s="87"/>
      <c r="AT849" s="87"/>
      <c r="AU849" s="87"/>
      <c r="AV849" s="87"/>
      <c r="AW849" s="87"/>
      <c r="AX849" s="87"/>
      <c r="AY849" s="87"/>
      <c r="AZ849" s="87"/>
      <c r="BA849" s="87"/>
      <c r="BB849" s="87"/>
      <c r="BC849" s="87"/>
      <c r="BD849" s="87"/>
      <c r="BE849" s="87"/>
      <c r="BF849" s="87"/>
      <c r="BG849" s="87"/>
      <c r="BH849" s="87"/>
      <c r="BI849" s="87"/>
      <c r="BJ849" s="87"/>
      <c r="BK849" s="87"/>
      <c r="BL849" s="87"/>
      <c r="BM849" s="87"/>
      <c r="BN849" s="87"/>
      <c r="BO849" s="87"/>
      <c r="BP849" s="87"/>
      <c r="BQ849" s="87"/>
      <c r="BR849" s="87"/>
      <c r="BS849" s="87"/>
      <c r="BT849" s="87"/>
      <c r="BU849" s="87"/>
      <c r="BV849" s="87"/>
      <c r="BW849" s="87"/>
      <c r="BX849" s="87"/>
      <c r="BY849" s="87"/>
    </row>
    <row r="850" spans="3:77" x14ac:dyDescent="0.3">
      <c r="C850" s="90"/>
      <c r="D850" s="87"/>
      <c r="E850" s="91"/>
      <c r="F850" s="92"/>
      <c r="G850" s="93"/>
      <c r="H850" s="93"/>
      <c r="I850" s="93"/>
      <c r="J850" s="93"/>
      <c r="K850" s="93"/>
      <c r="L850" s="93"/>
      <c r="M850" s="93"/>
      <c r="N850" s="93"/>
      <c r="O850" s="93"/>
      <c r="P850" s="93"/>
      <c r="Q850" s="93"/>
      <c r="R850" s="87"/>
      <c r="S850" s="87"/>
      <c r="T850" s="87"/>
      <c r="U850" s="19"/>
      <c r="V850" s="87"/>
      <c r="W850" s="87"/>
      <c r="X850" s="87"/>
      <c r="Y850" s="87"/>
      <c r="Z850" s="87"/>
      <c r="AA850" s="87"/>
      <c r="AB850" s="87"/>
      <c r="AC850" s="87"/>
      <c r="AD850" s="87"/>
      <c r="AE850" s="87"/>
      <c r="AF850" s="87"/>
      <c r="AG850" s="87"/>
      <c r="AH850" s="87"/>
      <c r="AI850" s="87"/>
      <c r="AJ850" s="87"/>
      <c r="AK850" s="87"/>
      <c r="AL850" s="87"/>
      <c r="AM850" s="87"/>
      <c r="AN850" s="87"/>
      <c r="AO850" s="87"/>
      <c r="AP850" s="87"/>
      <c r="AQ850" s="87"/>
      <c r="AR850" s="87"/>
      <c r="AS850" s="87"/>
      <c r="AT850" s="87"/>
      <c r="AU850" s="87"/>
      <c r="AV850" s="87"/>
      <c r="AW850" s="87"/>
      <c r="AX850" s="87"/>
      <c r="AY850" s="87"/>
      <c r="AZ850" s="87"/>
      <c r="BA850" s="87"/>
      <c r="BB850" s="87"/>
      <c r="BC850" s="87"/>
      <c r="BD850" s="87"/>
      <c r="BE850" s="87"/>
      <c r="BF850" s="87"/>
      <c r="BG850" s="87"/>
      <c r="BH850" s="87"/>
      <c r="BI850" s="87"/>
      <c r="BJ850" s="87"/>
      <c r="BK850" s="87"/>
      <c r="BL850" s="87"/>
      <c r="BM850" s="87"/>
      <c r="BN850" s="87"/>
      <c r="BO850" s="87"/>
      <c r="BP850" s="87"/>
      <c r="BQ850" s="87"/>
      <c r="BR850" s="87"/>
      <c r="BS850" s="87"/>
      <c r="BT850" s="87"/>
      <c r="BU850" s="87"/>
      <c r="BV850" s="87"/>
      <c r="BW850" s="87"/>
      <c r="BX850" s="87"/>
      <c r="BY850" s="87"/>
    </row>
    <row r="851" spans="3:77" x14ac:dyDescent="0.3">
      <c r="C851" s="90"/>
      <c r="D851" s="87"/>
      <c r="E851" s="91"/>
      <c r="F851" s="92"/>
      <c r="G851" s="93"/>
      <c r="H851" s="93"/>
      <c r="I851" s="93"/>
      <c r="J851" s="93"/>
      <c r="K851" s="93"/>
      <c r="L851" s="93"/>
      <c r="M851" s="93"/>
      <c r="N851" s="93"/>
      <c r="O851" s="93"/>
      <c r="P851" s="93"/>
      <c r="Q851" s="93"/>
      <c r="R851" s="87"/>
      <c r="S851" s="87"/>
      <c r="T851" s="87"/>
      <c r="U851" s="19"/>
      <c r="V851" s="87"/>
      <c r="W851" s="87"/>
      <c r="X851" s="87"/>
      <c r="Y851" s="87"/>
      <c r="Z851" s="87"/>
      <c r="AA851" s="87"/>
      <c r="AB851" s="87"/>
      <c r="AC851" s="87"/>
      <c r="AD851" s="87"/>
      <c r="AE851" s="87"/>
      <c r="AF851" s="87"/>
      <c r="AG851" s="87"/>
      <c r="AH851" s="87"/>
      <c r="AI851" s="87"/>
      <c r="AJ851" s="87"/>
      <c r="AK851" s="87"/>
      <c r="AL851" s="87"/>
      <c r="AM851" s="87"/>
      <c r="AN851" s="87"/>
      <c r="AO851" s="87"/>
      <c r="AP851" s="87"/>
      <c r="AQ851" s="87"/>
      <c r="AR851" s="87"/>
      <c r="AS851" s="87"/>
      <c r="AT851" s="87"/>
      <c r="AU851" s="87"/>
      <c r="AV851" s="87"/>
      <c r="AW851" s="87"/>
      <c r="AX851" s="87"/>
      <c r="AY851" s="87"/>
      <c r="AZ851" s="87"/>
      <c r="BA851" s="87"/>
      <c r="BB851" s="87"/>
      <c r="BC851" s="87"/>
      <c r="BD851" s="87"/>
      <c r="BE851" s="87"/>
      <c r="BF851" s="87"/>
      <c r="BG851" s="87"/>
      <c r="BH851" s="87"/>
      <c r="BI851" s="87"/>
      <c r="BJ851" s="87"/>
      <c r="BK851" s="87"/>
      <c r="BL851" s="87"/>
      <c r="BM851" s="87"/>
      <c r="BN851" s="87"/>
      <c r="BO851" s="87"/>
      <c r="BP851" s="87"/>
      <c r="BQ851" s="87"/>
      <c r="BR851" s="87"/>
      <c r="BS851" s="87"/>
      <c r="BT851" s="87"/>
      <c r="BU851" s="87"/>
      <c r="BV851" s="87"/>
      <c r="BW851" s="87"/>
      <c r="BX851" s="87"/>
      <c r="BY851" s="87"/>
    </row>
    <row r="852" spans="3:77" x14ac:dyDescent="0.3">
      <c r="C852" s="90"/>
      <c r="D852" s="87"/>
      <c r="E852" s="91"/>
      <c r="F852" s="92"/>
      <c r="G852" s="93"/>
      <c r="H852" s="93"/>
      <c r="I852" s="93"/>
      <c r="J852" s="93"/>
      <c r="K852" s="93"/>
      <c r="L852" s="93"/>
      <c r="M852" s="93"/>
      <c r="N852" s="93"/>
      <c r="O852" s="93"/>
      <c r="P852" s="93"/>
      <c r="Q852" s="93"/>
      <c r="R852" s="87"/>
      <c r="S852" s="87"/>
      <c r="T852" s="87"/>
      <c r="U852" s="19"/>
      <c r="V852" s="87"/>
      <c r="W852" s="87"/>
      <c r="X852" s="87"/>
      <c r="Y852" s="87"/>
      <c r="Z852" s="87"/>
      <c r="AA852" s="87"/>
      <c r="AB852" s="87"/>
      <c r="AC852" s="87"/>
      <c r="AD852" s="87"/>
      <c r="AE852" s="87"/>
      <c r="AF852" s="87"/>
      <c r="AG852" s="87"/>
      <c r="AH852" s="87"/>
      <c r="AI852" s="87"/>
      <c r="AJ852" s="87"/>
      <c r="AK852" s="87"/>
      <c r="AL852" s="87"/>
      <c r="AM852" s="87"/>
      <c r="AN852" s="87"/>
      <c r="AO852" s="87"/>
      <c r="AP852" s="87"/>
      <c r="AQ852" s="87"/>
      <c r="AR852" s="87"/>
      <c r="AS852" s="87"/>
      <c r="AT852" s="87"/>
      <c r="AU852" s="87"/>
      <c r="AV852" s="87"/>
      <c r="AW852" s="87"/>
      <c r="AX852" s="87"/>
      <c r="AY852" s="87"/>
      <c r="AZ852" s="87"/>
      <c r="BA852" s="87"/>
      <c r="BB852" s="87"/>
      <c r="BC852" s="87"/>
      <c r="BD852" s="87"/>
      <c r="BE852" s="87"/>
      <c r="BF852" s="87"/>
      <c r="BG852" s="87"/>
      <c r="BH852" s="87"/>
      <c r="BI852" s="87"/>
      <c r="BJ852" s="87"/>
      <c r="BK852" s="87"/>
      <c r="BL852" s="87"/>
      <c r="BM852" s="87"/>
      <c r="BN852" s="87"/>
      <c r="BO852" s="87"/>
      <c r="BP852" s="87"/>
      <c r="BQ852" s="87"/>
      <c r="BR852" s="87"/>
      <c r="BS852" s="87"/>
      <c r="BT852" s="87"/>
      <c r="BU852" s="87"/>
      <c r="BV852" s="87"/>
      <c r="BW852" s="87"/>
      <c r="BX852" s="87"/>
      <c r="BY852" s="87"/>
    </row>
    <row r="853" spans="3:77" x14ac:dyDescent="0.3">
      <c r="C853" s="90"/>
      <c r="D853" s="87"/>
      <c r="E853" s="91"/>
      <c r="F853" s="92"/>
      <c r="G853" s="93"/>
      <c r="H853" s="93"/>
      <c r="I853" s="93"/>
      <c r="J853" s="93"/>
      <c r="K853" s="93"/>
      <c r="L853" s="93"/>
      <c r="M853" s="93"/>
      <c r="N853" s="93"/>
      <c r="O853" s="93"/>
      <c r="P853" s="93"/>
      <c r="Q853" s="93"/>
      <c r="R853" s="87"/>
      <c r="S853" s="87"/>
      <c r="T853" s="87"/>
      <c r="U853" s="19"/>
      <c r="V853" s="87"/>
      <c r="W853" s="87"/>
      <c r="X853" s="87"/>
      <c r="Y853" s="87"/>
      <c r="Z853" s="87"/>
      <c r="AA853" s="87"/>
      <c r="AB853" s="87"/>
      <c r="AC853" s="87"/>
      <c r="AD853" s="87"/>
      <c r="AE853" s="87"/>
      <c r="AF853" s="87"/>
      <c r="AG853" s="87"/>
      <c r="AH853" s="87"/>
      <c r="AI853" s="87"/>
      <c r="AJ853" s="87"/>
      <c r="AK853" s="87"/>
      <c r="AL853" s="87"/>
      <c r="AM853" s="87"/>
      <c r="AN853" s="87"/>
      <c r="AO853" s="87"/>
      <c r="AP853" s="87"/>
      <c r="AQ853" s="87"/>
      <c r="AR853" s="87"/>
      <c r="AS853" s="87"/>
      <c r="AT853" s="87"/>
      <c r="AU853" s="87"/>
      <c r="AV853" s="87"/>
      <c r="AW853" s="87"/>
      <c r="AX853" s="87"/>
      <c r="AY853" s="87"/>
      <c r="AZ853" s="87"/>
      <c r="BA853" s="87"/>
      <c r="BB853" s="87"/>
      <c r="BC853" s="87"/>
      <c r="BD853" s="87"/>
      <c r="BE853" s="87"/>
      <c r="BF853" s="87"/>
      <c r="BG853" s="87"/>
      <c r="BH853" s="87"/>
      <c r="BI853" s="87"/>
      <c r="BJ853" s="87"/>
      <c r="BK853" s="87"/>
      <c r="BL853" s="87"/>
      <c r="BM853" s="87"/>
      <c r="BN853" s="87"/>
      <c r="BO853" s="87"/>
      <c r="BP853" s="87"/>
      <c r="BQ853" s="87"/>
      <c r="BR853" s="87"/>
      <c r="BS853" s="87"/>
      <c r="BT853" s="87"/>
      <c r="BU853" s="87"/>
      <c r="BV853" s="87"/>
      <c r="BW853" s="87"/>
      <c r="BX853" s="87"/>
      <c r="BY853" s="87"/>
    </row>
    <row r="854" spans="3:77" x14ac:dyDescent="0.3">
      <c r="C854" s="90"/>
      <c r="D854" s="87"/>
      <c r="E854" s="91"/>
      <c r="F854" s="92"/>
      <c r="G854" s="93"/>
      <c r="H854" s="93"/>
      <c r="I854" s="93"/>
      <c r="J854" s="93"/>
      <c r="K854" s="93"/>
      <c r="L854" s="93"/>
      <c r="M854" s="93"/>
      <c r="N854" s="93"/>
      <c r="O854" s="93"/>
      <c r="P854" s="93"/>
      <c r="Q854" s="93"/>
      <c r="R854" s="87"/>
      <c r="S854" s="87"/>
      <c r="T854" s="87"/>
      <c r="U854" s="19"/>
      <c r="V854" s="87"/>
      <c r="W854" s="87"/>
      <c r="X854" s="87"/>
      <c r="Y854" s="87"/>
      <c r="Z854" s="87"/>
      <c r="AA854" s="87"/>
      <c r="AB854" s="87"/>
      <c r="AC854" s="87"/>
      <c r="AD854" s="87"/>
      <c r="AE854" s="87"/>
      <c r="AF854" s="87"/>
      <c r="AG854" s="87"/>
      <c r="AH854" s="87"/>
      <c r="AI854" s="87"/>
      <c r="AJ854" s="87"/>
      <c r="AK854" s="87"/>
      <c r="AL854" s="87"/>
      <c r="AM854" s="87"/>
      <c r="AN854" s="87"/>
      <c r="AO854" s="87"/>
      <c r="AP854" s="87"/>
      <c r="AQ854" s="87"/>
      <c r="AR854" s="87"/>
      <c r="AS854" s="87"/>
      <c r="AT854" s="87"/>
      <c r="AU854" s="87"/>
      <c r="AV854" s="87"/>
      <c r="AW854" s="87"/>
      <c r="AX854" s="87"/>
      <c r="AY854" s="87"/>
      <c r="AZ854" s="87"/>
      <c r="BA854" s="87"/>
      <c r="BB854" s="87"/>
      <c r="BC854" s="87"/>
      <c r="BD854" s="87"/>
      <c r="BE854" s="87"/>
      <c r="BF854" s="87"/>
      <c r="BG854" s="87"/>
      <c r="BH854" s="87"/>
      <c r="BI854" s="87"/>
      <c r="BJ854" s="87"/>
      <c r="BK854" s="87"/>
      <c r="BL854" s="87"/>
      <c r="BM854" s="87"/>
      <c r="BN854" s="87"/>
      <c r="BO854" s="87"/>
      <c r="BP854" s="87"/>
      <c r="BQ854" s="87"/>
      <c r="BR854" s="87"/>
      <c r="BS854" s="87"/>
      <c r="BT854" s="87"/>
      <c r="BU854" s="87"/>
      <c r="BV854" s="87"/>
      <c r="BW854" s="87"/>
      <c r="BX854" s="87"/>
      <c r="BY854" s="87"/>
    </row>
    <row r="855" spans="3:77" x14ac:dyDescent="0.3">
      <c r="C855" s="90"/>
      <c r="D855" s="87"/>
      <c r="E855" s="91"/>
      <c r="F855" s="92"/>
      <c r="G855" s="93"/>
      <c r="H855" s="93"/>
      <c r="I855" s="93"/>
      <c r="J855" s="93"/>
      <c r="K855" s="93"/>
      <c r="L855" s="93"/>
      <c r="M855" s="93"/>
      <c r="N855" s="93"/>
      <c r="O855" s="93"/>
      <c r="P855" s="93"/>
      <c r="Q855" s="93"/>
      <c r="R855" s="87"/>
      <c r="S855" s="87"/>
      <c r="T855" s="87"/>
      <c r="U855" s="19"/>
      <c r="V855" s="87"/>
      <c r="W855" s="87"/>
      <c r="X855" s="87"/>
      <c r="Y855" s="87"/>
      <c r="Z855" s="87"/>
      <c r="AA855" s="87"/>
      <c r="AB855" s="87"/>
      <c r="AC855" s="87"/>
      <c r="AD855" s="87"/>
      <c r="AE855" s="87"/>
      <c r="AF855" s="87"/>
      <c r="AG855" s="87"/>
      <c r="AH855" s="87"/>
      <c r="AI855" s="87"/>
      <c r="AJ855" s="87"/>
      <c r="AK855" s="87"/>
      <c r="AL855" s="87"/>
      <c r="AM855" s="87"/>
      <c r="AN855" s="87"/>
      <c r="AO855" s="87"/>
      <c r="AP855" s="87"/>
      <c r="AQ855" s="87"/>
      <c r="AR855" s="87"/>
      <c r="AS855" s="87"/>
      <c r="AT855" s="87"/>
      <c r="AU855" s="87"/>
      <c r="AV855" s="87"/>
      <c r="AW855" s="87"/>
      <c r="AX855" s="87"/>
      <c r="AY855" s="87"/>
      <c r="AZ855" s="87"/>
      <c r="BA855" s="87"/>
      <c r="BB855" s="87"/>
      <c r="BC855" s="87"/>
      <c r="BD855" s="87"/>
      <c r="BE855" s="87"/>
      <c r="BF855" s="87"/>
      <c r="BG855" s="87"/>
      <c r="BH855" s="87"/>
      <c r="BI855" s="87"/>
      <c r="BJ855" s="87"/>
      <c r="BK855" s="87"/>
      <c r="BL855" s="87"/>
      <c r="BM855" s="87"/>
      <c r="BN855" s="87"/>
      <c r="BO855" s="87"/>
      <c r="BP855" s="87"/>
      <c r="BQ855" s="87"/>
      <c r="BR855" s="87"/>
      <c r="BS855" s="87"/>
      <c r="BT855" s="87"/>
      <c r="BU855" s="87"/>
      <c r="BV855" s="87"/>
      <c r="BW855" s="87"/>
      <c r="BX855" s="87"/>
      <c r="BY855" s="87"/>
    </row>
    <row r="856" spans="3:77" x14ac:dyDescent="0.3">
      <c r="C856" s="90"/>
      <c r="D856" s="87"/>
      <c r="E856" s="91"/>
      <c r="F856" s="92"/>
      <c r="G856" s="93"/>
      <c r="H856" s="93"/>
      <c r="I856" s="93"/>
      <c r="J856" s="93"/>
      <c r="K856" s="93"/>
      <c r="L856" s="93"/>
      <c r="M856" s="93"/>
      <c r="N856" s="93"/>
      <c r="O856" s="93"/>
      <c r="P856" s="93"/>
      <c r="Q856" s="93"/>
      <c r="R856" s="87"/>
      <c r="S856" s="87"/>
      <c r="T856" s="87"/>
      <c r="U856" s="19"/>
      <c r="V856" s="87"/>
      <c r="W856" s="87"/>
      <c r="X856" s="87"/>
      <c r="Y856" s="87"/>
      <c r="Z856" s="87"/>
      <c r="AA856" s="87"/>
      <c r="AB856" s="87"/>
      <c r="AC856" s="87"/>
      <c r="AD856" s="87"/>
      <c r="AE856" s="87"/>
      <c r="AF856" s="87"/>
      <c r="AG856" s="87"/>
      <c r="AH856" s="87"/>
      <c r="AI856" s="87"/>
      <c r="AJ856" s="87"/>
      <c r="AK856" s="87"/>
      <c r="AL856" s="87"/>
      <c r="AM856" s="87"/>
      <c r="AN856" s="87"/>
      <c r="AO856" s="87"/>
      <c r="AP856" s="87"/>
      <c r="AQ856" s="87"/>
      <c r="AR856" s="87"/>
      <c r="AS856" s="87"/>
      <c r="AT856" s="87"/>
      <c r="AU856" s="87"/>
      <c r="AV856" s="87"/>
      <c r="AW856" s="87"/>
      <c r="AX856" s="87"/>
      <c r="AY856" s="87"/>
      <c r="AZ856" s="87"/>
      <c r="BA856" s="87"/>
      <c r="BB856" s="87"/>
      <c r="BC856" s="87"/>
      <c r="BD856" s="87"/>
      <c r="BE856" s="87"/>
      <c r="BF856" s="87"/>
      <c r="BG856" s="87"/>
      <c r="BH856" s="87"/>
      <c r="BI856" s="87"/>
      <c r="BJ856" s="87"/>
      <c r="BK856" s="87"/>
      <c r="BL856" s="87"/>
      <c r="BM856" s="87"/>
      <c r="BN856" s="87"/>
      <c r="BO856" s="87"/>
      <c r="BP856" s="87"/>
      <c r="BQ856" s="87"/>
      <c r="BR856" s="87"/>
      <c r="BS856" s="87"/>
      <c r="BT856" s="87"/>
      <c r="BU856" s="87"/>
      <c r="BV856" s="87"/>
      <c r="BW856" s="87"/>
      <c r="BX856" s="87"/>
      <c r="BY856" s="87"/>
    </row>
    <row r="857" spans="3:77" x14ac:dyDescent="0.3">
      <c r="C857" s="90"/>
      <c r="D857" s="87"/>
      <c r="E857" s="91"/>
      <c r="F857" s="92"/>
      <c r="G857" s="93"/>
      <c r="H857" s="93"/>
      <c r="I857" s="93"/>
      <c r="J857" s="93"/>
      <c r="K857" s="93"/>
      <c r="L857" s="93"/>
      <c r="M857" s="93"/>
      <c r="N857" s="93"/>
      <c r="O857" s="93"/>
      <c r="P857" s="93"/>
      <c r="Q857" s="93"/>
      <c r="R857" s="87"/>
      <c r="S857" s="87"/>
      <c r="T857" s="87"/>
      <c r="U857" s="19"/>
      <c r="V857" s="87"/>
      <c r="W857" s="87"/>
      <c r="X857" s="87"/>
      <c r="Y857" s="87"/>
      <c r="Z857" s="87"/>
      <c r="AA857" s="87"/>
      <c r="AB857" s="87"/>
      <c r="AC857" s="87"/>
      <c r="AD857" s="87"/>
      <c r="AE857" s="87"/>
      <c r="AF857" s="87"/>
      <c r="AG857" s="87"/>
      <c r="AH857" s="87"/>
      <c r="AI857" s="87"/>
      <c r="AJ857" s="87"/>
      <c r="AK857" s="87"/>
      <c r="AL857" s="87"/>
      <c r="AM857" s="87"/>
      <c r="AN857" s="87"/>
      <c r="AO857" s="87"/>
      <c r="AP857" s="87"/>
      <c r="AQ857" s="87"/>
      <c r="AR857" s="87"/>
      <c r="AS857" s="87"/>
      <c r="AT857" s="87"/>
      <c r="AU857" s="87"/>
      <c r="AV857" s="87"/>
      <c r="AW857" s="87"/>
      <c r="AX857" s="87"/>
      <c r="AY857" s="87"/>
      <c r="AZ857" s="87"/>
      <c r="BA857" s="87"/>
      <c r="BB857" s="87"/>
      <c r="BC857" s="87"/>
      <c r="BD857" s="87"/>
      <c r="BE857" s="87"/>
      <c r="BF857" s="87"/>
      <c r="BG857" s="87"/>
      <c r="BH857" s="87"/>
      <c r="BI857" s="87"/>
      <c r="BJ857" s="87"/>
      <c r="BK857" s="87"/>
      <c r="BL857" s="87"/>
      <c r="BM857" s="87"/>
      <c r="BN857" s="87"/>
      <c r="BO857" s="87"/>
      <c r="BP857" s="87"/>
      <c r="BQ857" s="87"/>
      <c r="BR857" s="87"/>
      <c r="BS857" s="87"/>
      <c r="BT857" s="87"/>
      <c r="BU857" s="87"/>
      <c r="BV857" s="87"/>
      <c r="BW857" s="87"/>
      <c r="BX857" s="87"/>
      <c r="BY857" s="87"/>
    </row>
    <row r="858" spans="3:77" x14ac:dyDescent="0.3">
      <c r="C858" s="90"/>
      <c r="D858" s="87"/>
      <c r="E858" s="91"/>
      <c r="F858" s="92"/>
      <c r="G858" s="93"/>
      <c r="H858" s="93"/>
      <c r="I858" s="93"/>
      <c r="J858" s="93"/>
      <c r="K858" s="93"/>
      <c r="L858" s="93"/>
      <c r="M858" s="93"/>
      <c r="N858" s="93"/>
      <c r="O858" s="93"/>
      <c r="P858" s="93"/>
      <c r="Q858" s="93"/>
      <c r="R858" s="87"/>
      <c r="S858" s="87"/>
      <c r="T858" s="87"/>
      <c r="U858" s="19"/>
      <c r="V858" s="87"/>
      <c r="W858" s="87"/>
      <c r="X858" s="87"/>
      <c r="Y858" s="87"/>
      <c r="Z858" s="87"/>
      <c r="AA858" s="87"/>
      <c r="AB858" s="87"/>
      <c r="AC858" s="87"/>
      <c r="AD858" s="87"/>
      <c r="AE858" s="87"/>
      <c r="AF858" s="87"/>
      <c r="AG858" s="87"/>
      <c r="AH858" s="87"/>
      <c r="AI858" s="87"/>
      <c r="AJ858" s="87"/>
      <c r="AK858" s="87"/>
      <c r="AL858" s="87"/>
      <c r="AM858" s="87"/>
      <c r="AN858" s="87"/>
      <c r="AO858" s="87"/>
      <c r="AP858" s="87"/>
      <c r="AQ858" s="87"/>
      <c r="AR858" s="87"/>
      <c r="AS858" s="87"/>
      <c r="AT858" s="87"/>
      <c r="AU858" s="87"/>
      <c r="AV858" s="87"/>
      <c r="AW858" s="87"/>
      <c r="AX858" s="87"/>
      <c r="AY858" s="87"/>
      <c r="AZ858" s="87"/>
      <c r="BA858" s="87"/>
      <c r="BB858" s="87"/>
      <c r="BC858" s="87"/>
      <c r="BD858" s="87"/>
      <c r="BE858" s="87"/>
      <c r="BF858" s="87"/>
      <c r="BG858" s="87"/>
      <c r="BH858" s="87"/>
      <c r="BI858" s="87"/>
      <c r="BJ858" s="87"/>
      <c r="BK858" s="87"/>
      <c r="BL858" s="87"/>
      <c r="BM858" s="87"/>
      <c r="BN858" s="87"/>
      <c r="BO858" s="87"/>
      <c r="BP858" s="87"/>
      <c r="BQ858" s="87"/>
      <c r="BR858" s="87"/>
      <c r="BS858" s="87"/>
      <c r="BT858" s="87"/>
      <c r="BU858" s="87"/>
      <c r="BV858" s="87"/>
      <c r="BW858" s="87"/>
      <c r="BX858" s="87"/>
      <c r="BY858" s="87"/>
    </row>
    <row r="859" spans="3:77" x14ac:dyDescent="0.3">
      <c r="C859" s="90"/>
      <c r="D859" s="87"/>
      <c r="E859" s="91"/>
      <c r="F859" s="92"/>
      <c r="G859" s="93"/>
      <c r="H859" s="93"/>
      <c r="I859" s="93"/>
      <c r="J859" s="93"/>
      <c r="K859" s="93"/>
      <c r="L859" s="93"/>
      <c r="M859" s="93"/>
      <c r="N859" s="93"/>
      <c r="O859" s="93"/>
      <c r="P859" s="93"/>
      <c r="Q859" s="93"/>
      <c r="R859" s="87"/>
      <c r="S859" s="87"/>
      <c r="T859" s="87"/>
      <c r="U859" s="19"/>
      <c r="V859" s="87"/>
      <c r="W859" s="87"/>
      <c r="X859" s="87"/>
      <c r="Y859" s="87"/>
      <c r="Z859" s="87"/>
      <c r="AA859" s="87"/>
      <c r="AB859" s="87"/>
      <c r="AC859" s="87"/>
      <c r="AD859" s="87"/>
      <c r="AE859" s="87"/>
      <c r="AF859" s="87"/>
      <c r="AG859" s="87"/>
      <c r="AH859" s="87"/>
      <c r="AI859" s="87"/>
      <c r="AJ859" s="87"/>
      <c r="AK859" s="87"/>
      <c r="AL859" s="87"/>
      <c r="AM859" s="87"/>
      <c r="AN859" s="87"/>
      <c r="AO859" s="87"/>
      <c r="AP859" s="87"/>
      <c r="AQ859" s="87"/>
      <c r="AR859" s="87"/>
      <c r="AS859" s="87"/>
      <c r="AT859" s="87"/>
      <c r="AU859" s="87"/>
      <c r="AV859" s="87"/>
      <c r="AW859" s="87"/>
      <c r="AX859" s="87"/>
      <c r="AY859" s="87"/>
      <c r="AZ859" s="87"/>
      <c r="BA859" s="87"/>
      <c r="BB859" s="87"/>
      <c r="BC859" s="87"/>
      <c r="BD859" s="87"/>
      <c r="BE859" s="87"/>
      <c r="BF859" s="87"/>
      <c r="BG859" s="87"/>
      <c r="BH859" s="87"/>
      <c r="BI859" s="87"/>
      <c r="BJ859" s="87"/>
      <c r="BK859" s="87"/>
      <c r="BL859" s="87"/>
      <c r="BM859" s="87"/>
      <c r="BN859" s="87"/>
      <c r="BO859" s="87"/>
      <c r="BP859" s="87"/>
      <c r="BQ859" s="87"/>
      <c r="BR859" s="87"/>
      <c r="BS859" s="87"/>
      <c r="BT859" s="87"/>
      <c r="BU859" s="87"/>
      <c r="BV859" s="87"/>
      <c r="BW859" s="87"/>
      <c r="BX859" s="87"/>
      <c r="BY859" s="87"/>
    </row>
    <row r="860" spans="3:77" x14ac:dyDescent="0.3">
      <c r="C860" s="90"/>
      <c r="D860" s="87"/>
      <c r="E860" s="91"/>
      <c r="F860" s="92"/>
      <c r="G860" s="93"/>
      <c r="H860" s="93"/>
      <c r="I860" s="93"/>
      <c r="J860" s="93"/>
      <c r="K860" s="93"/>
      <c r="L860" s="93"/>
      <c r="M860" s="93"/>
      <c r="N860" s="93"/>
      <c r="O860" s="93"/>
      <c r="P860" s="93"/>
      <c r="Q860" s="93"/>
      <c r="R860" s="87"/>
      <c r="S860" s="87"/>
      <c r="T860" s="87"/>
      <c r="U860" s="19"/>
      <c r="V860" s="87"/>
      <c r="W860" s="87"/>
      <c r="X860" s="87"/>
      <c r="Y860" s="87"/>
      <c r="Z860" s="87"/>
      <c r="AA860" s="87"/>
      <c r="AB860" s="87"/>
      <c r="AC860" s="87"/>
      <c r="AD860" s="87"/>
      <c r="AE860" s="87"/>
      <c r="AF860" s="87"/>
      <c r="AG860" s="87"/>
      <c r="AH860" s="87"/>
      <c r="AI860" s="87"/>
      <c r="AJ860" s="87"/>
      <c r="AK860" s="87"/>
      <c r="AL860" s="87"/>
      <c r="AM860" s="87"/>
      <c r="AN860" s="87"/>
      <c r="AO860" s="87"/>
      <c r="AP860" s="87"/>
      <c r="AQ860" s="87"/>
      <c r="AR860" s="87"/>
      <c r="AS860" s="87"/>
      <c r="AT860" s="87"/>
      <c r="AU860" s="87"/>
      <c r="AV860" s="87"/>
      <c r="AW860" s="87"/>
      <c r="AX860" s="87"/>
      <c r="AY860" s="87"/>
      <c r="AZ860" s="87"/>
      <c r="BA860" s="87"/>
      <c r="BB860" s="87"/>
      <c r="BC860" s="87"/>
      <c r="BD860" s="87"/>
      <c r="BE860" s="87"/>
      <c r="BF860" s="87"/>
      <c r="BG860" s="87"/>
      <c r="BH860" s="87"/>
      <c r="BI860" s="87"/>
      <c r="BJ860" s="87"/>
      <c r="BK860" s="87"/>
      <c r="BL860" s="87"/>
      <c r="BM860" s="87"/>
      <c r="BN860" s="87"/>
      <c r="BO860" s="87"/>
      <c r="BP860" s="87"/>
      <c r="BQ860" s="87"/>
      <c r="BR860" s="87"/>
      <c r="BS860" s="87"/>
      <c r="BT860" s="87"/>
      <c r="BU860" s="87"/>
      <c r="BV860" s="87"/>
      <c r="BW860" s="87"/>
      <c r="BX860" s="87"/>
      <c r="BY860" s="87"/>
    </row>
    <row r="861" spans="3:77" x14ac:dyDescent="0.3">
      <c r="C861" s="90"/>
      <c r="D861" s="87"/>
      <c r="E861" s="91"/>
      <c r="F861" s="92"/>
      <c r="G861" s="93"/>
      <c r="H861" s="93"/>
      <c r="I861" s="93"/>
      <c r="J861" s="93"/>
      <c r="K861" s="93"/>
      <c r="L861" s="93"/>
      <c r="M861" s="93"/>
      <c r="N861" s="93"/>
      <c r="O861" s="93"/>
      <c r="P861" s="93"/>
      <c r="Q861" s="93"/>
      <c r="R861" s="87"/>
      <c r="S861" s="87"/>
      <c r="T861" s="87"/>
      <c r="U861" s="19"/>
      <c r="V861" s="87"/>
      <c r="W861" s="87"/>
      <c r="X861" s="87"/>
      <c r="Y861" s="87"/>
      <c r="Z861" s="87"/>
      <c r="AA861" s="87"/>
      <c r="AB861" s="87"/>
      <c r="AC861" s="87"/>
      <c r="AD861" s="87"/>
      <c r="AE861" s="87"/>
      <c r="AF861" s="87"/>
      <c r="AG861" s="87"/>
      <c r="AH861" s="87"/>
      <c r="AI861" s="87"/>
      <c r="AJ861" s="87"/>
      <c r="AK861" s="87"/>
      <c r="AL861" s="87"/>
      <c r="AM861" s="87"/>
      <c r="AN861" s="87"/>
      <c r="AO861" s="87"/>
      <c r="AP861" s="87"/>
      <c r="AQ861" s="87"/>
      <c r="AR861" s="87"/>
      <c r="AS861" s="87"/>
      <c r="AT861" s="87"/>
      <c r="AU861" s="87"/>
      <c r="AV861" s="87"/>
      <c r="AW861" s="87"/>
      <c r="AX861" s="87"/>
      <c r="AY861" s="87"/>
      <c r="AZ861" s="87"/>
      <c r="BA861" s="87"/>
      <c r="BB861" s="87"/>
      <c r="BC861" s="87"/>
      <c r="BD861" s="87"/>
      <c r="BE861" s="87"/>
      <c r="BF861" s="87"/>
      <c r="BG861" s="87"/>
      <c r="BH861" s="87"/>
      <c r="BI861" s="87"/>
      <c r="BJ861" s="87"/>
      <c r="BK861" s="87"/>
      <c r="BL861" s="87"/>
      <c r="BM861" s="87"/>
      <c r="BN861" s="87"/>
      <c r="BO861" s="87"/>
      <c r="BP861" s="87"/>
      <c r="BQ861" s="87"/>
      <c r="BR861" s="87"/>
      <c r="BS861" s="87"/>
      <c r="BT861" s="87"/>
      <c r="BU861" s="87"/>
      <c r="BV861" s="87"/>
      <c r="BW861" s="87"/>
      <c r="BX861" s="87"/>
      <c r="BY861" s="87"/>
    </row>
    <row r="862" spans="3:77" x14ac:dyDescent="0.3">
      <c r="C862" s="90"/>
      <c r="D862" s="87"/>
      <c r="E862" s="91"/>
      <c r="F862" s="92"/>
      <c r="G862" s="93"/>
      <c r="H862" s="93"/>
      <c r="I862" s="93"/>
      <c r="J862" s="93"/>
      <c r="K862" s="93"/>
      <c r="L862" s="93"/>
      <c r="M862" s="93"/>
      <c r="N862" s="93"/>
      <c r="O862" s="93"/>
      <c r="P862" s="93"/>
      <c r="Q862" s="93"/>
      <c r="R862" s="87"/>
      <c r="S862" s="87"/>
      <c r="T862" s="87"/>
      <c r="U862" s="19"/>
      <c r="V862" s="87"/>
      <c r="W862" s="87"/>
      <c r="X862" s="87"/>
      <c r="Y862" s="87"/>
      <c r="Z862" s="87"/>
      <c r="AA862" s="87"/>
      <c r="AB862" s="87"/>
      <c r="AC862" s="87"/>
      <c r="AD862" s="87"/>
      <c r="AE862" s="87"/>
      <c r="AF862" s="87"/>
      <c r="AG862" s="87"/>
      <c r="AH862" s="87"/>
      <c r="AI862" s="87"/>
      <c r="AJ862" s="87"/>
      <c r="AK862" s="87"/>
      <c r="AL862" s="87"/>
      <c r="AM862" s="87"/>
      <c r="AN862" s="87"/>
      <c r="AO862" s="87"/>
      <c r="AP862" s="87"/>
      <c r="AQ862" s="87"/>
      <c r="AR862" s="87"/>
      <c r="AS862" s="87"/>
      <c r="AT862" s="87"/>
      <c r="AU862" s="87"/>
      <c r="AV862" s="87"/>
      <c r="AW862" s="87"/>
      <c r="AX862" s="87"/>
      <c r="AY862" s="87"/>
      <c r="AZ862" s="87"/>
      <c r="BA862" s="87"/>
      <c r="BB862" s="87"/>
      <c r="BC862" s="87"/>
      <c r="BD862" s="87"/>
      <c r="BE862" s="87"/>
      <c r="BF862" s="87"/>
      <c r="BG862" s="87"/>
      <c r="BH862" s="87"/>
      <c r="BI862" s="87"/>
      <c r="BJ862" s="87"/>
      <c r="BK862" s="87"/>
      <c r="BL862" s="87"/>
      <c r="BM862" s="87"/>
      <c r="BN862" s="87"/>
      <c r="BO862" s="87"/>
      <c r="BP862" s="87"/>
      <c r="BQ862" s="87"/>
      <c r="BR862" s="87"/>
      <c r="BS862" s="87"/>
      <c r="BT862" s="87"/>
      <c r="BU862" s="87"/>
      <c r="BV862" s="87"/>
      <c r="BW862" s="87"/>
      <c r="BX862" s="87"/>
      <c r="BY862" s="87"/>
    </row>
    <row r="863" spans="3:77" x14ac:dyDescent="0.3">
      <c r="C863" s="90"/>
      <c r="D863" s="87"/>
      <c r="E863" s="91"/>
      <c r="F863" s="92"/>
      <c r="G863" s="93"/>
      <c r="H863" s="93"/>
      <c r="I863" s="93"/>
      <c r="J863" s="93"/>
      <c r="K863" s="93"/>
      <c r="L863" s="93"/>
      <c r="M863" s="93"/>
      <c r="N863" s="93"/>
      <c r="O863" s="93"/>
      <c r="P863" s="93"/>
      <c r="Q863" s="93"/>
      <c r="R863" s="87"/>
      <c r="S863" s="87"/>
      <c r="T863" s="87"/>
      <c r="U863" s="19"/>
      <c r="V863" s="87"/>
      <c r="W863" s="87"/>
      <c r="X863" s="87"/>
      <c r="Y863" s="87"/>
      <c r="Z863" s="87"/>
      <c r="AA863" s="87"/>
      <c r="AB863" s="87"/>
      <c r="AC863" s="87"/>
      <c r="AD863" s="87"/>
      <c r="AE863" s="87"/>
      <c r="AF863" s="87"/>
      <c r="AG863" s="87"/>
      <c r="AH863" s="87"/>
      <c r="AI863" s="87"/>
      <c r="AJ863" s="87"/>
      <c r="AK863" s="87"/>
      <c r="AL863" s="87"/>
      <c r="AM863" s="87"/>
      <c r="AN863" s="87"/>
      <c r="AO863" s="87"/>
      <c r="AP863" s="87"/>
      <c r="AQ863" s="87"/>
      <c r="AR863" s="87"/>
      <c r="AS863" s="87"/>
      <c r="AT863" s="87"/>
      <c r="AU863" s="87"/>
      <c r="AV863" s="87"/>
      <c r="AW863" s="87"/>
      <c r="AX863" s="87"/>
      <c r="AY863" s="87"/>
      <c r="AZ863" s="87"/>
      <c r="BA863" s="87"/>
      <c r="BB863" s="87"/>
      <c r="BC863" s="87"/>
      <c r="BD863" s="87"/>
      <c r="BE863" s="87"/>
      <c r="BF863" s="87"/>
      <c r="BG863" s="87"/>
      <c r="BH863" s="87"/>
      <c r="BI863" s="87"/>
      <c r="BJ863" s="87"/>
      <c r="BK863" s="87"/>
      <c r="BL863" s="87"/>
      <c r="BM863" s="87"/>
      <c r="BN863" s="87"/>
      <c r="BO863" s="87"/>
      <c r="BP863" s="87"/>
      <c r="BQ863" s="87"/>
      <c r="BR863" s="87"/>
      <c r="BS863" s="87"/>
      <c r="BT863" s="87"/>
      <c r="BU863" s="87"/>
      <c r="BV863" s="87"/>
      <c r="BW863" s="87"/>
      <c r="BX863" s="87"/>
      <c r="BY863" s="87"/>
    </row>
    <row r="864" spans="3:77" x14ac:dyDescent="0.3">
      <c r="C864" s="90"/>
      <c r="D864" s="87"/>
      <c r="E864" s="91"/>
      <c r="F864" s="92"/>
      <c r="G864" s="93"/>
      <c r="H864" s="93"/>
      <c r="I864" s="93"/>
      <c r="J864" s="93"/>
      <c r="K864" s="93"/>
      <c r="L864" s="93"/>
      <c r="M864" s="93"/>
      <c r="N864" s="93"/>
      <c r="O864" s="93"/>
      <c r="P864" s="93"/>
      <c r="Q864" s="93"/>
      <c r="R864" s="87"/>
      <c r="S864" s="87"/>
      <c r="T864" s="87"/>
      <c r="U864" s="19"/>
      <c r="V864" s="87"/>
      <c r="W864" s="87"/>
      <c r="X864" s="87"/>
      <c r="Y864" s="87"/>
      <c r="Z864" s="87"/>
      <c r="AA864" s="87"/>
      <c r="AB864" s="87"/>
      <c r="AC864" s="87"/>
      <c r="AD864" s="87"/>
      <c r="AE864" s="87"/>
      <c r="AF864" s="87"/>
      <c r="AG864" s="87"/>
      <c r="AH864" s="87"/>
      <c r="AI864" s="87"/>
      <c r="AJ864" s="87"/>
      <c r="AK864" s="87"/>
      <c r="AL864" s="87"/>
      <c r="AM864" s="87"/>
      <c r="AN864" s="87"/>
      <c r="AO864" s="87"/>
      <c r="AP864" s="87"/>
      <c r="AQ864" s="87"/>
      <c r="AR864" s="87"/>
      <c r="AS864" s="87"/>
      <c r="AT864" s="87"/>
      <c r="AU864" s="87"/>
      <c r="AV864" s="87"/>
      <c r="AW864" s="87"/>
      <c r="AX864" s="87"/>
      <c r="AY864" s="87"/>
      <c r="AZ864" s="87"/>
      <c r="BA864" s="87"/>
      <c r="BB864" s="87"/>
      <c r="BC864" s="87"/>
      <c r="BD864" s="87"/>
      <c r="BE864" s="87"/>
      <c r="BF864" s="87"/>
      <c r="BG864" s="87"/>
      <c r="BH864" s="87"/>
      <c r="BI864" s="87"/>
      <c r="BJ864" s="87"/>
      <c r="BK864" s="87"/>
      <c r="BL864" s="87"/>
      <c r="BM864" s="87"/>
      <c r="BN864" s="87"/>
      <c r="BO864" s="87"/>
      <c r="BP864" s="87"/>
      <c r="BQ864" s="87"/>
      <c r="BR864" s="87"/>
      <c r="BS864" s="87"/>
      <c r="BT864" s="87"/>
      <c r="BU864" s="87"/>
      <c r="BV864" s="87"/>
      <c r="BW864" s="87"/>
      <c r="BX864" s="87"/>
      <c r="BY864" s="87"/>
    </row>
    <row r="865" spans="3:77" x14ac:dyDescent="0.3">
      <c r="C865" s="90"/>
      <c r="D865" s="87"/>
      <c r="E865" s="91"/>
      <c r="F865" s="92"/>
      <c r="G865" s="93"/>
      <c r="H865" s="93"/>
      <c r="I865" s="93"/>
      <c r="J865" s="93"/>
      <c r="K865" s="93"/>
      <c r="L865" s="93"/>
      <c r="M865" s="93"/>
      <c r="N865" s="93"/>
      <c r="O865" s="93"/>
      <c r="P865" s="93"/>
      <c r="Q865" s="93"/>
      <c r="R865" s="87"/>
      <c r="S865" s="87"/>
      <c r="T865" s="87"/>
      <c r="U865" s="19"/>
      <c r="V865" s="87"/>
      <c r="W865" s="87"/>
      <c r="X865" s="87"/>
      <c r="Y865" s="87"/>
      <c r="Z865" s="87"/>
      <c r="AA865" s="87"/>
      <c r="AB865" s="87"/>
      <c r="AC865" s="87"/>
      <c r="AD865" s="87"/>
      <c r="AE865" s="87"/>
      <c r="AF865" s="87"/>
      <c r="AG865" s="87"/>
      <c r="AH865" s="87"/>
      <c r="AI865" s="87"/>
      <c r="AJ865" s="87"/>
      <c r="AK865" s="87"/>
      <c r="AL865" s="87"/>
      <c r="AM865" s="87"/>
      <c r="AN865" s="87"/>
      <c r="AO865" s="87"/>
      <c r="AP865" s="87"/>
      <c r="AQ865" s="87"/>
      <c r="AR865" s="87"/>
      <c r="AS865" s="87"/>
      <c r="AT865" s="87"/>
      <c r="AU865" s="87"/>
      <c r="AV865" s="87"/>
      <c r="AW865" s="87"/>
      <c r="AX865" s="87"/>
      <c r="AY865" s="87"/>
      <c r="AZ865" s="87"/>
      <c r="BA865" s="87"/>
      <c r="BB865" s="87"/>
      <c r="BC865" s="87"/>
      <c r="BD865" s="87"/>
      <c r="BE865" s="87"/>
      <c r="BF865" s="87"/>
      <c r="BG865" s="87"/>
      <c r="BH865" s="87"/>
      <c r="BI865" s="87"/>
      <c r="BJ865" s="87"/>
      <c r="BK865" s="87"/>
      <c r="BL865" s="87"/>
      <c r="BM865" s="87"/>
      <c r="BN865" s="87"/>
      <c r="BO865" s="87"/>
      <c r="BP865" s="87"/>
      <c r="BQ865" s="87"/>
      <c r="BR865" s="87"/>
      <c r="BS865" s="87"/>
      <c r="BT865" s="87"/>
      <c r="BU865" s="87"/>
      <c r="BV865" s="87"/>
      <c r="BW865" s="87"/>
      <c r="BX865" s="87"/>
      <c r="BY865" s="87"/>
    </row>
    <row r="866" spans="3:77" x14ac:dyDescent="0.3">
      <c r="C866" s="90"/>
      <c r="D866" s="87"/>
      <c r="E866" s="91"/>
      <c r="F866" s="92"/>
      <c r="G866" s="93"/>
      <c r="H866" s="93"/>
      <c r="I866" s="93"/>
      <c r="J866" s="93"/>
      <c r="K866" s="93"/>
      <c r="L866" s="93"/>
      <c r="M866" s="93"/>
      <c r="N866" s="93"/>
      <c r="O866" s="93"/>
      <c r="P866" s="93"/>
      <c r="Q866" s="93"/>
      <c r="R866" s="87"/>
      <c r="S866" s="87"/>
      <c r="T866" s="87"/>
      <c r="U866" s="19"/>
      <c r="V866" s="87"/>
      <c r="W866" s="87"/>
      <c r="X866" s="87"/>
      <c r="Y866" s="87"/>
      <c r="Z866" s="87"/>
      <c r="AA866" s="87"/>
      <c r="AB866" s="87"/>
      <c r="AC866" s="87"/>
      <c r="AD866" s="87"/>
      <c r="AE866" s="87"/>
      <c r="AF866" s="87"/>
      <c r="AG866" s="87"/>
      <c r="AH866" s="87"/>
      <c r="AI866" s="87"/>
      <c r="AJ866" s="87"/>
      <c r="AK866" s="87"/>
      <c r="AL866" s="87"/>
      <c r="AM866" s="87"/>
      <c r="AN866" s="87"/>
      <c r="AO866" s="87"/>
      <c r="AP866" s="87"/>
      <c r="AQ866" s="87"/>
      <c r="AR866" s="87"/>
      <c r="AS866" s="87"/>
      <c r="AT866" s="87"/>
      <c r="AU866" s="87"/>
      <c r="AV866" s="87"/>
      <c r="AW866" s="87"/>
      <c r="AX866" s="87"/>
      <c r="AY866" s="87"/>
      <c r="AZ866" s="87"/>
      <c r="BA866" s="87"/>
      <c r="BB866" s="87"/>
      <c r="BC866" s="87"/>
      <c r="BD866" s="87"/>
      <c r="BE866" s="87"/>
      <c r="BF866" s="87"/>
      <c r="BG866" s="87"/>
      <c r="BH866" s="87"/>
      <c r="BI866" s="87"/>
      <c r="BJ866" s="87"/>
      <c r="BK866" s="87"/>
      <c r="BL866" s="87"/>
      <c r="BM866" s="87"/>
      <c r="BN866" s="87"/>
      <c r="BO866" s="87"/>
      <c r="BP866" s="87"/>
      <c r="BQ866" s="87"/>
      <c r="BR866" s="87"/>
      <c r="BS866" s="87"/>
      <c r="BT866" s="87"/>
      <c r="BU866" s="87"/>
      <c r="BV866" s="87"/>
      <c r="BW866" s="87"/>
      <c r="BX866" s="87"/>
      <c r="BY866" s="87"/>
    </row>
    <row r="867" spans="3:77" x14ac:dyDescent="0.3">
      <c r="C867" s="90"/>
      <c r="D867" s="87"/>
      <c r="E867" s="91"/>
      <c r="F867" s="92"/>
      <c r="G867" s="93"/>
      <c r="H867" s="93"/>
      <c r="I867" s="93"/>
      <c r="J867" s="93"/>
      <c r="K867" s="93"/>
      <c r="L867" s="93"/>
      <c r="M867" s="93"/>
      <c r="N867" s="93"/>
      <c r="O867" s="93"/>
      <c r="P867" s="93"/>
      <c r="Q867" s="93"/>
      <c r="R867" s="87"/>
      <c r="S867" s="87"/>
      <c r="T867" s="87"/>
      <c r="U867" s="19"/>
      <c r="V867" s="87"/>
      <c r="W867" s="87"/>
      <c r="X867" s="87"/>
      <c r="Y867" s="87"/>
      <c r="Z867" s="87"/>
      <c r="AA867" s="87"/>
      <c r="AB867" s="87"/>
      <c r="AC867" s="87"/>
      <c r="AD867" s="87"/>
      <c r="AE867" s="87"/>
      <c r="AF867" s="87"/>
      <c r="AG867" s="87"/>
      <c r="AH867" s="87"/>
      <c r="AI867" s="87"/>
      <c r="AJ867" s="87"/>
      <c r="AK867" s="87"/>
      <c r="AL867" s="87"/>
      <c r="AM867" s="87"/>
      <c r="AN867" s="87"/>
      <c r="AO867" s="87"/>
      <c r="AP867" s="87"/>
      <c r="AQ867" s="87"/>
      <c r="AR867" s="87"/>
      <c r="AS867" s="87"/>
      <c r="AT867" s="87"/>
      <c r="AU867" s="87"/>
      <c r="AV867" s="87"/>
      <c r="AW867" s="87"/>
      <c r="AX867" s="87"/>
      <c r="AY867" s="87"/>
      <c r="AZ867" s="87"/>
      <c r="BA867" s="87"/>
      <c r="BB867" s="87"/>
      <c r="BC867" s="87"/>
      <c r="BD867" s="87"/>
      <c r="BE867" s="87"/>
      <c r="BF867" s="87"/>
      <c r="BG867" s="87"/>
      <c r="BH867" s="87"/>
      <c r="BI867" s="87"/>
      <c r="BJ867" s="87"/>
      <c r="BK867" s="87"/>
      <c r="BL867" s="87"/>
      <c r="BM867" s="87"/>
      <c r="BN867" s="87"/>
      <c r="BO867" s="87"/>
      <c r="BP867" s="87"/>
      <c r="BQ867" s="87"/>
      <c r="BR867" s="87"/>
      <c r="BS867" s="87"/>
      <c r="BT867" s="87"/>
      <c r="BU867" s="87"/>
      <c r="BV867" s="87"/>
      <c r="BW867" s="87"/>
      <c r="BX867" s="87"/>
      <c r="BY867" s="87"/>
    </row>
    <row r="868" spans="3:77" x14ac:dyDescent="0.3">
      <c r="C868" s="90"/>
      <c r="D868" s="87"/>
      <c r="E868" s="91"/>
      <c r="F868" s="92"/>
      <c r="G868" s="93"/>
      <c r="H868" s="93"/>
      <c r="I868" s="93"/>
      <c r="J868" s="93"/>
      <c r="K868" s="93"/>
      <c r="L868" s="93"/>
      <c r="M868" s="93"/>
      <c r="N868" s="93"/>
      <c r="O868" s="93"/>
      <c r="P868" s="93"/>
      <c r="Q868" s="93"/>
      <c r="R868" s="87"/>
      <c r="S868" s="87"/>
      <c r="T868" s="87"/>
      <c r="U868" s="19"/>
      <c r="V868" s="87"/>
      <c r="W868" s="87"/>
      <c r="X868" s="87"/>
      <c r="Y868" s="87"/>
      <c r="Z868" s="87"/>
      <c r="AA868" s="87"/>
      <c r="AB868" s="87"/>
      <c r="AC868" s="87"/>
      <c r="AD868" s="87"/>
      <c r="AE868" s="87"/>
      <c r="AF868" s="87"/>
      <c r="AG868" s="87"/>
      <c r="AH868" s="87"/>
      <c r="AI868" s="87"/>
      <c r="AJ868" s="87"/>
      <c r="AK868" s="87"/>
      <c r="AL868" s="87"/>
      <c r="AM868" s="87"/>
      <c r="AN868" s="87"/>
      <c r="AO868" s="87"/>
      <c r="AP868" s="87"/>
      <c r="AQ868" s="87"/>
      <c r="AR868" s="87"/>
      <c r="AS868" s="87"/>
      <c r="AT868" s="87"/>
      <c r="AU868" s="87"/>
      <c r="AV868" s="87"/>
      <c r="AW868" s="87"/>
      <c r="AX868" s="87"/>
      <c r="AY868" s="87"/>
      <c r="AZ868" s="87"/>
      <c r="BA868" s="87"/>
      <c r="BB868" s="87"/>
      <c r="BC868" s="87"/>
      <c r="BD868" s="87"/>
      <c r="BE868" s="87"/>
      <c r="BF868" s="87"/>
      <c r="BG868" s="87"/>
      <c r="BH868" s="87"/>
      <c r="BI868" s="87"/>
      <c r="BJ868" s="87"/>
      <c r="BK868" s="87"/>
      <c r="BL868" s="87"/>
      <c r="BM868" s="87"/>
      <c r="BN868" s="87"/>
      <c r="BO868" s="87"/>
      <c r="BP868" s="87"/>
      <c r="BQ868" s="87"/>
      <c r="BR868" s="87"/>
      <c r="BS868" s="87"/>
      <c r="BT868" s="87"/>
      <c r="BU868" s="87"/>
      <c r="BV868" s="87"/>
      <c r="BW868" s="87"/>
      <c r="BX868" s="87"/>
      <c r="BY868" s="87"/>
    </row>
    <row r="869" spans="3:77" x14ac:dyDescent="0.3">
      <c r="C869" s="90"/>
      <c r="D869" s="87"/>
      <c r="E869" s="91"/>
      <c r="F869" s="92"/>
      <c r="G869" s="93"/>
      <c r="H869" s="93"/>
      <c r="I869" s="93"/>
      <c r="J869" s="93"/>
      <c r="K869" s="93"/>
      <c r="L869" s="93"/>
      <c r="M869" s="93"/>
      <c r="N869" s="93"/>
      <c r="O869" s="93"/>
      <c r="P869" s="93"/>
      <c r="Q869" s="93"/>
      <c r="R869" s="87"/>
      <c r="S869" s="87"/>
      <c r="T869" s="87"/>
      <c r="U869" s="19"/>
      <c r="V869" s="87"/>
      <c r="W869" s="87"/>
      <c r="X869" s="87"/>
      <c r="Y869" s="87"/>
      <c r="Z869" s="87"/>
      <c r="AA869" s="87"/>
      <c r="AB869" s="87"/>
      <c r="AC869" s="87"/>
      <c r="AD869" s="87"/>
      <c r="AE869" s="87"/>
      <c r="AF869" s="87"/>
      <c r="AG869" s="87"/>
      <c r="AH869" s="87"/>
      <c r="AI869" s="87"/>
      <c r="AJ869" s="87"/>
      <c r="AK869" s="87"/>
      <c r="AL869" s="87"/>
      <c r="AM869" s="87"/>
      <c r="AN869" s="87"/>
      <c r="AO869" s="87"/>
      <c r="AP869" s="87"/>
      <c r="AQ869" s="87"/>
      <c r="AR869" s="87"/>
      <c r="AS869" s="87"/>
      <c r="AT869" s="87"/>
      <c r="AU869" s="87"/>
      <c r="AV869" s="87"/>
      <c r="AW869" s="87"/>
      <c r="AX869" s="87"/>
      <c r="AY869" s="87"/>
      <c r="AZ869" s="87"/>
      <c r="BA869" s="87"/>
      <c r="BB869" s="87"/>
      <c r="BC869" s="87"/>
      <c r="BD869" s="87"/>
      <c r="BE869" s="87"/>
      <c r="BF869" s="87"/>
      <c r="BG869" s="87"/>
      <c r="BH869" s="87"/>
      <c r="BI869" s="87"/>
      <c r="BJ869" s="87"/>
      <c r="BK869" s="87"/>
      <c r="BL869" s="87"/>
      <c r="BM869" s="87"/>
      <c r="BN869" s="87"/>
      <c r="BO869" s="87"/>
      <c r="BP869" s="87"/>
      <c r="BQ869" s="87"/>
      <c r="BR869" s="87"/>
      <c r="BS869" s="87"/>
      <c r="BT869" s="87"/>
      <c r="BU869" s="87"/>
      <c r="BV869" s="87"/>
      <c r="BW869" s="87"/>
      <c r="BX869" s="87"/>
      <c r="BY869" s="87"/>
    </row>
    <row r="870" spans="3:77" x14ac:dyDescent="0.3">
      <c r="C870" s="90"/>
      <c r="D870" s="87"/>
      <c r="E870" s="91"/>
      <c r="F870" s="92"/>
      <c r="G870" s="93"/>
      <c r="H870" s="93"/>
      <c r="I870" s="93"/>
      <c r="J870" s="93"/>
      <c r="K870" s="93"/>
      <c r="L870" s="93"/>
      <c r="M870" s="93"/>
      <c r="N870" s="93"/>
      <c r="O870" s="93"/>
      <c r="P870" s="93"/>
      <c r="Q870" s="93"/>
      <c r="R870" s="87"/>
      <c r="S870" s="87"/>
      <c r="T870" s="87"/>
      <c r="U870" s="19"/>
      <c r="V870" s="87"/>
      <c r="W870" s="87"/>
      <c r="X870" s="87"/>
      <c r="Y870" s="87"/>
      <c r="Z870" s="87"/>
      <c r="AA870" s="87"/>
      <c r="AB870" s="87"/>
      <c r="AC870" s="87"/>
      <c r="AD870" s="87"/>
      <c r="AE870" s="87"/>
      <c r="AF870" s="87"/>
      <c r="AG870" s="87"/>
      <c r="AH870" s="87"/>
      <c r="AI870" s="87"/>
      <c r="AJ870" s="87"/>
      <c r="AK870" s="87"/>
      <c r="AL870" s="87"/>
      <c r="AM870" s="87"/>
      <c r="AN870" s="87"/>
      <c r="AO870" s="87"/>
      <c r="AP870" s="87"/>
      <c r="AQ870" s="87"/>
      <c r="AR870" s="87"/>
      <c r="AS870" s="87"/>
      <c r="AT870" s="87"/>
      <c r="AU870" s="87"/>
      <c r="AV870" s="87"/>
      <c r="AW870" s="87"/>
      <c r="AX870" s="87"/>
      <c r="AY870" s="87"/>
      <c r="AZ870" s="87"/>
      <c r="BA870" s="87"/>
      <c r="BB870" s="87"/>
      <c r="BC870" s="87"/>
      <c r="BD870" s="87"/>
      <c r="BE870" s="87"/>
      <c r="BF870" s="87"/>
      <c r="BG870" s="87"/>
      <c r="BH870" s="87"/>
      <c r="BI870" s="87"/>
      <c r="BJ870" s="87"/>
      <c r="BK870" s="87"/>
      <c r="BL870" s="87"/>
      <c r="BM870" s="87"/>
      <c r="BN870" s="87"/>
      <c r="BO870" s="87"/>
      <c r="BP870" s="87"/>
      <c r="BQ870" s="87"/>
      <c r="BR870" s="87"/>
      <c r="BS870" s="87"/>
      <c r="BT870" s="87"/>
      <c r="BU870" s="87"/>
      <c r="BV870" s="87"/>
      <c r="BW870" s="87"/>
      <c r="BX870" s="87"/>
      <c r="BY870" s="87"/>
    </row>
    <row r="871" spans="3:77" x14ac:dyDescent="0.3">
      <c r="C871" s="90"/>
      <c r="D871" s="87"/>
      <c r="E871" s="91"/>
      <c r="F871" s="92"/>
      <c r="G871" s="93"/>
      <c r="H871" s="93"/>
      <c r="I871" s="93"/>
      <c r="J871" s="93"/>
      <c r="K871" s="93"/>
      <c r="L871" s="93"/>
      <c r="M871" s="93"/>
      <c r="N871" s="93"/>
      <c r="O871" s="93"/>
      <c r="P871" s="93"/>
      <c r="Q871" s="93"/>
      <c r="R871" s="87"/>
      <c r="S871" s="87"/>
      <c r="T871" s="87"/>
      <c r="U871" s="19"/>
      <c r="V871" s="87"/>
      <c r="W871" s="87"/>
      <c r="X871" s="87"/>
      <c r="Y871" s="87"/>
      <c r="Z871" s="87"/>
      <c r="AA871" s="87"/>
      <c r="AB871" s="87"/>
      <c r="AC871" s="87"/>
      <c r="AD871" s="87"/>
      <c r="AE871" s="87"/>
      <c r="AF871" s="87"/>
      <c r="AG871" s="87"/>
      <c r="AH871" s="87"/>
      <c r="AI871" s="87"/>
      <c r="AJ871" s="87"/>
      <c r="AK871" s="87"/>
      <c r="AL871" s="87"/>
      <c r="AM871" s="87"/>
      <c r="AN871" s="87"/>
      <c r="AO871" s="87"/>
      <c r="AP871" s="87"/>
      <c r="AQ871" s="87"/>
      <c r="AR871" s="87"/>
      <c r="AS871" s="87"/>
      <c r="AT871" s="87"/>
      <c r="AU871" s="87"/>
      <c r="AV871" s="87"/>
      <c r="AW871" s="87"/>
      <c r="AX871" s="87"/>
      <c r="AY871" s="87"/>
      <c r="AZ871" s="87"/>
      <c r="BA871" s="87"/>
      <c r="BB871" s="87"/>
      <c r="BC871" s="87"/>
      <c r="BD871" s="87"/>
      <c r="BE871" s="87"/>
      <c r="BF871" s="87"/>
      <c r="BG871" s="87"/>
      <c r="BH871" s="87"/>
      <c r="BI871" s="87"/>
      <c r="BJ871" s="87"/>
      <c r="BK871" s="87"/>
      <c r="BL871" s="87"/>
      <c r="BM871" s="87"/>
      <c r="BN871" s="87"/>
      <c r="BO871" s="87"/>
      <c r="BP871" s="87"/>
      <c r="BQ871" s="87"/>
      <c r="BR871" s="87"/>
      <c r="BS871" s="87"/>
      <c r="BT871" s="87"/>
      <c r="BU871" s="87"/>
      <c r="BV871" s="87"/>
      <c r="BW871" s="87"/>
      <c r="BX871" s="87"/>
      <c r="BY871" s="87"/>
    </row>
    <row r="872" spans="3:77" x14ac:dyDescent="0.3">
      <c r="C872" s="90"/>
      <c r="D872" s="87"/>
      <c r="E872" s="91"/>
      <c r="F872" s="92"/>
      <c r="G872" s="93"/>
      <c r="H872" s="93"/>
      <c r="I872" s="93"/>
      <c r="J872" s="93"/>
      <c r="K872" s="93"/>
      <c r="L872" s="93"/>
      <c r="M872" s="93"/>
      <c r="N872" s="93"/>
      <c r="O872" s="93"/>
      <c r="P872" s="93"/>
      <c r="Q872" s="93"/>
      <c r="R872" s="87"/>
      <c r="S872" s="87"/>
      <c r="T872" s="87"/>
      <c r="U872" s="19"/>
      <c r="V872" s="87"/>
      <c r="W872" s="87"/>
      <c r="X872" s="87"/>
      <c r="Y872" s="87"/>
      <c r="Z872" s="87"/>
      <c r="AA872" s="87"/>
      <c r="AB872" s="87"/>
      <c r="AC872" s="87"/>
      <c r="AD872" s="87"/>
      <c r="AE872" s="87"/>
      <c r="AF872" s="87"/>
      <c r="AG872" s="87"/>
      <c r="AH872" s="87"/>
      <c r="AI872" s="87"/>
      <c r="AJ872" s="87"/>
      <c r="AK872" s="87"/>
      <c r="AL872" s="87"/>
      <c r="AM872" s="87"/>
      <c r="AN872" s="87"/>
      <c r="AO872" s="87"/>
      <c r="AP872" s="87"/>
      <c r="AQ872" s="87"/>
      <c r="AR872" s="87"/>
      <c r="AS872" s="87"/>
      <c r="AT872" s="87"/>
      <c r="AU872" s="87"/>
      <c r="AV872" s="87"/>
      <c r="AW872" s="87"/>
      <c r="AX872" s="87"/>
      <c r="AY872" s="87"/>
      <c r="AZ872" s="87"/>
      <c r="BA872" s="87"/>
      <c r="BB872" s="87"/>
      <c r="BC872" s="87"/>
      <c r="BD872" s="87"/>
      <c r="BE872" s="87"/>
      <c r="BF872" s="87"/>
      <c r="BG872" s="87"/>
      <c r="BH872" s="87"/>
      <c r="BI872" s="87"/>
      <c r="BJ872" s="87"/>
      <c r="BK872" s="87"/>
      <c r="BL872" s="87"/>
      <c r="BM872" s="87"/>
      <c r="BN872" s="87"/>
      <c r="BO872" s="87"/>
      <c r="BP872" s="87"/>
      <c r="BQ872" s="87"/>
      <c r="BR872" s="87"/>
      <c r="BS872" s="87"/>
      <c r="BT872" s="87"/>
      <c r="BU872" s="87"/>
      <c r="BV872" s="87"/>
      <c r="BW872" s="87"/>
      <c r="BX872" s="87"/>
      <c r="BY872" s="87"/>
    </row>
    <row r="873" spans="3:77" x14ac:dyDescent="0.3">
      <c r="C873" s="90"/>
      <c r="D873" s="87"/>
      <c r="E873" s="91"/>
      <c r="F873" s="92"/>
      <c r="G873" s="93"/>
      <c r="H873" s="93"/>
      <c r="I873" s="93"/>
      <c r="J873" s="93"/>
      <c r="K873" s="93"/>
      <c r="L873" s="93"/>
      <c r="M873" s="93"/>
      <c r="N873" s="93"/>
      <c r="O873" s="93"/>
      <c r="P873" s="93"/>
      <c r="Q873" s="93"/>
      <c r="R873" s="87"/>
      <c r="S873" s="87"/>
      <c r="T873" s="87"/>
      <c r="U873" s="19"/>
      <c r="V873" s="87"/>
      <c r="W873" s="87"/>
      <c r="X873" s="87"/>
      <c r="Y873" s="87"/>
      <c r="Z873" s="87"/>
      <c r="AA873" s="87"/>
      <c r="AB873" s="87"/>
      <c r="AC873" s="87"/>
      <c r="AD873" s="87"/>
      <c r="AE873" s="87"/>
      <c r="AF873" s="87"/>
      <c r="AG873" s="87"/>
      <c r="AH873" s="87"/>
      <c r="AI873" s="87"/>
      <c r="AJ873" s="87"/>
      <c r="AK873" s="87"/>
      <c r="AL873" s="87"/>
      <c r="AM873" s="87"/>
      <c r="AN873" s="87"/>
      <c r="AO873" s="87"/>
      <c r="AP873" s="87"/>
      <c r="AQ873" s="87"/>
      <c r="AR873" s="87"/>
      <c r="AS873" s="87"/>
      <c r="AT873" s="87"/>
      <c r="AU873" s="87"/>
      <c r="AV873" s="87"/>
      <c r="AW873" s="87"/>
      <c r="AX873" s="87"/>
      <c r="AY873" s="87"/>
      <c r="AZ873" s="87"/>
      <c r="BA873" s="87"/>
      <c r="BB873" s="87"/>
      <c r="BC873" s="87"/>
      <c r="BD873" s="87"/>
      <c r="BE873" s="87"/>
      <c r="BF873" s="87"/>
      <c r="BG873" s="87"/>
      <c r="BH873" s="87"/>
      <c r="BI873" s="87"/>
      <c r="BJ873" s="87"/>
      <c r="BK873" s="87"/>
      <c r="BL873" s="87"/>
      <c r="BM873" s="87"/>
      <c r="BN873" s="87"/>
      <c r="BO873" s="87"/>
      <c r="BP873" s="87"/>
      <c r="BQ873" s="87"/>
      <c r="BR873" s="87"/>
      <c r="BS873" s="87"/>
      <c r="BT873" s="87"/>
      <c r="BU873" s="87"/>
      <c r="BV873" s="87"/>
      <c r="BW873" s="87"/>
      <c r="BX873" s="87"/>
      <c r="BY873" s="87"/>
    </row>
    <row r="874" spans="3:77" x14ac:dyDescent="0.3">
      <c r="C874" s="90"/>
      <c r="D874" s="87"/>
      <c r="E874" s="91"/>
      <c r="F874" s="92"/>
      <c r="G874" s="93"/>
      <c r="H874" s="93"/>
      <c r="I874" s="93"/>
      <c r="J874" s="93"/>
      <c r="K874" s="93"/>
      <c r="L874" s="93"/>
      <c r="M874" s="93"/>
      <c r="N874" s="93"/>
      <c r="O874" s="93"/>
      <c r="P874" s="93"/>
      <c r="Q874" s="93"/>
      <c r="R874" s="87"/>
      <c r="S874" s="87"/>
      <c r="T874" s="87"/>
      <c r="U874" s="19"/>
      <c r="V874" s="87"/>
      <c r="W874" s="87"/>
      <c r="X874" s="87"/>
      <c r="Y874" s="87"/>
      <c r="Z874" s="87"/>
      <c r="AA874" s="87"/>
      <c r="AB874" s="87"/>
      <c r="AC874" s="87"/>
      <c r="AD874" s="87"/>
      <c r="AE874" s="87"/>
      <c r="AF874" s="87"/>
      <c r="AG874" s="87"/>
      <c r="AH874" s="87"/>
      <c r="AI874" s="87"/>
      <c r="AJ874" s="87"/>
      <c r="AK874" s="87"/>
      <c r="AL874" s="87"/>
      <c r="AM874" s="87"/>
      <c r="AN874" s="87"/>
      <c r="AO874" s="87"/>
      <c r="AP874" s="87"/>
      <c r="AQ874" s="87"/>
      <c r="AR874" s="87"/>
      <c r="AS874" s="87"/>
      <c r="AT874" s="87"/>
      <c r="AU874" s="87"/>
      <c r="AV874" s="87"/>
      <c r="AW874" s="87"/>
      <c r="AX874" s="87"/>
      <c r="AY874" s="87"/>
      <c r="AZ874" s="87"/>
      <c r="BA874" s="87"/>
      <c r="BB874" s="87"/>
      <c r="BC874" s="87"/>
      <c r="BD874" s="87"/>
      <c r="BE874" s="87"/>
      <c r="BF874" s="87"/>
      <c r="BG874" s="87"/>
      <c r="BH874" s="87"/>
      <c r="BI874" s="87"/>
      <c r="BJ874" s="87"/>
      <c r="BK874" s="87"/>
      <c r="BL874" s="87"/>
      <c r="BM874" s="87"/>
      <c r="BN874" s="87"/>
      <c r="BO874" s="87"/>
      <c r="BP874" s="87"/>
      <c r="BQ874" s="87"/>
      <c r="BR874" s="87"/>
      <c r="BS874" s="87"/>
      <c r="BT874" s="87"/>
      <c r="BU874" s="87"/>
      <c r="BV874" s="87"/>
      <c r="BW874" s="87"/>
      <c r="BX874" s="87"/>
      <c r="BY874" s="87"/>
    </row>
    <row r="875" spans="3:77" x14ac:dyDescent="0.3">
      <c r="C875" s="90"/>
      <c r="D875" s="87"/>
      <c r="E875" s="91"/>
      <c r="F875" s="92"/>
      <c r="G875" s="93"/>
      <c r="H875" s="93"/>
      <c r="I875" s="93"/>
      <c r="J875" s="93"/>
      <c r="K875" s="93"/>
      <c r="L875" s="93"/>
      <c r="M875" s="93"/>
      <c r="N875" s="93"/>
      <c r="O875" s="93"/>
      <c r="P875" s="93"/>
      <c r="Q875" s="93"/>
      <c r="R875" s="87"/>
      <c r="S875" s="87"/>
      <c r="T875" s="87"/>
      <c r="U875" s="19"/>
      <c r="V875" s="87"/>
      <c r="W875" s="87"/>
      <c r="X875" s="87"/>
      <c r="Y875" s="87"/>
      <c r="Z875" s="87"/>
      <c r="AA875" s="87"/>
      <c r="AB875" s="87"/>
      <c r="AC875" s="87"/>
      <c r="AD875" s="87"/>
      <c r="AE875" s="87"/>
      <c r="AF875" s="87"/>
      <c r="AG875" s="87"/>
      <c r="AH875" s="87"/>
      <c r="AI875" s="87"/>
      <c r="AJ875" s="87"/>
      <c r="AK875" s="87"/>
      <c r="AL875" s="87"/>
      <c r="AM875" s="87"/>
      <c r="AN875" s="87"/>
      <c r="AO875" s="87"/>
      <c r="AP875" s="87"/>
      <c r="AQ875" s="87"/>
      <c r="AR875" s="87"/>
      <c r="AS875" s="87"/>
      <c r="AT875" s="87"/>
      <c r="AU875" s="87"/>
      <c r="AV875" s="87"/>
      <c r="AW875" s="87"/>
      <c r="AX875" s="87"/>
      <c r="AY875" s="87"/>
      <c r="AZ875" s="87"/>
      <c r="BA875" s="87"/>
      <c r="BB875" s="87"/>
      <c r="BC875" s="87"/>
      <c r="BD875" s="87"/>
      <c r="BE875" s="87"/>
      <c r="BF875" s="87"/>
      <c r="BG875" s="87"/>
      <c r="BH875" s="87"/>
      <c r="BI875" s="87"/>
      <c r="BJ875" s="87"/>
      <c r="BK875" s="87"/>
      <c r="BL875" s="87"/>
      <c r="BM875" s="87"/>
      <c r="BN875" s="87"/>
      <c r="BO875" s="87"/>
      <c r="BP875" s="87"/>
      <c r="BQ875" s="87"/>
      <c r="BR875" s="87"/>
      <c r="BS875" s="87"/>
      <c r="BT875" s="87"/>
      <c r="BU875" s="87"/>
      <c r="BV875" s="87"/>
      <c r="BW875" s="87"/>
      <c r="BX875" s="87"/>
      <c r="BY875" s="87"/>
    </row>
    <row r="876" spans="3:77" x14ac:dyDescent="0.3">
      <c r="C876" s="90"/>
      <c r="D876" s="87"/>
      <c r="E876" s="91"/>
      <c r="F876" s="92"/>
      <c r="G876" s="93"/>
      <c r="H876" s="93"/>
      <c r="I876" s="93"/>
      <c r="J876" s="93"/>
      <c r="K876" s="93"/>
      <c r="L876" s="93"/>
      <c r="M876" s="93"/>
      <c r="N876" s="93"/>
      <c r="O876" s="93"/>
      <c r="P876" s="93"/>
      <c r="Q876" s="93"/>
      <c r="R876" s="87"/>
      <c r="S876" s="87"/>
      <c r="T876" s="87"/>
      <c r="U876" s="19"/>
      <c r="V876" s="87"/>
      <c r="W876" s="87"/>
      <c r="X876" s="87"/>
      <c r="Y876" s="87"/>
      <c r="Z876" s="87"/>
      <c r="AA876" s="87"/>
      <c r="AB876" s="87"/>
      <c r="AC876" s="87"/>
      <c r="AD876" s="87"/>
      <c r="AE876" s="87"/>
      <c r="AF876" s="87"/>
      <c r="AG876" s="87"/>
      <c r="AH876" s="87"/>
      <c r="AI876" s="87"/>
      <c r="AJ876" s="87"/>
      <c r="AK876" s="87"/>
      <c r="AL876" s="87"/>
      <c r="AM876" s="87"/>
      <c r="AN876" s="87"/>
      <c r="AO876" s="87"/>
      <c r="AP876" s="87"/>
      <c r="AQ876" s="87"/>
      <c r="AR876" s="87"/>
      <c r="AS876" s="87"/>
      <c r="AT876" s="87"/>
      <c r="AU876" s="87"/>
      <c r="AV876" s="87"/>
      <c r="AW876" s="87"/>
      <c r="AX876" s="87"/>
      <c r="AY876" s="87"/>
      <c r="AZ876" s="87"/>
      <c r="BA876" s="87"/>
      <c r="BB876" s="87"/>
      <c r="BC876" s="87"/>
      <c r="BD876" s="87"/>
      <c r="BE876" s="87"/>
      <c r="BF876" s="87"/>
      <c r="BG876" s="87"/>
      <c r="BH876" s="87"/>
      <c r="BI876" s="87"/>
      <c r="BJ876" s="87"/>
      <c r="BK876" s="87"/>
      <c r="BL876" s="87"/>
      <c r="BM876" s="87"/>
      <c r="BN876" s="87"/>
      <c r="BO876" s="87"/>
      <c r="BP876" s="87"/>
      <c r="BQ876" s="87"/>
      <c r="BR876" s="87"/>
      <c r="BS876" s="87"/>
      <c r="BT876" s="87"/>
      <c r="BU876" s="87"/>
      <c r="BV876" s="87"/>
      <c r="BW876" s="87"/>
      <c r="BX876" s="87"/>
      <c r="BY876" s="87"/>
    </row>
    <row r="877" spans="3:77" x14ac:dyDescent="0.3">
      <c r="C877" s="90"/>
      <c r="D877" s="87"/>
      <c r="E877" s="91"/>
      <c r="F877" s="92"/>
      <c r="G877" s="93"/>
      <c r="H877" s="93"/>
      <c r="I877" s="93"/>
      <c r="J877" s="93"/>
      <c r="K877" s="93"/>
      <c r="L877" s="93"/>
      <c r="M877" s="93"/>
      <c r="N877" s="93"/>
      <c r="O877" s="93"/>
      <c r="P877" s="93"/>
      <c r="Q877" s="93"/>
      <c r="R877" s="87"/>
      <c r="S877" s="87"/>
      <c r="T877" s="87"/>
      <c r="U877" s="19"/>
      <c r="V877" s="87"/>
      <c r="W877" s="87"/>
      <c r="X877" s="87"/>
      <c r="Y877" s="87"/>
      <c r="Z877" s="87"/>
      <c r="AA877" s="87"/>
      <c r="AB877" s="87"/>
      <c r="AC877" s="87"/>
      <c r="AD877" s="87"/>
      <c r="AE877" s="87"/>
      <c r="AF877" s="87"/>
      <c r="AG877" s="87"/>
      <c r="AH877" s="87"/>
      <c r="AI877" s="87"/>
      <c r="AJ877" s="87"/>
      <c r="AK877" s="87"/>
      <c r="AL877" s="87"/>
      <c r="AM877" s="87"/>
      <c r="AN877" s="87"/>
      <c r="AO877" s="87"/>
      <c r="AP877" s="87"/>
      <c r="AQ877" s="87"/>
      <c r="AR877" s="87"/>
      <c r="AS877" s="87"/>
      <c r="AT877" s="87"/>
      <c r="AU877" s="87"/>
      <c r="AV877" s="87"/>
      <c r="AW877" s="87"/>
      <c r="AX877" s="87"/>
      <c r="AY877" s="87"/>
      <c r="AZ877" s="87"/>
      <c r="BA877" s="87"/>
      <c r="BB877" s="87"/>
      <c r="BC877" s="87"/>
      <c r="BD877" s="87"/>
      <c r="BE877" s="87"/>
      <c r="BF877" s="87"/>
      <c r="BG877" s="87"/>
      <c r="BH877" s="87"/>
      <c r="BI877" s="87"/>
      <c r="BJ877" s="87"/>
      <c r="BK877" s="87"/>
      <c r="BL877" s="87"/>
      <c r="BM877" s="87"/>
      <c r="BN877" s="87"/>
      <c r="BO877" s="87"/>
      <c r="BP877" s="87"/>
      <c r="BQ877" s="87"/>
      <c r="BR877" s="87"/>
      <c r="BS877" s="87"/>
      <c r="BT877" s="87"/>
      <c r="BU877" s="87"/>
      <c r="BV877" s="87"/>
      <c r="BW877" s="87"/>
      <c r="BX877" s="87"/>
      <c r="BY877" s="87"/>
    </row>
    <row r="878" spans="3:77" x14ac:dyDescent="0.3">
      <c r="C878" s="90"/>
      <c r="D878" s="87"/>
      <c r="E878" s="91"/>
      <c r="F878" s="92"/>
      <c r="G878" s="93"/>
      <c r="H878" s="93"/>
      <c r="I878" s="93"/>
      <c r="J878" s="93"/>
      <c r="K878" s="93"/>
      <c r="L878" s="93"/>
      <c r="M878" s="93"/>
      <c r="N878" s="93"/>
      <c r="O878" s="93"/>
      <c r="P878" s="93"/>
      <c r="Q878" s="93"/>
      <c r="R878" s="87"/>
      <c r="S878" s="87"/>
      <c r="T878" s="87"/>
      <c r="U878" s="19"/>
      <c r="V878" s="87"/>
      <c r="W878" s="87"/>
      <c r="X878" s="87"/>
      <c r="Y878" s="87"/>
      <c r="Z878" s="87"/>
      <c r="AA878" s="87"/>
      <c r="AB878" s="87"/>
      <c r="AC878" s="87"/>
      <c r="AD878" s="87"/>
      <c r="AE878" s="87"/>
      <c r="AF878" s="87"/>
      <c r="AG878" s="87"/>
      <c r="AH878" s="87"/>
      <c r="AI878" s="87"/>
      <c r="AJ878" s="87"/>
      <c r="AK878" s="87"/>
      <c r="AL878" s="87"/>
      <c r="AM878" s="87"/>
      <c r="AN878" s="87"/>
      <c r="AO878" s="87"/>
      <c r="AP878" s="87"/>
      <c r="AQ878" s="87"/>
      <c r="AR878" s="87"/>
      <c r="AS878" s="87"/>
      <c r="AT878" s="87"/>
      <c r="AU878" s="87"/>
      <c r="AV878" s="87"/>
      <c r="AW878" s="87"/>
      <c r="AX878" s="87"/>
      <c r="AY878" s="87"/>
      <c r="AZ878" s="87"/>
      <c r="BA878" s="87"/>
      <c r="BB878" s="87"/>
      <c r="BC878" s="87"/>
      <c r="BD878" s="87"/>
      <c r="BE878" s="87"/>
      <c r="BF878" s="87"/>
      <c r="BG878" s="87"/>
      <c r="BH878" s="87"/>
      <c r="BI878" s="87"/>
      <c r="BJ878" s="87"/>
      <c r="BK878" s="87"/>
      <c r="BL878" s="87"/>
      <c r="BM878" s="87"/>
      <c r="BN878" s="87"/>
      <c r="BO878" s="87"/>
      <c r="BP878" s="87"/>
      <c r="BQ878" s="87"/>
      <c r="BR878" s="87"/>
      <c r="BS878" s="87"/>
      <c r="BT878" s="87"/>
      <c r="BU878" s="87"/>
      <c r="BV878" s="87"/>
      <c r="BW878" s="87"/>
      <c r="BX878" s="87"/>
      <c r="BY878" s="87"/>
    </row>
    <row r="879" spans="3:77" x14ac:dyDescent="0.3">
      <c r="C879" s="90"/>
      <c r="D879" s="87"/>
      <c r="E879" s="91"/>
      <c r="F879" s="92"/>
      <c r="G879" s="93"/>
      <c r="H879" s="93"/>
      <c r="I879" s="93"/>
      <c r="J879" s="93"/>
      <c r="K879" s="93"/>
      <c r="L879" s="93"/>
      <c r="M879" s="93"/>
      <c r="N879" s="93"/>
      <c r="O879" s="93"/>
      <c r="P879" s="93"/>
      <c r="Q879" s="93"/>
      <c r="R879" s="87"/>
      <c r="S879" s="87"/>
      <c r="T879" s="87"/>
      <c r="U879" s="19"/>
      <c r="V879" s="87"/>
      <c r="W879" s="87"/>
      <c r="X879" s="87"/>
      <c r="Y879" s="87"/>
      <c r="Z879" s="87"/>
      <c r="AA879" s="87"/>
      <c r="AB879" s="87"/>
      <c r="AC879" s="87"/>
      <c r="AD879" s="87"/>
      <c r="AE879" s="87"/>
      <c r="AF879" s="87"/>
      <c r="AG879" s="87"/>
      <c r="AH879" s="87"/>
      <c r="AI879" s="87"/>
      <c r="AJ879" s="87"/>
      <c r="AK879" s="87"/>
      <c r="AL879" s="87"/>
      <c r="AM879" s="87"/>
      <c r="AN879" s="87"/>
      <c r="AO879" s="87"/>
      <c r="AP879" s="87"/>
      <c r="AQ879" s="87"/>
      <c r="AR879" s="87"/>
      <c r="AS879" s="87"/>
      <c r="AT879" s="87"/>
      <c r="AU879" s="87"/>
      <c r="AV879" s="87"/>
      <c r="AW879" s="87"/>
      <c r="AX879" s="87"/>
      <c r="AY879" s="87"/>
      <c r="AZ879" s="87"/>
      <c r="BA879" s="87"/>
      <c r="BB879" s="87"/>
      <c r="BC879" s="87"/>
      <c r="BD879" s="87"/>
      <c r="BE879" s="87"/>
      <c r="BF879" s="87"/>
      <c r="BG879" s="87"/>
      <c r="BH879" s="87"/>
      <c r="BI879" s="87"/>
      <c r="BJ879" s="87"/>
      <c r="BK879" s="87"/>
      <c r="BL879" s="87"/>
      <c r="BM879" s="87"/>
      <c r="BN879" s="87"/>
      <c r="BO879" s="87"/>
      <c r="BP879" s="87"/>
      <c r="BQ879" s="87"/>
      <c r="BR879" s="87"/>
      <c r="BS879" s="87"/>
      <c r="BT879" s="87"/>
      <c r="BU879" s="87"/>
      <c r="BV879" s="87"/>
      <c r="BW879" s="87"/>
      <c r="BX879" s="87"/>
      <c r="BY879" s="87"/>
    </row>
    <row r="880" spans="3:77" x14ac:dyDescent="0.3">
      <c r="C880" s="90"/>
      <c r="D880" s="87"/>
      <c r="E880" s="91"/>
      <c r="F880" s="92"/>
      <c r="G880" s="93"/>
      <c r="H880" s="93"/>
      <c r="I880" s="93"/>
      <c r="J880" s="93"/>
      <c r="K880" s="93"/>
      <c r="L880" s="93"/>
      <c r="M880" s="93"/>
      <c r="N880" s="93"/>
      <c r="O880" s="93"/>
      <c r="P880" s="93"/>
      <c r="Q880" s="93"/>
      <c r="R880" s="87"/>
      <c r="S880" s="87"/>
      <c r="T880" s="87"/>
      <c r="U880" s="19"/>
      <c r="V880" s="87"/>
      <c r="W880" s="87"/>
      <c r="X880" s="87"/>
      <c r="Y880" s="87"/>
      <c r="Z880" s="87"/>
      <c r="AA880" s="87"/>
      <c r="AB880" s="87"/>
      <c r="AC880" s="87"/>
      <c r="AD880" s="87"/>
      <c r="AE880" s="87"/>
      <c r="AF880" s="87"/>
      <c r="AG880" s="87"/>
      <c r="AH880" s="87"/>
      <c r="AI880" s="87"/>
      <c r="AJ880" s="87"/>
      <c r="AK880" s="87"/>
      <c r="AL880" s="87"/>
      <c r="AM880" s="87"/>
      <c r="AN880" s="87"/>
      <c r="AO880" s="87"/>
      <c r="AP880" s="87"/>
      <c r="AQ880" s="87"/>
      <c r="AR880" s="87"/>
      <c r="AS880" s="87"/>
      <c r="AT880" s="87"/>
      <c r="AU880" s="87"/>
      <c r="AV880" s="87"/>
      <c r="AW880" s="87"/>
      <c r="AX880" s="87"/>
      <c r="AY880" s="87"/>
      <c r="AZ880" s="87"/>
      <c r="BA880" s="87"/>
      <c r="BB880" s="87"/>
      <c r="BC880" s="87"/>
      <c r="BD880" s="87"/>
      <c r="BE880" s="87"/>
      <c r="BF880" s="87"/>
      <c r="BG880" s="87"/>
      <c r="BH880" s="87"/>
      <c r="BI880" s="87"/>
      <c r="BJ880" s="87"/>
      <c r="BK880" s="87"/>
      <c r="BL880" s="87"/>
      <c r="BM880" s="87"/>
      <c r="BN880" s="87"/>
      <c r="BO880" s="87"/>
      <c r="BP880" s="87"/>
      <c r="BQ880" s="87"/>
      <c r="BR880" s="87"/>
      <c r="BS880" s="87"/>
      <c r="BT880" s="87"/>
      <c r="BU880" s="87"/>
      <c r="BV880" s="87"/>
      <c r="BW880" s="87"/>
      <c r="BX880" s="87"/>
      <c r="BY880" s="87"/>
    </row>
    <row r="881" spans="3:77" x14ac:dyDescent="0.3">
      <c r="C881" s="90"/>
      <c r="D881" s="87"/>
      <c r="E881" s="91"/>
      <c r="F881" s="92"/>
      <c r="G881" s="93"/>
      <c r="H881" s="93"/>
      <c r="I881" s="93"/>
      <c r="J881" s="93"/>
      <c r="K881" s="93"/>
      <c r="L881" s="93"/>
      <c r="M881" s="93"/>
      <c r="N881" s="93"/>
      <c r="O881" s="93"/>
      <c r="P881" s="93"/>
      <c r="Q881" s="93"/>
      <c r="R881" s="87"/>
      <c r="S881" s="87"/>
      <c r="T881" s="87"/>
      <c r="U881" s="19"/>
      <c r="V881" s="87"/>
      <c r="W881" s="87"/>
      <c r="X881" s="87"/>
      <c r="Y881" s="87"/>
      <c r="Z881" s="87"/>
      <c r="AA881" s="87"/>
      <c r="AB881" s="87"/>
      <c r="AC881" s="87"/>
      <c r="AD881" s="87"/>
      <c r="AE881" s="87"/>
      <c r="AF881" s="87"/>
      <c r="AG881" s="87"/>
      <c r="AH881" s="87"/>
      <c r="AI881" s="87"/>
      <c r="AJ881" s="87"/>
      <c r="AK881" s="87"/>
      <c r="AL881" s="87"/>
      <c r="AM881" s="87"/>
      <c r="AN881" s="87"/>
      <c r="AO881" s="87"/>
      <c r="AP881" s="87"/>
      <c r="AQ881" s="87"/>
      <c r="AR881" s="87"/>
      <c r="AS881" s="87"/>
      <c r="AT881" s="87"/>
      <c r="AU881" s="87"/>
      <c r="AV881" s="87"/>
      <c r="AW881" s="87"/>
      <c r="AX881" s="87"/>
      <c r="AY881" s="87"/>
      <c r="AZ881" s="87"/>
      <c r="BA881" s="87"/>
      <c r="BB881" s="87"/>
      <c r="BC881" s="87"/>
      <c r="BD881" s="87"/>
      <c r="BE881" s="87"/>
      <c r="BF881" s="87"/>
      <c r="BG881" s="87"/>
      <c r="BH881" s="87"/>
      <c r="BI881" s="87"/>
      <c r="BJ881" s="87"/>
      <c r="BK881" s="87"/>
      <c r="BL881" s="87"/>
      <c r="BM881" s="87"/>
      <c r="BN881" s="87"/>
      <c r="BO881" s="87"/>
      <c r="BP881" s="87"/>
      <c r="BQ881" s="87"/>
      <c r="BR881" s="87"/>
      <c r="BS881" s="87"/>
      <c r="BT881" s="87"/>
      <c r="BU881" s="87"/>
      <c r="BV881" s="87"/>
      <c r="BW881" s="87"/>
      <c r="BX881" s="87"/>
      <c r="BY881" s="87"/>
    </row>
    <row r="882" spans="3:77" x14ac:dyDescent="0.3">
      <c r="C882" s="90"/>
      <c r="D882" s="87"/>
      <c r="E882" s="91"/>
      <c r="F882" s="92"/>
      <c r="G882" s="93"/>
      <c r="H882" s="93"/>
      <c r="I882" s="93"/>
      <c r="J882" s="93"/>
      <c r="K882" s="93"/>
      <c r="L882" s="93"/>
      <c r="M882" s="93"/>
      <c r="N882" s="93"/>
      <c r="O882" s="93"/>
      <c r="P882" s="93"/>
      <c r="Q882" s="93"/>
      <c r="R882" s="87"/>
      <c r="S882" s="87"/>
      <c r="T882" s="87"/>
      <c r="U882" s="19"/>
      <c r="V882" s="87"/>
      <c r="W882" s="87"/>
      <c r="X882" s="87"/>
      <c r="Y882" s="87"/>
      <c r="Z882" s="87"/>
      <c r="AA882" s="87"/>
      <c r="AB882" s="87"/>
      <c r="AC882" s="87"/>
      <c r="AD882" s="87"/>
      <c r="AE882" s="87"/>
      <c r="AF882" s="87"/>
      <c r="AG882" s="87"/>
      <c r="AH882" s="87"/>
      <c r="AI882" s="87"/>
      <c r="AJ882" s="87"/>
      <c r="AK882" s="87"/>
      <c r="AL882" s="87"/>
      <c r="AM882" s="87"/>
      <c r="AN882" s="87"/>
      <c r="AO882" s="87"/>
      <c r="AP882" s="87"/>
      <c r="AQ882" s="87"/>
      <c r="AR882" s="87"/>
      <c r="AS882" s="87"/>
      <c r="AT882" s="87"/>
      <c r="AU882" s="87"/>
      <c r="AV882" s="87"/>
      <c r="AW882" s="87"/>
      <c r="AX882" s="87"/>
      <c r="AY882" s="87"/>
      <c r="AZ882" s="87"/>
      <c r="BA882" s="87"/>
      <c r="BB882" s="87"/>
      <c r="BC882" s="87"/>
      <c r="BD882" s="87"/>
      <c r="BE882" s="87"/>
      <c r="BF882" s="87"/>
      <c r="BG882" s="87"/>
      <c r="BH882" s="87"/>
      <c r="BI882" s="87"/>
      <c r="BJ882" s="87"/>
      <c r="BK882" s="87"/>
      <c r="BL882" s="87"/>
      <c r="BM882" s="87"/>
      <c r="BN882" s="87"/>
      <c r="BO882" s="87"/>
      <c r="BP882" s="87"/>
      <c r="BQ882" s="87"/>
      <c r="BR882" s="87"/>
      <c r="BS882" s="87"/>
      <c r="BT882" s="87"/>
      <c r="BU882" s="87"/>
      <c r="BV882" s="87"/>
      <c r="BW882" s="87"/>
      <c r="BX882" s="87"/>
      <c r="BY882" s="87"/>
    </row>
    <row r="883" spans="3:77" x14ac:dyDescent="0.3">
      <c r="C883" s="90"/>
      <c r="D883" s="87"/>
      <c r="E883" s="91"/>
      <c r="F883" s="92"/>
      <c r="G883" s="93"/>
      <c r="H883" s="93"/>
      <c r="I883" s="93"/>
      <c r="J883" s="93"/>
      <c r="K883" s="93"/>
      <c r="L883" s="93"/>
      <c r="M883" s="93"/>
      <c r="N883" s="93"/>
      <c r="O883" s="93"/>
      <c r="P883" s="93"/>
      <c r="Q883" s="93"/>
      <c r="R883" s="87"/>
      <c r="S883" s="87"/>
      <c r="T883" s="87"/>
      <c r="U883" s="19"/>
      <c r="V883" s="87"/>
      <c r="W883" s="87"/>
      <c r="X883" s="87"/>
      <c r="Y883" s="87"/>
      <c r="Z883" s="87"/>
      <c r="AA883" s="87"/>
      <c r="AB883" s="87"/>
      <c r="AC883" s="87"/>
      <c r="AD883" s="87"/>
      <c r="AE883" s="87"/>
      <c r="AF883" s="87"/>
      <c r="AG883" s="87"/>
      <c r="AH883" s="87"/>
      <c r="AI883" s="87"/>
      <c r="AJ883" s="87"/>
      <c r="AK883" s="87"/>
      <c r="AL883" s="87"/>
      <c r="AM883" s="87"/>
      <c r="AN883" s="87"/>
      <c r="AO883" s="87"/>
      <c r="AP883" s="87"/>
      <c r="AQ883" s="87"/>
      <c r="AR883" s="87"/>
      <c r="AS883" s="87"/>
      <c r="AT883" s="87"/>
      <c r="AU883" s="87"/>
      <c r="AV883" s="87"/>
      <c r="AW883" s="87"/>
      <c r="AX883" s="87"/>
      <c r="AY883" s="87"/>
      <c r="AZ883" s="87"/>
      <c r="BA883" s="87"/>
      <c r="BB883" s="87"/>
      <c r="BC883" s="87"/>
      <c r="BD883" s="87"/>
      <c r="BE883" s="87"/>
      <c r="BF883" s="87"/>
      <c r="BG883" s="87"/>
      <c r="BH883" s="87"/>
      <c r="BI883" s="87"/>
      <c r="BJ883" s="87"/>
      <c r="BK883" s="87"/>
      <c r="BL883" s="87"/>
      <c r="BM883" s="87"/>
      <c r="BN883" s="87"/>
      <c r="BO883" s="87"/>
      <c r="BP883" s="87"/>
      <c r="BQ883" s="87"/>
      <c r="BR883" s="87"/>
      <c r="BS883" s="87"/>
      <c r="BT883" s="87"/>
      <c r="BU883" s="87"/>
      <c r="BV883" s="87"/>
      <c r="BW883" s="87"/>
      <c r="BX883" s="87"/>
      <c r="BY883" s="87"/>
    </row>
    <row r="884" spans="3:77" x14ac:dyDescent="0.3">
      <c r="C884" s="90"/>
      <c r="D884" s="87"/>
      <c r="E884" s="91"/>
      <c r="F884" s="92"/>
      <c r="G884" s="93"/>
      <c r="H884" s="93"/>
      <c r="I884" s="93"/>
      <c r="J884" s="93"/>
      <c r="K884" s="93"/>
      <c r="L884" s="93"/>
      <c r="M884" s="93"/>
      <c r="N884" s="93"/>
      <c r="O884" s="93"/>
      <c r="P884" s="93"/>
      <c r="Q884" s="93"/>
      <c r="R884" s="87"/>
      <c r="S884" s="87"/>
      <c r="T884" s="87"/>
      <c r="U884" s="19"/>
      <c r="V884" s="87"/>
      <c r="W884" s="87"/>
      <c r="X884" s="87"/>
      <c r="Y884" s="87"/>
      <c r="Z884" s="87"/>
      <c r="AA884" s="87"/>
      <c r="AB884" s="87"/>
      <c r="AC884" s="87"/>
      <c r="AD884" s="87"/>
      <c r="AE884" s="87"/>
      <c r="AF884" s="87"/>
      <c r="AG884" s="87"/>
      <c r="AH884" s="87"/>
      <c r="AI884" s="87"/>
      <c r="AJ884" s="87"/>
      <c r="AK884" s="87"/>
      <c r="AL884" s="87"/>
      <c r="AM884" s="87"/>
      <c r="AN884" s="87"/>
      <c r="AO884" s="87"/>
      <c r="AP884" s="87"/>
      <c r="AQ884" s="87"/>
      <c r="AR884" s="87"/>
      <c r="AS884" s="87"/>
      <c r="AT884" s="87"/>
      <c r="AU884" s="87"/>
      <c r="AV884" s="87"/>
      <c r="AW884" s="87"/>
      <c r="AX884" s="87"/>
      <c r="AY884" s="87"/>
      <c r="AZ884" s="87"/>
      <c r="BA884" s="87"/>
      <c r="BB884" s="87"/>
      <c r="BC884" s="87"/>
      <c r="BD884" s="87"/>
      <c r="BE884" s="87"/>
      <c r="BF884" s="87"/>
      <c r="BG884" s="87"/>
      <c r="BH884" s="87"/>
      <c r="BI884" s="87"/>
      <c r="BJ884" s="87"/>
      <c r="BK884" s="87"/>
      <c r="BL884" s="87"/>
      <c r="BM884" s="87"/>
      <c r="BN884" s="87"/>
      <c r="BO884" s="87"/>
      <c r="BP884" s="87"/>
      <c r="BQ884" s="87"/>
      <c r="BR884" s="87"/>
      <c r="BS884" s="87"/>
      <c r="BT884" s="87"/>
      <c r="BU884" s="87"/>
      <c r="BV884" s="87"/>
      <c r="BW884" s="87"/>
      <c r="BX884" s="87"/>
      <c r="BY884" s="87"/>
    </row>
    <row r="885" spans="3:77" x14ac:dyDescent="0.3">
      <c r="C885" s="90"/>
      <c r="D885" s="87"/>
      <c r="E885" s="91"/>
      <c r="F885" s="92"/>
      <c r="G885" s="93"/>
      <c r="H885" s="93"/>
      <c r="I885" s="93"/>
      <c r="J885" s="93"/>
      <c r="K885" s="93"/>
      <c r="L885" s="93"/>
      <c r="M885" s="93"/>
      <c r="N885" s="93"/>
      <c r="O885" s="93"/>
      <c r="P885" s="93"/>
      <c r="Q885" s="93"/>
      <c r="R885" s="87"/>
      <c r="S885" s="87"/>
      <c r="T885" s="87"/>
      <c r="U885" s="19"/>
      <c r="V885" s="87"/>
      <c r="W885" s="87"/>
      <c r="X885" s="87"/>
      <c r="Y885" s="87"/>
      <c r="Z885" s="87"/>
      <c r="AA885" s="87"/>
      <c r="AB885" s="87"/>
      <c r="AC885" s="87"/>
      <c r="AD885" s="87"/>
      <c r="AE885" s="87"/>
      <c r="AF885" s="87"/>
      <c r="AG885" s="87"/>
      <c r="AH885" s="87"/>
      <c r="AI885" s="87"/>
      <c r="AJ885" s="87"/>
      <c r="AK885" s="87"/>
      <c r="AL885" s="87"/>
      <c r="AM885" s="87"/>
      <c r="AN885" s="87"/>
      <c r="AO885" s="87"/>
      <c r="AP885" s="87"/>
      <c r="AQ885" s="87"/>
      <c r="AR885" s="87"/>
      <c r="AS885" s="87"/>
      <c r="AT885" s="87"/>
      <c r="AU885" s="87"/>
      <c r="AV885" s="87"/>
      <c r="AW885" s="87"/>
      <c r="AX885" s="87"/>
      <c r="AY885" s="87"/>
      <c r="AZ885" s="87"/>
      <c r="BA885" s="87"/>
      <c r="BB885" s="87"/>
      <c r="BC885" s="87"/>
      <c r="BD885" s="87"/>
      <c r="BE885" s="87"/>
      <c r="BF885" s="87"/>
      <c r="BG885" s="87"/>
      <c r="BH885" s="87"/>
      <c r="BI885" s="87"/>
      <c r="BJ885" s="87"/>
      <c r="BK885" s="87"/>
      <c r="BL885" s="87"/>
      <c r="BM885" s="87"/>
      <c r="BN885" s="87"/>
      <c r="BO885" s="87"/>
      <c r="BP885" s="87"/>
      <c r="BQ885" s="87"/>
      <c r="BR885" s="87"/>
      <c r="BS885" s="87"/>
      <c r="BT885" s="87"/>
      <c r="BU885" s="87"/>
      <c r="BV885" s="87"/>
      <c r="BW885" s="87"/>
      <c r="BX885" s="87"/>
      <c r="BY885" s="87"/>
    </row>
    <row r="886" spans="3:77" x14ac:dyDescent="0.3">
      <c r="C886" s="90"/>
      <c r="D886" s="87"/>
      <c r="E886" s="91"/>
      <c r="F886" s="92"/>
      <c r="G886" s="93"/>
      <c r="H886" s="93"/>
      <c r="I886" s="93"/>
      <c r="J886" s="93"/>
      <c r="K886" s="93"/>
      <c r="L886" s="93"/>
      <c r="M886" s="93"/>
      <c r="N886" s="93"/>
      <c r="O886" s="93"/>
      <c r="P886" s="93"/>
      <c r="Q886" s="93"/>
      <c r="R886" s="87"/>
      <c r="S886" s="87"/>
      <c r="T886" s="87"/>
      <c r="U886" s="19"/>
      <c r="V886" s="87"/>
      <c r="W886" s="87"/>
      <c r="X886" s="87"/>
      <c r="Y886" s="87"/>
      <c r="Z886" s="87"/>
      <c r="AA886" s="87"/>
      <c r="AB886" s="87"/>
      <c r="AC886" s="87"/>
      <c r="AD886" s="87"/>
      <c r="AE886" s="87"/>
      <c r="AF886" s="87"/>
      <c r="AG886" s="87"/>
      <c r="AH886" s="87"/>
      <c r="AI886" s="87"/>
      <c r="AJ886" s="87"/>
      <c r="AK886" s="87"/>
      <c r="AL886" s="87"/>
      <c r="AM886" s="87"/>
      <c r="AN886" s="87"/>
      <c r="AO886" s="87"/>
      <c r="AP886" s="87"/>
      <c r="AQ886" s="87"/>
      <c r="AR886" s="87"/>
      <c r="AS886" s="87"/>
      <c r="AT886" s="87"/>
      <c r="AU886" s="87"/>
      <c r="AV886" s="87"/>
      <c r="AW886" s="87"/>
      <c r="AX886" s="87"/>
      <c r="AY886" s="87"/>
      <c r="AZ886" s="87"/>
      <c r="BA886" s="87"/>
      <c r="BB886" s="87"/>
      <c r="BC886" s="87"/>
      <c r="BD886" s="87"/>
      <c r="BE886" s="87"/>
      <c r="BF886" s="87"/>
      <c r="BG886" s="87"/>
      <c r="BH886" s="87"/>
      <c r="BI886" s="87"/>
      <c r="BJ886" s="87"/>
      <c r="BK886" s="87"/>
      <c r="BL886" s="87"/>
      <c r="BM886" s="87"/>
      <c r="BN886" s="87"/>
      <c r="BO886" s="87"/>
      <c r="BP886" s="87"/>
      <c r="BQ886" s="87"/>
      <c r="BR886" s="87"/>
      <c r="BS886" s="87"/>
      <c r="BT886" s="87"/>
      <c r="BU886" s="87"/>
      <c r="BV886" s="87"/>
      <c r="BW886" s="87"/>
      <c r="BX886" s="87"/>
      <c r="BY886" s="87"/>
    </row>
    <row r="887" spans="3:77" x14ac:dyDescent="0.3">
      <c r="C887" s="90"/>
      <c r="D887" s="87"/>
      <c r="E887" s="91"/>
      <c r="F887" s="92"/>
      <c r="G887" s="93"/>
      <c r="H887" s="93"/>
      <c r="I887" s="93"/>
      <c r="J887" s="93"/>
      <c r="K887" s="93"/>
      <c r="L887" s="93"/>
      <c r="M887" s="93"/>
      <c r="N887" s="93"/>
      <c r="O887" s="93"/>
      <c r="P887" s="93"/>
      <c r="Q887" s="93"/>
      <c r="R887" s="87"/>
      <c r="S887" s="87"/>
      <c r="T887" s="87"/>
      <c r="U887" s="19"/>
      <c r="V887" s="87"/>
      <c r="W887" s="87"/>
      <c r="X887" s="87"/>
      <c r="Y887" s="87"/>
      <c r="Z887" s="87"/>
      <c r="AA887" s="87"/>
      <c r="AB887" s="87"/>
      <c r="AC887" s="87"/>
      <c r="AD887" s="87"/>
      <c r="AE887" s="87"/>
      <c r="AF887" s="87"/>
      <c r="AG887" s="87"/>
      <c r="AH887" s="87"/>
      <c r="AI887" s="87"/>
      <c r="AJ887" s="87"/>
      <c r="AK887" s="87"/>
      <c r="AL887" s="87"/>
      <c r="AM887" s="87"/>
      <c r="AN887" s="87"/>
      <c r="AO887" s="87"/>
      <c r="AP887" s="87"/>
      <c r="AQ887" s="87"/>
      <c r="AR887" s="87"/>
      <c r="AS887" s="87"/>
      <c r="AT887" s="87"/>
      <c r="AU887" s="87"/>
      <c r="AV887" s="87"/>
      <c r="AW887" s="87"/>
      <c r="AX887" s="87"/>
      <c r="AY887" s="87"/>
      <c r="AZ887" s="87"/>
      <c r="BA887" s="87"/>
      <c r="BB887" s="87"/>
      <c r="BC887" s="87"/>
      <c r="BD887" s="87"/>
      <c r="BE887" s="87"/>
      <c r="BF887" s="87"/>
      <c r="BG887" s="87"/>
      <c r="BH887" s="87"/>
      <c r="BI887" s="87"/>
      <c r="BJ887" s="87"/>
      <c r="BK887" s="87"/>
      <c r="BL887" s="87"/>
      <c r="BM887" s="87"/>
      <c r="BN887" s="87"/>
      <c r="BO887" s="87"/>
      <c r="BP887" s="87"/>
      <c r="BQ887" s="87"/>
      <c r="BR887" s="87"/>
      <c r="BS887" s="87"/>
      <c r="BT887" s="87"/>
      <c r="BU887" s="87"/>
      <c r="BV887" s="87"/>
      <c r="BW887" s="87"/>
      <c r="BX887" s="87"/>
      <c r="BY887" s="87"/>
    </row>
    <row r="888" spans="3:77" x14ac:dyDescent="0.3">
      <c r="C888" s="90"/>
      <c r="D888" s="87"/>
      <c r="E888" s="91"/>
      <c r="F888" s="92"/>
      <c r="G888" s="93"/>
      <c r="H888" s="93"/>
      <c r="I888" s="93"/>
      <c r="J888" s="93"/>
      <c r="K888" s="93"/>
      <c r="L888" s="93"/>
      <c r="M888" s="93"/>
      <c r="N888" s="93"/>
      <c r="O888" s="93"/>
      <c r="P888" s="93"/>
      <c r="Q888" s="93"/>
      <c r="R888" s="87"/>
      <c r="S888" s="87"/>
      <c r="T888" s="87"/>
      <c r="U888" s="19"/>
      <c r="V888" s="87"/>
      <c r="W888" s="87"/>
      <c r="X888" s="87"/>
      <c r="Y888" s="87"/>
      <c r="Z888" s="87"/>
      <c r="AA888" s="87"/>
      <c r="AB888" s="87"/>
      <c r="AC888" s="87"/>
      <c r="AD888" s="87"/>
      <c r="AE888" s="87"/>
      <c r="AF888" s="87"/>
      <c r="AG888" s="87"/>
      <c r="AH888" s="87"/>
      <c r="AI888" s="87"/>
      <c r="AJ888" s="87"/>
      <c r="AK888" s="87"/>
      <c r="AL888" s="87"/>
      <c r="AM888" s="87"/>
      <c r="AN888" s="87"/>
      <c r="AO888" s="87"/>
      <c r="AP888" s="87"/>
      <c r="AQ888" s="87"/>
      <c r="AR888" s="87"/>
      <c r="AS888" s="87"/>
      <c r="AT888" s="87"/>
      <c r="AU888" s="87"/>
      <c r="AV888" s="87"/>
      <c r="AW888" s="87"/>
      <c r="AX888" s="87"/>
      <c r="AY888" s="87"/>
      <c r="AZ888" s="87"/>
      <c r="BA888" s="87"/>
      <c r="BB888" s="87"/>
      <c r="BC888" s="87"/>
      <c r="BD888" s="87"/>
      <c r="BE888" s="87"/>
      <c r="BF888" s="87"/>
      <c r="BG888" s="87"/>
      <c r="BH888" s="87"/>
      <c r="BI888" s="87"/>
      <c r="BJ888" s="87"/>
      <c r="BK888" s="87"/>
      <c r="BL888" s="87"/>
      <c r="BM888" s="87"/>
      <c r="BN888" s="87"/>
      <c r="BO888" s="87"/>
      <c r="BP888" s="87"/>
      <c r="BQ888" s="87"/>
      <c r="BR888" s="87"/>
      <c r="BS888" s="87"/>
      <c r="BT888" s="87"/>
      <c r="BU888" s="87"/>
      <c r="BV888" s="87"/>
      <c r="BW888" s="87"/>
      <c r="BX888" s="87"/>
      <c r="BY888" s="87"/>
    </row>
    <row r="889" spans="3:77" x14ac:dyDescent="0.3">
      <c r="C889" s="90"/>
      <c r="D889" s="87"/>
      <c r="E889" s="91"/>
      <c r="F889" s="92"/>
      <c r="G889" s="93"/>
      <c r="H889" s="93"/>
      <c r="I889" s="93"/>
      <c r="J889" s="93"/>
      <c r="K889" s="93"/>
      <c r="L889" s="93"/>
      <c r="M889" s="93"/>
      <c r="N889" s="93"/>
      <c r="O889" s="93"/>
      <c r="P889" s="93"/>
      <c r="Q889" s="93"/>
      <c r="R889" s="87"/>
      <c r="S889" s="87"/>
      <c r="T889" s="87"/>
      <c r="U889" s="19"/>
      <c r="V889" s="87"/>
      <c r="W889" s="87"/>
      <c r="X889" s="87"/>
      <c r="Y889" s="87"/>
      <c r="Z889" s="87"/>
      <c r="AA889" s="87"/>
      <c r="AB889" s="87"/>
      <c r="AC889" s="87"/>
      <c r="AD889" s="87"/>
      <c r="AE889" s="87"/>
      <c r="AF889" s="87"/>
      <c r="AG889" s="87"/>
      <c r="AH889" s="87"/>
      <c r="AI889" s="87"/>
      <c r="AJ889" s="87"/>
      <c r="AK889" s="87"/>
      <c r="AL889" s="87"/>
      <c r="AM889" s="87"/>
      <c r="AN889" s="87"/>
      <c r="AO889" s="87"/>
      <c r="AP889" s="87"/>
      <c r="AQ889" s="87"/>
      <c r="AR889" s="87"/>
      <c r="AS889" s="87"/>
      <c r="AT889" s="87"/>
      <c r="AU889" s="87"/>
      <c r="AV889" s="87"/>
      <c r="AW889" s="87"/>
      <c r="AX889" s="87"/>
      <c r="AY889" s="87"/>
      <c r="AZ889" s="87"/>
      <c r="BA889" s="87"/>
      <c r="BB889" s="87"/>
      <c r="BC889" s="87"/>
      <c r="BD889" s="87"/>
      <c r="BE889" s="87"/>
      <c r="BF889" s="87"/>
      <c r="BG889" s="87"/>
      <c r="BH889" s="87"/>
      <c r="BI889" s="87"/>
      <c r="BJ889" s="87"/>
      <c r="BK889" s="87"/>
      <c r="BL889" s="87"/>
      <c r="BM889" s="87"/>
      <c r="BN889" s="87"/>
      <c r="BO889" s="87"/>
      <c r="BP889" s="87"/>
      <c r="BQ889" s="87"/>
      <c r="BR889" s="87"/>
      <c r="BS889" s="87"/>
      <c r="BT889" s="87"/>
      <c r="BU889" s="87"/>
      <c r="BV889" s="87"/>
      <c r="BW889" s="87"/>
      <c r="BX889" s="87"/>
      <c r="BY889" s="87"/>
    </row>
    <row r="890" spans="3:77" x14ac:dyDescent="0.3">
      <c r="C890" s="90"/>
      <c r="D890" s="87"/>
      <c r="E890" s="91"/>
      <c r="F890" s="92"/>
      <c r="G890" s="93"/>
      <c r="H890" s="93"/>
      <c r="I890" s="93"/>
      <c r="J890" s="93"/>
      <c r="K890" s="93"/>
      <c r="L890" s="93"/>
      <c r="M890" s="93"/>
      <c r="N890" s="93"/>
      <c r="O890" s="93"/>
      <c r="P890" s="93"/>
      <c r="Q890" s="93"/>
      <c r="R890" s="87"/>
      <c r="S890" s="87"/>
      <c r="T890" s="87"/>
      <c r="U890" s="19"/>
      <c r="V890" s="87"/>
      <c r="W890" s="87"/>
      <c r="X890" s="87"/>
      <c r="Y890" s="87"/>
      <c r="Z890" s="87"/>
      <c r="AA890" s="87"/>
      <c r="AB890" s="87"/>
      <c r="AC890" s="87"/>
      <c r="AD890" s="87"/>
      <c r="AE890" s="87"/>
      <c r="AF890" s="87"/>
      <c r="AG890" s="87"/>
      <c r="AH890" s="87"/>
      <c r="AI890" s="87"/>
      <c r="AJ890" s="87"/>
      <c r="AK890" s="87"/>
      <c r="AL890" s="87"/>
      <c r="AM890" s="87"/>
      <c r="AN890" s="87"/>
      <c r="AO890" s="87"/>
      <c r="AP890" s="87"/>
      <c r="AQ890" s="87"/>
      <c r="AR890" s="87"/>
      <c r="AS890" s="87"/>
      <c r="AT890" s="87"/>
      <c r="AU890" s="87"/>
      <c r="AV890" s="87"/>
      <c r="AW890" s="87"/>
      <c r="AX890" s="87"/>
      <c r="AY890" s="87"/>
      <c r="AZ890" s="87"/>
      <c r="BA890" s="87"/>
      <c r="BB890" s="87"/>
      <c r="BC890" s="87"/>
      <c r="BD890" s="87"/>
      <c r="BE890" s="87"/>
      <c r="BF890" s="87"/>
      <c r="BG890" s="87"/>
      <c r="BH890" s="87"/>
      <c r="BI890" s="87"/>
      <c r="BJ890" s="87"/>
      <c r="BK890" s="87"/>
      <c r="BL890" s="87"/>
      <c r="BM890" s="87"/>
      <c r="BN890" s="87"/>
      <c r="BO890" s="87"/>
      <c r="BP890" s="87"/>
      <c r="BQ890" s="87"/>
      <c r="BR890" s="87"/>
      <c r="BS890" s="87"/>
      <c r="BT890" s="87"/>
      <c r="BU890" s="87"/>
      <c r="BV890" s="87"/>
      <c r="BW890" s="87"/>
      <c r="BX890" s="87"/>
      <c r="BY890" s="87"/>
    </row>
    <row r="891" spans="3:77" x14ac:dyDescent="0.3">
      <c r="C891" s="90"/>
      <c r="D891" s="87"/>
      <c r="E891" s="91"/>
      <c r="F891" s="92"/>
      <c r="G891" s="93"/>
      <c r="H891" s="93"/>
      <c r="I891" s="93"/>
      <c r="J891" s="93"/>
      <c r="K891" s="93"/>
      <c r="L891" s="93"/>
      <c r="M891" s="93"/>
      <c r="N891" s="93"/>
      <c r="O891" s="93"/>
      <c r="P891" s="93"/>
      <c r="Q891" s="93"/>
      <c r="R891" s="87"/>
      <c r="S891" s="87"/>
      <c r="T891" s="87"/>
      <c r="U891" s="19"/>
      <c r="V891" s="87"/>
      <c r="W891" s="87"/>
      <c r="X891" s="87"/>
      <c r="Y891" s="87"/>
      <c r="Z891" s="87"/>
      <c r="AA891" s="87"/>
      <c r="AB891" s="87"/>
      <c r="AC891" s="87"/>
      <c r="AD891" s="87"/>
      <c r="AE891" s="87"/>
      <c r="AF891" s="87"/>
      <c r="AG891" s="87"/>
      <c r="AH891" s="87"/>
      <c r="AI891" s="87"/>
      <c r="AJ891" s="87"/>
      <c r="AK891" s="87"/>
      <c r="AL891" s="87"/>
      <c r="AM891" s="87"/>
      <c r="AN891" s="87"/>
      <c r="AO891" s="87"/>
      <c r="AP891" s="87"/>
      <c r="AQ891" s="87"/>
      <c r="AR891" s="87"/>
      <c r="AS891" s="87"/>
      <c r="AT891" s="87"/>
      <c r="AU891" s="87"/>
      <c r="AV891" s="87"/>
      <c r="AW891" s="87"/>
      <c r="AX891" s="87"/>
      <c r="AY891" s="87"/>
      <c r="AZ891" s="87"/>
      <c r="BA891" s="87"/>
      <c r="BB891" s="87"/>
      <c r="BC891" s="87"/>
      <c r="BD891" s="87"/>
      <c r="BE891" s="87"/>
      <c r="BF891" s="87"/>
      <c r="BG891" s="87"/>
      <c r="BH891" s="87"/>
      <c r="BI891" s="87"/>
      <c r="BJ891" s="87"/>
      <c r="BK891" s="87"/>
      <c r="BL891" s="87"/>
      <c r="BM891" s="87"/>
      <c r="BN891" s="87"/>
      <c r="BO891" s="87"/>
      <c r="BP891" s="87"/>
      <c r="BQ891" s="87"/>
      <c r="BR891" s="87"/>
      <c r="BS891" s="87"/>
      <c r="BT891" s="87"/>
      <c r="BU891" s="87"/>
      <c r="BV891" s="87"/>
      <c r="BW891" s="87"/>
      <c r="BX891" s="87"/>
      <c r="BY891" s="87"/>
    </row>
    <row r="892" spans="3:77" x14ac:dyDescent="0.3">
      <c r="C892" s="90"/>
      <c r="D892" s="87"/>
      <c r="E892" s="91"/>
      <c r="F892" s="92"/>
      <c r="G892" s="93"/>
      <c r="H892" s="93"/>
      <c r="I892" s="93"/>
      <c r="J892" s="93"/>
      <c r="K892" s="93"/>
      <c r="L892" s="93"/>
      <c r="M892" s="93"/>
      <c r="N892" s="93"/>
      <c r="O892" s="93"/>
      <c r="P892" s="93"/>
      <c r="Q892" s="93"/>
      <c r="R892" s="87"/>
      <c r="S892" s="87"/>
      <c r="T892" s="87"/>
      <c r="U892" s="19"/>
      <c r="V892" s="87"/>
      <c r="W892" s="87"/>
      <c r="X892" s="87"/>
      <c r="Y892" s="87"/>
      <c r="Z892" s="87"/>
      <c r="AA892" s="87"/>
      <c r="AB892" s="87"/>
      <c r="AC892" s="87"/>
      <c r="AD892" s="87"/>
      <c r="AE892" s="87"/>
      <c r="AF892" s="87"/>
      <c r="AG892" s="87"/>
      <c r="AH892" s="87"/>
      <c r="AI892" s="87"/>
      <c r="AJ892" s="87"/>
      <c r="AK892" s="87"/>
      <c r="AL892" s="87"/>
      <c r="AM892" s="87"/>
      <c r="AN892" s="87"/>
      <c r="AO892" s="87"/>
      <c r="AP892" s="87"/>
      <c r="AQ892" s="87"/>
      <c r="AR892" s="87"/>
      <c r="AS892" s="87"/>
      <c r="AT892" s="87"/>
      <c r="AU892" s="87"/>
      <c r="AV892" s="87"/>
      <c r="AW892" s="87"/>
      <c r="AX892" s="87"/>
      <c r="AY892" s="87"/>
      <c r="AZ892" s="87"/>
      <c r="BA892" s="87"/>
      <c r="BB892" s="87"/>
      <c r="BC892" s="87"/>
      <c r="BD892" s="87"/>
      <c r="BE892" s="87"/>
      <c r="BF892" s="87"/>
      <c r="BG892" s="87"/>
      <c r="BH892" s="87"/>
      <c r="BI892" s="87"/>
      <c r="BJ892" s="87"/>
      <c r="BK892" s="87"/>
      <c r="BL892" s="87"/>
      <c r="BM892" s="87"/>
      <c r="BN892" s="87"/>
      <c r="BO892" s="87"/>
      <c r="BP892" s="87"/>
      <c r="BQ892" s="87"/>
      <c r="BR892" s="87"/>
      <c r="BS892" s="87"/>
      <c r="BT892" s="87"/>
      <c r="BU892" s="87"/>
      <c r="BV892" s="87"/>
      <c r="BW892" s="87"/>
      <c r="BX892" s="87"/>
      <c r="BY892" s="87"/>
    </row>
    <row r="893" spans="3:77" x14ac:dyDescent="0.3">
      <c r="C893" s="90"/>
      <c r="D893" s="87"/>
      <c r="E893" s="91"/>
      <c r="F893" s="92"/>
      <c r="G893" s="93"/>
      <c r="H893" s="93"/>
      <c r="I893" s="93"/>
      <c r="J893" s="93"/>
      <c r="K893" s="93"/>
      <c r="L893" s="93"/>
      <c r="M893" s="93"/>
      <c r="N893" s="93"/>
      <c r="O893" s="93"/>
      <c r="P893" s="93"/>
      <c r="Q893" s="93"/>
      <c r="R893" s="87"/>
      <c r="S893" s="87"/>
      <c r="T893" s="87"/>
      <c r="U893" s="19"/>
      <c r="V893" s="87"/>
      <c r="W893" s="87"/>
      <c r="X893" s="87"/>
      <c r="Y893" s="87"/>
      <c r="Z893" s="87"/>
      <c r="AA893" s="87"/>
      <c r="AB893" s="87"/>
      <c r="AC893" s="87"/>
      <c r="AD893" s="87"/>
      <c r="AE893" s="87"/>
      <c r="AF893" s="87"/>
      <c r="AG893" s="87"/>
      <c r="AH893" s="87"/>
      <c r="AI893" s="87"/>
      <c r="AJ893" s="87"/>
      <c r="AK893" s="87"/>
      <c r="AL893" s="87"/>
      <c r="AM893" s="87"/>
      <c r="AN893" s="87"/>
      <c r="AO893" s="87"/>
      <c r="AP893" s="87"/>
      <c r="AQ893" s="87"/>
      <c r="AR893" s="87"/>
      <c r="AS893" s="87"/>
      <c r="AT893" s="87"/>
      <c r="AU893" s="87"/>
      <c r="AV893" s="87"/>
      <c r="AW893" s="87"/>
      <c r="AX893" s="87"/>
      <c r="AY893" s="87"/>
      <c r="AZ893" s="87"/>
      <c r="BA893" s="87"/>
      <c r="BB893" s="87"/>
      <c r="BC893" s="87"/>
      <c r="BD893" s="87"/>
      <c r="BE893" s="87"/>
      <c r="BF893" s="87"/>
      <c r="BG893" s="87"/>
      <c r="BH893" s="87"/>
      <c r="BI893" s="87"/>
      <c r="BJ893" s="87"/>
      <c r="BK893" s="87"/>
      <c r="BL893" s="87"/>
      <c r="BM893" s="87"/>
      <c r="BN893" s="87"/>
      <c r="BO893" s="87"/>
      <c r="BP893" s="87"/>
      <c r="BQ893" s="87"/>
      <c r="BR893" s="87"/>
      <c r="BS893" s="87"/>
      <c r="BT893" s="87"/>
      <c r="BU893" s="87"/>
      <c r="BV893" s="87"/>
      <c r="BW893" s="87"/>
      <c r="BX893" s="87"/>
      <c r="BY893" s="87"/>
    </row>
    <row r="894" spans="3:77" x14ac:dyDescent="0.3">
      <c r="C894" s="90"/>
      <c r="D894" s="87"/>
      <c r="E894" s="91"/>
      <c r="F894" s="92"/>
      <c r="G894" s="93"/>
      <c r="H894" s="93"/>
      <c r="I894" s="93"/>
      <c r="J894" s="93"/>
      <c r="K894" s="93"/>
      <c r="L894" s="93"/>
      <c r="M894" s="93"/>
      <c r="N894" s="93"/>
      <c r="O894" s="93"/>
      <c r="P894" s="93"/>
      <c r="Q894" s="93"/>
      <c r="R894" s="87"/>
      <c r="S894" s="87"/>
      <c r="T894" s="87"/>
      <c r="U894" s="19"/>
      <c r="V894" s="87"/>
      <c r="W894" s="87"/>
      <c r="X894" s="87"/>
      <c r="Y894" s="87"/>
      <c r="Z894" s="87"/>
      <c r="AA894" s="87"/>
      <c r="AB894" s="87"/>
      <c r="AC894" s="87"/>
      <c r="AD894" s="87"/>
      <c r="AE894" s="87"/>
      <c r="AF894" s="87"/>
      <c r="AG894" s="87"/>
      <c r="AH894" s="87"/>
      <c r="AI894" s="87"/>
      <c r="AJ894" s="87"/>
      <c r="AK894" s="87"/>
      <c r="AL894" s="87"/>
      <c r="AM894" s="87"/>
      <c r="AN894" s="87"/>
      <c r="AO894" s="87"/>
      <c r="AP894" s="87"/>
      <c r="AQ894" s="87"/>
      <c r="AR894" s="87"/>
      <c r="AS894" s="87"/>
      <c r="AT894" s="87"/>
      <c r="AU894" s="87"/>
      <c r="AV894" s="87"/>
      <c r="AW894" s="87"/>
      <c r="AX894" s="87"/>
      <c r="AY894" s="87"/>
      <c r="AZ894" s="87"/>
      <c r="BA894" s="87"/>
      <c r="BB894" s="87"/>
      <c r="BC894" s="87"/>
      <c r="BD894" s="87"/>
      <c r="BE894" s="87"/>
      <c r="BF894" s="87"/>
      <c r="BG894" s="87"/>
      <c r="BH894" s="87"/>
      <c r="BI894" s="87"/>
      <c r="BJ894" s="87"/>
      <c r="BK894" s="87"/>
      <c r="BL894" s="87"/>
      <c r="BM894" s="87"/>
      <c r="BN894" s="87"/>
      <c r="BO894" s="87"/>
      <c r="BP894" s="87"/>
      <c r="BQ894" s="87"/>
      <c r="BR894" s="87"/>
      <c r="BS894" s="87"/>
      <c r="BT894" s="87"/>
      <c r="BU894" s="87"/>
      <c r="BV894" s="87"/>
      <c r="BW894" s="87"/>
      <c r="BX894" s="87"/>
      <c r="BY894" s="87"/>
    </row>
    <row r="895" spans="3:77" x14ac:dyDescent="0.3">
      <c r="C895" s="90"/>
      <c r="D895" s="87"/>
      <c r="E895" s="91"/>
      <c r="F895" s="92"/>
      <c r="G895" s="93"/>
      <c r="H895" s="93"/>
      <c r="I895" s="93"/>
      <c r="J895" s="93"/>
      <c r="K895" s="93"/>
      <c r="L895" s="93"/>
      <c r="M895" s="93"/>
      <c r="N895" s="93"/>
      <c r="O895" s="93"/>
      <c r="P895" s="93"/>
      <c r="Q895" s="93"/>
      <c r="R895" s="87"/>
      <c r="S895" s="87"/>
      <c r="T895" s="87"/>
      <c r="U895" s="19"/>
      <c r="V895" s="87"/>
      <c r="W895" s="87"/>
      <c r="X895" s="87"/>
      <c r="Y895" s="87"/>
      <c r="Z895" s="87"/>
      <c r="AA895" s="87"/>
      <c r="AB895" s="87"/>
      <c r="AC895" s="87"/>
      <c r="AD895" s="87"/>
      <c r="AE895" s="87"/>
      <c r="AF895" s="87"/>
      <c r="AG895" s="87"/>
      <c r="AH895" s="87"/>
      <c r="AI895" s="87"/>
      <c r="AJ895" s="87"/>
      <c r="AK895" s="87"/>
      <c r="AL895" s="87"/>
      <c r="AM895" s="87"/>
      <c r="AN895" s="87"/>
      <c r="AO895" s="87"/>
      <c r="AP895" s="87"/>
      <c r="AQ895" s="87"/>
      <c r="AR895" s="87"/>
      <c r="AS895" s="87"/>
      <c r="AT895" s="87"/>
      <c r="AU895" s="87"/>
      <c r="AV895" s="87"/>
      <c r="AW895" s="87"/>
      <c r="AX895" s="87"/>
      <c r="AY895" s="87"/>
      <c r="AZ895" s="87"/>
      <c r="BA895" s="87"/>
      <c r="BB895" s="87"/>
      <c r="BC895" s="87"/>
      <c r="BD895" s="87"/>
      <c r="BE895" s="87"/>
      <c r="BF895" s="87"/>
      <c r="BG895" s="87"/>
      <c r="BH895" s="87"/>
      <c r="BI895" s="87"/>
      <c r="BJ895" s="87"/>
      <c r="BK895" s="87"/>
      <c r="BL895" s="87"/>
      <c r="BM895" s="87"/>
      <c r="BN895" s="87"/>
      <c r="BO895" s="87"/>
      <c r="BP895" s="87"/>
      <c r="BQ895" s="87"/>
      <c r="BR895" s="87"/>
      <c r="BS895" s="87"/>
      <c r="BT895" s="87"/>
      <c r="BU895" s="87"/>
      <c r="BV895" s="87"/>
      <c r="BW895" s="87"/>
      <c r="BX895" s="87"/>
      <c r="BY895" s="87"/>
    </row>
    <row r="896" spans="3:77" x14ac:dyDescent="0.3">
      <c r="C896" s="90"/>
      <c r="D896" s="87"/>
      <c r="E896" s="91"/>
      <c r="F896" s="92"/>
      <c r="G896" s="93"/>
      <c r="H896" s="93"/>
      <c r="I896" s="93"/>
      <c r="J896" s="93"/>
      <c r="K896" s="93"/>
      <c r="L896" s="93"/>
      <c r="M896" s="93"/>
      <c r="N896" s="93"/>
      <c r="O896" s="93"/>
      <c r="P896" s="93"/>
      <c r="Q896" s="93"/>
      <c r="R896" s="87"/>
      <c r="S896" s="87"/>
      <c r="T896" s="87"/>
      <c r="U896" s="19"/>
      <c r="V896" s="87"/>
      <c r="W896" s="87"/>
      <c r="X896" s="87"/>
      <c r="Y896" s="87"/>
      <c r="Z896" s="87"/>
      <c r="AA896" s="87"/>
      <c r="AB896" s="87"/>
      <c r="AC896" s="87"/>
      <c r="AD896" s="87"/>
      <c r="AE896" s="87"/>
      <c r="AF896" s="87"/>
      <c r="AG896" s="87"/>
      <c r="AH896" s="87"/>
      <c r="AI896" s="87"/>
      <c r="AJ896" s="87"/>
      <c r="AK896" s="87"/>
      <c r="AL896" s="87"/>
      <c r="AM896" s="87"/>
      <c r="AN896" s="87"/>
      <c r="AO896" s="87"/>
      <c r="AP896" s="87"/>
      <c r="AQ896" s="87"/>
      <c r="AR896" s="87"/>
      <c r="AS896" s="87"/>
      <c r="AT896" s="87"/>
      <c r="AU896" s="87"/>
      <c r="AV896" s="87"/>
      <c r="AW896" s="87"/>
      <c r="AX896" s="87"/>
      <c r="AY896" s="87"/>
      <c r="AZ896" s="87"/>
      <c r="BA896" s="87"/>
      <c r="BB896" s="87"/>
      <c r="BC896" s="87"/>
      <c r="BD896" s="87"/>
      <c r="BE896" s="87"/>
      <c r="BF896" s="87"/>
      <c r="BG896" s="87"/>
      <c r="BH896" s="87"/>
      <c r="BI896" s="87"/>
      <c r="BJ896" s="87"/>
      <c r="BK896" s="87"/>
      <c r="BL896" s="87"/>
      <c r="BM896" s="87"/>
      <c r="BN896" s="87"/>
      <c r="BO896" s="87"/>
      <c r="BP896" s="87"/>
      <c r="BQ896" s="87"/>
      <c r="BR896" s="87"/>
      <c r="BS896" s="87"/>
      <c r="BT896" s="87"/>
      <c r="BU896" s="87"/>
      <c r="BV896" s="87"/>
      <c r="BW896" s="87"/>
      <c r="BX896" s="87"/>
      <c r="BY896" s="87"/>
    </row>
    <row r="897" spans="3:77" x14ac:dyDescent="0.3">
      <c r="C897" s="90"/>
      <c r="D897" s="87"/>
      <c r="E897" s="91"/>
      <c r="F897" s="92"/>
      <c r="G897" s="93"/>
      <c r="H897" s="93"/>
      <c r="I897" s="93"/>
      <c r="J897" s="93"/>
      <c r="K897" s="93"/>
      <c r="L897" s="93"/>
      <c r="M897" s="93"/>
      <c r="N897" s="93"/>
      <c r="O897" s="93"/>
      <c r="P897" s="93"/>
      <c r="Q897" s="93"/>
      <c r="R897" s="87"/>
      <c r="S897" s="87"/>
      <c r="T897" s="87"/>
      <c r="U897" s="19"/>
      <c r="V897" s="87"/>
      <c r="W897" s="87"/>
      <c r="X897" s="87"/>
      <c r="Y897" s="87"/>
      <c r="Z897" s="87"/>
      <c r="AA897" s="87"/>
      <c r="AB897" s="87"/>
      <c r="AC897" s="87"/>
      <c r="AD897" s="87"/>
      <c r="AE897" s="87"/>
      <c r="AF897" s="87"/>
      <c r="AG897" s="87"/>
      <c r="AH897" s="87"/>
      <c r="AI897" s="87"/>
      <c r="AJ897" s="87"/>
      <c r="AK897" s="87"/>
      <c r="AL897" s="87"/>
      <c r="AM897" s="87"/>
      <c r="AN897" s="87"/>
      <c r="AO897" s="87"/>
      <c r="AP897" s="87"/>
      <c r="AQ897" s="87"/>
      <c r="AR897" s="87"/>
      <c r="AS897" s="87"/>
      <c r="AT897" s="87"/>
      <c r="AU897" s="87"/>
      <c r="AV897" s="87"/>
      <c r="AW897" s="87"/>
      <c r="AX897" s="87"/>
      <c r="AY897" s="87"/>
      <c r="AZ897" s="87"/>
      <c r="BA897" s="87"/>
      <c r="BB897" s="87"/>
      <c r="BC897" s="87"/>
      <c r="BD897" s="87"/>
      <c r="BE897" s="87"/>
      <c r="BF897" s="87"/>
      <c r="BG897" s="87"/>
      <c r="BH897" s="87"/>
      <c r="BI897" s="87"/>
      <c r="BJ897" s="87"/>
      <c r="BK897" s="87"/>
      <c r="BL897" s="87"/>
      <c r="BM897" s="87"/>
      <c r="BN897" s="87"/>
      <c r="BO897" s="87"/>
      <c r="BP897" s="87"/>
      <c r="BQ897" s="87"/>
      <c r="BR897" s="87"/>
      <c r="BS897" s="87"/>
      <c r="BT897" s="87"/>
      <c r="BU897" s="87"/>
      <c r="BV897" s="87"/>
      <c r="BW897" s="87"/>
      <c r="BX897" s="87"/>
      <c r="BY897" s="87"/>
    </row>
    <row r="898" spans="3:77" x14ac:dyDescent="0.3">
      <c r="C898" s="90"/>
      <c r="D898" s="87"/>
      <c r="E898" s="91"/>
      <c r="F898" s="92"/>
      <c r="G898" s="93"/>
      <c r="H898" s="93"/>
      <c r="I898" s="93"/>
      <c r="J898" s="93"/>
      <c r="K898" s="93"/>
      <c r="L898" s="93"/>
      <c r="M898" s="93"/>
      <c r="N898" s="93"/>
      <c r="O898" s="93"/>
      <c r="P898" s="93"/>
      <c r="Q898" s="93"/>
      <c r="R898" s="87"/>
      <c r="S898" s="87"/>
      <c r="T898" s="87"/>
      <c r="U898" s="19"/>
      <c r="V898" s="87"/>
      <c r="W898" s="87"/>
      <c r="X898" s="87"/>
      <c r="Y898" s="87"/>
      <c r="Z898" s="87"/>
      <c r="AA898" s="87"/>
      <c r="AB898" s="87"/>
      <c r="AC898" s="87"/>
      <c r="AD898" s="87"/>
      <c r="AE898" s="87"/>
      <c r="AF898" s="87"/>
      <c r="AG898" s="87"/>
      <c r="AH898" s="87"/>
      <c r="AI898" s="87"/>
      <c r="AJ898" s="87"/>
      <c r="AK898" s="87"/>
      <c r="AL898" s="87"/>
      <c r="AM898" s="87"/>
      <c r="AN898" s="87"/>
      <c r="AO898" s="87"/>
      <c r="AP898" s="87"/>
      <c r="AQ898" s="87"/>
      <c r="AR898" s="87"/>
      <c r="AS898" s="87"/>
      <c r="AT898" s="87"/>
      <c r="AU898" s="87"/>
      <c r="AV898" s="87"/>
      <c r="AW898" s="87"/>
      <c r="AX898" s="87"/>
      <c r="AY898" s="87"/>
      <c r="AZ898" s="87"/>
      <c r="BA898" s="87"/>
      <c r="BB898" s="87"/>
      <c r="BC898" s="87"/>
      <c r="BD898" s="87"/>
      <c r="BE898" s="87"/>
      <c r="BF898" s="87"/>
      <c r="BG898" s="87"/>
      <c r="BH898" s="87"/>
      <c r="BI898" s="87"/>
      <c r="BJ898" s="87"/>
      <c r="BK898" s="87"/>
      <c r="BL898" s="87"/>
      <c r="BM898" s="87"/>
      <c r="BN898" s="87"/>
      <c r="BO898" s="87"/>
      <c r="BP898" s="87"/>
      <c r="BQ898" s="87"/>
      <c r="BR898" s="87"/>
      <c r="BS898" s="87"/>
      <c r="BT898" s="87"/>
      <c r="BU898" s="87"/>
      <c r="BV898" s="87"/>
      <c r="BW898" s="87"/>
      <c r="BX898" s="87"/>
      <c r="BY898" s="87"/>
    </row>
    <row r="899" spans="3:77" x14ac:dyDescent="0.3">
      <c r="C899" s="90"/>
      <c r="D899" s="87"/>
      <c r="E899" s="91"/>
      <c r="F899" s="92"/>
      <c r="G899" s="93"/>
      <c r="H899" s="93"/>
      <c r="I899" s="93"/>
      <c r="J899" s="93"/>
      <c r="K899" s="93"/>
      <c r="L899" s="93"/>
      <c r="M899" s="93"/>
      <c r="N899" s="93"/>
      <c r="O899" s="93"/>
      <c r="P899" s="93"/>
      <c r="Q899" s="93"/>
      <c r="R899" s="87"/>
      <c r="S899" s="87"/>
      <c r="T899" s="87"/>
      <c r="U899" s="19"/>
      <c r="V899" s="87"/>
      <c r="W899" s="87"/>
      <c r="X899" s="87"/>
      <c r="Y899" s="87"/>
      <c r="Z899" s="87"/>
      <c r="AA899" s="87"/>
      <c r="AB899" s="87"/>
      <c r="AC899" s="87"/>
      <c r="AD899" s="87"/>
      <c r="AE899" s="87"/>
      <c r="AF899" s="87"/>
      <c r="AG899" s="87"/>
      <c r="AH899" s="87"/>
      <c r="AI899" s="87"/>
      <c r="AJ899" s="87"/>
      <c r="AK899" s="87"/>
      <c r="AL899" s="87"/>
      <c r="AM899" s="87"/>
      <c r="AN899" s="87"/>
      <c r="AO899" s="87"/>
      <c r="AP899" s="87"/>
      <c r="AQ899" s="87"/>
      <c r="AR899" s="87"/>
      <c r="AS899" s="87"/>
      <c r="AT899" s="87"/>
      <c r="AU899" s="87"/>
      <c r="AV899" s="87"/>
      <c r="AW899" s="87"/>
      <c r="AX899" s="87"/>
      <c r="AY899" s="87"/>
      <c r="AZ899" s="87"/>
      <c r="BA899" s="87"/>
      <c r="BB899" s="87"/>
      <c r="BC899" s="87"/>
      <c r="BD899" s="87"/>
      <c r="BE899" s="87"/>
      <c r="BF899" s="87"/>
      <c r="BG899" s="87"/>
      <c r="BH899" s="87"/>
      <c r="BI899" s="87"/>
      <c r="BJ899" s="87"/>
      <c r="BK899" s="87"/>
      <c r="BL899" s="87"/>
      <c r="BM899" s="87"/>
      <c r="BN899" s="87"/>
      <c r="BO899" s="87"/>
      <c r="BP899" s="87"/>
      <c r="BQ899" s="87"/>
      <c r="BR899" s="87"/>
      <c r="BS899" s="87"/>
      <c r="BT899" s="87"/>
      <c r="BU899" s="87"/>
      <c r="BV899" s="87"/>
      <c r="BW899" s="87"/>
      <c r="BX899" s="87"/>
      <c r="BY899" s="87"/>
    </row>
    <row r="900" spans="3:77" x14ac:dyDescent="0.3">
      <c r="C900" s="90"/>
      <c r="D900" s="87"/>
      <c r="E900" s="91"/>
      <c r="F900" s="92"/>
      <c r="G900" s="93"/>
      <c r="H900" s="93"/>
      <c r="I900" s="93"/>
      <c r="J900" s="93"/>
      <c r="K900" s="93"/>
      <c r="L900" s="93"/>
      <c r="M900" s="93"/>
      <c r="N900" s="93"/>
      <c r="O900" s="93"/>
      <c r="P900" s="93"/>
      <c r="Q900" s="93"/>
      <c r="R900" s="87"/>
      <c r="S900" s="87"/>
      <c r="T900" s="87"/>
      <c r="U900" s="19"/>
      <c r="V900" s="87"/>
      <c r="W900" s="87"/>
      <c r="X900" s="87"/>
      <c r="Y900" s="87"/>
      <c r="Z900" s="87"/>
      <c r="AA900" s="87"/>
      <c r="AB900" s="87"/>
      <c r="AC900" s="87"/>
      <c r="AD900" s="87"/>
      <c r="AE900" s="87"/>
      <c r="AF900" s="87"/>
      <c r="AG900" s="87"/>
      <c r="AH900" s="87"/>
      <c r="AI900" s="87"/>
      <c r="AJ900" s="87"/>
      <c r="AK900" s="87"/>
      <c r="AL900" s="87"/>
      <c r="AM900" s="87"/>
      <c r="AN900" s="87"/>
      <c r="AO900" s="87"/>
      <c r="AP900" s="87"/>
      <c r="AQ900" s="87"/>
      <c r="AR900" s="87"/>
      <c r="AS900" s="87"/>
      <c r="AT900" s="87"/>
      <c r="AU900" s="87"/>
      <c r="AV900" s="87"/>
      <c r="AW900" s="87"/>
      <c r="AX900" s="87"/>
      <c r="AY900" s="87"/>
      <c r="AZ900" s="87"/>
      <c r="BA900" s="87"/>
      <c r="BB900" s="87"/>
      <c r="BC900" s="87"/>
      <c r="BD900" s="87"/>
      <c r="BE900" s="87"/>
      <c r="BF900" s="87"/>
      <c r="BG900" s="87"/>
      <c r="BH900" s="87"/>
      <c r="BI900" s="87"/>
      <c r="BJ900" s="87"/>
      <c r="BK900" s="87"/>
      <c r="BL900" s="87"/>
      <c r="BM900" s="87"/>
      <c r="BN900" s="87"/>
      <c r="BO900" s="87"/>
      <c r="BP900" s="87"/>
      <c r="BQ900" s="87"/>
      <c r="BR900" s="87"/>
      <c r="BS900" s="87"/>
      <c r="BT900" s="87"/>
      <c r="BU900" s="87"/>
      <c r="BV900" s="87"/>
      <c r="BW900" s="87"/>
      <c r="BX900" s="87"/>
      <c r="BY900" s="87"/>
    </row>
    <row r="901" spans="3:77" x14ac:dyDescent="0.3">
      <c r="C901" s="90"/>
      <c r="D901" s="87"/>
      <c r="E901" s="91"/>
      <c r="F901" s="92"/>
      <c r="G901" s="93"/>
      <c r="H901" s="93"/>
      <c r="I901" s="93"/>
      <c r="J901" s="93"/>
      <c r="K901" s="93"/>
      <c r="L901" s="93"/>
      <c r="M901" s="93"/>
      <c r="N901" s="93"/>
      <c r="O901" s="93"/>
      <c r="P901" s="93"/>
      <c r="Q901" s="93"/>
      <c r="R901" s="87"/>
      <c r="S901" s="87"/>
      <c r="T901" s="87"/>
      <c r="U901" s="19"/>
      <c r="V901" s="87"/>
      <c r="W901" s="87"/>
      <c r="X901" s="87"/>
      <c r="Y901" s="87"/>
      <c r="Z901" s="87"/>
      <c r="AA901" s="87"/>
      <c r="AB901" s="87"/>
      <c r="AC901" s="87"/>
      <c r="AD901" s="87"/>
      <c r="AE901" s="87"/>
      <c r="AF901" s="87"/>
      <c r="AG901" s="87"/>
      <c r="AH901" s="87"/>
      <c r="AI901" s="87"/>
      <c r="AJ901" s="87"/>
      <c r="AK901" s="87"/>
      <c r="AL901" s="87"/>
      <c r="AM901" s="87"/>
      <c r="AN901" s="87"/>
      <c r="AO901" s="87"/>
      <c r="AP901" s="87"/>
      <c r="AQ901" s="87"/>
      <c r="AR901" s="87"/>
      <c r="AS901" s="87"/>
      <c r="AT901" s="87"/>
      <c r="AU901" s="87"/>
      <c r="AV901" s="87"/>
      <c r="AW901" s="87"/>
      <c r="AX901" s="87"/>
      <c r="AY901" s="87"/>
      <c r="AZ901" s="87"/>
      <c r="BA901" s="87"/>
      <c r="BB901" s="87"/>
      <c r="BC901" s="87"/>
      <c r="BD901" s="87"/>
      <c r="BE901" s="87"/>
      <c r="BF901" s="87"/>
      <c r="BG901" s="87"/>
      <c r="BH901" s="87"/>
      <c r="BI901" s="87"/>
      <c r="BJ901" s="87"/>
      <c r="BK901" s="87"/>
      <c r="BL901" s="87"/>
      <c r="BM901" s="87"/>
      <c r="BN901" s="87"/>
      <c r="BO901" s="87"/>
      <c r="BP901" s="87"/>
      <c r="BQ901" s="87"/>
      <c r="BR901" s="87"/>
      <c r="BS901" s="87"/>
      <c r="BT901" s="87"/>
      <c r="BU901" s="87"/>
      <c r="BV901" s="87"/>
      <c r="BW901" s="87"/>
      <c r="BX901" s="87"/>
      <c r="BY901" s="87"/>
    </row>
    <row r="902" spans="3:77" x14ac:dyDescent="0.3">
      <c r="C902" s="90"/>
      <c r="D902" s="87"/>
      <c r="E902" s="91"/>
      <c r="F902" s="92"/>
      <c r="G902" s="93"/>
      <c r="H902" s="93"/>
      <c r="I902" s="93"/>
      <c r="J902" s="93"/>
      <c r="K902" s="93"/>
      <c r="L902" s="93"/>
      <c r="M902" s="93"/>
      <c r="N902" s="93"/>
      <c r="O902" s="93"/>
      <c r="P902" s="93"/>
      <c r="Q902" s="93"/>
      <c r="R902" s="87"/>
      <c r="S902" s="87"/>
      <c r="T902" s="87"/>
      <c r="U902" s="19"/>
      <c r="V902" s="87"/>
      <c r="W902" s="87"/>
      <c r="X902" s="87"/>
      <c r="Y902" s="87"/>
      <c r="Z902" s="87"/>
      <c r="AA902" s="87"/>
      <c r="AB902" s="87"/>
      <c r="AC902" s="87"/>
      <c r="AD902" s="87"/>
      <c r="AE902" s="87"/>
      <c r="AF902" s="87"/>
      <c r="AG902" s="87"/>
      <c r="AH902" s="87"/>
      <c r="AI902" s="87"/>
      <c r="AJ902" s="87"/>
      <c r="AK902" s="87"/>
      <c r="AL902" s="87"/>
      <c r="AM902" s="87"/>
      <c r="AN902" s="87"/>
      <c r="AO902" s="87"/>
      <c r="AP902" s="87"/>
      <c r="AQ902" s="87"/>
      <c r="AR902" s="87"/>
      <c r="AS902" s="87"/>
      <c r="AT902" s="87"/>
      <c r="AU902" s="87"/>
      <c r="AV902" s="87"/>
      <c r="AW902" s="87"/>
      <c r="AX902" s="87"/>
      <c r="AY902" s="87"/>
      <c r="AZ902" s="87"/>
      <c r="BA902" s="87"/>
      <c r="BB902" s="87"/>
      <c r="BC902" s="87"/>
      <c r="BD902" s="87"/>
      <c r="BE902" s="87"/>
      <c r="BF902" s="87"/>
      <c r="BG902" s="87"/>
      <c r="BH902" s="87"/>
      <c r="BI902" s="87"/>
      <c r="BJ902" s="87"/>
      <c r="BK902" s="87"/>
      <c r="BL902" s="87"/>
      <c r="BM902" s="87"/>
      <c r="BN902" s="87"/>
      <c r="BO902" s="87"/>
      <c r="BP902" s="87"/>
      <c r="BQ902" s="87"/>
      <c r="BR902" s="87"/>
      <c r="BS902" s="87"/>
      <c r="BT902" s="87"/>
      <c r="BU902" s="87"/>
      <c r="BV902" s="87"/>
      <c r="BW902" s="87"/>
      <c r="BX902" s="87"/>
      <c r="BY902" s="87"/>
    </row>
    <row r="903" spans="3:77" x14ac:dyDescent="0.3">
      <c r="C903" s="90"/>
      <c r="D903" s="87"/>
      <c r="E903" s="91"/>
      <c r="F903" s="92"/>
      <c r="G903" s="93"/>
      <c r="H903" s="93"/>
      <c r="I903" s="93"/>
      <c r="J903" s="93"/>
      <c r="K903" s="93"/>
      <c r="L903" s="93"/>
      <c r="M903" s="93"/>
      <c r="N903" s="93"/>
      <c r="O903" s="93"/>
      <c r="P903" s="93"/>
      <c r="Q903" s="93"/>
      <c r="R903" s="87"/>
      <c r="S903" s="87"/>
      <c r="T903" s="87"/>
      <c r="U903" s="19"/>
      <c r="V903" s="87"/>
      <c r="W903" s="87"/>
      <c r="X903" s="87"/>
      <c r="Y903" s="87"/>
      <c r="Z903" s="87"/>
      <c r="AA903" s="87"/>
      <c r="AB903" s="87"/>
      <c r="AC903" s="87"/>
      <c r="AD903" s="87"/>
      <c r="AE903" s="87"/>
      <c r="AF903" s="87"/>
      <c r="AG903" s="87"/>
      <c r="AH903" s="87"/>
      <c r="AI903" s="87"/>
      <c r="AJ903" s="87"/>
      <c r="AK903" s="87"/>
      <c r="AL903" s="87"/>
      <c r="AM903" s="87"/>
      <c r="AN903" s="87"/>
      <c r="AO903" s="87"/>
      <c r="AP903" s="87"/>
      <c r="AQ903" s="87"/>
      <c r="AR903" s="87"/>
      <c r="AS903" s="87"/>
      <c r="AT903" s="87"/>
      <c r="AU903" s="87"/>
      <c r="AV903" s="87"/>
      <c r="AW903" s="87"/>
      <c r="AX903" s="87"/>
      <c r="AY903" s="87"/>
      <c r="AZ903" s="87"/>
      <c r="BA903" s="87"/>
      <c r="BB903" s="87"/>
      <c r="BC903" s="87"/>
      <c r="BD903" s="87"/>
      <c r="BE903" s="87"/>
      <c r="BF903" s="87"/>
      <c r="BG903" s="87"/>
      <c r="BH903" s="87"/>
      <c r="BI903" s="87"/>
      <c r="BJ903" s="87"/>
      <c r="BK903" s="87"/>
      <c r="BL903" s="87"/>
      <c r="BM903" s="87"/>
      <c r="BN903" s="87"/>
      <c r="BO903" s="87"/>
      <c r="BP903" s="87"/>
      <c r="BQ903" s="87"/>
      <c r="BR903" s="87"/>
      <c r="BS903" s="87"/>
      <c r="BT903" s="87"/>
      <c r="BU903" s="87"/>
      <c r="BV903" s="87"/>
      <c r="BW903" s="87"/>
      <c r="BX903" s="87"/>
      <c r="BY903" s="87"/>
    </row>
    <row r="904" spans="3:77" x14ac:dyDescent="0.3">
      <c r="C904" s="90"/>
      <c r="D904" s="87"/>
      <c r="E904" s="91"/>
      <c r="F904" s="92"/>
      <c r="G904" s="93"/>
      <c r="H904" s="93"/>
      <c r="I904" s="93"/>
      <c r="J904" s="93"/>
      <c r="K904" s="93"/>
      <c r="L904" s="93"/>
      <c r="M904" s="93"/>
      <c r="N904" s="93"/>
      <c r="O904" s="93"/>
      <c r="P904" s="93"/>
      <c r="Q904" s="93"/>
      <c r="R904" s="87"/>
      <c r="S904" s="87"/>
      <c r="T904" s="87"/>
      <c r="U904" s="19"/>
      <c r="V904" s="87"/>
      <c r="W904" s="87"/>
      <c r="X904" s="87"/>
      <c r="Y904" s="87"/>
      <c r="Z904" s="87"/>
      <c r="AA904" s="87"/>
      <c r="AB904" s="87"/>
      <c r="AC904" s="87"/>
      <c r="AD904" s="87"/>
      <c r="AE904" s="87"/>
      <c r="AF904" s="87"/>
      <c r="AG904" s="87"/>
      <c r="AH904" s="87"/>
      <c r="AI904" s="87"/>
      <c r="AJ904" s="87"/>
      <c r="AK904" s="87"/>
      <c r="AL904" s="87"/>
      <c r="AM904" s="87"/>
      <c r="AN904" s="87"/>
      <c r="AO904" s="87"/>
      <c r="AP904" s="87"/>
      <c r="AQ904" s="87"/>
      <c r="AR904" s="87"/>
      <c r="AS904" s="87"/>
      <c r="AT904" s="87"/>
      <c r="AU904" s="87"/>
      <c r="AV904" s="87"/>
      <c r="AW904" s="87"/>
      <c r="AX904" s="87"/>
      <c r="AY904" s="87"/>
      <c r="AZ904" s="87"/>
      <c r="BA904" s="87"/>
      <c r="BB904" s="87"/>
      <c r="BC904" s="87"/>
      <c r="BD904" s="87"/>
      <c r="BE904" s="87"/>
      <c r="BF904" s="87"/>
      <c r="BG904" s="87"/>
      <c r="BH904" s="87"/>
      <c r="BI904" s="87"/>
      <c r="BJ904" s="87"/>
      <c r="BK904" s="87"/>
      <c r="BL904" s="87"/>
      <c r="BM904" s="87"/>
      <c r="BN904" s="87"/>
      <c r="BO904" s="87"/>
      <c r="BP904" s="87"/>
      <c r="BQ904" s="87"/>
      <c r="BR904" s="87"/>
      <c r="BS904" s="87"/>
      <c r="BT904" s="87"/>
      <c r="BU904" s="87"/>
      <c r="BV904" s="87"/>
      <c r="BW904" s="87"/>
      <c r="BX904" s="87"/>
      <c r="BY904" s="87"/>
    </row>
    <row r="905" spans="3:77" x14ac:dyDescent="0.3">
      <c r="C905" s="90"/>
      <c r="D905" s="87"/>
      <c r="E905" s="91"/>
      <c r="F905" s="92"/>
      <c r="G905" s="93"/>
      <c r="H905" s="93"/>
      <c r="I905" s="93"/>
      <c r="J905" s="93"/>
      <c r="K905" s="93"/>
      <c r="L905" s="93"/>
      <c r="M905" s="93"/>
      <c r="N905" s="93"/>
      <c r="O905" s="93"/>
      <c r="P905" s="93"/>
      <c r="Q905" s="93"/>
      <c r="R905" s="87"/>
      <c r="S905" s="87"/>
      <c r="T905" s="87"/>
      <c r="U905" s="19"/>
      <c r="V905" s="87"/>
      <c r="W905" s="87"/>
      <c r="X905" s="87"/>
      <c r="Y905" s="87"/>
      <c r="Z905" s="87"/>
      <c r="AA905" s="87"/>
      <c r="AB905" s="87"/>
      <c r="AC905" s="87"/>
      <c r="AD905" s="87"/>
      <c r="AE905" s="87"/>
      <c r="AF905" s="87"/>
      <c r="AG905" s="87"/>
      <c r="AH905" s="87"/>
      <c r="AI905" s="87"/>
      <c r="AJ905" s="87"/>
      <c r="AK905" s="87"/>
      <c r="AL905" s="87"/>
      <c r="AM905" s="87"/>
      <c r="AN905" s="87"/>
      <c r="AO905" s="87"/>
      <c r="AP905" s="87"/>
      <c r="AQ905" s="87"/>
      <c r="AR905" s="87"/>
      <c r="AS905" s="87"/>
      <c r="AT905" s="87"/>
      <c r="AU905" s="87"/>
      <c r="AV905" s="87"/>
      <c r="AW905" s="87"/>
      <c r="AX905" s="87"/>
      <c r="AY905" s="87"/>
      <c r="AZ905" s="87"/>
      <c r="BA905" s="87"/>
      <c r="BB905" s="87"/>
      <c r="BC905" s="87"/>
      <c r="BD905" s="87"/>
      <c r="BE905" s="87"/>
      <c r="BF905" s="87"/>
      <c r="BG905" s="87"/>
      <c r="BH905" s="87"/>
      <c r="BI905" s="87"/>
      <c r="BJ905" s="87"/>
      <c r="BK905" s="87"/>
      <c r="BL905" s="87"/>
      <c r="BM905" s="87"/>
      <c r="BN905" s="87"/>
      <c r="BO905" s="87"/>
      <c r="BP905" s="87"/>
      <c r="BQ905" s="87"/>
      <c r="BR905" s="87"/>
      <c r="BS905" s="87"/>
      <c r="BT905" s="87"/>
      <c r="BU905" s="87"/>
      <c r="BV905" s="87"/>
      <c r="BW905" s="87"/>
      <c r="BX905" s="87"/>
      <c r="BY905" s="87"/>
    </row>
    <row r="906" spans="3:77" x14ac:dyDescent="0.3">
      <c r="C906" s="90"/>
      <c r="D906" s="87"/>
      <c r="E906" s="91"/>
      <c r="F906" s="92"/>
      <c r="G906" s="93"/>
      <c r="H906" s="93"/>
      <c r="I906" s="93"/>
      <c r="J906" s="93"/>
      <c r="K906" s="93"/>
      <c r="L906" s="93"/>
      <c r="M906" s="93"/>
      <c r="N906" s="93"/>
      <c r="O906" s="93"/>
      <c r="P906" s="93"/>
      <c r="Q906" s="93"/>
      <c r="R906" s="87"/>
      <c r="S906" s="87"/>
      <c r="T906" s="87"/>
      <c r="U906" s="19"/>
      <c r="V906" s="87"/>
      <c r="W906" s="87"/>
      <c r="X906" s="87"/>
      <c r="Y906" s="87"/>
      <c r="Z906" s="87"/>
      <c r="AA906" s="87"/>
      <c r="AB906" s="87"/>
      <c r="AC906" s="87"/>
      <c r="AD906" s="87"/>
      <c r="AE906" s="87"/>
      <c r="AF906" s="87"/>
      <c r="AG906" s="87"/>
      <c r="AH906" s="87"/>
      <c r="AI906" s="87"/>
      <c r="AJ906" s="87"/>
      <c r="AK906" s="87"/>
      <c r="AL906" s="87"/>
      <c r="AM906" s="87"/>
      <c r="AN906" s="87"/>
      <c r="AO906" s="87"/>
      <c r="AP906" s="87"/>
      <c r="AQ906" s="87"/>
      <c r="AR906" s="87"/>
      <c r="AS906" s="87"/>
      <c r="AT906" s="87"/>
      <c r="AU906" s="87"/>
      <c r="AV906" s="87"/>
      <c r="AW906" s="87"/>
      <c r="AX906" s="87"/>
      <c r="AY906" s="87"/>
      <c r="AZ906" s="87"/>
      <c r="BA906" s="87"/>
      <c r="BB906" s="87"/>
      <c r="BC906" s="87"/>
      <c r="BD906" s="87"/>
      <c r="BE906" s="87"/>
      <c r="BF906" s="87"/>
      <c r="BG906" s="87"/>
      <c r="BH906" s="87"/>
      <c r="BI906" s="87"/>
      <c r="BJ906" s="87"/>
      <c r="BK906" s="87"/>
      <c r="BL906" s="87"/>
      <c r="BM906" s="87"/>
      <c r="BN906" s="87"/>
      <c r="BO906" s="87"/>
      <c r="BP906" s="87"/>
      <c r="BQ906" s="87"/>
      <c r="BR906" s="87"/>
      <c r="BS906" s="87"/>
      <c r="BT906" s="87"/>
      <c r="BU906" s="87"/>
      <c r="BV906" s="87"/>
      <c r="BW906" s="87"/>
      <c r="BX906" s="87"/>
      <c r="BY906" s="87"/>
    </row>
    <row r="907" spans="3:77" x14ac:dyDescent="0.3">
      <c r="C907" s="90"/>
      <c r="D907" s="87"/>
      <c r="E907" s="91"/>
      <c r="F907" s="92"/>
      <c r="G907" s="93"/>
      <c r="H907" s="93"/>
      <c r="I907" s="93"/>
      <c r="J907" s="93"/>
      <c r="K907" s="93"/>
      <c r="L907" s="93"/>
      <c r="M907" s="93"/>
      <c r="N907" s="93"/>
      <c r="O907" s="93"/>
      <c r="P907" s="93"/>
      <c r="Q907" s="93"/>
      <c r="R907" s="87"/>
      <c r="S907" s="87"/>
      <c r="T907" s="87"/>
      <c r="U907" s="19"/>
      <c r="V907" s="87"/>
      <c r="W907" s="87"/>
      <c r="X907" s="87"/>
      <c r="Y907" s="87"/>
      <c r="Z907" s="87"/>
      <c r="AA907" s="87"/>
      <c r="AB907" s="87"/>
      <c r="AC907" s="87"/>
      <c r="AD907" s="87"/>
      <c r="AE907" s="87"/>
      <c r="AF907" s="87"/>
      <c r="AG907" s="87"/>
      <c r="AH907" s="87"/>
      <c r="AI907" s="87"/>
      <c r="AJ907" s="87"/>
      <c r="AK907" s="87"/>
      <c r="AL907" s="87"/>
      <c r="AM907" s="87"/>
      <c r="AN907" s="87"/>
      <c r="AO907" s="87"/>
      <c r="AP907" s="87"/>
      <c r="AQ907" s="87"/>
      <c r="AR907" s="87"/>
      <c r="AS907" s="87"/>
      <c r="AT907" s="87"/>
      <c r="AU907" s="87"/>
      <c r="AV907" s="87"/>
      <c r="AW907" s="87"/>
      <c r="AX907" s="87"/>
      <c r="AY907" s="87"/>
      <c r="AZ907" s="87"/>
      <c r="BA907" s="87"/>
      <c r="BB907" s="87"/>
      <c r="BC907" s="87"/>
      <c r="BD907" s="87"/>
      <c r="BE907" s="87"/>
      <c r="BF907" s="87"/>
      <c r="BG907" s="87"/>
      <c r="BH907" s="87"/>
      <c r="BI907" s="87"/>
      <c r="BJ907" s="87"/>
      <c r="BK907" s="87"/>
      <c r="BL907" s="87"/>
      <c r="BM907" s="87"/>
      <c r="BN907" s="87"/>
      <c r="BO907" s="87"/>
      <c r="BP907" s="87"/>
      <c r="BQ907" s="87"/>
      <c r="BR907" s="87"/>
      <c r="BS907" s="87"/>
      <c r="BT907" s="87"/>
      <c r="BU907" s="87"/>
      <c r="BV907" s="87"/>
      <c r="BW907" s="87"/>
      <c r="BX907" s="87"/>
      <c r="BY907" s="87"/>
    </row>
    <row r="908" spans="3:77" x14ac:dyDescent="0.3">
      <c r="C908" s="90"/>
      <c r="D908" s="87"/>
      <c r="E908" s="91"/>
      <c r="F908" s="92"/>
      <c r="G908" s="93"/>
      <c r="H908" s="93"/>
      <c r="I908" s="93"/>
      <c r="J908" s="93"/>
      <c r="K908" s="93"/>
      <c r="L908" s="93"/>
      <c r="M908" s="93"/>
      <c r="N908" s="93"/>
      <c r="O908" s="93"/>
      <c r="P908" s="93"/>
      <c r="Q908" s="93"/>
      <c r="R908" s="87"/>
      <c r="S908" s="87"/>
      <c r="T908" s="87"/>
      <c r="U908" s="19"/>
      <c r="V908" s="87"/>
      <c r="W908" s="87"/>
      <c r="X908" s="87"/>
      <c r="Y908" s="87"/>
      <c r="Z908" s="87"/>
      <c r="AA908" s="87"/>
      <c r="AB908" s="87"/>
      <c r="AC908" s="87"/>
      <c r="AD908" s="87"/>
      <c r="AE908" s="87"/>
      <c r="AF908" s="87"/>
      <c r="AG908" s="87"/>
      <c r="AH908" s="87"/>
      <c r="AI908" s="87"/>
      <c r="AJ908" s="87"/>
      <c r="AK908" s="87"/>
      <c r="AL908" s="87"/>
      <c r="AM908" s="87"/>
      <c r="AN908" s="87"/>
      <c r="AO908" s="87"/>
      <c r="AP908" s="87"/>
      <c r="AQ908" s="87"/>
      <c r="AR908" s="87"/>
      <c r="AS908" s="87"/>
      <c r="AT908" s="87"/>
      <c r="AU908" s="87"/>
      <c r="AV908" s="87"/>
      <c r="AW908" s="87"/>
      <c r="AX908" s="87"/>
      <c r="AY908" s="87"/>
      <c r="AZ908" s="87"/>
      <c r="BA908" s="87"/>
      <c r="BB908" s="87"/>
      <c r="BC908" s="87"/>
      <c r="BD908" s="87"/>
      <c r="BE908" s="87"/>
      <c r="BF908" s="87"/>
      <c r="BG908" s="87"/>
      <c r="BH908" s="87"/>
      <c r="BI908" s="87"/>
      <c r="BJ908" s="87"/>
      <c r="BK908" s="87"/>
      <c r="BL908" s="87"/>
      <c r="BM908" s="87"/>
      <c r="BN908" s="87"/>
      <c r="BO908" s="87"/>
      <c r="BP908" s="87"/>
      <c r="BQ908" s="87"/>
      <c r="BR908" s="87"/>
      <c r="BS908" s="87"/>
      <c r="BT908" s="87"/>
      <c r="BU908" s="87"/>
      <c r="BV908" s="87"/>
      <c r="BW908" s="87"/>
      <c r="BX908" s="87"/>
      <c r="BY908" s="87"/>
    </row>
    <row r="909" spans="3:77" x14ac:dyDescent="0.3">
      <c r="C909" s="90"/>
      <c r="D909" s="87"/>
      <c r="E909" s="91"/>
      <c r="F909" s="92"/>
      <c r="G909" s="93"/>
      <c r="H909" s="93"/>
      <c r="I909" s="93"/>
      <c r="J909" s="93"/>
      <c r="K909" s="93"/>
      <c r="L909" s="93"/>
      <c r="M909" s="93"/>
      <c r="N909" s="93"/>
      <c r="O909" s="93"/>
      <c r="P909" s="93"/>
      <c r="Q909" s="93"/>
      <c r="R909" s="87"/>
      <c r="S909" s="87"/>
      <c r="T909" s="87"/>
      <c r="U909" s="19"/>
      <c r="V909" s="87"/>
      <c r="W909" s="87"/>
      <c r="X909" s="87"/>
      <c r="Y909" s="87"/>
      <c r="Z909" s="87"/>
      <c r="AA909" s="87"/>
      <c r="AB909" s="87"/>
      <c r="AC909" s="87"/>
      <c r="AD909" s="87"/>
      <c r="AE909" s="87"/>
      <c r="AF909" s="87"/>
      <c r="AG909" s="87"/>
      <c r="AH909" s="87"/>
      <c r="AI909" s="87"/>
      <c r="AJ909" s="87"/>
      <c r="AK909" s="87"/>
      <c r="AL909" s="87"/>
      <c r="AM909" s="87"/>
      <c r="AN909" s="87"/>
      <c r="AO909" s="87"/>
      <c r="AP909" s="87"/>
      <c r="AQ909" s="87"/>
      <c r="AR909" s="87"/>
      <c r="AS909" s="87"/>
      <c r="AT909" s="87"/>
      <c r="AU909" s="87"/>
      <c r="AV909" s="87"/>
      <c r="AW909" s="87"/>
      <c r="AX909" s="87"/>
      <c r="AY909" s="87"/>
      <c r="AZ909" s="87"/>
      <c r="BA909" s="87"/>
      <c r="BB909" s="87"/>
      <c r="BC909" s="87"/>
      <c r="BD909" s="87"/>
      <c r="BE909" s="87"/>
      <c r="BF909" s="87"/>
      <c r="BG909" s="87"/>
      <c r="BH909" s="87"/>
      <c r="BI909" s="87"/>
      <c r="BJ909" s="87"/>
      <c r="BK909" s="87"/>
      <c r="BL909" s="87"/>
      <c r="BM909" s="87"/>
      <c r="BN909" s="87"/>
      <c r="BO909" s="87"/>
      <c r="BP909" s="87"/>
      <c r="BQ909" s="87"/>
      <c r="BR909" s="87"/>
      <c r="BS909" s="87"/>
      <c r="BT909" s="87"/>
      <c r="BU909" s="87"/>
      <c r="BV909" s="87"/>
      <c r="BW909" s="87"/>
      <c r="BX909" s="87"/>
      <c r="BY909" s="87"/>
    </row>
    <row r="910" spans="3:77" x14ac:dyDescent="0.3">
      <c r="C910" s="90"/>
      <c r="D910" s="87"/>
      <c r="E910" s="91"/>
      <c r="F910" s="92"/>
      <c r="G910" s="93"/>
      <c r="H910" s="93"/>
      <c r="I910" s="93"/>
      <c r="J910" s="93"/>
      <c r="K910" s="93"/>
      <c r="L910" s="93"/>
      <c r="M910" s="93"/>
      <c r="N910" s="93"/>
      <c r="O910" s="93"/>
      <c r="P910" s="93"/>
      <c r="Q910" s="93"/>
      <c r="R910" s="87"/>
      <c r="S910" s="87"/>
      <c r="T910" s="87"/>
      <c r="U910" s="19"/>
      <c r="V910" s="87"/>
      <c r="W910" s="87"/>
      <c r="X910" s="87"/>
      <c r="Y910" s="87"/>
      <c r="Z910" s="87"/>
      <c r="AA910" s="87"/>
      <c r="AB910" s="87"/>
      <c r="AC910" s="87"/>
      <c r="AD910" s="87"/>
      <c r="AE910" s="87"/>
      <c r="AF910" s="87"/>
      <c r="AG910" s="87"/>
      <c r="AH910" s="87"/>
      <c r="AI910" s="87"/>
      <c r="AJ910" s="87"/>
      <c r="AK910" s="87"/>
      <c r="AL910" s="87"/>
      <c r="AM910" s="87"/>
      <c r="AN910" s="87"/>
      <c r="AO910" s="87"/>
      <c r="AP910" s="87"/>
      <c r="AQ910" s="87"/>
      <c r="AR910" s="87"/>
      <c r="AS910" s="87"/>
      <c r="AT910" s="87"/>
      <c r="AU910" s="87"/>
      <c r="AV910" s="87"/>
      <c r="AW910" s="87"/>
      <c r="AX910" s="87"/>
      <c r="AY910" s="87"/>
      <c r="AZ910" s="87"/>
      <c r="BA910" s="87"/>
      <c r="BB910" s="87"/>
      <c r="BC910" s="87"/>
      <c r="BD910" s="87"/>
      <c r="BE910" s="87"/>
      <c r="BF910" s="87"/>
      <c r="BG910" s="87"/>
      <c r="BH910" s="87"/>
      <c r="BI910" s="87"/>
      <c r="BJ910" s="87"/>
      <c r="BK910" s="87"/>
      <c r="BL910" s="87"/>
      <c r="BM910" s="87"/>
      <c r="BN910" s="87"/>
      <c r="BO910" s="87"/>
      <c r="BP910" s="87"/>
      <c r="BQ910" s="87"/>
      <c r="BR910" s="87"/>
      <c r="BS910" s="87"/>
      <c r="BT910" s="87"/>
      <c r="BU910" s="87"/>
      <c r="BV910" s="87"/>
      <c r="BW910" s="87"/>
      <c r="BX910" s="87"/>
      <c r="BY910" s="87"/>
    </row>
    <row r="911" spans="3:77" x14ac:dyDescent="0.3">
      <c r="C911" s="90"/>
      <c r="D911" s="87"/>
      <c r="E911" s="91"/>
      <c r="F911" s="92"/>
      <c r="G911" s="93"/>
      <c r="H911" s="93"/>
      <c r="I911" s="93"/>
      <c r="J911" s="93"/>
      <c r="K911" s="93"/>
      <c r="L911" s="93"/>
      <c r="M911" s="93"/>
      <c r="N911" s="93"/>
      <c r="O911" s="93"/>
      <c r="P911" s="93"/>
      <c r="Q911" s="93"/>
      <c r="R911" s="87"/>
      <c r="S911" s="87"/>
      <c r="T911" s="87"/>
      <c r="U911" s="19"/>
      <c r="V911" s="87"/>
      <c r="W911" s="87"/>
      <c r="X911" s="87"/>
      <c r="Y911" s="87"/>
      <c r="Z911" s="87"/>
      <c r="AA911" s="87"/>
      <c r="AB911" s="87"/>
      <c r="AC911" s="87"/>
      <c r="AD911" s="87"/>
      <c r="AE911" s="87"/>
      <c r="AF911" s="87"/>
      <c r="AG911" s="87"/>
      <c r="AH911" s="87"/>
      <c r="AI911" s="87"/>
      <c r="AJ911" s="87"/>
      <c r="AK911" s="87"/>
      <c r="AL911" s="87"/>
      <c r="AM911" s="87"/>
      <c r="AN911" s="87"/>
      <c r="AO911" s="87"/>
      <c r="AP911" s="87"/>
      <c r="AQ911" s="87"/>
      <c r="AR911" s="87"/>
      <c r="AS911" s="87"/>
      <c r="AT911" s="87"/>
      <c r="AU911" s="87"/>
      <c r="AV911" s="87"/>
      <c r="AW911" s="87"/>
      <c r="AX911" s="87"/>
      <c r="AY911" s="87"/>
      <c r="AZ911" s="87"/>
      <c r="BA911" s="87"/>
      <c r="BB911" s="87"/>
      <c r="BC911" s="87"/>
      <c r="BD911" s="87"/>
      <c r="BE911" s="87"/>
      <c r="BF911" s="87"/>
      <c r="BG911" s="87"/>
      <c r="BH911" s="87"/>
      <c r="BI911" s="87"/>
      <c r="BJ911" s="87"/>
      <c r="BK911" s="87"/>
      <c r="BL911" s="87"/>
      <c r="BM911" s="87"/>
      <c r="BN911" s="87"/>
      <c r="BO911" s="87"/>
      <c r="BP911" s="87"/>
      <c r="BQ911" s="87"/>
      <c r="BR911" s="87"/>
      <c r="BS911" s="87"/>
      <c r="BT911" s="87"/>
      <c r="BU911" s="87"/>
      <c r="BV911" s="87"/>
      <c r="BW911" s="87"/>
      <c r="BX911" s="87"/>
      <c r="BY911" s="87"/>
    </row>
    <row r="912" spans="3:77" x14ac:dyDescent="0.3">
      <c r="C912" s="90"/>
      <c r="D912" s="87"/>
      <c r="E912" s="91"/>
      <c r="F912" s="92"/>
      <c r="G912" s="93"/>
      <c r="H912" s="93"/>
      <c r="I912" s="93"/>
      <c r="J912" s="93"/>
      <c r="K912" s="93"/>
      <c r="L912" s="93"/>
      <c r="M912" s="93"/>
      <c r="N912" s="93"/>
      <c r="O912" s="93"/>
      <c r="P912" s="93"/>
      <c r="Q912" s="93"/>
      <c r="R912" s="87"/>
      <c r="S912" s="87"/>
      <c r="T912" s="87"/>
      <c r="U912" s="19"/>
      <c r="V912" s="87"/>
      <c r="W912" s="87"/>
      <c r="X912" s="87"/>
      <c r="Y912" s="87"/>
      <c r="Z912" s="87"/>
      <c r="AA912" s="87"/>
      <c r="AB912" s="87"/>
      <c r="AC912" s="87"/>
      <c r="AD912" s="87"/>
      <c r="AE912" s="87"/>
      <c r="AF912" s="87"/>
      <c r="AG912" s="87"/>
      <c r="AH912" s="87"/>
      <c r="AI912" s="87"/>
      <c r="AJ912" s="87"/>
      <c r="AK912" s="87"/>
      <c r="AL912" s="87"/>
      <c r="AM912" s="87"/>
      <c r="AN912" s="87"/>
      <c r="AO912" s="87"/>
      <c r="AP912" s="87"/>
      <c r="AQ912" s="87"/>
      <c r="AR912" s="87"/>
      <c r="AS912" s="87"/>
      <c r="AT912" s="87"/>
      <c r="AU912" s="87"/>
      <c r="AV912" s="87"/>
      <c r="AW912" s="87"/>
      <c r="AX912" s="87"/>
      <c r="AY912" s="87"/>
      <c r="AZ912" s="87"/>
      <c r="BA912" s="87"/>
      <c r="BB912" s="87"/>
      <c r="BC912" s="87"/>
      <c r="BD912" s="87"/>
      <c r="BE912" s="87"/>
      <c r="BF912" s="87"/>
      <c r="BG912" s="87"/>
      <c r="BH912" s="87"/>
      <c r="BI912" s="87"/>
      <c r="BJ912" s="87"/>
      <c r="BK912" s="87"/>
      <c r="BL912" s="87"/>
      <c r="BM912" s="87"/>
      <c r="BN912" s="87"/>
      <c r="BO912" s="87"/>
      <c r="BP912" s="87"/>
      <c r="BQ912" s="87"/>
      <c r="BR912" s="87"/>
      <c r="BS912" s="87"/>
      <c r="BT912" s="87"/>
      <c r="BU912" s="87"/>
      <c r="BV912" s="87"/>
      <c r="BW912" s="87"/>
      <c r="BX912" s="87"/>
      <c r="BY912" s="87"/>
    </row>
    <row r="913" spans="3:77" x14ac:dyDescent="0.3">
      <c r="C913" s="90"/>
      <c r="D913" s="87"/>
      <c r="E913" s="91"/>
      <c r="F913" s="92"/>
      <c r="G913" s="93"/>
      <c r="H913" s="93"/>
      <c r="I913" s="93"/>
      <c r="J913" s="93"/>
      <c r="K913" s="93"/>
      <c r="L913" s="93"/>
      <c r="M913" s="93"/>
      <c r="N913" s="93"/>
      <c r="O913" s="93"/>
      <c r="P913" s="93"/>
      <c r="Q913" s="93"/>
      <c r="R913" s="87"/>
      <c r="S913" s="87"/>
      <c r="T913" s="87"/>
      <c r="U913" s="19"/>
      <c r="V913" s="87"/>
      <c r="W913" s="87"/>
      <c r="X913" s="87"/>
      <c r="Y913" s="87"/>
      <c r="Z913" s="87"/>
      <c r="AA913" s="87"/>
      <c r="AB913" s="87"/>
      <c r="AC913" s="87"/>
      <c r="AD913" s="87"/>
      <c r="AE913" s="87"/>
      <c r="AF913" s="87"/>
      <c r="AG913" s="87"/>
      <c r="AH913" s="87"/>
      <c r="AI913" s="87"/>
      <c r="AJ913" s="87"/>
      <c r="AK913" s="87"/>
      <c r="AL913" s="87"/>
      <c r="AM913" s="87"/>
      <c r="AN913" s="87"/>
      <c r="AO913" s="87"/>
      <c r="AP913" s="87"/>
      <c r="AQ913" s="87"/>
      <c r="AR913" s="87"/>
      <c r="AS913" s="87"/>
      <c r="AT913" s="87"/>
      <c r="AU913" s="87"/>
      <c r="AV913" s="87"/>
      <c r="AW913" s="87"/>
      <c r="AX913" s="87"/>
      <c r="AY913" s="87"/>
      <c r="AZ913" s="87"/>
      <c r="BA913" s="87"/>
      <c r="BB913" s="87"/>
      <c r="BC913" s="87"/>
      <c r="BD913" s="87"/>
      <c r="BE913" s="87"/>
      <c r="BF913" s="87"/>
      <c r="BG913" s="87"/>
      <c r="BH913" s="87"/>
      <c r="BI913" s="87"/>
      <c r="BJ913" s="87"/>
      <c r="BK913" s="87"/>
      <c r="BL913" s="87"/>
      <c r="BM913" s="87"/>
      <c r="BN913" s="87"/>
      <c r="BO913" s="87"/>
      <c r="BP913" s="87"/>
      <c r="BQ913" s="87"/>
      <c r="BR913" s="87"/>
      <c r="BS913" s="87"/>
      <c r="BT913" s="87"/>
      <c r="BU913" s="87"/>
      <c r="BV913" s="87"/>
      <c r="BW913" s="87"/>
      <c r="BX913" s="87"/>
      <c r="BY913" s="87"/>
    </row>
    <row r="914" spans="3:77" x14ac:dyDescent="0.3">
      <c r="C914" s="90"/>
      <c r="D914" s="87"/>
      <c r="E914" s="91"/>
      <c r="F914" s="92"/>
      <c r="G914" s="93"/>
      <c r="H914" s="93"/>
      <c r="I914" s="93"/>
      <c r="J914" s="93"/>
      <c r="K914" s="93"/>
      <c r="L914" s="93"/>
      <c r="M914" s="93"/>
      <c r="N914" s="93"/>
      <c r="O914" s="93"/>
      <c r="P914" s="93"/>
      <c r="Q914" s="93"/>
      <c r="R914" s="87"/>
      <c r="S914" s="87"/>
      <c r="T914" s="87"/>
      <c r="U914" s="19"/>
      <c r="V914" s="87"/>
      <c r="W914" s="87"/>
      <c r="X914" s="87"/>
      <c r="Y914" s="87"/>
      <c r="Z914" s="87"/>
      <c r="AA914" s="87"/>
      <c r="AB914" s="87"/>
      <c r="AC914" s="87"/>
      <c r="AD914" s="87"/>
      <c r="AE914" s="87"/>
      <c r="AF914" s="87"/>
      <c r="AG914" s="87"/>
      <c r="AH914" s="87"/>
      <c r="AI914" s="87"/>
      <c r="AJ914" s="87"/>
      <c r="AK914" s="87"/>
      <c r="AL914" s="87"/>
      <c r="AM914" s="87"/>
      <c r="AN914" s="87"/>
      <c r="AO914" s="87"/>
      <c r="AP914" s="87"/>
      <c r="AQ914" s="87"/>
      <c r="AR914" s="87"/>
      <c r="AS914" s="87"/>
      <c r="AT914" s="87"/>
      <c r="AU914" s="87"/>
      <c r="AV914" s="87"/>
      <c r="AW914" s="87"/>
      <c r="AX914" s="87"/>
      <c r="AY914" s="87"/>
      <c r="AZ914" s="87"/>
      <c r="BA914" s="87"/>
      <c r="BB914" s="87"/>
      <c r="BC914" s="87"/>
      <c r="BD914" s="87"/>
      <c r="BE914" s="87"/>
      <c r="BF914" s="87"/>
      <c r="BG914" s="87"/>
      <c r="BH914" s="87"/>
      <c r="BI914" s="87"/>
      <c r="BJ914" s="87"/>
      <c r="BK914" s="87"/>
      <c r="BL914" s="87"/>
      <c r="BM914" s="87"/>
      <c r="BN914" s="87"/>
      <c r="BO914" s="87"/>
      <c r="BP914" s="87"/>
      <c r="BQ914" s="87"/>
      <c r="BR914" s="87"/>
      <c r="BS914" s="87"/>
      <c r="BT914" s="87"/>
      <c r="BU914" s="87"/>
      <c r="BV914" s="87"/>
      <c r="BW914" s="87"/>
      <c r="BX914" s="87"/>
      <c r="BY914" s="87"/>
    </row>
    <row r="915" spans="3:77" x14ac:dyDescent="0.3">
      <c r="C915" s="90"/>
      <c r="D915" s="87"/>
      <c r="E915" s="91"/>
      <c r="F915" s="92"/>
      <c r="G915" s="93"/>
      <c r="H915" s="93"/>
      <c r="I915" s="93"/>
      <c r="J915" s="93"/>
      <c r="K915" s="93"/>
      <c r="L915" s="93"/>
      <c r="M915" s="93"/>
      <c r="N915" s="93"/>
      <c r="O915" s="93"/>
      <c r="P915" s="93"/>
      <c r="Q915" s="93"/>
      <c r="R915" s="87"/>
      <c r="S915" s="87"/>
      <c r="T915" s="87"/>
      <c r="U915" s="19"/>
      <c r="V915" s="87"/>
      <c r="W915" s="87"/>
      <c r="X915" s="87"/>
      <c r="Y915" s="87"/>
      <c r="Z915" s="87"/>
      <c r="AA915" s="87"/>
      <c r="AB915" s="87"/>
      <c r="AC915" s="87"/>
      <c r="AD915" s="87"/>
      <c r="AE915" s="87"/>
      <c r="AF915" s="87"/>
      <c r="AG915" s="87"/>
      <c r="AH915" s="87"/>
      <c r="AI915" s="87"/>
      <c r="AJ915" s="87"/>
      <c r="AK915" s="87"/>
      <c r="AL915" s="87"/>
      <c r="AM915" s="87"/>
      <c r="AN915" s="87"/>
      <c r="AO915" s="87"/>
      <c r="AP915" s="87"/>
      <c r="AQ915" s="87"/>
      <c r="AR915" s="87"/>
      <c r="AS915" s="87"/>
      <c r="AT915" s="87"/>
      <c r="AU915" s="87"/>
      <c r="AV915" s="87"/>
      <c r="AW915" s="87"/>
      <c r="AX915" s="87"/>
      <c r="AY915" s="87"/>
      <c r="AZ915" s="87"/>
      <c r="BA915" s="87"/>
      <c r="BB915" s="87"/>
      <c r="BC915" s="87"/>
      <c r="BD915" s="87"/>
      <c r="BE915" s="87"/>
      <c r="BF915" s="87"/>
      <c r="BG915" s="87"/>
      <c r="BH915" s="87"/>
      <c r="BI915" s="87"/>
      <c r="BJ915" s="87"/>
      <c r="BK915" s="87"/>
      <c r="BL915" s="87"/>
      <c r="BM915" s="87"/>
      <c r="BN915" s="87"/>
      <c r="BO915" s="87"/>
      <c r="BP915" s="87"/>
      <c r="BQ915" s="87"/>
      <c r="BR915" s="87"/>
      <c r="BS915" s="87"/>
      <c r="BT915" s="87"/>
      <c r="BU915" s="87"/>
      <c r="BV915" s="87"/>
      <c r="BW915" s="87"/>
      <c r="BX915" s="87"/>
      <c r="BY915" s="87"/>
    </row>
    <row r="916" spans="3:77" x14ac:dyDescent="0.3">
      <c r="C916" s="90"/>
      <c r="D916" s="87"/>
      <c r="E916" s="91"/>
      <c r="F916" s="92"/>
      <c r="G916" s="93"/>
      <c r="H916" s="93"/>
      <c r="I916" s="93"/>
      <c r="J916" s="93"/>
      <c r="K916" s="93"/>
      <c r="L916" s="93"/>
      <c r="M916" s="93"/>
      <c r="N916" s="93"/>
      <c r="O916" s="93"/>
      <c r="P916" s="93"/>
      <c r="Q916" s="93"/>
      <c r="R916" s="87"/>
      <c r="S916" s="87"/>
      <c r="T916" s="87"/>
      <c r="U916" s="19"/>
      <c r="V916" s="87"/>
      <c r="W916" s="87"/>
      <c r="X916" s="87"/>
      <c r="Y916" s="87"/>
      <c r="Z916" s="87"/>
      <c r="AA916" s="87"/>
      <c r="AB916" s="87"/>
      <c r="AC916" s="87"/>
      <c r="AD916" s="87"/>
      <c r="AE916" s="87"/>
      <c r="AF916" s="87"/>
      <c r="AG916" s="87"/>
      <c r="AH916" s="87"/>
      <c r="AI916" s="87"/>
      <c r="AJ916" s="87"/>
      <c r="AK916" s="87"/>
      <c r="AL916" s="87"/>
      <c r="AM916" s="87"/>
      <c r="AN916" s="87"/>
      <c r="AO916" s="87"/>
      <c r="AP916" s="87"/>
      <c r="AQ916" s="87"/>
      <c r="AR916" s="87"/>
      <c r="AS916" s="87"/>
      <c r="AT916" s="87"/>
      <c r="AU916" s="87"/>
      <c r="AV916" s="87"/>
      <c r="AW916" s="87"/>
      <c r="AX916" s="87"/>
      <c r="AY916" s="87"/>
      <c r="AZ916" s="87"/>
      <c r="BA916" s="87"/>
      <c r="BB916" s="87"/>
      <c r="BC916" s="87"/>
      <c r="BD916" s="87"/>
      <c r="BE916" s="87"/>
      <c r="BF916" s="87"/>
      <c r="BG916" s="87"/>
      <c r="BH916" s="87"/>
      <c r="BI916" s="87"/>
      <c r="BJ916" s="87"/>
      <c r="BK916" s="87"/>
      <c r="BL916" s="87"/>
      <c r="BM916" s="87"/>
      <c r="BN916" s="87"/>
      <c r="BO916" s="87"/>
      <c r="BP916" s="87"/>
      <c r="BQ916" s="87"/>
      <c r="BR916" s="87"/>
      <c r="BS916" s="87"/>
      <c r="BT916" s="87"/>
      <c r="BU916" s="87"/>
      <c r="BV916" s="87"/>
      <c r="BW916" s="87"/>
      <c r="BX916" s="87"/>
      <c r="BY916" s="87"/>
    </row>
    <row r="917" spans="3:77" x14ac:dyDescent="0.3">
      <c r="C917" s="90"/>
      <c r="D917" s="87"/>
      <c r="E917" s="91"/>
      <c r="F917" s="92"/>
      <c r="G917" s="93"/>
      <c r="H917" s="93"/>
      <c r="I917" s="93"/>
      <c r="J917" s="93"/>
      <c r="K917" s="93"/>
      <c r="L917" s="93"/>
      <c r="M917" s="93"/>
      <c r="N917" s="93"/>
      <c r="O917" s="93"/>
      <c r="P917" s="93"/>
      <c r="Q917" s="93"/>
      <c r="R917" s="87"/>
      <c r="S917" s="87"/>
      <c r="T917" s="87"/>
      <c r="U917" s="19"/>
      <c r="V917" s="87"/>
      <c r="W917" s="87"/>
      <c r="X917" s="87"/>
      <c r="Y917" s="87"/>
      <c r="Z917" s="87"/>
      <c r="AA917" s="87"/>
      <c r="AB917" s="87"/>
      <c r="AC917" s="87"/>
      <c r="AD917" s="87"/>
      <c r="AE917" s="87"/>
      <c r="AF917" s="87"/>
      <c r="AG917" s="87"/>
      <c r="AH917" s="87"/>
      <c r="AI917" s="87"/>
      <c r="AJ917" s="87"/>
      <c r="AK917" s="87"/>
      <c r="AL917" s="87"/>
      <c r="AM917" s="87"/>
      <c r="AN917" s="87"/>
      <c r="AO917" s="87"/>
      <c r="AP917" s="87"/>
      <c r="AQ917" s="87"/>
      <c r="AR917" s="87"/>
      <c r="AS917" s="87"/>
      <c r="AT917" s="87"/>
      <c r="AU917" s="87"/>
      <c r="AV917" s="87"/>
      <c r="AW917" s="87"/>
      <c r="AX917" s="87"/>
      <c r="AY917" s="87"/>
      <c r="AZ917" s="87"/>
      <c r="BA917" s="87"/>
      <c r="BB917" s="87"/>
      <c r="BC917" s="87"/>
      <c r="BD917" s="87"/>
      <c r="BE917" s="87"/>
      <c r="BF917" s="87"/>
      <c r="BG917" s="87"/>
      <c r="BH917" s="87"/>
      <c r="BI917" s="87"/>
      <c r="BJ917" s="87"/>
      <c r="BK917" s="87"/>
      <c r="BL917" s="87"/>
      <c r="BM917" s="87"/>
      <c r="BN917" s="87"/>
      <c r="BO917" s="87"/>
      <c r="BP917" s="87"/>
      <c r="BQ917" s="87"/>
      <c r="BR917" s="87"/>
      <c r="BS917" s="87"/>
      <c r="BT917" s="87"/>
      <c r="BU917" s="87"/>
      <c r="BV917" s="87"/>
      <c r="BW917" s="87"/>
      <c r="BX917" s="87"/>
      <c r="BY917" s="87"/>
    </row>
    <row r="918" spans="3:77" x14ac:dyDescent="0.3">
      <c r="C918" s="90"/>
      <c r="D918" s="87"/>
      <c r="E918" s="91"/>
      <c r="F918" s="92"/>
      <c r="G918" s="93"/>
      <c r="H918" s="93"/>
      <c r="I918" s="93"/>
      <c r="J918" s="93"/>
      <c r="K918" s="93"/>
      <c r="L918" s="93"/>
      <c r="M918" s="93"/>
      <c r="N918" s="93"/>
      <c r="O918" s="93"/>
      <c r="P918" s="93"/>
      <c r="Q918" s="93"/>
      <c r="R918" s="87"/>
      <c r="S918" s="87"/>
      <c r="T918" s="87"/>
      <c r="U918" s="19"/>
      <c r="V918" s="87"/>
      <c r="W918" s="87"/>
      <c r="X918" s="87"/>
      <c r="Y918" s="87"/>
      <c r="Z918" s="87"/>
      <c r="AA918" s="87"/>
      <c r="AB918" s="87"/>
      <c r="AC918" s="87"/>
      <c r="AD918" s="87"/>
      <c r="AE918" s="87"/>
      <c r="AF918" s="87"/>
      <c r="AG918" s="87"/>
      <c r="AH918" s="87"/>
      <c r="AI918" s="87"/>
      <c r="AJ918" s="87"/>
      <c r="AK918" s="87"/>
      <c r="AL918" s="87"/>
      <c r="AM918" s="87"/>
      <c r="AN918" s="87"/>
      <c r="AO918" s="87"/>
      <c r="AP918" s="87"/>
      <c r="AQ918" s="87"/>
      <c r="AR918" s="87"/>
      <c r="AS918" s="87"/>
      <c r="AT918" s="87"/>
      <c r="AU918" s="87"/>
      <c r="AV918" s="87"/>
      <c r="AW918" s="87"/>
      <c r="AX918" s="87"/>
      <c r="AY918" s="87"/>
      <c r="AZ918" s="87"/>
      <c r="BA918" s="87"/>
      <c r="BB918" s="87"/>
      <c r="BC918" s="87"/>
      <c r="BD918" s="87"/>
      <c r="BE918" s="87"/>
      <c r="BF918" s="87"/>
      <c r="BG918" s="87"/>
      <c r="BH918" s="87"/>
      <c r="BI918" s="87"/>
      <c r="BJ918" s="87"/>
      <c r="BK918" s="87"/>
      <c r="BL918" s="87"/>
      <c r="BM918" s="87"/>
      <c r="BN918" s="87"/>
      <c r="BO918" s="87"/>
      <c r="BP918" s="87"/>
      <c r="BQ918" s="87"/>
      <c r="BR918" s="87"/>
      <c r="BS918" s="87"/>
      <c r="BT918" s="87"/>
      <c r="BU918" s="87"/>
      <c r="BV918" s="87"/>
      <c r="BW918" s="87"/>
      <c r="BX918" s="87"/>
      <c r="BY918" s="87"/>
    </row>
    <row r="919" spans="3:77" x14ac:dyDescent="0.3">
      <c r="C919" s="90"/>
      <c r="D919" s="87"/>
      <c r="E919" s="91"/>
      <c r="F919" s="92"/>
      <c r="G919" s="93"/>
      <c r="H919" s="93"/>
      <c r="I919" s="93"/>
      <c r="J919" s="93"/>
      <c r="K919" s="93"/>
      <c r="L919" s="93"/>
      <c r="M919" s="93"/>
      <c r="N919" s="93"/>
      <c r="O919" s="93"/>
      <c r="P919" s="93"/>
      <c r="Q919" s="93"/>
      <c r="R919" s="87"/>
      <c r="S919" s="87"/>
      <c r="T919" s="87"/>
      <c r="U919" s="19"/>
      <c r="V919" s="87"/>
      <c r="W919" s="87"/>
      <c r="X919" s="87"/>
      <c r="Y919" s="87"/>
      <c r="Z919" s="87"/>
      <c r="AA919" s="87"/>
      <c r="AB919" s="87"/>
      <c r="AC919" s="87"/>
      <c r="AD919" s="87"/>
      <c r="AE919" s="87"/>
      <c r="AF919" s="87"/>
      <c r="AG919" s="87"/>
      <c r="AH919" s="87"/>
      <c r="AI919" s="87"/>
      <c r="AJ919" s="87"/>
      <c r="AK919" s="87"/>
      <c r="AL919" s="87"/>
      <c r="AM919" s="87"/>
      <c r="AN919" s="87"/>
      <c r="AO919" s="87"/>
      <c r="AP919" s="87"/>
      <c r="AQ919" s="87"/>
      <c r="AR919" s="87"/>
      <c r="AS919" s="87"/>
      <c r="AT919" s="87"/>
      <c r="AU919" s="87"/>
      <c r="AV919" s="87"/>
      <c r="AW919" s="87"/>
      <c r="AX919" s="87"/>
      <c r="AY919" s="87"/>
      <c r="AZ919" s="87"/>
      <c r="BA919" s="87"/>
      <c r="BB919" s="87"/>
      <c r="BC919" s="87"/>
      <c r="BD919" s="87"/>
      <c r="BE919" s="87"/>
      <c r="BF919" s="87"/>
      <c r="BG919" s="87"/>
      <c r="BH919" s="87"/>
      <c r="BI919" s="87"/>
      <c r="BJ919" s="87"/>
      <c r="BK919" s="87"/>
      <c r="BL919" s="87"/>
      <c r="BM919" s="87"/>
      <c r="BN919" s="87"/>
      <c r="BO919" s="87"/>
      <c r="BP919" s="87"/>
      <c r="BQ919" s="87"/>
      <c r="BR919" s="87"/>
      <c r="BS919" s="87"/>
      <c r="BT919" s="87"/>
      <c r="BU919" s="87"/>
      <c r="BV919" s="87"/>
      <c r="BW919" s="87"/>
      <c r="BX919" s="87"/>
      <c r="BY919" s="87"/>
    </row>
    <row r="920" spans="3:77" x14ac:dyDescent="0.3">
      <c r="C920" s="90"/>
      <c r="D920" s="87"/>
      <c r="E920" s="91"/>
      <c r="F920" s="92"/>
      <c r="G920" s="93"/>
      <c r="H920" s="93"/>
      <c r="I920" s="93"/>
      <c r="J920" s="93"/>
      <c r="K920" s="93"/>
      <c r="L920" s="93"/>
      <c r="M920" s="93"/>
      <c r="N920" s="93"/>
      <c r="O920" s="93"/>
      <c r="P920" s="93"/>
      <c r="Q920" s="93"/>
      <c r="R920" s="87"/>
      <c r="S920" s="87"/>
      <c r="T920" s="87"/>
      <c r="U920" s="19"/>
      <c r="V920" s="87"/>
      <c r="W920" s="87"/>
      <c r="X920" s="87"/>
      <c r="Y920" s="87"/>
      <c r="Z920" s="87"/>
      <c r="AA920" s="87"/>
      <c r="AB920" s="87"/>
      <c r="AC920" s="87"/>
      <c r="AD920" s="87"/>
      <c r="AE920" s="87"/>
      <c r="AF920" s="87"/>
      <c r="AG920" s="87"/>
      <c r="AH920" s="87"/>
      <c r="AI920" s="87"/>
      <c r="AJ920" s="87"/>
      <c r="AK920" s="87"/>
      <c r="AL920" s="87"/>
      <c r="AM920" s="87"/>
      <c r="AN920" s="87"/>
      <c r="AO920" s="87"/>
      <c r="AP920" s="87"/>
      <c r="AQ920" s="87"/>
      <c r="AR920" s="87"/>
      <c r="AS920" s="87"/>
      <c r="AT920" s="87"/>
      <c r="AU920" s="87"/>
      <c r="AV920" s="87"/>
      <c r="AW920" s="87"/>
      <c r="AX920" s="87"/>
      <c r="AY920" s="87"/>
      <c r="AZ920" s="87"/>
      <c r="BA920" s="87"/>
      <c r="BB920" s="87"/>
      <c r="BC920" s="87"/>
      <c r="BD920" s="87"/>
      <c r="BE920" s="87"/>
      <c r="BF920" s="87"/>
      <c r="BG920" s="87"/>
      <c r="BH920" s="87"/>
      <c r="BI920" s="87"/>
      <c r="BJ920" s="87"/>
      <c r="BK920" s="87"/>
      <c r="BL920" s="87"/>
      <c r="BM920" s="87"/>
      <c r="BN920" s="87"/>
      <c r="BO920" s="87"/>
      <c r="BP920" s="87"/>
      <c r="BQ920" s="87"/>
      <c r="BR920" s="87"/>
      <c r="BS920" s="87"/>
      <c r="BT920" s="87"/>
      <c r="BU920" s="87"/>
      <c r="BV920" s="87"/>
      <c r="BW920" s="87"/>
      <c r="BX920" s="87"/>
      <c r="BY920" s="87"/>
    </row>
    <row r="921" spans="3:77" x14ac:dyDescent="0.3">
      <c r="C921" s="90"/>
      <c r="D921" s="87"/>
      <c r="E921" s="91"/>
      <c r="F921" s="92"/>
      <c r="G921" s="93"/>
      <c r="H921" s="93"/>
      <c r="I921" s="93"/>
      <c r="J921" s="93"/>
      <c r="K921" s="93"/>
      <c r="L921" s="93"/>
      <c r="M921" s="93"/>
      <c r="N921" s="93"/>
      <c r="O921" s="93"/>
      <c r="P921" s="93"/>
      <c r="Q921" s="93"/>
      <c r="R921" s="87"/>
      <c r="S921" s="87"/>
      <c r="T921" s="87"/>
      <c r="U921" s="19"/>
      <c r="V921" s="87"/>
      <c r="W921" s="87"/>
      <c r="X921" s="87"/>
      <c r="Y921" s="87"/>
      <c r="Z921" s="87"/>
      <c r="AA921" s="87"/>
      <c r="AB921" s="87"/>
      <c r="AC921" s="87"/>
      <c r="AD921" s="87"/>
      <c r="AE921" s="87"/>
      <c r="AF921" s="87"/>
      <c r="AG921" s="87"/>
      <c r="AH921" s="87"/>
      <c r="AI921" s="87"/>
      <c r="AJ921" s="87"/>
      <c r="AK921" s="87"/>
      <c r="AL921" s="87"/>
      <c r="AM921" s="87"/>
      <c r="AN921" s="87"/>
      <c r="AO921" s="87"/>
      <c r="AP921" s="87"/>
      <c r="AQ921" s="87"/>
      <c r="AR921" s="87"/>
      <c r="AS921" s="87"/>
      <c r="AT921" s="87"/>
      <c r="AU921" s="87"/>
      <c r="AV921" s="87"/>
      <c r="AW921" s="87"/>
      <c r="AX921" s="87"/>
      <c r="AY921" s="87"/>
      <c r="AZ921" s="87"/>
      <c r="BA921" s="87"/>
      <c r="BB921" s="87"/>
      <c r="BC921" s="87"/>
      <c r="BD921" s="87"/>
      <c r="BE921" s="87"/>
      <c r="BF921" s="87"/>
      <c r="BG921" s="87"/>
      <c r="BH921" s="87"/>
      <c r="BI921" s="87"/>
      <c r="BJ921" s="87"/>
      <c r="BK921" s="87"/>
      <c r="BL921" s="87"/>
      <c r="BM921" s="87"/>
      <c r="BN921" s="87"/>
      <c r="BO921" s="87"/>
      <c r="BP921" s="87"/>
      <c r="BQ921" s="87"/>
      <c r="BR921" s="87"/>
      <c r="BS921" s="87"/>
      <c r="BT921" s="87"/>
      <c r="BU921" s="87"/>
      <c r="BV921" s="87"/>
      <c r="BW921" s="87"/>
      <c r="BX921" s="87"/>
      <c r="BY921" s="87"/>
    </row>
    <row r="922" spans="3:77" x14ac:dyDescent="0.3">
      <c r="C922" s="90"/>
      <c r="D922" s="87"/>
      <c r="E922" s="91"/>
      <c r="F922" s="92"/>
      <c r="G922" s="93"/>
      <c r="H922" s="93"/>
      <c r="I922" s="93"/>
      <c r="J922" s="93"/>
      <c r="K922" s="93"/>
      <c r="L922" s="93"/>
      <c r="M922" s="93"/>
      <c r="N922" s="93"/>
      <c r="O922" s="93"/>
      <c r="P922" s="93"/>
      <c r="Q922" s="93"/>
      <c r="R922" s="87"/>
      <c r="S922" s="87"/>
      <c r="T922" s="87"/>
      <c r="U922" s="19"/>
      <c r="V922" s="87"/>
      <c r="W922" s="87"/>
      <c r="X922" s="87"/>
      <c r="Y922" s="87"/>
      <c r="Z922" s="87"/>
      <c r="AA922" s="87"/>
      <c r="AB922" s="87"/>
      <c r="AC922" s="87"/>
      <c r="AD922" s="87"/>
      <c r="AE922" s="87"/>
      <c r="AF922" s="87"/>
      <c r="AG922" s="87"/>
      <c r="AH922" s="87"/>
      <c r="AI922" s="87"/>
      <c r="AJ922" s="87"/>
      <c r="AK922" s="87"/>
      <c r="AL922" s="87"/>
      <c r="AM922" s="87"/>
      <c r="AN922" s="87"/>
      <c r="AO922" s="87"/>
      <c r="AP922" s="87"/>
      <c r="AQ922" s="87"/>
      <c r="AR922" s="87"/>
      <c r="AS922" s="87"/>
      <c r="AT922" s="87"/>
      <c r="AU922" s="87"/>
      <c r="AV922" s="87"/>
      <c r="AW922" s="87"/>
      <c r="AX922" s="87"/>
      <c r="AY922" s="87"/>
      <c r="AZ922" s="87"/>
      <c r="BA922" s="87"/>
      <c r="BB922" s="87"/>
      <c r="BC922" s="87"/>
      <c r="BD922" s="87"/>
      <c r="BE922" s="87"/>
      <c r="BF922" s="87"/>
      <c r="BG922" s="87"/>
      <c r="BH922" s="87"/>
      <c r="BI922" s="87"/>
      <c r="BJ922" s="87"/>
      <c r="BK922" s="87"/>
      <c r="BL922" s="87"/>
      <c r="BM922" s="87"/>
      <c r="BN922" s="87"/>
      <c r="BO922" s="87"/>
      <c r="BP922" s="87"/>
      <c r="BQ922" s="87"/>
      <c r="BR922" s="87"/>
      <c r="BS922" s="87"/>
      <c r="BT922" s="87"/>
      <c r="BU922" s="87"/>
      <c r="BV922" s="87"/>
      <c r="BW922" s="87"/>
      <c r="BX922" s="87"/>
      <c r="BY922" s="87"/>
    </row>
    <row r="923" spans="3:77" x14ac:dyDescent="0.3">
      <c r="C923" s="90"/>
      <c r="D923" s="87"/>
      <c r="E923" s="91"/>
      <c r="F923" s="92"/>
      <c r="G923" s="93"/>
      <c r="H923" s="93"/>
      <c r="I923" s="93"/>
      <c r="J923" s="93"/>
      <c r="K923" s="93"/>
      <c r="L923" s="93"/>
      <c r="M923" s="93"/>
      <c r="N923" s="93"/>
      <c r="O923" s="93"/>
      <c r="P923" s="93"/>
      <c r="Q923" s="93"/>
      <c r="R923" s="87"/>
      <c r="S923" s="87"/>
      <c r="T923" s="87"/>
      <c r="U923" s="19"/>
      <c r="V923" s="87"/>
      <c r="W923" s="87"/>
      <c r="X923" s="87"/>
      <c r="Y923" s="87"/>
      <c r="Z923" s="87"/>
      <c r="AA923" s="87"/>
      <c r="AB923" s="87"/>
      <c r="AC923" s="87"/>
      <c r="AD923" s="87"/>
      <c r="AE923" s="87"/>
      <c r="AF923" s="87"/>
      <c r="AG923" s="87"/>
      <c r="AH923" s="87"/>
      <c r="AI923" s="87"/>
      <c r="AJ923" s="87"/>
      <c r="AK923" s="87"/>
      <c r="AL923" s="87"/>
      <c r="AM923" s="87"/>
      <c r="AN923" s="87"/>
      <c r="AO923" s="87"/>
      <c r="AP923" s="87"/>
      <c r="AQ923" s="87"/>
      <c r="AR923" s="87"/>
      <c r="AS923" s="87"/>
      <c r="AT923" s="87"/>
      <c r="AU923" s="87"/>
      <c r="AV923" s="87"/>
      <c r="AW923" s="87"/>
      <c r="AX923" s="87"/>
      <c r="AY923" s="87"/>
      <c r="AZ923" s="87"/>
      <c r="BA923" s="87"/>
      <c r="BB923" s="87"/>
      <c r="BC923" s="87"/>
      <c r="BD923" s="87"/>
      <c r="BE923" s="87"/>
      <c r="BF923" s="87"/>
      <c r="BG923" s="87"/>
      <c r="BH923" s="87"/>
      <c r="BI923" s="87"/>
      <c r="BJ923" s="87"/>
      <c r="BK923" s="87"/>
      <c r="BL923" s="87"/>
      <c r="BM923" s="87"/>
      <c r="BN923" s="87"/>
      <c r="BO923" s="87"/>
      <c r="BP923" s="87"/>
      <c r="BQ923" s="87"/>
      <c r="BR923" s="87"/>
      <c r="BS923" s="87"/>
      <c r="BT923" s="87"/>
      <c r="BU923" s="87"/>
      <c r="BV923" s="87"/>
      <c r="BW923" s="87"/>
      <c r="BX923" s="87"/>
      <c r="BY923" s="87"/>
    </row>
    <row r="924" spans="3:77" x14ac:dyDescent="0.3">
      <c r="C924" s="90"/>
      <c r="D924" s="87"/>
      <c r="E924" s="91"/>
      <c r="F924" s="92"/>
      <c r="G924" s="93"/>
      <c r="H924" s="93"/>
      <c r="I924" s="93"/>
      <c r="J924" s="93"/>
      <c r="K924" s="93"/>
      <c r="L924" s="93"/>
      <c r="M924" s="93"/>
      <c r="N924" s="93"/>
      <c r="O924" s="93"/>
      <c r="P924" s="93"/>
      <c r="Q924" s="93"/>
      <c r="R924" s="87"/>
      <c r="S924" s="87"/>
      <c r="T924" s="87"/>
      <c r="U924" s="19"/>
      <c r="V924" s="87"/>
      <c r="W924" s="87"/>
      <c r="X924" s="87"/>
      <c r="Y924" s="87"/>
      <c r="Z924" s="87"/>
      <c r="AA924" s="87"/>
      <c r="AB924" s="87"/>
      <c r="AC924" s="87"/>
      <c r="AD924" s="87"/>
      <c r="AE924" s="87"/>
      <c r="AF924" s="87"/>
      <c r="AG924" s="87"/>
      <c r="AH924" s="87"/>
      <c r="AI924" s="87"/>
      <c r="AJ924" s="87"/>
      <c r="AK924" s="87"/>
      <c r="AL924" s="87"/>
      <c r="AM924" s="87"/>
      <c r="AN924" s="87"/>
      <c r="AO924" s="87"/>
      <c r="AP924" s="87"/>
      <c r="AQ924" s="87"/>
      <c r="AR924" s="87"/>
      <c r="AS924" s="87"/>
      <c r="AT924" s="87"/>
      <c r="AU924" s="87"/>
      <c r="AV924" s="87"/>
      <c r="AW924" s="87"/>
      <c r="AX924" s="87"/>
      <c r="AY924" s="87"/>
      <c r="AZ924" s="87"/>
      <c r="BA924" s="87"/>
      <c r="BB924" s="87"/>
      <c r="BC924" s="87"/>
      <c r="BD924" s="87"/>
      <c r="BE924" s="87"/>
      <c r="BF924" s="87"/>
      <c r="BG924" s="87"/>
      <c r="BH924" s="87"/>
      <c r="BI924" s="87"/>
      <c r="BJ924" s="87"/>
      <c r="BK924" s="87"/>
      <c r="BL924" s="87"/>
      <c r="BM924" s="87"/>
      <c r="BN924" s="87"/>
      <c r="BO924" s="87"/>
      <c r="BP924" s="87"/>
      <c r="BQ924" s="87"/>
      <c r="BR924" s="87"/>
      <c r="BS924" s="87"/>
      <c r="BT924" s="87"/>
      <c r="BU924" s="87"/>
      <c r="BV924" s="87"/>
      <c r="BW924" s="87"/>
      <c r="BX924" s="87"/>
      <c r="BY924" s="87"/>
    </row>
    <row r="925" spans="3:77" x14ac:dyDescent="0.3">
      <c r="C925" s="90"/>
      <c r="D925" s="87"/>
      <c r="E925" s="91"/>
      <c r="F925" s="92"/>
      <c r="G925" s="93"/>
      <c r="H925" s="93"/>
      <c r="I925" s="93"/>
      <c r="J925" s="93"/>
      <c r="K925" s="93"/>
      <c r="L925" s="93"/>
      <c r="M925" s="93"/>
      <c r="N925" s="93"/>
      <c r="O925" s="93"/>
      <c r="P925" s="93"/>
      <c r="Q925" s="93"/>
      <c r="R925" s="87"/>
      <c r="S925" s="87"/>
      <c r="T925" s="87"/>
      <c r="U925" s="19"/>
      <c r="V925" s="87"/>
      <c r="W925" s="87"/>
      <c r="X925" s="87"/>
      <c r="Y925" s="87"/>
      <c r="Z925" s="87"/>
      <c r="AA925" s="87"/>
      <c r="AB925" s="87"/>
      <c r="AC925" s="87"/>
      <c r="AD925" s="87"/>
      <c r="AE925" s="87"/>
      <c r="AF925" s="87"/>
      <c r="AG925" s="87"/>
      <c r="AH925" s="87"/>
      <c r="AI925" s="87"/>
      <c r="AJ925" s="87"/>
      <c r="AK925" s="87"/>
      <c r="AL925" s="87"/>
      <c r="AM925" s="87"/>
      <c r="AN925" s="87"/>
      <c r="AO925" s="87"/>
      <c r="AP925" s="87"/>
      <c r="AQ925" s="87"/>
      <c r="AR925" s="87"/>
      <c r="AS925" s="87"/>
      <c r="AT925" s="87"/>
      <c r="AU925" s="87"/>
      <c r="AV925" s="87"/>
      <c r="AW925" s="87"/>
      <c r="AX925" s="87"/>
      <c r="AY925" s="87"/>
      <c r="AZ925" s="87"/>
      <c r="BA925" s="87"/>
      <c r="BB925" s="87"/>
      <c r="BC925" s="87"/>
      <c r="BD925" s="87"/>
      <c r="BE925" s="87"/>
      <c r="BF925" s="87"/>
      <c r="BG925" s="87"/>
      <c r="BH925" s="87"/>
      <c r="BI925" s="87"/>
      <c r="BJ925" s="87"/>
      <c r="BK925" s="87"/>
      <c r="BL925" s="87"/>
      <c r="BM925" s="87"/>
      <c r="BN925" s="87"/>
      <c r="BO925" s="87"/>
      <c r="BP925" s="87"/>
      <c r="BQ925" s="87"/>
      <c r="BR925" s="87"/>
      <c r="BS925" s="87"/>
      <c r="BT925" s="87"/>
      <c r="BU925" s="87"/>
      <c r="BV925" s="87"/>
      <c r="BW925" s="87"/>
      <c r="BX925" s="87"/>
      <c r="BY925" s="87"/>
    </row>
    <row r="926" spans="3:77" x14ac:dyDescent="0.3">
      <c r="C926" s="90"/>
      <c r="D926" s="87"/>
      <c r="E926" s="91"/>
      <c r="F926" s="92"/>
      <c r="G926" s="93"/>
      <c r="H926" s="93"/>
      <c r="I926" s="93"/>
      <c r="J926" s="93"/>
      <c r="K926" s="93"/>
      <c r="L926" s="93"/>
      <c r="M926" s="93"/>
      <c r="N926" s="93"/>
      <c r="O926" s="93"/>
      <c r="P926" s="93"/>
      <c r="Q926" s="93"/>
      <c r="R926" s="87"/>
      <c r="S926" s="87"/>
      <c r="T926" s="87"/>
      <c r="U926" s="19"/>
      <c r="V926" s="87"/>
      <c r="W926" s="87"/>
      <c r="X926" s="87"/>
      <c r="Y926" s="87"/>
      <c r="Z926" s="87"/>
      <c r="AA926" s="87"/>
      <c r="AB926" s="87"/>
      <c r="AC926" s="87"/>
      <c r="AD926" s="87"/>
      <c r="AE926" s="87"/>
      <c r="AF926" s="87"/>
      <c r="AG926" s="87"/>
      <c r="AH926" s="87"/>
      <c r="AI926" s="87"/>
      <c r="AJ926" s="87"/>
      <c r="AK926" s="87"/>
      <c r="AL926" s="87"/>
      <c r="AM926" s="87"/>
      <c r="AN926" s="87"/>
      <c r="AO926" s="87"/>
      <c r="AP926" s="87"/>
      <c r="AQ926" s="87"/>
      <c r="AR926" s="87"/>
      <c r="AS926" s="87"/>
      <c r="AT926" s="87"/>
      <c r="AU926" s="87"/>
      <c r="AV926" s="87"/>
      <c r="AW926" s="87"/>
      <c r="AX926" s="87"/>
      <c r="AY926" s="87"/>
      <c r="AZ926" s="87"/>
      <c r="BA926" s="87"/>
      <c r="BB926" s="87"/>
      <c r="BC926" s="87"/>
      <c r="BD926" s="87"/>
      <c r="BE926" s="87"/>
      <c r="BF926" s="87"/>
      <c r="BG926" s="87"/>
      <c r="BH926" s="87"/>
      <c r="BI926" s="87"/>
      <c r="BJ926" s="87"/>
      <c r="BK926" s="87"/>
      <c r="BL926" s="87"/>
      <c r="BM926" s="87"/>
      <c r="BN926" s="87"/>
      <c r="BO926" s="87"/>
      <c r="BP926" s="87"/>
      <c r="BQ926" s="87"/>
      <c r="BR926" s="87"/>
      <c r="BS926" s="87"/>
      <c r="BT926" s="87"/>
      <c r="BU926" s="87"/>
      <c r="BV926" s="87"/>
      <c r="BW926" s="87"/>
      <c r="BX926" s="87"/>
      <c r="BY926" s="87"/>
    </row>
    <row r="927" spans="3:77" x14ac:dyDescent="0.3">
      <c r="C927" s="90"/>
      <c r="D927" s="87"/>
      <c r="E927" s="91"/>
      <c r="F927" s="92"/>
      <c r="G927" s="93"/>
      <c r="H927" s="93"/>
      <c r="I927" s="93"/>
      <c r="J927" s="93"/>
      <c r="K927" s="93"/>
      <c r="L927" s="93"/>
      <c r="M927" s="93"/>
      <c r="N927" s="93"/>
      <c r="O927" s="93"/>
      <c r="P927" s="93"/>
      <c r="Q927" s="93"/>
      <c r="R927" s="87"/>
      <c r="S927" s="87"/>
      <c r="T927" s="87"/>
      <c r="U927" s="19"/>
      <c r="V927" s="87"/>
      <c r="W927" s="87"/>
      <c r="X927" s="87"/>
      <c r="Y927" s="87"/>
      <c r="Z927" s="87"/>
      <c r="AA927" s="87"/>
      <c r="AB927" s="87"/>
      <c r="AC927" s="87"/>
      <c r="AD927" s="87"/>
      <c r="AE927" s="87"/>
      <c r="AF927" s="87"/>
      <c r="AG927" s="87"/>
      <c r="AH927" s="87"/>
      <c r="AI927" s="87"/>
      <c r="AJ927" s="87"/>
      <c r="AK927" s="87"/>
      <c r="AL927" s="87"/>
      <c r="AM927" s="87"/>
      <c r="AN927" s="87"/>
      <c r="AO927" s="87"/>
      <c r="AP927" s="87"/>
      <c r="AQ927" s="87"/>
      <c r="AR927" s="87"/>
      <c r="AS927" s="87"/>
      <c r="AT927" s="87"/>
      <c r="AU927" s="87"/>
      <c r="AV927" s="87"/>
      <c r="AW927" s="87"/>
      <c r="AX927" s="87"/>
      <c r="AY927" s="87"/>
      <c r="AZ927" s="87"/>
      <c r="BA927" s="87"/>
      <c r="BB927" s="87"/>
      <c r="BC927" s="87"/>
      <c r="BD927" s="87"/>
      <c r="BE927" s="87"/>
      <c r="BF927" s="87"/>
      <c r="BG927" s="87"/>
      <c r="BH927" s="87"/>
      <c r="BI927" s="87"/>
      <c r="BJ927" s="87"/>
      <c r="BK927" s="87"/>
      <c r="BL927" s="87"/>
      <c r="BM927" s="87"/>
      <c r="BN927" s="87"/>
      <c r="BO927" s="87"/>
      <c r="BP927" s="87"/>
      <c r="BQ927" s="87"/>
      <c r="BR927" s="87"/>
      <c r="BS927" s="87"/>
      <c r="BT927" s="87"/>
      <c r="BU927" s="87"/>
      <c r="BV927" s="87"/>
      <c r="BW927" s="87"/>
      <c r="BX927" s="87"/>
      <c r="BY927" s="87"/>
    </row>
    <row r="928" spans="3:77" x14ac:dyDescent="0.3">
      <c r="C928" s="90"/>
      <c r="D928" s="87"/>
      <c r="E928" s="91"/>
      <c r="F928" s="92"/>
      <c r="G928" s="93"/>
      <c r="H928" s="93"/>
      <c r="I928" s="93"/>
      <c r="J928" s="93"/>
      <c r="K928" s="93"/>
      <c r="L928" s="93"/>
      <c r="M928" s="93"/>
      <c r="N928" s="93"/>
      <c r="O928" s="93"/>
      <c r="P928" s="93"/>
      <c r="Q928" s="93"/>
      <c r="R928" s="87"/>
      <c r="S928" s="87"/>
      <c r="T928" s="87"/>
      <c r="U928" s="19"/>
      <c r="V928" s="87"/>
      <c r="W928" s="87"/>
      <c r="X928" s="87"/>
      <c r="Y928" s="87"/>
      <c r="Z928" s="87"/>
      <c r="AA928" s="87"/>
      <c r="AB928" s="87"/>
      <c r="AC928" s="87"/>
      <c r="AD928" s="87"/>
      <c r="AE928" s="87"/>
      <c r="AF928" s="87"/>
      <c r="AG928" s="87"/>
      <c r="AH928" s="87"/>
      <c r="AI928" s="87"/>
      <c r="AJ928" s="87"/>
      <c r="AK928" s="87"/>
      <c r="AL928" s="87"/>
      <c r="AM928" s="87"/>
      <c r="AN928" s="87"/>
      <c r="AO928" s="87"/>
      <c r="AP928" s="87"/>
      <c r="AQ928" s="87"/>
      <c r="AR928" s="87"/>
      <c r="AS928" s="87"/>
      <c r="AT928" s="87"/>
      <c r="AU928" s="87"/>
      <c r="AV928" s="87"/>
      <c r="AW928" s="87"/>
      <c r="AX928" s="87"/>
      <c r="AY928" s="87"/>
      <c r="AZ928" s="87"/>
      <c r="BA928" s="87"/>
      <c r="BB928" s="87"/>
      <c r="BC928" s="87"/>
      <c r="BD928" s="87"/>
      <c r="BE928" s="87"/>
      <c r="BF928" s="87"/>
      <c r="BG928" s="87"/>
      <c r="BH928" s="87"/>
      <c r="BI928" s="87"/>
      <c r="BJ928" s="87"/>
      <c r="BK928" s="87"/>
      <c r="BL928" s="87"/>
      <c r="BM928" s="87"/>
      <c r="BN928" s="87"/>
      <c r="BO928" s="87"/>
      <c r="BP928" s="87"/>
      <c r="BQ928" s="87"/>
      <c r="BR928" s="87"/>
      <c r="BS928" s="87"/>
      <c r="BT928" s="87"/>
      <c r="BU928" s="87"/>
      <c r="BV928" s="87"/>
      <c r="BW928" s="87"/>
      <c r="BX928" s="87"/>
      <c r="BY928" s="87"/>
    </row>
    <row r="929" spans="3:77" x14ac:dyDescent="0.3">
      <c r="C929" s="90"/>
      <c r="D929" s="87"/>
      <c r="E929" s="91"/>
      <c r="F929" s="92"/>
      <c r="G929" s="93"/>
      <c r="H929" s="93"/>
      <c r="I929" s="93"/>
      <c r="J929" s="93"/>
      <c r="K929" s="93"/>
      <c r="L929" s="93"/>
      <c r="M929" s="93"/>
      <c r="N929" s="93"/>
      <c r="O929" s="93"/>
      <c r="P929" s="93"/>
      <c r="Q929" s="93"/>
      <c r="R929" s="87"/>
      <c r="S929" s="87"/>
      <c r="T929" s="87"/>
      <c r="U929" s="19"/>
      <c r="V929" s="87"/>
      <c r="W929" s="87"/>
      <c r="X929" s="87"/>
      <c r="Y929" s="87"/>
      <c r="Z929" s="87"/>
      <c r="AA929" s="87"/>
      <c r="AB929" s="87"/>
      <c r="AC929" s="87"/>
      <c r="AD929" s="87"/>
      <c r="AE929" s="87"/>
      <c r="AF929" s="87"/>
      <c r="AG929" s="87"/>
      <c r="AH929" s="87"/>
      <c r="AI929" s="87"/>
      <c r="AJ929" s="87"/>
      <c r="AK929" s="87"/>
      <c r="AL929" s="87"/>
      <c r="AM929" s="87"/>
      <c r="AN929" s="87"/>
      <c r="AO929" s="87"/>
      <c r="AP929" s="87"/>
      <c r="AQ929" s="87"/>
      <c r="AR929" s="87"/>
      <c r="AS929" s="87"/>
      <c r="AT929" s="87"/>
      <c r="AU929" s="87"/>
      <c r="AV929" s="87"/>
      <c r="AW929" s="87"/>
      <c r="AX929" s="87"/>
      <c r="AY929" s="87"/>
      <c r="AZ929" s="87"/>
      <c r="BA929" s="87"/>
      <c r="BB929" s="87"/>
      <c r="BC929" s="87"/>
      <c r="BD929" s="87"/>
      <c r="BE929" s="87"/>
      <c r="BF929" s="87"/>
      <c r="BG929" s="87"/>
      <c r="BH929" s="87"/>
      <c r="BI929" s="87"/>
      <c r="BJ929" s="87"/>
      <c r="BK929" s="87"/>
      <c r="BL929" s="87"/>
      <c r="BM929" s="87"/>
      <c r="BN929" s="87"/>
      <c r="BO929" s="87"/>
      <c r="BP929" s="87"/>
      <c r="BQ929" s="87"/>
      <c r="BR929" s="87"/>
      <c r="BS929" s="87"/>
      <c r="BT929" s="87"/>
      <c r="BU929" s="87"/>
      <c r="BV929" s="87"/>
      <c r="BW929" s="87"/>
      <c r="BX929" s="87"/>
      <c r="BY929" s="87"/>
    </row>
    <row r="930" spans="3:77" x14ac:dyDescent="0.3">
      <c r="C930" s="90"/>
      <c r="D930" s="87"/>
      <c r="E930" s="91"/>
      <c r="F930" s="92"/>
      <c r="G930" s="93"/>
      <c r="H930" s="93"/>
      <c r="I930" s="93"/>
      <c r="J930" s="93"/>
      <c r="K930" s="93"/>
      <c r="L930" s="93"/>
      <c r="M930" s="93"/>
      <c r="N930" s="93"/>
      <c r="O930" s="93"/>
      <c r="P930" s="93"/>
      <c r="Q930" s="93"/>
      <c r="R930" s="87"/>
      <c r="S930" s="87"/>
      <c r="T930" s="87"/>
      <c r="U930" s="19"/>
      <c r="V930" s="87"/>
      <c r="W930" s="87"/>
      <c r="X930" s="87"/>
      <c r="Y930" s="87"/>
      <c r="Z930" s="87"/>
      <c r="AA930" s="87"/>
      <c r="AB930" s="87"/>
      <c r="AC930" s="87"/>
      <c r="AD930" s="87"/>
      <c r="AE930" s="87"/>
      <c r="AF930" s="87"/>
      <c r="AG930" s="87"/>
      <c r="AH930" s="87"/>
      <c r="AI930" s="87"/>
      <c r="AJ930" s="87"/>
      <c r="AK930" s="87"/>
      <c r="AL930" s="87"/>
      <c r="AM930" s="87"/>
      <c r="AN930" s="87"/>
      <c r="AO930" s="87"/>
      <c r="AP930" s="87"/>
      <c r="AQ930" s="87"/>
      <c r="AR930" s="87"/>
      <c r="AS930" s="87"/>
      <c r="AT930" s="87"/>
      <c r="AU930" s="87"/>
      <c r="AV930" s="87"/>
      <c r="AW930" s="87"/>
      <c r="AX930" s="87"/>
      <c r="AY930" s="87"/>
      <c r="AZ930" s="87"/>
      <c r="BA930" s="87"/>
      <c r="BB930" s="87"/>
      <c r="BC930" s="87"/>
      <c r="BD930" s="87"/>
      <c r="BE930" s="87"/>
      <c r="BF930" s="87"/>
      <c r="BG930" s="87"/>
      <c r="BH930" s="87"/>
      <c r="BI930" s="87"/>
      <c r="BJ930" s="87"/>
      <c r="BK930" s="87"/>
      <c r="BL930" s="87"/>
      <c r="BM930" s="87"/>
      <c r="BN930" s="87"/>
      <c r="BO930" s="87"/>
      <c r="BP930" s="87"/>
      <c r="BQ930" s="87"/>
      <c r="BR930" s="87"/>
      <c r="BS930" s="87"/>
      <c r="BT930" s="87"/>
      <c r="BU930" s="87"/>
      <c r="BV930" s="87"/>
      <c r="BW930" s="87"/>
      <c r="BX930" s="87"/>
      <c r="BY930" s="87"/>
    </row>
    <row r="931" spans="3:77" x14ac:dyDescent="0.3">
      <c r="C931" s="90"/>
      <c r="D931" s="87"/>
      <c r="E931" s="91"/>
      <c r="F931" s="92"/>
      <c r="G931" s="93"/>
      <c r="H931" s="93"/>
      <c r="I931" s="93"/>
      <c r="J931" s="93"/>
      <c r="K931" s="93"/>
      <c r="L931" s="93"/>
      <c r="M931" s="93"/>
      <c r="N931" s="93"/>
      <c r="O931" s="93"/>
      <c r="P931" s="93"/>
      <c r="Q931" s="93"/>
      <c r="R931" s="87"/>
      <c r="S931" s="87"/>
      <c r="T931" s="87"/>
      <c r="U931" s="19"/>
      <c r="V931" s="87"/>
      <c r="W931" s="87"/>
      <c r="X931" s="87"/>
      <c r="Y931" s="87"/>
      <c r="Z931" s="87"/>
      <c r="AA931" s="87"/>
      <c r="AB931" s="87"/>
      <c r="AC931" s="87"/>
      <c r="AD931" s="87"/>
      <c r="AE931" s="87"/>
      <c r="AF931" s="87"/>
      <c r="AG931" s="87"/>
      <c r="AH931" s="87"/>
      <c r="AI931" s="87"/>
      <c r="AJ931" s="87"/>
      <c r="AK931" s="87"/>
      <c r="AL931" s="87"/>
      <c r="AM931" s="87"/>
      <c r="AN931" s="87"/>
      <c r="AO931" s="87"/>
      <c r="AP931" s="87"/>
      <c r="AQ931" s="87"/>
      <c r="AR931" s="87"/>
      <c r="AS931" s="87"/>
      <c r="AT931" s="87"/>
      <c r="AU931" s="87"/>
      <c r="AV931" s="87"/>
      <c r="AW931" s="87"/>
      <c r="AX931" s="87"/>
      <c r="AY931" s="87"/>
      <c r="AZ931" s="87"/>
      <c r="BA931" s="87"/>
      <c r="BB931" s="87"/>
      <c r="BC931" s="87"/>
      <c r="BD931" s="87"/>
      <c r="BE931" s="87"/>
      <c r="BF931" s="87"/>
      <c r="BG931" s="87"/>
      <c r="BH931" s="87"/>
      <c r="BI931" s="87"/>
      <c r="BJ931" s="87"/>
      <c r="BK931" s="87"/>
      <c r="BL931" s="87"/>
      <c r="BM931" s="87"/>
      <c r="BN931" s="87"/>
      <c r="BO931" s="87"/>
      <c r="BP931" s="87"/>
      <c r="BQ931" s="87"/>
      <c r="BR931" s="87"/>
      <c r="BS931" s="87"/>
      <c r="BT931" s="87"/>
      <c r="BU931" s="87"/>
      <c r="BV931" s="87"/>
      <c r="BW931" s="87"/>
      <c r="BX931" s="87"/>
      <c r="BY931" s="87"/>
    </row>
    <row r="932" spans="3:77" x14ac:dyDescent="0.3">
      <c r="C932" s="90"/>
      <c r="D932" s="87"/>
      <c r="E932" s="91"/>
      <c r="F932" s="92"/>
      <c r="G932" s="93"/>
      <c r="H932" s="93"/>
      <c r="I932" s="93"/>
      <c r="J932" s="93"/>
      <c r="K932" s="93"/>
      <c r="L932" s="93"/>
      <c r="M932" s="93"/>
      <c r="N932" s="93"/>
      <c r="O932" s="93"/>
      <c r="P932" s="93"/>
      <c r="Q932" s="93"/>
      <c r="R932" s="87"/>
      <c r="S932" s="87"/>
      <c r="T932" s="87"/>
      <c r="U932" s="19"/>
      <c r="V932" s="87"/>
      <c r="W932" s="87"/>
      <c r="X932" s="87"/>
      <c r="Y932" s="87"/>
      <c r="Z932" s="87"/>
      <c r="AA932" s="87"/>
      <c r="AB932" s="87"/>
      <c r="AC932" s="87"/>
      <c r="AD932" s="87"/>
      <c r="AE932" s="87"/>
      <c r="AF932" s="87"/>
      <c r="AG932" s="87"/>
      <c r="AH932" s="87"/>
      <c r="AI932" s="87"/>
      <c r="AJ932" s="87"/>
      <c r="AK932" s="87"/>
      <c r="AL932" s="87"/>
      <c r="AM932" s="87"/>
      <c r="AN932" s="87"/>
      <c r="AO932" s="87"/>
      <c r="AP932" s="87"/>
      <c r="AQ932" s="87"/>
      <c r="AR932" s="87"/>
      <c r="AS932" s="87"/>
      <c r="AT932" s="87"/>
      <c r="AU932" s="87"/>
      <c r="AV932" s="87"/>
      <c r="AW932" s="87"/>
      <c r="AX932" s="87"/>
      <c r="AY932" s="87"/>
      <c r="AZ932" s="87"/>
      <c r="BA932" s="87"/>
      <c r="BB932" s="87"/>
      <c r="BC932" s="87"/>
      <c r="BD932" s="87"/>
      <c r="BE932" s="87"/>
      <c r="BF932" s="87"/>
      <c r="BG932" s="87"/>
      <c r="BH932" s="87"/>
      <c r="BI932" s="87"/>
      <c r="BJ932" s="87"/>
      <c r="BK932" s="87"/>
      <c r="BL932" s="87"/>
      <c r="BM932" s="87"/>
      <c r="BN932" s="87"/>
      <c r="BO932" s="87"/>
      <c r="BP932" s="87"/>
      <c r="BQ932" s="87"/>
      <c r="BR932" s="87"/>
      <c r="BS932" s="87"/>
      <c r="BT932" s="87"/>
      <c r="BU932" s="87"/>
      <c r="BV932" s="87"/>
      <c r="BW932" s="87"/>
      <c r="BX932" s="87"/>
      <c r="BY932" s="87"/>
    </row>
    <row r="933" spans="3:77" x14ac:dyDescent="0.3">
      <c r="C933" s="90"/>
      <c r="D933" s="87"/>
      <c r="E933" s="91"/>
      <c r="F933" s="92"/>
      <c r="G933" s="93"/>
      <c r="H933" s="93"/>
      <c r="I933" s="93"/>
      <c r="J933" s="93"/>
      <c r="K933" s="93"/>
      <c r="L933" s="93"/>
      <c r="M933" s="93"/>
      <c r="N933" s="93"/>
      <c r="O933" s="93"/>
      <c r="P933" s="93"/>
      <c r="Q933" s="93"/>
      <c r="R933" s="87"/>
      <c r="S933" s="87"/>
      <c r="T933" s="87"/>
      <c r="U933" s="19"/>
      <c r="V933" s="87"/>
      <c r="W933" s="87"/>
      <c r="X933" s="87"/>
      <c r="Y933" s="87"/>
      <c r="Z933" s="87"/>
      <c r="AA933" s="87"/>
      <c r="AB933" s="87"/>
      <c r="AC933" s="87"/>
      <c r="AD933" s="87"/>
      <c r="AE933" s="87"/>
      <c r="AF933" s="87"/>
      <c r="AG933" s="87"/>
      <c r="AH933" s="87"/>
      <c r="AI933" s="87"/>
      <c r="AJ933" s="87"/>
      <c r="AK933" s="87"/>
      <c r="AL933" s="87"/>
      <c r="AM933" s="87"/>
      <c r="AN933" s="87"/>
      <c r="AO933" s="87"/>
      <c r="AP933" s="87"/>
      <c r="AQ933" s="87"/>
      <c r="AR933" s="87"/>
      <c r="AS933" s="87"/>
      <c r="AT933" s="87"/>
      <c r="AU933" s="87"/>
      <c r="AV933" s="87"/>
      <c r="AW933" s="87"/>
      <c r="AX933" s="87"/>
      <c r="AY933" s="87"/>
      <c r="AZ933" s="87"/>
      <c r="BA933" s="87"/>
      <c r="BB933" s="87"/>
      <c r="BC933" s="87"/>
      <c r="BD933" s="87"/>
      <c r="BE933" s="87"/>
      <c r="BF933" s="87"/>
      <c r="BG933" s="87"/>
      <c r="BH933" s="87"/>
      <c r="BI933" s="87"/>
      <c r="BJ933" s="87"/>
      <c r="BK933" s="87"/>
      <c r="BL933" s="87"/>
      <c r="BM933" s="87"/>
      <c r="BN933" s="87"/>
      <c r="BO933" s="87"/>
      <c r="BP933" s="87"/>
      <c r="BQ933" s="87"/>
      <c r="BR933" s="87"/>
      <c r="BS933" s="87"/>
      <c r="BT933" s="87"/>
      <c r="BU933" s="87"/>
      <c r="BV933" s="87"/>
      <c r="BW933" s="87"/>
      <c r="BX933" s="87"/>
      <c r="BY933" s="87"/>
    </row>
    <row r="934" spans="3:77" x14ac:dyDescent="0.3">
      <c r="C934" s="90"/>
      <c r="D934" s="87"/>
      <c r="E934" s="91"/>
      <c r="F934" s="92"/>
      <c r="G934" s="93"/>
      <c r="H934" s="93"/>
      <c r="I934" s="93"/>
      <c r="J934" s="93"/>
      <c r="K934" s="93"/>
      <c r="L934" s="93"/>
      <c r="M934" s="93"/>
      <c r="N934" s="93"/>
      <c r="O934" s="93"/>
      <c r="P934" s="93"/>
      <c r="Q934" s="93"/>
      <c r="R934" s="87"/>
      <c r="S934" s="87"/>
      <c r="T934" s="87"/>
      <c r="U934" s="19"/>
      <c r="V934" s="87"/>
      <c r="W934" s="87"/>
      <c r="X934" s="87"/>
      <c r="Y934" s="87"/>
      <c r="Z934" s="87"/>
      <c r="AA934" s="87"/>
      <c r="AB934" s="87"/>
      <c r="AC934" s="87"/>
      <c r="AD934" s="87"/>
      <c r="AE934" s="87"/>
      <c r="AF934" s="87"/>
      <c r="AG934" s="87"/>
      <c r="AH934" s="87"/>
      <c r="AI934" s="87"/>
      <c r="AJ934" s="87"/>
      <c r="AK934" s="87"/>
      <c r="AL934" s="87"/>
      <c r="AM934" s="87"/>
      <c r="AN934" s="87"/>
      <c r="AO934" s="87"/>
      <c r="AP934" s="87"/>
      <c r="AQ934" s="87"/>
      <c r="AR934" s="87"/>
      <c r="AS934" s="87"/>
      <c r="AT934" s="87"/>
      <c r="AU934" s="87"/>
      <c r="AV934" s="87"/>
      <c r="AW934" s="87"/>
      <c r="AX934" s="87"/>
      <c r="AY934" s="87"/>
      <c r="AZ934" s="87"/>
      <c r="BA934" s="87"/>
      <c r="BB934" s="87"/>
      <c r="BC934" s="87"/>
      <c r="BD934" s="87"/>
      <c r="BE934" s="87"/>
      <c r="BF934" s="87"/>
      <c r="BG934" s="87"/>
      <c r="BH934" s="87"/>
      <c r="BI934" s="87"/>
      <c r="BJ934" s="87"/>
      <c r="BK934" s="87"/>
      <c r="BL934" s="87"/>
      <c r="BM934" s="87"/>
      <c r="BN934" s="87"/>
      <c r="BO934" s="87"/>
      <c r="BP934" s="87"/>
      <c r="BQ934" s="87"/>
      <c r="BR934" s="87"/>
      <c r="BS934" s="87"/>
      <c r="BT934" s="87"/>
      <c r="BU934" s="87"/>
      <c r="BV934" s="87"/>
      <c r="BW934" s="87"/>
      <c r="BX934" s="87"/>
      <c r="BY934" s="87"/>
    </row>
    <row r="935" spans="3:77" x14ac:dyDescent="0.3">
      <c r="C935" s="90"/>
      <c r="D935" s="87"/>
      <c r="E935" s="91"/>
      <c r="F935" s="92"/>
      <c r="G935" s="93"/>
      <c r="H935" s="93"/>
      <c r="I935" s="93"/>
      <c r="J935" s="93"/>
      <c r="K935" s="93"/>
      <c r="L935" s="93"/>
      <c r="M935" s="93"/>
      <c r="N935" s="93"/>
      <c r="O935" s="93"/>
      <c r="P935" s="93"/>
      <c r="Q935" s="93"/>
      <c r="R935" s="87"/>
      <c r="S935" s="87"/>
      <c r="T935" s="87"/>
      <c r="U935" s="19"/>
      <c r="V935" s="87"/>
      <c r="W935" s="87"/>
      <c r="X935" s="87"/>
      <c r="Y935" s="87"/>
      <c r="Z935" s="87"/>
      <c r="AA935" s="87"/>
      <c r="AB935" s="87"/>
      <c r="AC935" s="87"/>
      <c r="AD935" s="87"/>
      <c r="AE935" s="87"/>
      <c r="AF935" s="87"/>
      <c r="AG935" s="87"/>
      <c r="AH935" s="87"/>
      <c r="AI935" s="87"/>
      <c r="AJ935" s="87"/>
      <c r="AK935" s="87"/>
      <c r="AL935" s="87"/>
      <c r="AM935" s="87"/>
      <c r="AN935" s="87"/>
      <c r="AO935" s="87"/>
      <c r="AP935" s="87"/>
      <c r="AQ935" s="87"/>
      <c r="AR935" s="87"/>
      <c r="AS935" s="87"/>
      <c r="AT935" s="87"/>
      <c r="AU935" s="87"/>
      <c r="AV935" s="87"/>
      <c r="AW935" s="87"/>
      <c r="AX935" s="87"/>
      <c r="AY935" s="87"/>
      <c r="AZ935" s="87"/>
      <c r="BA935" s="87"/>
      <c r="BB935" s="87"/>
      <c r="BC935" s="87"/>
      <c r="BD935" s="87"/>
      <c r="BE935" s="87"/>
      <c r="BF935" s="87"/>
      <c r="BG935" s="87"/>
      <c r="BH935" s="87"/>
      <c r="BI935" s="87"/>
      <c r="BJ935" s="87"/>
      <c r="BK935" s="87"/>
      <c r="BL935" s="87"/>
      <c r="BM935" s="87"/>
      <c r="BN935" s="87"/>
      <c r="BO935" s="87"/>
      <c r="BP935" s="87"/>
      <c r="BQ935" s="87"/>
      <c r="BR935" s="87"/>
      <c r="BS935" s="87"/>
      <c r="BT935" s="87"/>
      <c r="BU935" s="87"/>
      <c r="BV935" s="87"/>
      <c r="BW935" s="87"/>
      <c r="BX935" s="87"/>
      <c r="BY935" s="87"/>
    </row>
    <row r="936" spans="3:77" x14ac:dyDescent="0.3">
      <c r="C936" s="90"/>
      <c r="D936" s="87"/>
      <c r="E936" s="91"/>
      <c r="F936" s="92"/>
      <c r="G936" s="93"/>
      <c r="H936" s="93"/>
      <c r="I936" s="93"/>
      <c r="J936" s="93"/>
      <c r="K936" s="93"/>
      <c r="L936" s="93"/>
      <c r="M936" s="93"/>
      <c r="N936" s="93"/>
      <c r="O936" s="93"/>
      <c r="P936" s="93"/>
      <c r="Q936" s="93"/>
      <c r="R936" s="87"/>
      <c r="S936" s="87"/>
      <c r="T936" s="87"/>
      <c r="U936" s="19"/>
      <c r="V936" s="87"/>
      <c r="W936" s="87"/>
      <c r="X936" s="87"/>
      <c r="Y936" s="87"/>
      <c r="Z936" s="87"/>
      <c r="AA936" s="87"/>
      <c r="AB936" s="87"/>
      <c r="AC936" s="87"/>
      <c r="AD936" s="87"/>
      <c r="AE936" s="87"/>
      <c r="AF936" s="87"/>
      <c r="AG936" s="87"/>
      <c r="AH936" s="87"/>
      <c r="AI936" s="87"/>
      <c r="AJ936" s="87"/>
      <c r="AK936" s="87"/>
      <c r="AL936" s="87"/>
      <c r="AM936" s="87"/>
      <c r="AN936" s="87"/>
      <c r="AO936" s="87"/>
      <c r="AP936" s="87"/>
      <c r="AQ936" s="87"/>
      <c r="AR936" s="87"/>
      <c r="AS936" s="87"/>
      <c r="AT936" s="87"/>
      <c r="AU936" s="87"/>
      <c r="AV936" s="87"/>
      <c r="AW936" s="87"/>
      <c r="AX936" s="87"/>
      <c r="AY936" s="87"/>
      <c r="AZ936" s="87"/>
      <c r="BA936" s="87"/>
      <c r="BB936" s="87"/>
      <c r="BC936" s="87"/>
      <c r="BD936" s="87"/>
      <c r="BE936" s="87"/>
      <c r="BF936" s="87"/>
      <c r="BG936" s="87"/>
      <c r="BH936" s="87"/>
      <c r="BI936" s="87"/>
      <c r="BJ936" s="87"/>
      <c r="BK936" s="87"/>
      <c r="BL936" s="87"/>
      <c r="BM936" s="87"/>
      <c r="BN936" s="87"/>
      <c r="BO936" s="87"/>
      <c r="BP936" s="87"/>
      <c r="BQ936" s="87"/>
      <c r="BR936" s="87"/>
      <c r="BS936" s="87"/>
      <c r="BT936" s="87"/>
      <c r="BU936" s="87"/>
      <c r="BV936" s="87"/>
      <c r="BW936" s="87"/>
      <c r="BX936" s="87"/>
      <c r="BY936" s="87"/>
    </row>
    <row r="937" spans="3:77" x14ac:dyDescent="0.3">
      <c r="C937" s="90"/>
      <c r="D937" s="87"/>
      <c r="E937" s="91"/>
      <c r="F937" s="92"/>
      <c r="G937" s="93"/>
      <c r="H937" s="93"/>
      <c r="I937" s="93"/>
      <c r="J937" s="93"/>
      <c r="K937" s="93"/>
      <c r="L937" s="93"/>
      <c r="M937" s="93"/>
      <c r="N937" s="93"/>
      <c r="O937" s="93"/>
      <c r="P937" s="93"/>
      <c r="Q937" s="93"/>
      <c r="R937" s="87"/>
      <c r="S937" s="87"/>
      <c r="T937" s="87"/>
      <c r="U937" s="19"/>
      <c r="V937" s="87"/>
      <c r="W937" s="87"/>
      <c r="X937" s="87"/>
      <c r="Y937" s="87"/>
      <c r="Z937" s="87"/>
      <c r="AA937" s="87"/>
      <c r="AB937" s="87"/>
      <c r="AC937" s="87"/>
      <c r="AD937" s="87"/>
      <c r="AE937" s="87"/>
      <c r="AF937" s="87"/>
      <c r="AG937" s="87"/>
      <c r="AH937" s="87"/>
      <c r="AI937" s="87"/>
      <c r="AJ937" s="87"/>
      <c r="AK937" s="87"/>
      <c r="AL937" s="87"/>
      <c r="AM937" s="87"/>
      <c r="AN937" s="87"/>
      <c r="AO937" s="87"/>
      <c r="AP937" s="87"/>
      <c r="AQ937" s="87"/>
      <c r="AR937" s="87"/>
      <c r="AS937" s="87"/>
      <c r="AT937" s="87"/>
      <c r="AU937" s="87"/>
      <c r="AV937" s="87"/>
      <c r="AW937" s="87"/>
      <c r="AX937" s="87"/>
      <c r="AY937" s="87"/>
      <c r="AZ937" s="87"/>
      <c r="BA937" s="87"/>
      <c r="BB937" s="87"/>
      <c r="BC937" s="87"/>
      <c r="BD937" s="87"/>
      <c r="BE937" s="87"/>
      <c r="BF937" s="87"/>
      <c r="BG937" s="87"/>
      <c r="BH937" s="87"/>
      <c r="BI937" s="87"/>
      <c r="BJ937" s="87"/>
      <c r="BK937" s="87"/>
      <c r="BL937" s="87"/>
      <c r="BM937" s="87"/>
      <c r="BN937" s="87"/>
      <c r="BO937" s="87"/>
      <c r="BP937" s="87"/>
      <c r="BQ937" s="87"/>
      <c r="BR937" s="87"/>
      <c r="BS937" s="87"/>
      <c r="BT937" s="87"/>
      <c r="BU937" s="87"/>
      <c r="BV937" s="87"/>
      <c r="BW937" s="87"/>
      <c r="BX937" s="87"/>
      <c r="BY937" s="87"/>
    </row>
    <row r="938" spans="3:77" x14ac:dyDescent="0.3">
      <c r="C938" s="90"/>
      <c r="D938" s="87"/>
      <c r="E938" s="91"/>
      <c r="F938" s="92"/>
      <c r="G938" s="93"/>
      <c r="H938" s="93"/>
      <c r="I938" s="93"/>
      <c r="J938" s="93"/>
      <c r="K938" s="93"/>
      <c r="L938" s="93"/>
      <c r="M938" s="93"/>
      <c r="N938" s="93"/>
      <c r="O938" s="93"/>
      <c r="P938" s="93"/>
      <c r="Q938" s="93"/>
      <c r="R938" s="87"/>
      <c r="S938" s="87"/>
      <c r="T938" s="87"/>
      <c r="U938" s="19"/>
      <c r="V938" s="87"/>
      <c r="W938" s="87"/>
      <c r="X938" s="87"/>
      <c r="Y938" s="87"/>
      <c r="Z938" s="87"/>
      <c r="AA938" s="87"/>
      <c r="AB938" s="87"/>
      <c r="AC938" s="87"/>
      <c r="AD938" s="87"/>
      <c r="AE938" s="87"/>
      <c r="AF938" s="87"/>
      <c r="AG938" s="87"/>
      <c r="AH938" s="87"/>
      <c r="AI938" s="87"/>
      <c r="AJ938" s="87"/>
      <c r="AK938" s="87"/>
      <c r="AL938" s="87"/>
      <c r="AM938" s="87"/>
      <c r="AN938" s="87"/>
      <c r="AO938" s="87"/>
      <c r="AP938" s="87"/>
      <c r="AQ938" s="87"/>
      <c r="AR938" s="87"/>
      <c r="AS938" s="87"/>
      <c r="AT938" s="87"/>
      <c r="AU938" s="87"/>
      <c r="AV938" s="87"/>
      <c r="AW938" s="87"/>
      <c r="AX938" s="87"/>
      <c r="AY938" s="87"/>
      <c r="AZ938" s="87"/>
      <c r="BA938" s="87"/>
      <c r="BB938" s="87"/>
      <c r="BC938" s="87"/>
      <c r="BD938" s="87"/>
      <c r="BE938" s="87"/>
      <c r="BF938" s="87"/>
      <c r="BG938" s="87"/>
      <c r="BH938" s="87"/>
      <c r="BI938" s="87"/>
      <c r="BJ938" s="87"/>
      <c r="BK938" s="87"/>
      <c r="BL938" s="87"/>
      <c r="BM938" s="87"/>
      <c r="BN938" s="87"/>
      <c r="BO938" s="87"/>
      <c r="BP938" s="87"/>
      <c r="BQ938" s="87"/>
      <c r="BR938" s="87"/>
      <c r="BS938" s="87"/>
      <c r="BT938" s="87"/>
      <c r="BU938" s="87"/>
      <c r="BV938" s="87"/>
      <c r="BW938" s="87"/>
      <c r="BX938" s="87"/>
      <c r="BY938" s="87"/>
    </row>
    <row r="939" spans="3:77" x14ac:dyDescent="0.3">
      <c r="C939" s="90"/>
      <c r="D939" s="87"/>
      <c r="E939" s="91"/>
      <c r="F939" s="92"/>
      <c r="G939" s="93"/>
      <c r="H939" s="93"/>
      <c r="I939" s="93"/>
      <c r="J939" s="93"/>
      <c r="K939" s="93"/>
      <c r="L939" s="93"/>
      <c r="M939" s="93"/>
      <c r="N939" s="93"/>
      <c r="O939" s="93"/>
      <c r="P939" s="93"/>
      <c r="Q939" s="93"/>
      <c r="R939" s="87"/>
      <c r="S939" s="87"/>
      <c r="T939" s="87"/>
      <c r="U939" s="19"/>
      <c r="V939" s="87"/>
      <c r="W939" s="87"/>
      <c r="X939" s="87"/>
      <c r="Y939" s="87"/>
      <c r="Z939" s="87"/>
      <c r="AA939" s="87"/>
      <c r="AB939" s="87"/>
      <c r="AC939" s="87"/>
      <c r="AD939" s="87"/>
      <c r="AE939" s="87"/>
      <c r="AF939" s="87"/>
      <c r="AG939" s="87"/>
      <c r="AH939" s="87"/>
      <c r="AI939" s="87"/>
      <c r="AJ939" s="87"/>
      <c r="AK939" s="87"/>
      <c r="AL939" s="87"/>
      <c r="AM939" s="87"/>
      <c r="AN939" s="87"/>
      <c r="AO939" s="87"/>
      <c r="AP939" s="87"/>
      <c r="AQ939" s="87"/>
      <c r="AR939" s="87"/>
      <c r="AS939" s="87"/>
      <c r="AT939" s="87"/>
      <c r="AU939" s="87"/>
      <c r="AV939" s="87"/>
      <c r="AW939" s="87"/>
      <c r="AX939" s="87"/>
      <c r="AY939" s="87"/>
      <c r="AZ939" s="87"/>
      <c r="BA939" s="87"/>
      <c r="BB939" s="87"/>
      <c r="BC939" s="87"/>
      <c r="BD939" s="87"/>
      <c r="BE939" s="87"/>
      <c r="BF939" s="87"/>
      <c r="BG939" s="87"/>
      <c r="BH939" s="87"/>
      <c r="BI939" s="87"/>
      <c r="BJ939" s="87"/>
      <c r="BK939" s="87"/>
      <c r="BL939" s="87"/>
      <c r="BM939" s="87"/>
      <c r="BN939" s="87"/>
      <c r="BO939" s="87"/>
      <c r="BP939" s="87"/>
      <c r="BQ939" s="87"/>
      <c r="BR939" s="87"/>
      <c r="BS939" s="87"/>
      <c r="BT939" s="87"/>
      <c r="BU939" s="87"/>
      <c r="BV939" s="87"/>
      <c r="BW939" s="87"/>
      <c r="BX939" s="87"/>
      <c r="BY939" s="87"/>
    </row>
    <row r="940" spans="3:77" x14ac:dyDescent="0.3">
      <c r="C940" s="90"/>
      <c r="D940" s="87"/>
      <c r="E940" s="91"/>
      <c r="F940" s="92"/>
      <c r="G940" s="93"/>
      <c r="H940" s="93"/>
      <c r="I940" s="93"/>
      <c r="J940" s="93"/>
      <c r="K940" s="93"/>
      <c r="L940" s="93"/>
      <c r="M940" s="93"/>
      <c r="N940" s="93"/>
      <c r="O940" s="93"/>
      <c r="P940" s="93"/>
      <c r="Q940" s="93"/>
      <c r="R940" s="87"/>
      <c r="S940" s="87"/>
      <c r="T940" s="87"/>
      <c r="U940" s="19"/>
      <c r="V940" s="87"/>
      <c r="W940" s="87"/>
      <c r="X940" s="87"/>
      <c r="Y940" s="87"/>
      <c r="Z940" s="87"/>
      <c r="AA940" s="87"/>
      <c r="AB940" s="87"/>
      <c r="AC940" s="87"/>
      <c r="AD940" s="87"/>
      <c r="AE940" s="87"/>
      <c r="AF940" s="87"/>
      <c r="AG940" s="87"/>
      <c r="AH940" s="87"/>
      <c r="AI940" s="87"/>
      <c r="AJ940" s="87"/>
      <c r="AK940" s="87"/>
      <c r="AL940" s="87"/>
      <c r="AM940" s="87"/>
      <c r="AN940" s="87"/>
      <c r="AO940" s="87"/>
      <c r="AP940" s="87"/>
      <c r="AQ940" s="87"/>
      <c r="AR940" s="87"/>
      <c r="AS940" s="87"/>
      <c r="AT940" s="87"/>
      <c r="AU940" s="87"/>
      <c r="AV940" s="87"/>
      <c r="AW940" s="87"/>
      <c r="AX940" s="87"/>
      <c r="AY940" s="87"/>
      <c r="AZ940" s="87"/>
      <c r="BA940" s="87"/>
      <c r="BB940" s="87"/>
      <c r="BC940" s="87"/>
      <c r="BD940" s="87"/>
      <c r="BE940" s="87"/>
      <c r="BF940" s="87"/>
      <c r="BG940" s="87"/>
      <c r="BH940" s="87"/>
      <c r="BI940" s="87"/>
      <c r="BJ940" s="87"/>
      <c r="BK940" s="87"/>
      <c r="BL940" s="87"/>
      <c r="BM940" s="87"/>
      <c r="BN940" s="87"/>
      <c r="BO940" s="87"/>
      <c r="BP940" s="87"/>
      <c r="BQ940" s="87"/>
      <c r="BR940" s="87"/>
      <c r="BS940" s="87"/>
      <c r="BT940" s="87"/>
      <c r="BU940" s="87"/>
      <c r="BV940" s="87"/>
      <c r="BW940" s="87"/>
      <c r="BX940" s="87"/>
      <c r="BY940" s="87"/>
    </row>
    <row r="941" spans="3:77" x14ac:dyDescent="0.3">
      <c r="C941" s="90"/>
      <c r="D941" s="87"/>
      <c r="E941" s="91"/>
      <c r="F941" s="92"/>
      <c r="G941" s="93"/>
      <c r="H941" s="93"/>
      <c r="I941" s="93"/>
      <c r="J941" s="93"/>
      <c r="K941" s="93"/>
      <c r="L941" s="93"/>
      <c r="M941" s="93"/>
      <c r="N941" s="93"/>
      <c r="O941" s="93"/>
      <c r="P941" s="93"/>
      <c r="Q941" s="93"/>
      <c r="R941" s="87"/>
      <c r="S941" s="87"/>
      <c r="T941" s="87"/>
      <c r="U941" s="19"/>
      <c r="V941" s="87"/>
      <c r="W941" s="87"/>
      <c r="X941" s="87"/>
      <c r="Y941" s="87"/>
      <c r="Z941" s="87"/>
      <c r="AA941" s="87"/>
      <c r="AB941" s="87"/>
      <c r="AC941" s="87"/>
      <c r="AD941" s="87"/>
      <c r="AE941" s="87"/>
      <c r="AF941" s="87"/>
      <c r="AG941" s="87"/>
      <c r="AH941" s="87"/>
      <c r="AI941" s="87"/>
      <c r="AJ941" s="87"/>
      <c r="AK941" s="87"/>
      <c r="AL941" s="87"/>
      <c r="AM941" s="87"/>
      <c r="AN941" s="87"/>
      <c r="AO941" s="87"/>
      <c r="AP941" s="87"/>
      <c r="AQ941" s="87"/>
      <c r="AR941" s="87"/>
      <c r="AS941" s="87"/>
      <c r="AT941" s="87"/>
      <c r="AU941" s="87"/>
      <c r="AV941" s="87"/>
      <c r="AW941" s="87"/>
      <c r="AX941" s="87"/>
      <c r="AY941" s="87"/>
      <c r="AZ941" s="87"/>
      <c r="BA941" s="87"/>
      <c r="BB941" s="87"/>
      <c r="BC941" s="87"/>
      <c r="BD941" s="87"/>
      <c r="BE941" s="87"/>
      <c r="BF941" s="87"/>
      <c r="BG941" s="87"/>
      <c r="BH941" s="87"/>
      <c r="BI941" s="87"/>
      <c r="BJ941" s="87"/>
      <c r="BK941" s="87"/>
      <c r="BL941" s="87"/>
      <c r="BM941" s="87"/>
      <c r="BN941" s="87"/>
      <c r="BO941" s="87"/>
      <c r="BP941" s="87"/>
      <c r="BQ941" s="87"/>
      <c r="BR941" s="87"/>
      <c r="BS941" s="87"/>
      <c r="BT941" s="87"/>
      <c r="BU941" s="87"/>
      <c r="BV941" s="87"/>
      <c r="BW941" s="87"/>
      <c r="BX941" s="87"/>
      <c r="BY941" s="87"/>
    </row>
    <row r="942" spans="3:77" x14ac:dyDescent="0.3">
      <c r="C942" s="90"/>
      <c r="D942" s="87"/>
      <c r="E942" s="91"/>
      <c r="F942" s="92"/>
      <c r="G942" s="93"/>
      <c r="H942" s="93"/>
      <c r="I942" s="93"/>
      <c r="J942" s="93"/>
      <c r="K942" s="93"/>
      <c r="L942" s="93"/>
      <c r="M942" s="93"/>
      <c r="N942" s="93"/>
      <c r="O942" s="93"/>
      <c r="P942" s="93"/>
      <c r="Q942" s="93"/>
      <c r="R942" s="87"/>
      <c r="S942" s="87"/>
      <c r="T942" s="87"/>
      <c r="U942" s="19"/>
      <c r="V942" s="87"/>
      <c r="W942" s="87"/>
      <c r="X942" s="87"/>
      <c r="Y942" s="87"/>
      <c r="Z942" s="87"/>
      <c r="AA942" s="87"/>
      <c r="AB942" s="87"/>
      <c r="AC942" s="87"/>
      <c r="AD942" s="87"/>
      <c r="AE942" s="87"/>
      <c r="AF942" s="87"/>
      <c r="AG942" s="87"/>
      <c r="AH942" s="87"/>
      <c r="AI942" s="87"/>
      <c r="AJ942" s="87"/>
      <c r="AK942" s="87"/>
      <c r="AL942" s="87"/>
      <c r="AM942" s="87"/>
      <c r="AN942" s="87"/>
      <c r="AO942" s="87"/>
      <c r="AP942" s="87"/>
      <c r="AQ942" s="87"/>
      <c r="AR942" s="87"/>
      <c r="AS942" s="87"/>
      <c r="AT942" s="87"/>
      <c r="AU942" s="87"/>
      <c r="AV942" s="87"/>
      <c r="AW942" s="87"/>
      <c r="AX942" s="87"/>
      <c r="AY942" s="87"/>
      <c r="AZ942" s="87"/>
      <c r="BA942" s="87"/>
      <c r="BB942" s="87"/>
      <c r="BC942" s="87"/>
      <c r="BD942" s="87"/>
      <c r="BE942" s="87"/>
      <c r="BF942" s="87"/>
      <c r="BG942" s="87"/>
      <c r="BH942" s="87"/>
      <c r="BI942" s="87"/>
      <c r="BJ942" s="87"/>
      <c r="BK942" s="87"/>
      <c r="BL942" s="87"/>
      <c r="BM942" s="87"/>
      <c r="BN942" s="87"/>
      <c r="BO942" s="87"/>
      <c r="BP942" s="87"/>
      <c r="BQ942" s="87"/>
      <c r="BR942" s="87"/>
      <c r="BS942" s="87"/>
      <c r="BT942" s="87"/>
      <c r="BU942" s="87"/>
      <c r="BV942" s="87"/>
      <c r="BW942" s="87"/>
      <c r="BX942" s="87"/>
      <c r="BY942" s="87"/>
    </row>
    <row r="943" spans="3:77" x14ac:dyDescent="0.3">
      <c r="C943" s="90"/>
      <c r="D943" s="87"/>
      <c r="E943" s="91"/>
      <c r="F943" s="92"/>
      <c r="G943" s="93"/>
      <c r="H943" s="93"/>
      <c r="I943" s="93"/>
      <c r="J943" s="93"/>
      <c r="K943" s="93"/>
      <c r="L943" s="93"/>
      <c r="M943" s="93"/>
      <c r="N943" s="93"/>
      <c r="O943" s="93"/>
      <c r="P943" s="93"/>
      <c r="Q943" s="93"/>
      <c r="R943" s="87"/>
      <c r="S943" s="87"/>
      <c r="T943" s="87"/>
      <c r="U943" s="19"/>
      <c r="V943" s="87"/>
      <c r="W943" s="87"/>
      <c r="X943" s="87"/>
      <c r="Y943" s="87"/>
      <c r="Z943" s="87"/>
      <c r="AA943" s="87"/>
      <c r="AB943" s="87"/>
      <c r="AC943" s="87"/>
      <c r="AD943" s="87"/>
      <c r="AE943" s="87"/>
      <c r="AF943" s="87"/>
      <c r="AG943" s="87"/>
      <c r="AH943" s="87"/>
      <c r="AI943" s="87"/>
      <c r="AJ943" s="87"/>
      <c r="AK943" s="87"/>
      <c r="AL943" s="87"/>
      <c r="AM943" s="87"/>
      <c r="AN943" s="87"/>
      <c r="AO943" s="87"/>
      <c r="AP943" s="87"/>
      <c r="AQ943" s="87"/>
      <c r="AR943" s="87"/>
      <c r="AS943" s="87"/>
      <c r="AT943" s="87"/>
      <c r="AU943" s="87"/>
      <c r="AV943" s="87"/>
      <c r="AW943" s="87"/>
      <c r="AX943" s="87"/>
      <c r="AY943" s="87"/>
      <c r="AZ943" s="87"/>
      <c r="BA943" s="87"/>
      <c r="BB943" s="87"/>
      <c r="BC943" s="87"/>
      <c r="BD943" s="87"/>
      <c r="BE943" s="87"/>
      <c r="BF943" s="87"/>
      <c r="BG943" s="87"/>
      <c r="BH943" s="87"/>
      <c r="BI943" s="87"/>
      <c r="BJ943" s="87"/>
      <c r="BK943" s="87"/>
      <c r="BL943" s="87"/>
      <c r="BM943" s="87"/>
      <c r="BN943" s="87"/>
      <c r="BO943" s="87"/>
      <c r="BP943" s="87"/>
      <c r="BQ943" s="87"/>
      <c r="BR943" s="87"/>
      <c r="BS943" s="87"/>
      <c r="BT943" s="87"/>
      <c r="BU943" s="87"/>
      <c r="BV943" s="87"/>
      <c r="BW943" s="87"/>
      <c r="BX943" s="87"/>
      <c r="BY943" s="87"/>
    </row>
    <row r="944" spans="3:77" x14ac:dyDescent="0.3">
      <c r="C944" s="90"/>
      <c r="D944" s="87"/>
      <c r="E944" s="91"/>
      <c r="F944" s="92"/>
      <c r="G944" s="93"/>
      <c r="H944" s="93"/>
      <c r="I944" s="93"/>
      <c r="J944" s="93"/>
      <c r="K944" s="93"/>
      <c r="L944" s="93"/>
      <c r="M944" s="93"/>
      <c r="N944" s="93"/>
      <c r="O944" s="93"/>
      <c r="P944" s="93"/>
      <c r="Q944" s="93"/>
      <c r="R944" s="87"/>
      <c r="S944" s="87"/>
      <c r="T944" s="87"/>
      <c r="U944" s="19"/>
      <c r="V944" s="87"/>
      <c r="W944" s="87"/>
      <c r="X944" s="87"/>
      <c r="Y944" s="87"/>
      <c r="Z944" s="87"/>
      <c r="AA944" s="87"/>
      <c r="AB944" s="87"/>
      <c r="AC944" s="87"/>
      <c r="AD944" s="87"/>
      <c r="AE944" s="87"/>
      <c r="AF944" s="87"/>
      <c r="AG944" s="87"/>
      <c r="AH944" s="87"/>
      <c r="AI944" s="87"/>
      <c r="AJ944" s="87"/>
      <c r="AK944" s="87"/>
      <c r="AL944" s="87"/>
      <c r="AM944" s="87"/>
      <c r="AN944" s="87"/>
      <c r="AO944" s="87"/>
      <c r="AP944" s="87"/>
      <c r="AQ944" s="87"/>
      <c r="AR944" s="87"/>
      <c r="AS944" s="87"/>
      <c r="AT944" s="87"/>
      <c r="AU944" s="87"/>
      <c r="AV944" s="87"/>
      <c r="AW944" s="87"/>
      <c r="AX944" s="87"/>
      <c r="AY944" s="87"/>
      <c r="AZ944" s="87"/>
      <c r="BA944" s="87"/>
      <c r="BB944" s="87"/>
      <c r="BC944" s="87"/>
      <c r="BD944" s="87"/>
      <c r="BE944" s="87"/>
      <c r="BF944" s="87"/>
      <c r="BG944" s="87"/>
      <c r="BH944" s="87"/>
      <c r="BI944" s="87"/>
      <c r="BJ944" s="87"/>
      <c r="BK944" s="87"/>
      <c r="BL944" s="87"/>
      <c r="BM944" s="87"/>
      <c r="BN944" s="87"/>
      <c r="BO944" s="87"/>
      <c r="BP944" s="87"/>
      <c r="BQ944" s="87"/>
      <c r="BR944" s="87"/>
      <c r="BS944" s="87"/>
      <c r="BT944" s="87"/>
      <c r="BU944" s="87"/>
      <c r="BV944" s="87"/>
      <c r="BW944" s="87"/>
      <c r="BX944" s="87"/>
      <c r="BY944" s="87"/>
    </row>
    <row r="945" spans="3:77" x14ac:dyDescent="0.3">
      <c r="C945" s="90"/>
      <c r="D945" s="87"/>
      <c r="E945" s="91"/>
      <c r="F945" s="92"/>
      <c r="G945" s="93"/>
      <c r="H945" s="93"/>
      <c r="I945" s="93"/>
      <c r="J945" s="93"/>
      <c r="K945" s="93"/>
      <c r="L945" s="93"/>
      <c r="M945" s="93"/>
      <c r="N945" s="93"/>
      <c r="O945" s="93"/>
      <c r="P945" s="93"/>
      <c r="Q945" s="93"/>
      <c r="R945" s="87"/>
      <c r="S945" s="87"/>
      <c r="T945" s="87"/>
      <c r="U945" s="19"/>
      <c r="V945" s="87"/>
      <c r="W945" s="87"/>
      <c r="X945" s="87"/>
      <c r="Y945" s="87"/>
      <c r="Z945" s="87"/>
      <c r="AA945" s="87"/>
      <c r="AB945" s="87"/>
      <c r="AC945" s="87"/>
      <c r="AD945" s="87"/>
      <c r="AE945" s="87"/>
      <c r="AF945" s="87"/>
      <c r="AG945" s="87"/>
      <c r="AH945" s="87"/>
      <c r="AI945" s="87"/>
      <c r="AJ945" s="87"/>
      <c r="AK945" s="87"/>
      <c r="AL945" s="87"/>
      <c r="AM945" s="87"/>
      <c r="AN945" s="87"/>
      <c r="AO945" s="87"/>
      <c r="AP945" s="87"/>
      <c r="AQ945" s="87"/>
      <c r="AR945" s="87"/>
      <c r="AS945" s="87"/>
      <c r="AT945" s="87"/>
      <c r="AU945" s="87"/>
      <c r="AV945" s="87"/>
      <c r="AW945" s="87"/>
      <c r="AX945" s="87"/>
      <c r="AY945" s="87"/>
      <c r="AZ945" s="87"/>
      <c r="BA945" s="87"/>
      <c r="BB945" s="87"/>
      <c r="BC945" s="87"/>
      <c r="BD945" s="87"/>
      <c r="BE945" s="87"/>
      <c r="BF945" s="87"/>
      <c r="BG945" s="87"/>
      <c r="BH945" s="87"/>
      <c r="BI945" s="87"/>
      <c r="BJ945" s="87"/>
      <c r="BK945" s="87"/>
      <c r="BL945" s="87"/>
      <c r="BM945" s="87"/>
      <c r="BN945" s="87"/>
      <c r="BO945" s="87"/>
      <c r="BP945" s="87"/>
      <c r="BQ945" s="87"/>
      <c r="BR945" s="87"/>
      <c r="BS945" s="87"/>
      <c r="BT945" s="87"/>
      <c r="BU945" s="87"/>
      <c r="BV945" s="87"/>
      <c r="BW945" s="87"/>
      <c r="BX945" s="87"/>
      <c r="BY945" s="87"/>
    </row>
    <row r="946" spans="3:77" x14ac:dyDescent="0.3">
      <c r="C946" s="90"/>
      <c r="D946" s="87"/>
      <c r="E946" s="91"/>
      <c r="F946" s="92"/>
      <c r="G946" s="93"/>
      <c r="H946" s="93"/>
      <c r="I946" s="93"/>
      <c r="J946" s="93"/>
      <c r="K946" s="93"/>
      <c r="L946" s="93"/>
      <c r="M946" s="93"/>
      <c r="N946" s="93"/>
      <c r="O946" s="93"/>
      <c r="P946" s="93"/>
      <c r="Q946" s="93"/>
      <c r="R946" s="87"/>
      <c r="S946" s="87"/>
      <c r="T946" s="87"/>
      <c r="U946" s="19"/>
      <c r="V946" s="87"/>
      <c r="W946" s="87"/>
      <c r="X946" s="87"/>
      <c r="Y946" s="87"/>
      <c r="Z946" s="87"/>
      <c r="AA946" s="87"/>
      <c r="AB946" s="87"/>
      <c r="AC946" s="87"/>
      <c r="AD946" s="87"/>
      <c r="AE946" s="87"/>
      <c r="AF946" s="87"/>
      <c r="AG946" s="87"/>
      <c r="AH946" s="87"/>
      <c r="AI946" s="87"/>
      <c r="AJ946" s="87"/>
      <c r="AK946" s="87"/>
      <c r="AL946" s="87"/>
      <c r="AM946" s="87"/>
      <c r="AN946" s="87"/>
      <c r="AO946" s="87"/>
      <c r="AP946" s="87"/>
      <c r="AQ946" s="87"/>
      <c r="AR946" s="87"/>
      <c r="AS946" s="87"/>
      <c r="AT946" s="87"/>
      <c r="AU946" s="87"/>
      <c r="AV946" s="87"/>
      <c r="AW946" s="87"/>
      <c r="AX946" s="87"/>
      <c r="AY946" s="87"/>
      <c r="AZ946" s="87"/>
      <c r="BA946" s="87"/>
      <c r="BB946" s="87"/>
      <c r="BC946" s="87"/>
      <c r="BD946" s="87"/>
      <c r="BE946" s="87"/>
      <c r="BF946" s="87"/>
      <c r="BG946" s="87"/>
      <c r="BH946" s="87"/>
      <c r="BI946" s="87"/>
      <c r="BJ946" s="87"/>
      <c r="BK946" s="87"/>
      <c r="BL946" s="87"/>
      <c r="BM946" s="87"/>
      <c r="BN946" s="87"/>
      <c r="BO946" s="87"/>
      <c r="BP946" s="87"/>
      <c r="BQ946" s="87"/>
      <c r="BR946" s="87"/>
      <c r="BS946" s="87"/>
      <c r="BT946" s="87"/>
      <c r="BU946" s="87"/>
      <c r="BV946" s="87"/>
      <c r="BW946" s="87"/>
      <c r="BX946" s="87"/>
      <c r="BY946" s="87"/>
    </row>
    <row r="947" spans="3:77" x14ac:dyDescent="0.3">
      <c r="C947" s="90"/>
      <c r="D947" s="87"/>
      <c r="E947" s="91"/>
      <c r="F947" s="92"/>
      <c r="G947" s="93"/>
      <c r="H947" s="93"/>
      <c r="I947" s="93"/>
      <c r="J947" s="93"/>
      <c r="K947" s="93"/>
      <c r="L947" s="93"/>
      <c r="M947" s="93"/>
      <c r="N947" s="93"/>
      <c r="O947" s="93"/>
      <c r="P947" s="93"/>
      <c r="Q947" s="93"/>
      <c r="R947" s="87"/>
      <c r="S947" s="87"/>
      <c r="T947" s="87"/>
      <c r="U947" s="19"/>
      <c r="V947" s="87"/>
      <c r="W947" s="87"/>
      <c r="X947" s="87"/>
      <c r="Y947" s="87"/>
      <c r="Z947" s="87"/>
      <c r="AA947" s="87"/>
      <c r="AB947" s="87"/>
      <c r="AC947" s="87"/>
      <c r="AD947" s="87"/>
      <c r="AE947" s="87"/>
      <c r="AF947" s="87"/>
      <c r="AG947" s="87"/>
      <c r="AH947" s="87"/>
      <c r="AI947" s="87"/>
      <c r="AJ947" s="87"/>
      <c r="AK947" s="87"/>
      <c r="AL947" s="87"/>
      <c r="AM947" s="87"/>
      <c r="AN947" s="87"/>
      <c r="AO947" s="87"/>
      <c r="AP947" s="87"/>
      <c r="AQ947" s="87"/>
      <c r="AR947" s="87"/>
      <c r="AS947" s="87"/>
      <c r="AT947" s="87"/>
      <c r="AU947" s="87"/>
      <c r="AV947" s="87"/>
      <c r="AW947" s="87"/>
      <c r="AX947" s="87"/>
      <c r="AY947" s="87"/>
      <c r="AZ947" s="87"/>
      <c r="BA947" s="87"/>
      <c r="BB947" s="87"/>
      <c r="BC947" s="87"/>
      <c r="BD947" s="87"/>
      <c r="BE947" s="87"/>
      <c r="BF947" s="87"/>
      <c r="BG947" s="87"/>
      <c r="BH947" s="87"/>
      <c r="BI947" s="87"/>
      <c r="BJ947" s="87"/>
      <c r="BK947" s="87"/>
      <c r="BL947" s="87"/>
      <c r="BM947" s="87"/>
      <c r="BN947" s="87"/>
      <c r="BO947" s="87"/>
      <c r="BP947" s="87"/>
      <c r="BQ947" s="87"/>
      <c r="BR947" s="87"/>
      <c r="BS947" s="87"/>
      <c r="BT947" s="87"/>
      <c r="BU947" s="87"/>
      <c r="BV947" s="87"/>
      <c r="BW947" s="87"/>
      <c r="BX947" s="87"/>
      <c r="BY947" s="87"/>
    </row>
    <row r="948" spans="3:77" x14ac:dyDescent="0.3">
      <c r="C948" s="90"/>
      <c r="D948" s="87"/>
      <c r="E948" s="91"/>
      <c r="F948" s="92"/>
      <c r="G948" s="93"/>
      <c r="H948" s="93"/>
      <c r="I948" s="93"/>
      <c r="J948" s="93"/>
      <c r="K948" s="93"/>
      <c r="L948" s="93"/>
      <c r="M948" s="93"/>
      <c r="N948" s="93"/>
      <c r="O948" s="93"/>
      <c r="P948" s="93"/>
      <c r="Q948" s="93"/>
      <c r="R948" s="87"/>
      <c r="S948" s="87"/>
      <c r="T948" s="87"/>
      <c r="U948" s="19"/>
      <c r="V948" s="87"/>
      <c r="W948" s="87"/>
      <c r="X948" s="87"/>
      <c r="Y948" s="87"/>
      <c r="Z948" s="87"/>
      <c r="AA948" s="87"/>
      <c r="AB948" s="87"/>
      <c r="AC948" s="87"/>
      <c r="AD948" s="87"/>
      <c r="AE948" s="87"/>
      <c r="AF948" s="87"/>
      <c r="AG948" s="87"/>
      <c r="AH948" s="87"/>
      <c r="AI948" s="87"/>
      <c r="AJ948" s="87"/>
      <c r="AK948" s="87"/>
      <c r="AL948" s="87"/>
      <c r="AM948" s="87"/>
      <c r="AN948" s="87"/>
      <c r="AO948" s="87"/>
      <c r="AP948" s="87"/>
      <c r="AQ948" s="87"/>
      <c r="AR948" s="87"/>
      <c r="AS948" s="87"/>
      <c r="AT948" s="87"/>
      <c r="AU948" s="87"/>
      <c r="AV948" s="87"/>
      <c r="AW948" s="87"/>
      <c r="AX948" s="87"/>
      <c r="AY948" s="87"/>
      <c r="AZ948" s="87"/>
      <c r="BA948" s="87"/>
      <c r="BB948" s="87"/>
      <c r="BC948" s="87"/>
      <c r="BD948" s="87"/>
      <c r="BE948" s="87"/>
      <c r="BF948" s="87"/>
      <c r="BG948" s="87"/>
      <c r="BH948" s="87"/>
      <c r="BI948" s="87"/>
      <c r="BJ948" s="87"/>
      <c r="BK948" s="87"/>
      <c r="BL948" s="87"/>
      <c r="BM948" s="87"/>
      <c r="BN948" s="87"/>
      <c r="BO948" s="87"/>
      <c r="BP948" s="87"/>
      <c r="BQ948" s="87"/>
      <c r="BR948" s="87"/>
      <c r="BS948" s="87"/>
      <c r="BT948" s="87"/>
      <c r="BU948" s="87"/>
      <c r="BV948" s="87"/>
      <c r="BW948" s="87"/>
      <c r="BX948" s="87"/>
      <c r="BY948" s="87"/>
    </row>
    <row r="949" spans="3:77" x14ac:dyDescent="0.3">
      <c r="C949" s="90"/>
      <c r="D949" s="87"/>
      <c r="E949" s="91"/>
      <c r="F949" s="92"/>
      <c r="G949" s="93"/>
      <c r="H949" s="93"/>
      <c r="I949" s="93"/>
      <c r="J949" s="93"/>
      <c r="K949" s="93"/>
      <c r="L949" s="93"/>
      <c r="M949" s="93"/>
      <c r="N949" s="93"/>
      <c r="O949" s="93"/>
      <c r="P949" s="93"/>
      <c r="Q949" s="93"/>
      <c r="R949" s="87"/>
      <c r="S949" s="87"/>
      <c r="T949" s="87"/>
      <c r="U949" s="19"/>
      <c r="V949" s="87"/>
      <c r="W949" s="87"/>
      <c r="X949" s="87"/>
      <c r="Y949" s="87"/>
      <c r="Z949" s="87"/>
      <c r="AA949" s="87"/>
      <c r="AB949" s="87"/>
      <c r="AC949" s="87"/>
      <c r="AD949" s="87"/>
      <c r="AE949" s="87"/>
      <c r="AF949" s="87"/>
      <c r="AG949" s="87"/>
      <c r="AH949" s="87"/>
      <c r="AI949" s="87"/>
      <c r="AJ949" s="87"/>
      <c r="AK949" s="87"/>
      <c r="AL949" s="87"/>
      <c r="AM949" s="87"/>
      <c r="AN949" s="87"/>
      <c r="AO949" s="87"/>
      <c r="AP949" s="87"/>
      <c r="AQ949" s="87"/>
      <c r="AR949" s="87"/>
      <c r="AS949" s="87"/>
      <c r="AT949" s="87"/>
      <c r="AU949" s="87"/>
      <c r="AV949" s="87"/>
      <c r="AW949" s="87"/>
      <c r="AX949" s="87"/>
      <c r="AY949" s="87"/>
      <c r="AZ949" s="87"/>
      <c r="BA949" s="87"/>
      <c r="BB949" s="87"/>
      <c r="BC949" s="87"/>
      <c r="BD949" s="87"/>
      <c r="BE949" s="87"/>
      <c r="BF949" s="87"/>
      <c r="BG949" s="87"/>
      <c r="BH949" s="87"/>
      <c r="BI949" s="87"/>
      <c r="BJ949" s="87"/>
      <c r="BK949" s="87"/>
      <c r="BL949" s="87"/>
      <c r="BM949" s="87"/>
      <c r="BN949" s="87"/>
      <c r="BO949" s="87"/>
      <c r="BP949" s="87"/>
      <c r="BQ949" s="87"/>
      <c r="BR949" s="87"/>
      <c r="BS949" s="87"/>
      <c r="BT949" s="87"/>
      <c r="BU949" s="87"/>
      <c r="BV949" s="87"/>
      <c r="BW949" s="87"/>
      <c r="BX949" s="87"/>
      <c r="BY949" s="87"/>
    </row>
    <row r="950" spans="3:77" x14ac:dyDescent="0.3">
      <c r="C950" s="90"/>
      <c r="D950" s="87"/>
      <c r="E950" s="91"/>
      <c r="F950" s="92"/>
      <c r="G950" s="93"/>
      <c r="H950" s="93"/>
      <c r="I950" s="93"/>
      <c r="J950" s="93"/>
      <c r="K950" s="93"/>
      <c r="L950" s="93"/>
      <c r="M950" s="93"/>
      <c r="N950" s="93"/>
      <c r="O950" s="93"/>
      <c r="P950" s="93"/>
      <c r="Q950" s="93"/>
      <c r="R950" s="87"/>
      <c r="S950" s="87"/>
      <c r="T950" s="87"/>
      <c r="U950" s="19"/>
      <c r="V950" s="87"/>
      <c r="W950" s="87"/>
      <c r="X950" s="87"/>
      <c r="Y950" s="87"/>
      <c r="Z950" s="87"/>
      <c r="AA950" s="87"/>
      <c r="AB950" s="87"/>
      <c r="AC950" s="87"/>
      <c r="AD950" s="87"/>
      <c r="AE950" s="87"/>
      <c r="AF950" s="87"/>
      <c r="AG950" s="87"/>
      <c r="AH950" s="87"/>
      <c r="AI950" s="87"/>
      <c r="AJ950" s="87"/>
      <c r="AK950" s="87"/>
      <c r="AL950" s="87"/>
      <c r="AM950" s="87"/>
      <c r="AN950" s="87"/>
      <c r="AO950" s="87"/>
      <c r="AP950" s="87"/>
      <c r="AQ950" s="87"/>
      <c r="AR950" s="87"/>
      <c r="AS950" s="87"/>
      <c r="AT950" s="87"/>
      <c r="AU950" s="87"/>
      <c r="AV950" s="87"/>
      <c r="AW950" s="87"/>
      <c r="AX950" s="87"/>
      <c r="AY950" s="87"/>
      <c r="AZ950" s="87"/>
      <c r="BA950" s="87"/>
      <c r="BB950" s="87"/>
      <c r="BC950" s="87"/>
      <c r="BD950" s="87"/>
      <c r="BE950" s="87"/>
      <c r="BF950" s="87"/>
      <c r="BG950" s="87"/>
      <c r="BH950" s="87"/>
      <c r="BI950" s="87"/>
      <c r="BJ950" s="87"/>
      <c r="BK950" s="87"/>
      <c r="BL950" s="87"/>
      <c r="BM950" s="87"/>
      <c r="BN950" s="87"/>
      <c r="BO950" s="87"/>
      <c r="BP950" s="87"/>
      <c r="BQ950" s="87"/>
      <c r="BR950" s="87"/>
      <c r="BS950" s="87"/>
      <c r="BT950" s="87"/>
      <c r="BU950" s="87"/>
      <c r="BV950" s="87"/>
      <c r="BW950" s="87"/>
      <c r="BX950" s="87"/>
      <c r="BY950" s="87"/>
    </row>
    <row r="951" spans="3:77" x14ac:dyDescent="0.3">
      <c r="C951" s="90"/>
      <c r="D951" s="87"/>
      <c r="E951" s="91"/>
      <c r="F951" s="92"/>
      <c r="G951" s="93"/>
      <c r="H951" s="93"/>
      <c r="I951" s="93"/>
      <c r="J951" s="93"/>
      <c r="K951" s="93"/>
      <c r="L951" s="93"/>
      <c r="M951" s="93"/>
      <c r="N951" s="93"/>
      <c r="O951" s="93"/>
      <c r="P951" s="93"/>
      <c r="Q951" s="93"/>
      <c r="R951" s="87"/>
      <c r="S951" s="87"/>
      <c r="T951" s="87"/>
      <c r="U951" s="19"/>
      <c r="V951" s="87"/>
      <c r="W951" s="87"/>
      <c r="X951" s="87"/>
      <c r="Y951" s="87"/>
      <c r="Z951" s="87"/>
      <c r="AA951" s="87"/>
      <c r="AB951" s="87"/>
      <c r="AC951" s="87"/>
      <c r="AD951" s="87"/>
      <c r="AE951" s="87"/>
      <c r="AF951" s="87"/>
      <c r="AG951" s="87"/>
      <c r="AH951" s="87"/>
      <c r="AI951" s="87"/>
      <c r="AJ951" s="87"/>
      <c r="AK951" s="87"/>
      <c r="AL951" s="87"/>
      <c r="AM951" s="87"/>
      <c r="AN951" s="87"/>
      <c r="AO951" s="87"/>
      <c r="AP951" s="87"/>
      <c r="AQ951" s="87"/>
      <c r="AR951" s="87"/>
      <c r="AS951" s="87"/>
      <c r="AT951" s="87"/>
      <c r="AU951" s="87"/>
      <c r="AV951" s="87"/>
      <c r="AW951" s="87"/>
      <c r="AX951" s="87"/>
      <c r="AY951" s="87"/>
      <c r="AZ951" s="87"/>
      <c r="BA951" s="87"/>
      <c r="BB951" s="87"/>
      <c r="BC951" s="87"/>
      <c r="BD951" s="87"/>
      <c r="BE951" s="87"/>
      <c r="BF951" s="87"/>
      <c r="BG951" s="87"/>
      <c r="BH951" s="87"/>
      <c r="BI951" s="87"/>
      <c r="BJ951" s="87"/>
      <c r="BK951" s="87"/>
      <c r="BL951" s="87"/>
      <c r="BM951" s="87"/>
      <c r="BN951" s="87"/>
      <c r="BO951" s="87"/>
      <c r="BP951" s="87"/>
      <c r="BQ951" s="87"/>
      <c r="BR951" s="87"/>
      <c r="BS951" s="87"/>
      <c r="BT951" s="87"/>
      <c r="BU951" s="87"/>
      <c r="BV951" s="87"/>
      <c r="BW951" s="87"/>
      <c r="BX951" s="87"/>
      <c r="BY951" s="87"/>
    </row>
    <row r="952" spans="3:77" x14ac:dyDescent="0.3">
      <c r="C952" s="90"/>
      <c r="D952" s="87"/>
      <c r="E952" s="91"/>
      <c r="F952" s="92"/>
      <c r="G952" s="93"/>
      <c r="H952" s="93"/>
      <c r="I952" s="93"/>
      <c r="J952" s="93"/>
      <c r="K952" s="93"/>
      <c r="L952" s="93"/>
      <c r="M952" s="93"/>
      <c r="N952" s="93"/>
      <c r="O952" s="93"/>
      <c r="P952" s="93"/>
      <c r="Q952" s="93"/>
      <c r="R952" s="87"/>
      <c r="S952" s="87"/>
      <c r="T952" s="87"/>
      <c r="U952" s="19"/>
      <c r="V952" s="87"/>
      <c r="W952" s="87"/>
      <c r="X952" s="87"/>
      <c r="Y952" s="87"/>
      <c r="Z952" s="87"/>
      <c r="AA952" s="87"/>
      <c r="AB952" s="87"/>
      <c r="AC952" s="87"/>
      <c r="AD952" s="87"/>
      <c r="AE952" s="87"/>
      <c r="AF952" s="87"/>
      <c r="AG952" s="87"/>
      <c r="AH952" s="87"/>
      <c r="AI952" s="87"/>
      <c r="AJ952" s="87"/>
      <c r="AK952" s="87"/>
      <c r="AL952" s="87"/>
      <c r="AM952" s="87"/>
      <c r="AN952" s="87"/>
      <c r="AO952" s="87"/>
      <c r="AP952" s="87"/>
      <c r="AQ952" s="87"/>
      <c r="AR952" s="87"/>
      <c r="AS952" s="87"/>
      <c r="AT952" s="87"/>
      <c r="AU952" s="87"/>
      <c r="AV952" s="87"/>
      <c r="AW952" s="87"/>
      <c r="AX952" s="87"/>
      <c r="AY952" s="87"/>
      <c r="AZ952" s="87"/>
      <c r="BA952" s="87"/>
      <c r="BB952" s="87"/>
      <c r="BC952" s="87"/>
      <c r="BD952" s="87"/>
      <c r="BE952" s="87"/>
      <c r="BF952" s="87"/>
      <c r="BG952" s="87"/>
      <c r="BH952" s="87"/>
      <c r="BI952" s="87"/>
      <c r="BJ952" s="87"/>
      <c r="BK952" s="87"/>
      <c r="BL952" s="87"/>
      <c r="BM952" s="87"/>
      <c r="BN952" s="87"/>
      <c r="BO952" s="87"/>
      <c r="BP952" s="87"/>
      <c r="BQ952" s="87"/>
      <c r="BR952" s="87"/>
      <c r="BS952" s="87"/>
      <c r="BT952" s="87"/>
      <c r="BU952" s="87"/>
      <c r="BV952" s="87"/>
      <c r="BW952" s="87"/>
      <c r="BX952" s="87"/>
      <c r="BY952" s="87"/>
    </row>
    <row r="953" spans="3:77" x14ac:dyDescent="0.3">
      <c r="C953" s="90"/>
      <c r="D953" s="87"/>
      <c r="E953" s="91"/>
      <c r="F953" s="92"/>
      <c r="G953" s="93"/>
      <c r="H953" s="93"/>
      <c r="I953" s="93"/>
      <c r="J953" s="93"/>
      <c r="K953" s="93"/>
      <c r="L953" s="93"/>
      <c r="M953" s="93"/>
      <c r="N953" s="93"/>
      <c r="O953" s="93"/>
      <c r="P953" s="93"/>
      <c r="Q953" s="93"/>
      <c r="R953" s="87"/>
      <c r="S953" s="87"/>
      <c r="T953" s="87"/>
      <c r="U953" s="19"/>
      <c r="V953" s="87"/>
      <c r="W953" s="87"/>
      <c r="X953" s="87"/>
      <c r="Y953" s="87"/>
      <c r="Z953" s="87"/>
      <c r="AA953" s="87"/>
      <c r="AB953" s="87"/>
      <c r="AC953" s="87"/>
      <c r="AD953" s="87"/>
      <c r="AE953" s="87"/>
      <c r="AF953" s="87"/>
      <c r="AG953" s="87"/>
      <c r="AH953" s="87"/>
      <c r="AI953" s="87"/>
      <c r="AJ953" s="87"/>
      <c r="AK953" s="87"/>
      <c r="AL953" s="87"/>
      <c r="AM953" s="87"/>
      <c r="AN953" s="87"/>
      <c r="AO953" s="87"/>
      <c r="AP953" s="87"/>
      <c r="AQ953" s="87"/>
      <c r="AR953" s="87"/>
      <c r="AS953" s="87"/>
      <c r="AT953" s="87"/>
      <c r="AU953" s="87"/>
      <c r="AV953" s="87"/>
      <c r="AW953" s="87"/>
      <c r="AX953" s="87"/>
      <c r="AY953" s="87"/>
      <c r="AZ953" s="87"/>
      <c r="BA953" s="87"/>
      <c r="BB953" s="87"/>
      <c r="BC953" s="87"/>
      <c r="BD953" s="87"/>
      <c r="BE953" s="87"/>
      <c r="BF953" s="87"/>
      <c r="BG953" s="87"/>
      <c r="BH953" s="87"/>
      <c r="BI953" s="87"/>
      <c r="BJ953" s="87"/>
      <c r="BK953" s="87"/>
      <c r="BL953" s="87"/>
      <c r="BM953" s="87"/>
      <c r="BN953" s="87"/>
      <c r="BO953" s="87"/>
      <c r="BP953" s="87"/>
      <c r="BQ953" s="87"/>
      <c r="BR953" s="87"/>
      <c r="BS953" s="87"/>
      <c r="BT953" s="87"/>
      <c r="BU953" s="87"/>
      <c r="BV953" s="87"/>
      <c r="BW953" s="87"/>
      <c r="BX953" s="87"/>
      <c r="BY953" s="87"/>
    </row>
    <row r="954" spans="3:77" x14ac:dyDescent="0.3">
      <c r="C954" s="90"/>
      <c r="D954" s="87"/>
      <c r="E954" s="91"/>
      <c r="F954" s="92"/>
      <c r="G954" s="93"/>
      <c r="H954" s="93"/>
      <c r="I954" s="93"/>
      <c r="J954" s="93"/>
      <c r="K954" s="93"/>
      <c r="L954" s="93"/>
      <c r="M954" s="93"/>
      <c r="N954" s="93"/>
      <c r="O954" s="93"/>
      <c r="P954" s="93"/>
      <c r="Q954" s="93"/>
      <c r="R954" s="87"/>
      <c r="S954" s="87"/>
      <c r="T954" s="87"/>
      <c r="U954" s="19"/>
      <c r="V954" s="87"/>
      <c r="W954" s="87"/>
      <c r="X954" s="87"/>
      <c r="Y954" s="87"/>
      <c r="Z954" s="87"/>
      <c r="AA954" s="87"/>
      <c r="AB954" s="87"/>
      <c r="AC954" s="87"/>
      <c r="AD954" s="87"/>
      <c r="AE954" s="87"/>
      <c r="AF954" s="87"/>
      <c r="AG954" s="87"/>
      <c r="AH954" s="87"/>
      <c r="AI954" s="87"/>
      <c r="AJ954" s="87"/>
      <c r="AK954" s="87"/>
      <c r="AL954" s="87"/>
      <c r="AM954" s="87"/>
      <c r="AN954" s="87"/>
      <c r="AO954" s="87"/>
      <c r="AP954" s="87"/>
      <c r="AQ954" s="87"/>
      <c r="AR954" s="87"/>
      <c r="AS954" s="87"/>
      <c r="AT954" s="87"/>
      <c r="AU954" s="87"/>
      <c r="AV954" s="87"/>
      <c r="AW954" s="87"/>
      <c r="AX954" s="87"/>
      <c r="AY954" s="87"/>
      <c r="AZ954" s="87"/>
      <c r="BA954" s="87"/>
      <c r="BB954" s="87"/>
      <c r="BC954" s="87"/>
      <c r="BD954" s="87"/>
      <c r="BE954" s="87"/>
      <c r="BF954" s="87"/>
      <c r="BG954" s="87"/>
      <c r="BH954" s="87"/>
      <c r="BI954" s="87"/>
      <c r="BJ954" s="87"/>
      <c r="BK954" s="87"/>
      <c r="BL954" s="87"/>
      <c r="BM954" s="87"/>
      <c r="BN954" s="87"/>
      <c r="BO954" s="87"/>
      <c r="BP954" s="87"/>
      <c r="BQ954" s="87"/>
      <c r="BR954" s="87"/>
      <c r="BS954" s="87"/>
      <c r="BT954" s="87"/>
      <c r="BU954" s="87"/>
      <c r="BV954" s="87"/>
      <c r="BW954" s="87"/>
      <c r="BX954" s="87"/>
      <c r="BY954" s="87"/>
    </row>
    <row r="955" spans="3:77" x14ac:dyDescent="0.3">
      <c r="C955" s="90"/>
      <c r="D955" s="87"/>
      <c r="E955" s="91"/>
      <c r="F955" s="92"/>
      <c r="G955" s="93"/>
      <c r="H955" s="93"/>
      <c r="I955" s="93"/>
      <c r="J955" s="93"/>
      <c r="K955" s="93"/>
      <c r="L955" s="93"/>
      <c r="M955" s="93"/>
      <c r="N955" s="93"/>
      <c r="O955" s="93"/>
      <c r="P955" s="93"/>
      <c r="Q955" s="93"/>
      <c r="R955" s="87"/>
      <c r="S955" s="87"/>
      <c r="T955" s="87"/>
      <c r="U955" s="19"/>
      <c r="V955" s="87"/>
      <c r="W955" s="87"/>
      <c r="X955" s="87"/>
      <c r="Y955" s="87"/>
      <c r="Z955" s="87"/>
      <c r="AA955" s="87"/>
      <c r="AB955" s="87"/>
      <c r="AC955" s="87"/>
      <c r="AD955" s="87"/>
      <c r="AE955" s="87"/>
      <c r="AF955" s="87"/>
      <c r="AG955" s="87"/>
      <c r="AH955" s="87"/>
      <c r="AI955" s="87"/>
      <c r="AJ955" s="87"/>
      <c r="AK955" s="87"/>
      <c r="AL955" s="87"/>
      <c r="AM955" s="87"/>
      <c r="AN955" s="87"/>
      <c r="AO955" s="87"/>
      <c r="AP955" s="87"/>
      <c r="AQ955" s="87"/>
      <c r="AR955" s="87"/>
      <c r="AS955" s="87"/>
      <c r="AT955" s="87"/>
      <c r="AU955" s="87"/>
      <c r="AV955" s="87"/>
      <c r="AW955" s="87"/>
      <c r="AX955" s="87"/>
      <c r="AY955" s="87"/>
      <c r="AZ955" s="87"/>
      <c r="BA955" s="87"/>
      <c r="BB955" s="87"/>
      <c r="BC955" s="87"/>
      <c r="BD955" s="87"/>
      <c r="BE955" s="87"/>
      <c r="BF955" s="87"/>
      <c r="BG955" s="87"/>
      <c r="BH955" s="87"/>
      <c r="BI955" s="87"/>
      <c r="BJ955" s="87"/>
      <c r="BK955" s="87"/>
      <c r="BL955" s="87"/>
      <c r="BM955" s="87"/>
      <c r="BN955" s="87"/>
      <c r="BO955" s="87"/>
      <c r="BP955" s="87"/>
      <c r="BQ955" s="87"/>
      <c r="BR955" s="87"/>
      <c r="BS955" s="87"/>
      <c r="BT955" s="87"/>
      <c r="BU955" s="87"/>
      <c r="BV955" s="87"/>
      <c r="BW955" s="87"/>
      <c r="BX955" s="87"/>
      <c r="BY955" s="87"/>
    </row>
    <row r="956" spans="3:77" x14ac:dyDescent="0.3">
      <c r="C956" s="90"/>
      <c r="D956" s="87"/>
      <c r="E956" s="91"/>
      <c r="F956" s="92"/>
      <c r="G956" s="93"/>
      <c r="H956" s="93"/>
      <c r="I956" s="93"/>
      <c r="J956" s="93"/>
      <c r="K956" s="93"/>
      <c r="L956" s="93"/>
      <c r="M956" s="93"/>
      <c r="N956" s="93"/>
      <c r="O956" s="93"/>
      <c r="P956" s="93"/>
      <c r="Q956" s="93"/>
      <c r="R956" s="87"/>
      <c r="S956" s="87"/>
      <c r="T956" s="87"/>
      <c r="U956" s="19"/>
      <c r="V956" s="87"/>
      <c r="W956" s="87"/>
      <c r="X956" s="87"/>
      <c r="Y956" s="87"/>
      <c r="Z956" s="87"/>
      <c r="AA956" s="87"/>
      <c r="AB956" s="87"/>
      <c r="AC956" s="87"/>
      <c r="AD956" s="87"/>
      <c r="AE956" s="87"/>
      <c r="AF956" s="87"/>
      <c r="AG956" s="87"/>
      <c r="AH956" s="87"/>
      <c r="AI956" s="87"/>
      <c r="AJ956" s="87"/>
      <c r="AK956" s="87"/>
      <c r="AL956" s="87"/>
      <c r="AM956" s="87"/>
      <c r="AN956" s="87"/>
      <c r="AO956" s="87"/>
      <c r="AP956" s="87"/>
      <c r="AQ956" s="87"/>
      <c r="AR956" s="87"/>
      <c r="AS956" s="87"/>
      <c r="AT956" s="87"/>
      <c r="AU956" s="87"/>
      <c r="AV956" s="87"/>
      <c r="AW956" s="87"/>
      <c r="AX956" s="87"/>
      <c r="AY956" s="87"/>
      <c r="AZ956" s="87"/>
      <c r="BA956" s="87"/>
      <c r="BB956" s="87"/>
      <c r="BC956" s="87"/>
      <c r="BD956" s="87"/>
      <c r="BE956" s="87"/>
      <c r="BF956" s="87"/>
      <c r="BG956" s="87"/>
      <c r="BH956" s="87"/>
      <c r="BI956" s="87"/>
      <c r="BJ956" s="87"/>
      <c r="BK956" s="87"/>
      <c r="BL956" s="87"/>
      <c r="BM956" s="87"/>
      <c r="BN956" s="87"/>
      <c r="BO956" s="87"/>
      <c r="BP956" s="87"/>
      <c r="BQ956" s="87"/>
      <c r="BR956" s="87"/>
      <c r="BS956" s="87"/>
      <c r="BT956" s="87"/>
      <c r="BU956" s="87"/>
      <c r="BV956" s="87"/>
      <c r="BW956" s="87"/>
      <c r="BX956" s="87"/>
      <c r="BY956" s="87"/>
    </row>
    <row r="957" spans="3:77" x14ac:dyDescent="0.3">
      <c r="C957" s="90"/>
      <c r="D957" s="87"/>
      <c r="E957" s="91"/>
      <c r="F957" s="92"/>
      <c r="G957" s="93"/>
      <c r="H957" s="93"/>
      <c r="I957" s="93"/>
      <c r="J957" s="93"/>
      <c r="K957" s="93"/>
      <c r="L957" s="93"/>
      <c r="M957" s="93"/>
      <c r="N957" s="93"/>
      <c r="O957" s="93"/>
      <c r="P957" s="93"/>
      <c r="Q957" s="93"/>
      <c r="R957" s="87"/>
      <c r="S957" s="87"/>
      <c r="T957" s="87"/>
      <c r="U957" s="19"/>
      <c r="V957" s="87"/>
      <c r="W957" s="87"/>
      <c r="X957" s="87"/>
      <c r="Y957" s="87"/>
      <c r="Z957" s="87"/>
      <c r="AA957" s="87"/>
      <c r="AB957" s="87"/>
      <c r="AC957" s="87"/>
      <c r="AD957" s="87"/>
      <c r="AE957" s="87"/>
      <c r="AF957" s="87"/>
      <c r="AG957" s="87"/>
      <c r="AH957" s="87"/>
      <c r="AI957" s="87"/>
      <c r="AJ957" s="87"/>
      <c r="AK957" s="87"/>
      <c r="AL957" s="87"/>
      <c r="AM957" s="87"/>
      <c r="AN957" s="87"/>
      <c r="AO957" s="87"/>
      <c r="AP957" s="87"/>
      <c r="AQ957" s="87"/>
      <c r="AR957" s="87"/>
      <c r="AS957" s="87"/>
      <c r="AT957" s="87"/>
      <c r="AU957" s="87"/>
      <c r="AV957" s="87"/>
      <c r="AW957" s="87"/>
      <c r="AX957" s="87"/>
      <c r="AY957" s="87"/>
      <c r="AZ957" s="87"/>
      <c r="BA957" s="87"/>
      <c r="BB957" s="87"/>
      <c r="BC957" s="87"/>
      <c r="BD957" s="87"/>
      <c r="BE957" s="87"/>
      <c r="BF957" s="87"/>
      <c r="BG957" s="87"/>
      <c r="BH957" s="87"/>
      <c r="BI957" s="87"/>
      <c r="BJ957" s="87"/>
      <c r="BK957" s="87"/>
      <c r="BL957" s="87"/>
      <c r="BM957" s="87"/>
      <c r="BN957" s="87"/>
      <c r="BO957" s="87"/>
      <c r="BP957" s="87"/>
      <c r="BQ957" s="87"/>
      <c r="BR957" s="87"/>
      <c r="BS957" s="87"/>
      <c r="BT957" s="87"/>
      <c r="BU957" s="87"/>
      <c r="BV957" s="87"/>
      <c r="BW957" s="87"/>
      <c r="BX957" s="87"/>
      <c r="BY957" s="87"/>
    </row>
    <row r="958" spans="3:77" x14ac:dyDescent="0.3">
      <c r="C958" s="90"/>
      <c r="D958" s="87"/>
      <c r="E958" s="91"/>
      <c r="F958" s="92"/>
      <c r="G958" s="93"/>
      <c r="H958" s="93"/>
      <c r="I958" s="93"/>
      <c r="J958" s="93"/>
      <c r="K958" s="93"/>
      <c r="L958" s="93"/>
      <c r="M958" s="93"/>
      <c r="N958" s="93"/>
      <c r="O958" s="93"/>
      <c r="P958" s="93"/>
      <c r="Q958" s="93"/>
      <c r="R958" s="87"/>
      <c r="S958" s="87"/>
      <c r="T958" s="87"/>
      <c r="U958" s="19"/>
      <c r="V958" s="87"/>
      <c r="W958" s="87"/>
      <c r="X958" s="87"/>
      <c r="Y958" s="87"/>
      <c r="Z958" s="87"/>
      <c r="AA958" s="87"/>
      <c r="AB958" s="87"/>
      <c r="AC958" s="87"/>
      <c r="AD958" s="87"/>
      <c r="AE958" s="87"/>
      <c r="AF958" s="87"/>
      <c r="AG958" s="87"/>
      <c r="AH958" s="87"/>
      <c r="AI958" s="87"/>
      <c r="AJ958" s="87"/>
      <c r="AK958" s="87"/>
      <c r="AL958" s="87"/>
      <c r="AM958" s="87"/>
      <c r="AN958" s="87"/>
      <c r="AO958" s="87"/>
      <c r="AP958" s="87"/>
      <c r="AQ958" s="87"/>
      <c r="AR958" s="87"/>
      <c r="AS958" s="87"/>
      <c r="AT958" s="87"/>
      <c r="AU958" s="87"/>
      <c r="AV958" s="87"/>
      <c r="AW958" s="87"/>
      <c r="AX958" s="87"/>
      <c r="AY958" s="87"/>
      <c r="AZ958" s="87"/>
      <c r="BA958" s="87"/>
      <c r="BB958" s="87"/>
      <c r="BC958" s="87"/>
      <c r="BD958" s="87"/>
      <c r="BE958" s="87"/>
      <c r="BF958" s="87"/>
      <c r="BG958" s="87"/>
      <c r="BH958" s="87"/>
      <c r="BI958" s="87"/>
      <c r="BJ958" s="87"/>
      <c r="BK958" s="87"/>
      <c r="BL958" s="87"/>
      <c r="BM958" s="87"/>
      <c r="BN958" s="87"/>
      <c r="BO958" s="87"/>
      <c r="BP958" s="87"/>
      <c r="BQ958" s="87"/>
      <c r="BR958" s="87"/>
      <c r="BS958" s="87"/>
      <c r="BT958" s="87"/>
      <c r="BU958" s="87"/>
      <c r="BV958" s="87"/>
      <c r="BW958" s="87"/>
      <c r="BX958" s="87"/>
      <c r="BY958" s="87"/>
    </row>
    <row r="959" spans="3:77" x14ac:dyDescent="0.3">
      <c r="C959" s="90"/>
      <c r="D959" s="87"/>
      <c r="E959" s="91"/>
      <c r="F959" s="92"/>
      <c r="G959" s="93"/>
      <c r="H959" s="93"/>
      <c r="I959" s="93"/>
      <c r="J959" s="93"/>
      <c r="K959" s="93"/>
      <c r="L959" s="93"/>
      <c r="M959" s="93"/>
      <c r="N959" s="93"/>
      <c r="O959" s="93"/>
      <c r="P959" s="93"/>
      <c r="Q959" s="93"/>
      <c r="R959" s="87"/>
      <c r="S959" s="87"/>
      <c r="T959" s="87"/>
      <c r="U959" s="19"/>
      <c r="V959" s="87"/>
      <c r="W959" s="87"/>
      <c r="X959" s="87"/>
      <c r="Y959" s="87"/>
      <c r="Z959" s="87"/>
      <c r="AA959" s="87"/>
      <c r="AB959" s="87"/>
      <c r="AC959" s="87"/>
      <c r="AD959" s="87"/>
      <c r="AE959" s="87"/>
      <c r="AF959" s="87"/>
      <c r="AG959" s="87"/>
      <c r="AH959" s="87"/>
      <c r="AI959" s="87"/>
      <c r="AJ959" s="87"/>
      <c r="AK959" s="87"/>
      <c r="AL959" s="87"/>
      <c r="AM959" s="87"/>
      <c r="AN959" s="87"/>
      <c r="AO959" s="87"/>
      <c r="AP959" s="87"/>
      <c r="AQ959" s="87"/>
      <c r="AR959" s="87"/>
      <c r="AS959" s="87"/>
      <c r="AT959" s="87"/>
      <c r="AU959" s="87"/>
      <c r="AV959" s="87"/>
      <c r="AW959" s="87"/>
      <c r="AX959" s="87"/>
      <c r="AY959" s="87"/>
      <c r="AZ959" s="87"/>
      <c r="BA959" s="87"/>
      <c r="BB959" s="87"/>
      <c r="BC959" s="87"/>
      <c r="BD959" s="87"/>
      <c r="BE959" s="87"/>
      <c r="BF959" s="87"/>
      <c r="BG959" s="87"/>
      <c r="BH959" s="87"/>
      <c r="BI959" s="87"/>
      <c r="BJ959" s="87"/>
      <c r="BK959" s="87"/>
      <c r="BL959" s="87"/>
      <c r="BM959" s="87"/>
      <c r="BN959" s="87"/>
      <c r="BO959" s="87"/>
      <c r="BP959" s="87"/>
      <c r="BQ959" s="87"/>
      <c r="BR959" s="87"/>
      <c r="BS959" s="87"/>
      <c r="BT959" s="87"/>
      <c r="BU959" s="87"/>
      <c r="BV959" s="87"/>
      <c r="BW959" s="87"/>
      <c r="BX959" s="87"/>
      <c r="BY959" s="87"/>
    </row>
    <row r="960" spans="3:77" x14ac:dyDescent="0.3">
      <c r="C960" s="90"/>
      <c r="D960" s="87"/>
      <c r="E960" s="91"/>
      <c r="F960" s="92"/>
      <c r="G960" s="93"/>
      <c r="H960" s="93"/>
      <c r="I960" s="93"/>
      <c r="J960" s="93"/>
      <c r="K960" s="93"/>
      <c r="L960" s="93"/>
      <c r="M960" s="93"/>
      <c r="N960" s="93"/>
      <c r="O960" s="93"/>
      <c r="P960" s="93"/>
      <c r="Q960" s="93"/>
      <c r="R960" s="87"/>
      <c r="S960" s="87"/>
      <c r="T960" s="87"/>
      <c r="U960" s="19"/>
      <c r="V960" s="87"/>
      <c r="W960" s="87"/>
      <c r="X960" s="87"/>
      <c r="Y960" s="87"/>
      <c r="Z960" s="87"/>
      <c r="AA960" s="87"/>
      <c r="AB960" s="87"/>
      <c r="AC960" s="87"/>
      <c r="AD960" s="87"/>
      <c r="AE960" s="87"/>
      <c r="AF960" s="87"/>
      <c r="AG960" s="87"/>
      <c r="AH960" s="87"/>
      <c r="AI960" s="87"/>
      <c r="AJ960" s="87"/>
      <c r="AK960" s="87"/>
      <c r="AL960" s="87"/>
      <c r="AM960" s="87"/>
      <c r="AN960" s="87"/>
      <c r="AO960" s="87"/>
      <c r="AP960" s="87"/>
      <c r="AQ960" s="87"/>
      <c r="AR960" s="87"/>
      <c r="AS960" s="87"/>
      <c r="AT960" s="87"/>
      <c r="AU960" s="87"/>
      <c r="AV960" s="87"/>
      <c r="AW960" s="87"/>
      <c r="AX960" s="87"/>
      <c r="AY960" s="87"/>
      <c r="AZ960" s="87"/>
      <c r="BA960" s="87"/>
      <c r="BB960" s="87"/>
      <c r="BC960" s="87"/>
      <c r="BD960" s="87"/>
      <c r="BE960" s="87"/>
      <c r="BF960" s="87"/>
      <c r="BG960" s="87"/>
      <c r="BH960" s="87"/>
      <c r="BI960" s="87"/>
      <c r="BJ960" s="87"/>
      <c r="BK960" s="87"/>
      <c r="BL960" s="87"/>
      <c r="BM960" s="87"/>
      <c r="BN960" s="87"/>
      <c r="BO960" s="87"/>
      <c r="BP960" s="87"/>
      <c r="BQ960" s="87"/>
      <c r="BR960" s="87"/>
      <c r="BS960" s="87"/>
      <c r="BT960" s="87"/>
      <c r="BU960" s="87"/>
      <c r="BV960" s="87"/>
      <c r="BW960" s="87"/>
      <c r="BX960" s="87"/>
      <c r="BY960" s="87"/>
    </row>
    <row r="961" spans="3:77" x14ac:dyDescent="0.3">
      <c r="C961" s="90"/>
      <c r="D961" s="87"/>
      <c r="E961" s="91"/>
      <c r="F961" s="92"/>
      <c r="G961" s="93"/>
      <c r="H961" s="93"/>
      <c r="I961" s="93"/>
      <c r="J961" s="93"/>
      <c r="K961" s="93"/>
      <c r="L961" s="93"/>
      <c r="M961" s="93"/>
      <c r="N961" s="93"/>
      <c r="O961" s="93"/>
      <c r="P961" s="93"/>
      <c r="Q961" s="93"/>
      <c r="R961" s="87"/>
      <c r="S961" s="87"/>
      <c r="T961" s="87"/>
      <c r="U961" s="19"/>
      <c r="V961" s="87"/>
      <c r="W961" s="87"/>
      <c r="X961" s="87"/>
      <c r="Y961" s="87"/>
      <c r="Z961" s="87"/>
      <c r="AA961" s="87"/>
      <c r="AB961" s="87"/>
      <c r="AC961" s="87"/>
      <c r="AD961" s="87"/>
      <c r="AE961" s="87"/>
      <c r="AF961" s="87"/>
      <c r="AG961" s="87"/>
      <c r="AH961" s="87"/>
      <c r="AI961" s="87"/>
      <c r="AJ961" s="87"/>
      <c r="AK961" s="87"/>
      <c r="AL961" s="87"/>
      <c r="AM961" s="87"/>
      <c r="AN961" s="87"/>
      <c r="AO961" s="87"/>
      <c r="AP961" s="87"/>
      <c r="AQ961" s="87"/>
      <c r="AR961" s="87"/>
      <c r="AS961" s="87"/>
      <c r="AT961" s="87"/>
      <c r="AU961" s="87"/>
      <c r="AV961" s="87"/>
      <c r="AW961" s="87"/>
      <c r="AX961" s="87"/>
      <c r="AY961" s="87"/>
      <c r="AZ961" s="87"/>
      <c r="BA961" s="87"/>
      <c r="BB961" s="87"/>
      <c r="BC961" s="87"/>
      <c r="BD961" s="87"/>
      <c r="BE961" s="87"/>
      <c r="BF961" s="87"/>
      <c r="BG961" s="87"/>
      <c r="BH961" s="87"/>
      <c r="BI961" s="87"/>
      <c r="BJ961" s="87"/>
      <c r="BK961" s="87"/>
      <c r="BL961" s="87"/>
      <c r="BM961" s="87"/>
      <c r="BN961" s="87"/>
      <c r="BO961" s="87"/>
      <c r="BP961" s="87"/>
      <c r="BQ961" s="87"/>
      <c r="BR961" s="87"/>
      <c r="BS961" s="87"/>
      <c r="BT961" s="87"/>
      <c r="BU961" s="87"/>
      <c r="BV961" s="87"/>
      <c r="BW961" s="87"/>
      <c r="BX961" s="87"/>
      <c r="BY961" s="87"/>
    </row>
    <row r="962" spans="3:77" x14ac:dyDescent="0.3">
      <c r="C962" s="90"/>
      <c r="D962" s="87"/>
      <c r="E962" s="91"/>
      <c r="F962" s="92"/>
      <c r="G962" s="93"/>
      <c r="H962" s="93"/>
      <c r="I962" s="93"/>
      <c r="J962" s="93"/>
      <c r="K962" s="93"/>
      <c r="L962" s="93"/>
      <c r="M962" s="93"/>
      <c r="N962" s="93"/>
      <c r="O962" s="93"/>
      <c r="P962" s="93"/>
      <c r="Q962" s="93"/>
      <c r="R962" s="87"/>
      <c r="S962" s="87"/>
      <c r="T962" s="87"/>
      <c r="U962" s="19"/>
      <c r="V962" s="87"/>
      <c r="W962" s="87"/>
      <c r="X962" s="87"/>
      <c r="Y962" s="87"/>
      <c r="Z962" s="87"/>
      <c r="AA962" s="87"/>
      <c r="AB962" s="87"/>
      <c r="AC962" s="87"/>
      <c r="AD962" s="87"/>
      <c r="AE962" s="87"/>
      <c r="AF962" s="87"/>
      <c r="AG962" s="87"/>
      <c r="AH962" s="87"/>
      <c r="AI962" s="87"/>
      <c r="AJ962" s="87"/>
      <c r="AK962" s="87"/>
      <c r="AL962" s="87"/>
      <c r="AM962" s="87"/>
      <c r="AN962" s="87"/>
      <c r="AO962" s="87"/>
      <c r="AP962" s="87"/>
      <c r="AQ962" s="87"/>
      <c r="AR962" s="87"/>
      <c r="AS962" s="87"/>
      <c r="AT962" s="87"/>
      <c r="AU962" s="87"/>
      <c r="AV962" s="87"/>
      <c r="AW962" s="87"/>
      <c r="AX962" s="87"/>
      <c r="AY962" s="87"/>
      <c r="AZ962" s="87"/>
      <c r="BA962" s="87"/>
      <c r="BB962" s="87"/>
      <c r="BC962" s="87"/>
      <c r="BD962" s="87"/>
      <c r="BE962" s="87"/>
      <c r="BF962" s="87"/>
      <c r="BG962" s="87"/>
      <c r="BH962" s="87"/>
      <c r="BI962" s="87"/>
      <c r="BJ962" s="87"/>
      <c r="BK962" s="87"/>
      <c r="BL962" s="87"/>
      <c r="BM962" s="87"/>
      <c r="BN962" s="87"/>
      <c r="BO962" s="87"/>
      <c r="BP962" s="87"/>
      <c r="BQ962" s="87"/>
      <c r="BR962" s="87"/>
      <c r="BS962" s="87"/>
      <c r="BT962" s="87"/>
      <c r="BU962" s="87"/>
      <c r="BV962" s="87"/>
      <c r="BW962" s="87"/>
      <c r="BX962" s="87"/>
      <c r="BY962" s="87"/>
    </row>
    <row r="963" spans="3:77" x14ac:dyDescent="0.3">
      <c r="C963" s="90"/>
      <c r="D963" s="87"/>
      <c r="E963" s="91"/>
      <c r="F963" s="92"/>
      <c r="G963" s="93"/>
      <c r="H963" s="93"/>
      <c r="I963" s="93"/>
      <c r="J963" s="93"/>
      <c r="K963" s="93"/>
      <c r="L963" s="93"/>
      <c r="M963" s="93"/>
      <c r="N963" s="93"/>
      <c r="O963" s="93"/>
      <c r="P963" s="93"/>
      <c r="Q963" s="93"/>
      <c r="R963" s="87"/>
      <c r="S963" s="87"/>
      <c r="T963" s="87"/>
      <c r="U963" s="19"/>
      <c r="V963" s="87"/>
      <c r="W963" s="87"/>
      <c r="X963" s="87"/>
      <c r="Y963" s="87"/>
      <c r="Z963" s="87"/>
      <c r="AA963" s="87"/>
      <c r="AB963" s="87"/>
      <c r="AC963" s="87"/>
      <c r="AD963" s="87"/>
      <c r="AE963" s="87"/>
      <c r="AF963" s="87"/>
      <c r="AG963" s="87"/>
      <c r="AH963" s="87"/>
      <c r="AI963" s="87"/>
      <c r="AJ963" s="87"/>
      <c r="AK963" s="87"/>
      <c r="AL963" s="87"/>
      <c r="AM963" s="87"/>
      <c r="AN963" s="87"/>
      <c r="AO963" s="87"/>
      <c r="AP963" s="87"/>
      <c r="AQ963" s="87"/>
      <c r="AR963" s="87"/>
      <c r="AS963" s="87"/>
      <c r="AT963" s="87"/>
      <c r="AU963" s="87"/>
      <c r="AV963" s="87"/>
      <c r="AW963" s="87"/>
      <c r="AX963" s="87"/>
      <c r="AY963" s="87"/>
      <c r="AZ963" s="87"/>
      <c r="BA963" s="87"/>
      <c r="BB963" s="87"/>
      <c r="BC963" s="87"/>
      <c r="BD963" s="87"/>
      <c r="BE963" s="87"/>
      <c r="BF963" s="87"/>
      <c r="BG963" s="87"/>
      <c r="BH963" s="87"/>
      <c r="BI963" s="87"/>
      <c r="BJ963" s="87"/>
      <c r="BK963" s="87"/>
      <c r="BL963" s="87"/>
      <c r="BM963" s="87"/>
      <c r="BN963" s="87"/>
      <c r="BO963" s="87"/>
      <c r="BP963" s="87"/>
      <c r="BQ963" s="87"/>
      <c r="BR963" s="87"/>
      <c r="BS963" s="87"/>
      <c r="BT963" s="87"/>
      <c r="BU963" s="87"/>
      <c r="BV963" s="87"/>
      <c r="BW963" s="87"/>
      <c r="BX963" s="87"/>
      <c r="BY963" s="87"/>
    </row>
    <row r="964" spans="3:77" x14ac:dyDescent="0.3">
      <c r="C964" s="90"/>
      <c r="D964" s="87"/>
      <c r="E964" s="91"/>
      <c r="F964" s="92"/>
      <c r="G964" s="93"/>
      <c r="H964" s="93"/>
      <c r="I964" s="93"/>
      <c r="J964" s="93"/>
      <c r="K964" s="93"/>
      <c r="L964" s="93"/>
      <c r="M964" s="93"/>
      <c r="N964" s="93"/>
      <c r="O964" s="93"/>
      <c r="P964" s="93"/>
      <c r="Q964" s="93"/>
      <c r="R964" s="87"/>
      <c r="S964" s="87"/>
      <c r="T964" s="87"/>
      <c r="U964" s="19"/>
      <c r="V964" s="87"/>
      <c r="W964" s="87"/>
      <c r="X964" s="87"/>
      <c r="Y964" s="87"/>
      <c r="Z964" s="87"/>
      <c r="AA964" s="87"/>
      <c r="AB964" s="87"/>
      <c r="AC964" s="87"/>
      <c r="AD964" s="87"/>
      <c r="AE964" s="87"/>
      <c r="AF964" s="87"/>
      <c r="AG964" s="87"/>
      <c r="AH964" s="87"/>
      <c r="AI964" s="87"/>
      <c r="AJ964" s="87"/>
      <c r="AK964" s="87"/>
      <c r="AL964" s="87"/>
      <c r="AM964" s="87"/>
      <c r="AN964" s="87"/>
      <c r="AO964" s="87"/>
      <c r="AP964" s="87"/>
      <c r="AQ964" s="87"/>
      <c r="AR964" s="87"/>
      <c r="AS964" s="87"/>
      <c r="AT964" s="87"/>
      <c r="AU964" s="87"/>
      <c r="AV964" s="87"/>
      <c r="AW964" s="87"/>
      <c r="AX964" s="87"/>
      <c r="AY964" s="87"/>
      <c r="AZ964" s="87"/>
      <c r="BA964" s="87"/>
      <c r="BB964" s="87"/>
      <c r="BC964" s="87"/>
      <c r="BD964" s="87"/>
      <c r="BE964" s="87"/>
      <c r="BF964" s="87"/>
      <c r="BG964" s="87"/>
      <c r="BH964" s="87"/>
      <c r="BI964" s="87"/>
      <c r="BJ964" s="87"/>
      <c r="BK964" s="87"/>
      <c r="BL964" s="87"/>
      <c r="BM964" s="87"/>
      <c r="BN964" s="87"/>
      <c r="BO964" s="87"/>
      <c r="BP964" s="87"/>
      <c r="BQ964" s="87"/>
      <c r="BR964" s="87"/>
      <c r="BS964" s="87"/>
      <c r="BT964" s="87"/>
      <c r="BU964" s="87"/>
      <c r="BV964" s="87"/>
      <c r="BW964" s="87"/>
      <c r="BX964" s="87"/>
      <c r="BY964" s="87"/>
    </row>
    <row r="965" spans="3:77" x14ac:dyDescent="0.3">
      <c r="C965" s="90"/>
      <c r="D965" s="87"/>
      <c r="E965" s="91"/>
      <c r="F965" s="92"/>
      <c r="G965" s="93"/>
      <c r="H965" s="93"/>
      <c r="I965" s="93"/>
      <c r="J965" s="93"/>
      <c r="K965" s="93"/>
      <c r="L965" s="93"/>
      <c r="M965" s="93"/>
      <c r="N965" s="93"/>
      <c r="O965" s="93"/>
      <c r="P965" s="93"/>
      <c r="Q965" s="93"/>
      <c r="R965" s="87"/>
      <c r="S965" s="87"/>
      <c r="T965" s="87"/>
      <c r="U965" s="19"/>
      <c r="V965" s="87"/>
      <c r="W965" s="87"/>
      <c r="X965" s="87"/>
      <c r="Y965" s="87"/>
      <c r="Z965" s="87"/>
      <c r="AA965" s="87"/>
      <c r="AB965" s="87"/>
      <c r="AC965" s="87"/>
      <c r="AD965" s="87"/>
      <c r="AE965" s="87"/>
      <c r="AF965" s="87"/>
      <c r="AG965" s="87"/>
      <c r="AH965" s="87"/>
      <c r="AI965" s="87"/>
      <c r="AJ965" s="87"/>
      <c r="AK965" s="87"/>
      <c r="AL965" s="87"/>
      <c r="AM965" s="87"/>
      <c r="AN965" s="87"/>
      <c r="AO965" s="87"/>
      <c r="AP965" s="87"/>
      <c r="AQ965" s="87"/>
      <c r="AR965" s="87"/>
      <c r="AS965" s="87"/>
      <c r="AT965" s="87"/>
      <c r="AU965" s="87"/>
      <c r="AV965" s="87"/>
      <c r="AW965" s="87"/>
      <c r="AX965" s="87"/>
      <c r="AY965" s="87"/>
      <c r="AZ965" s="87"/>
      <c r="BA965" s="87"/>
      <c r="BB965" s="87"/>
      <c r="BC965" s="87"/>
      <c r="BD965" s="87"/>
      <c r="BE965" s="87"/>
      <c r="BF965" s="87"/>
      <c r="BG965" s="87"/>
      <c r="BH965" s="87"/>
      <c r="BI965" s="87"/>
      <c r="BJ965" s="87"/>
      <c r="BK965" s="87"/>
      <c r="BL965" s="87"/>
      <c r="BM965" s="87"/>
      <c r="BN965" s="87"/>
      <c r="BO965" s="87"/>
      <c r="BP965" s="87"/>
      <c r="BQ965" s="87"/>
      <c r="BR965" s="87"/>
      <c r="BS965" s="87"/>
      <c r="BT965" s="87"/>
      <c r="BU965" s="87"/>
      <c r="BV965" s="87"/>
      <c r="BW965" s="87"/>
      <c r="BX965" s="87"/>
      <c r="BY965" s="87"/>
    </row>
    <row r="966" spans="3:77" x14ac:dyDescent="0.3">
      <c r="C966" s="90"/>
      <c r="D966" s="87"/>
      <c r="E966" s="91"/>
      <c r="F966" s="92"/>
      <c r="G966" s="93"/>
      <c r="H966" s="93"/>
      <c r="I966" s="93"/>
      <c r="J966" s="93"/>
      <c r="K966" s="93"/>
      <c r="L966" s="93"/>
      <c r="M966" s="93"/>
      <c r="N966" s="93"/>
      <c r="O966" s="93"/>
      <c r="P966" s="93"/>
      <c r="Q966" s="93"/>
      <c r="R966" s="87"/>
      <c r="S966" s="87"/>
      <c r="T966" s="87"/>
      <c r="U966" s="19"/>
      <c r="V966" s="87"/>
      <c r="W966" s="87"/>
      <c r="X966" s="87"/>
      <c r="Y966" s="87"/>
      <c r="Z966" s="87"/>
      <c r="AA966" s="87"/>
      <c r="AB966" s="87"/>
      <c r="AC966" s="87"/>
      <c r="AD966" s="87"/>
      <c r="AE966" s="87"/>
      <c r="AF966" s="87"/>
      <c r="AG966" s="87"/>
      <c r="AH966" s="87"/>
      <c r="AI966" s="87"/>
      <c r="AJ966" s="87"/>
      <c r="AK966" s="87"/>
      <c r="AL966" s="87"/>
      <c r="AM966" s="87"/>
      <c r="AN966" s="87"/>
      <c r="AO966" s="87"/>
      <c r="AP966" s="87"/>
      <c r="AQ966" s="87"/>
      <c r="AR966" s="87"/>
      <c r="AS966" s="87"/>
      <c r="AT966" s="87"/>
      <c r="AU966" s="87"/>
      <c r="AV966" s="87"/>
      <c r="AW966" s="87"/>
      <c r="AX966" s="87"/>
      <c r="AY966" s="87"/>
      <c r="AZ966" s="87"/>
      <c r="BA966" s="87"/>
      <c r="BB966" s="87"/>
      <c r="BC966" s="87"/>
      <c r="BD966" s="87"/>
      <c r="BE966" s="87"/>
      <c r="BF966" s="87"/>
      <c r="BG966" s="87"/>
      <c r="BH966" s="87"/>
      <c r="BI966" s="87"/>
      <c r="BJ966" s="87"/>
      <c r="BK966" s="87"/>
      <c r="BL966" s="87"/>
      <c r="BM966" s="87"/>
      <c r="BN966" s="87"/>
      <c r="BO966" s="87"/>
      <c r="BP966" s="87"/>
      <c r="BQ966" s="87"/>
      <c r="BR966" s="87"/>
      <c r="BS966" s="87"/>
      <c r="BT966" s="87"/>
      <c r="BU966" s="87"/>
      <c r="BV966" s="87"/>
      <c r="BW966" s="87"/>
      <c r="BX966" s="87"/>
      <c r="BY966" s="87"/>
    </row>
    <row r="967" spans="3:77" x14ac:dyDescent="0.3">
      <c r="C967" s="90"/>
      <c r="D967" s="87"/>
      <c r="E967" s="91"/>
      <c r="F967" s="92"/>
      <c r="G967" s="93"/>
      <c r="H967" s="93"/>
      <c r="I967" s="93"/>
      <c r="J967" s="93"/>
      <c r="K967" s="93"/>
      <c r="L967" s="93"/>
      <c r="M967" s="93"/>
      <c r="N967" s="93"/>
      <c r="O967" s="93"/>
      <c r="P967" s="93"/>
      <c r="Q967" s="93"/>
      <c r="R967" s="87"/>
      <c r="S967" s="87"/>
      <c r="T967" s="87"/>
      <c r="U967" s="19"/>
      <c r="V967" s="87"/>
      <c r="W967" s="87"/>
      <c r="X967" s="87"/>
      <c r="Y967" s="87"/>
      <c r="Z967" s="87"/>
      <c r="AA967" s="87"/>
      <c r="AB967" s="87"/>
      <c r="AC967" s="87"/>
      <c r="AD967" s="87"/>
      <c r="AE967" s="87"/>
      <c r="AF967" s="87"/>
      <c r="AG967" s="87"/>
      <c r="AH967" s="87"/>
      <c r="AI967" s="87"/>
      <c r="AJ967" s="87"/>
      <c r="AK967" s="87"/>
      <c r="AL967" s="87"/>
      <c r="AM967" s="87"/>
      <c r="AN967" s="87"/>
      <c r="AO967" s="87"/>
      <c r="AP967" s="87"/>
      <c r="AQ967" s="87"/>
      <c r="AR967" s="87"/>
      <c r="AS967" s="87"/>
      <c r="AT967" s="87"/>
      <c r="AU967" s="87"/>
      <c r="AV967" s="87"/>
      <c r="AW967" s="87"/>
      <c r="AX967" s="87"/>
      <c r="AY967" s="87"/>
      <c r="AZ967" s="87"/>
      <c r="BA967" s="87"/>
      <c r="BB967" s="87"/>
      <c r="BC967" s="87"/>
      <c r="BD967" s="87"/>
      <c r="BE967" s="87"/>
      <c r="BF967" s="87"/>
      <c r="BG967" s="87"/>
      <c r="BH967" s="87"/>
      <c r="BI967" s="87"/>
      <c r="BJ967" s="87"/>
      <c r="BK967" s="87"/>
      <c r="BL967" s="87"/>
      <c r="BM967" s="87"/>
      <c r="BN967" s="87"/>
      <c r="BO967" s="87"/>
      <c r="BP967" s="87"/>
      <c r="BQ967" s="87"/>
      <c r="BR967" s="87"/>
      <c r="BS967" s="87"/>
      <c r="BT967" s="87"/>
      <c r="BU967" s="87"/>
      <c r="BV967" s="87"/>
      <c r="BW967" s="87"/>
      <c r="BX967" s="87"/>
      <c r="BY967" s="87"/>
    </row>
    <row r="968" spans="3:77" x14ac:dyDescent="0.3">
      <c r="C968" s="90"/>
      <c r="D968" s="87"/>
      <c r="E968" s="91"/>
      <c r="F968" s="92"/>
      <c r="G968" s="93"/>
      <c r="H968" s="93"/>
      <c r="I968" s="93"/>
      <c r="J968" s="93"/>
      <c r="K968" s="93"/>
      <c r="L968" s="93"/>
      <c r="M968" s="93"/>
      <c r="N968" s="93"/>
      <c r="O968" s="93"/>
      <c r="P968" s="93"/>
      <c r="Q968" s="93"/>
      <c r="R968" s="87"/>
      <c r="S968" s="87"/>
      <c r="T968" s="87"/>
      <c r="U968" s="19"/>
      <c r="V968" s="87"/>
      <c r="W968" s="87"/>
      <c r="X968" s="87"/>
      <c r="Y968" s="87"/>
      <c r="Z968" s="87"/>
      <c r="AA968" s="87"/>
      <c r="AB968" s="87"/>
      <c r="AC968" s="87"/>
      <c r="AD968" s="87"/>
      <c r="AE968" s="87"/>
      <c r="AF968" s="87"/>
      <c r="AG968" s="87"/>
      <c r="AH968" s="87"/>
      <c r="AI968" s="87"/>
      <c r="AJ968" s="87"/>
      <c r="AK968" s="87"/>
      <c r="AL968" s="87"/>
      <c r="AM968" s="87"/>
      <c r="AN968" s="87"/>
      <c r="AO968" s="87"/>
      <c r="AP968" s="87"/>
      <c r="AQ968" s="87"/>
      <c r="AR968" s="87"/>
      <c r="AS968" s="87"/>
      <c r="AT968" s="87"/>
      <c r="AU968" s="87"/>
      <c r="AV968" s="87"/>
      <c r="AW968" s="87"/>
      <c r="AX968" s="87"/>
      <c r="AY968" s="87"/>
      <c r="AZ968" s="87"/>
      <c r="BA968" s="87"/>
      <c r="BB968" s="87"/>
      <c r="BC968" s="87"/>
      <c r="BD968" s="87"/>
      <c r="BE968" s="87"/>
      <c r="BF968" s="87"/>
      <c r="BG968" s="87"/>
      <c r="BH968" s="87"/>
      <c r="BI968" s="87"/>
      <c r="BJ968" s="87"/>
      <c r="BK968" s="87"/>
      <c r="BL968" s="87"/>
      <c r="BM968" s="87"/>
      <c r="BN968" s="87"/>
      <c r="BO968" s="87"/>
      <c r="BP968" s="87"/>
      <c r="BQ968" s="87"/>
      <c r="BR968" s="87"/>
      <c r="BS968" s="87"/>
      <c r="BT968" s="87"/>
      <c r="BU968" s="87"/>
      <c r="BV968" s="87"/>
      <c r="BW968" s="87"/>
      <c r="BX968" s="87"/>
      <c r="BY968" s="87"/>
    </row>
    <row r="969" spans="3:77" x14ac:dyDescent="0.3">
      <c r="C969" s="90"/>
      <c r="D969" s="87"/>
      <c r="E969" s="91"/>
      <c r="F969" s="92"/>
      <c r="G969" s="93"/>
      <c r="H969" s="93"/>
      <c r="I969" s="93"/>
      <c r="J969" s="93"/>
      <c r="K969" s="93"/>
      <c r="L969" s="93"/>
      <c r="M969" s="93"/>
      <c r="N969" s="93"/>
      <c r="O969" s="93"/>
      <c r="P969" s="93"/>
      <c r="Q969" s="93"/>
      <c r="R969" s="87"/>
      <c r="S969" s="87"/>
      <c r="T969" s="87"/>
      <c r="U969" s="19"/>
      <c r="V969" s="87"/>
      <c r="W969" s="87"/>
      <c r="X969" s="87"/>
      <c r="Y969" s="87"/>
      <c r="Z969" s="87"/>
      <c r="AA969" s="87"/>
      <c r="AB969" s="87"/>
      <c r="AC969" s="87"/>
      <c r="AD969" s="87"/>
      <c r="AE969" s="87"/>
      <c r="AF969" s="87"/>
      <c r="AG969" s="87"/>
      <c r="AH969" s="87"/>
      <c r="AI969" s="87"/>
      <c r="AJ969" s="87"/>
      <c r="AK969" s="87"/>
      <c r="AL969" s="87"/>
      <c r="AM969" s="87"/>
      <c r="AN969" s="87"/>
      <c r="AO969" s="87"/>
      <c r="AP969" s="87"/>
      <c r="AQ969" s="87"/>
      <c r="AR969" s="87"/>
      <c r="AS969" s="87"/>
      <c r="AT969" s="87"/>
      <c r="AU969" s="87"/>
      <c r="AV969" s="87"/>
      <c r="AW969" s="87"/>
      <c r="AX969" s="87"/>
      <c r="AY969" s="87"/>
      <c r="AZ969" s="87"/>
      <c r="BA969" s="87"/>
      <c r="BB969" s="87"/>
      <c r="BC969" s="87"/>
      <c r="BD969" s="87"/>
      <c r="BE969" s="87"/>
      <c r="BF969" s="87"/>
      <c r="BG969" s="87"/>
      <c r="BH969" s="87"/>
      <c r="BI969" s="87"/>
      <c r="BJ969" s="87"/>
      <c r="BK969" s="87"/>
      <c r="BL969" s="87"/>
      <c r="BM969" s="87"/>
      <c r="BN969" s="87"/>
      <c r="BO969" s="87"/>
      <c r="BP969" s="87"/>
      <c r="BQ969" s="87"/>
      <c r="BR969" s="87"/>
      <c r="BS969" s="87"/>
      <c r="BT969" s="87"/>
      <c r="BU969" s="87"/>
      <c r="BV969" s="87"/>
      <c r="BW969" s="87"/>
      <c r="BX969" s="87"/>
      <c r="BY969" s="87"/>
    </row>
    <row r="970" spans="3:77" x14ac:dyDescent="0.3">
      <c r="C970" s="90"/>
      <c r="D970" s="87"/>
      <c r="E970" s="91"/>
      <c r="F970" s="92"/>
      <c r="G970" s="93"/>
      <c r="H970" s="93"/>
      <c r="I970" s="93"/>
      <c r="J970" s="93"/>
      <c r="K970" s="93"/>
      <c r="L970" s="93"/>
      <c r="M970" s="93"/>
      <c r="N970" s="93"/>
      <c r="O970" s="93"/>
      <c r="P970" s="93"/>
      <c r="Q970" s="93"/>
      <c r="R970" s="87"/>
      <c r="S970" s="87"/>
      <c r="T970" s="87"/>
      <c r="U970" s="19"/>
      <c r="V970" s="87"/>
      <c r="W970" s="87"/>
      <c r="X970" s="87"/>
      <c r="Y970" s="87"/>
      <c r="Z970" s="87"/>
      <c r="AA970" s="87"/>
      <c r="AB970" s="87"/>
      <c r="AC970" s="87"/>
      <c r="AD970" s="87"/>
      <c r="AE970" s="87"/>
      <c r="AF970" s="87"/>
      <c r="AG970" s="87"/>
      <c r="AH970" s="87"/>
      <c r="AI970" s="87"/>
      <c r="AJ970" s="87"/>
      <c r="AK970" s="87"/>
      <c r="AL970" s="87"/>
      <c r="AM970" s="87"/>
      <c r="AN970" s="87"/>
      <c r="AO970" s="87"/>
      <c r="AP970" s="87"/>
      <c r="AQ970" s="87"/>
      <c r="AR970" s="87"/>
      <c r="AS970" s="87"/>
      <c r="AT970" s="87"/>
      <c r="AU970" s="87"/>
      <c r="AV970" s="87"/>
      <c r="AW970" s="87"/>
      <c r="AX970" s="87"/>
      <c r="AY970" s="87"/>
      <c r="AZ970" s="87"/>
      <c r="BA970" s="87"/>
      <c r="BB970" s="87"/>
      <c r="BC970" s="87"/>
      <c r="BD970" s="87"/>
      <c r="BE970" s="87"/>
      <c r="BF970" s="87"/>
      <c r="BG970" s="87"/>
      <c r="BH970" s="87"/>
      <c r="BI970" s="87"/>
      <c r="BJ970" s="87"/>
      <c r="BK970" s="87"/>
      <c r="BL970" s="87"/>
      <c r="BM970" s="87"/>
      <c r="BN970" s="87"/>
      <c r="BO970" s="87"/>
      <c r="BP970" s="87"/>
      <c r="BQ970" s="87"/>
      <c r="BR970" s="87"/>
      <c r="BS970" s="87"/>
      <c r="BT970" s="87"/>
      <c r="BU970" s="87"/>
      <c r="BV970" s="87"/>
      <c r="BW970" s="87"/>
      <c r="BX970" s="87"/>
      <c r="BY970" s="87"/>
    </row>
    <row r="971" spans="3:77" x14ac:dyDescent="0.3">
      <c r="C971" s="90"/>
      <c r="D971" s="87"/>
      <c r="E971" s="91"/>
      <c r="F971" s="92"/>
      <c r="G971" s="93"/>
      <c r="H971" s="93"/>
      <c r="I971" s="93"/>
      <c r="J971" s="93"/>
      <c r="K971" s="93"/>
      <c r="L971" s="93"/>
      <c r="M971" s="93"/>
      <c r="N971" s="93"/>
      <c r="O971" s="93"/>
      <c r="P971" s="93"/>
      <c r="Q971" s="93"/>
      <c r="R971" s="87"/>
      <c r="S971" s="87"/>
      <c r="T971" s="87"/>
      <c r="U971" s="19"/>
      <c r="V971" s="87"/>
      <c r="W971" s="87"/>
      <c r="X971" s="87"/>
      <c r="Y971" s="87"/>
      <c r="Z971" s="87"/>
      <c r="AA971" s="87"/>
      <c r="AB971" s="87"/>
      <c r="AC971" s="87"/>
      <c r="AD971" s="87"/>
      <c r="AE971" s="87"/>
      <c r="AF971" s="87"/>
      <c r="AG971" s="87"/>
      <c r="AH971" s="87"/>
      <c r="AI971" s="87"/>
      <c r="AJ971" s="87"/>
      <c r="AK971" s="87"/>
      <c r="AL971" s="87"/>
      <c r="AM971" s="87"/>
      <c r="AN971" s="87"/>
      <c r="AO971" s="87"/>
      <c r="AP971" s="87"/>
      <c r="AQ971" s="87"/>
      <c r="AR971" s="87"/>
      <c r="AS971" s="87"/>
      <c r="AT971" s="87"/>
      <c r="AU971" s="87"/>
      <c r="AV971" s="87"/>
      <c r="AW971" s="87"/>
      <c r="AX971" s="87"/>
      <c r="AY971" s="87"/>
      <c r="AZ971" s="87"/>
      <c r="BA971" s="87"/>
      <c r="BB971" s="87"/>
      <c r="BC971" s="87"/>
      <c r="BD971" s="87"/>
      <c r="BE971" s="87"/>
      <c r="BF971" s="87"/>
      <c r="BG971" s="87"/>
      <c r="BH971" s="87"/>
      <c r="BI971" s="87"/>
      <c r="BJ971" s="87"/>
      <c r="BK971" s="87"/>
      <c r="BL971" s="87"/>
      <c r="BM971" s="87"/>
      <c r="BN971" s="87"/>
      <c r="BO971" s="87"/>
      <c r="BP971" s="87"/>
      <c r="BQ971" s="87"/>
      <c r="BR971" s="87"/>
      <c r="BS971" s="87"/>
      <c r="BT971" s="87"/>
      <c r="BU971" s="87"/>
      <c r="BV971" s="87"/>
      <c r="BW971" s="87"/>
      <c r="BX971" s="87"/>
      <c r="BY971" s="87"/>
    </row>
    <row r="972" spans="3:77" x14ac:dyDescent="0.3">
      <c r="C972" s="90"/>
      <c r="D972" s="87"/>
      <c r="E972" s="91"/>
      <c r="F972" s="92"/>
      <c r="G972" s="93"/>
      <c r="H972" s="93"/>
      <c r="I972" s="93"/>
      <c r="J972" s="93"/>
      <c r="K972" s="93"/>
      <c r="L972" s="93"/>
      <c r="M972" s="93"/>
      <c r="N972" s="93"/>
      <c r="O972" s="93"/>
      <c r="P972" s="93"/>
      <c r="Q972" s="93"/>
      <c r="R972" s="87"/>
      <c r="S972" s="87"/>
      <c r="T972" s="87"/>
      <c r="U972" s="19"/>
      <c r="V972" s="87"/>
      <c r="W972" s="87"/>
      <c r="X972" s="87"/>
      <c r="Y972" s="87"/>
      <c r="Z972" s="87"/>
      <c r="AA972" s="87"/>
      <c r="AB972" s="87"/>
      <c r="AC972" s="87"/>
      <c r="AD972" s="87"/>
      <c r="AE972" s="87"/>
      <c r="AF972" s="87"/>
      <c r="AG972" s="87"/>
      <c r="AH972" s="87"/>
      <c r="AI972" s="87"/>
      <c r="AJ972" s="87"/>
      <c r="AK972" s="87"/>
      <c r="AL972" s="87"/>
      <c r="AM972" s="87"/>
      <c r="AN972" s="87"/>
      <c r="AO972" s="87"/>
      <c r="AP972" s="87"/>
      <c r="AQ972" s="87"/>
      <c r="AR972" s="87"/>
      <c r="AS972" s="87"/>
      <c r="AT972" s="87"/>
      <c r="AU972" s="87"/>
      <c r="AV972" s="87"/>
      <c r="AW972" s="87"/>
      <c r="AX972" s="87"/>
      <c r="AY972" s="87"/>
      <c r="AZ972" s="87"/>
      <c r="BA972" s="87"/>
      <c r="BB972" s="87"/>
      <c r="BC972" s="87"/>
      <c r="BD972" s="87"/>
      <c r="BE972" s="87"/>
      <c r="BF972" s="87"/>
      <c r="BG972" s="87"/>
      <c r="BH972" s="87"/>
      <c r="BI972" s="87"/>
      <c r="BJ972" s="87"/>
      <c r="BK972" s="87"/>
      <c r="BL972" s="87"/>
      <c r="BM972" s="87"/>
      <c r="BN972" s="87"/>
      <c r="BO972" s="87"/>
      <c r="BP972" s="87"/>
      <c r="BQ972" s="87"/>
      <c r="BR972" s="87"/>
      <c r="BS972" s="87"/>
      <c r="BT972" s="87"/>
      <c r="BU972" s="87"/>
      <c r="BV972" s="87"/>
      <c r="BW972" s="87"/>
      <c r="BX972" s="87"/>
      <c r="BY972" s="87"/>
    </row>
    <row r="973" spans="3:77" x14ac:dyDescent="0.3">
      <c r="C973" s="90"/>
      <c r="D973" s="87"/>
      <c r="E973" s="91"/>
      <c r="F973" s="92"/>
      <c r="G973" s="93"/>
      <c r="H973" s="93"/>
      <c r="I973" s="93"/>
      <c r="J973" s="93"/>
      <c r="K973" s="93"/>
      <c r="L973" s="93"/>
      <c r="M973" s="93"/>
      <c r="N973" s="93"/>
      <c r="O973" s="93"/>
      <c r="P973" s="93"/>
      <c r="Q973" s="93"/>
      <c r="R973" s="87"/>
      <c r="S973" s="87"/>
      <c r="T973" s="87"/>
      <c r="U973" s="19"/>
      <c r="V973" s="87"/>
      <c r="W973" s="87"/>
      <c r="X973" s="87"/>
      <c r="Y973" s="87"/>
      <c r="Z973" s="87"/>
      <c r="AA973" s="87"/>
      <c r="AB973" s="87"/>
      <c r="AC973" s="87"/>
      <c r="AD973" s="87"/>
      <c r="AE973" s="87"/>
      <c r="AF973" s="87"/>
      <c r="AG973" s="87"/>
      <c r="AH973" s="87"/>
      <c r="AI973" s="87"/>
      <c r="AJ973" s="87"/>
      <c r="AK973" s="87"/>
      <c r="AL973" s="87"/>
      <c r="AM973" s="87"/>
      <c r="AN973" s="87"/>
      <c r="AO973" s="87"/>
      <c r="AP973" s="87"/>
      <c r="AQ973" s="87"/>
      <c r="AR973" s="87"/>
      <c r="AS973" s="87"/>
      <c r="AT973" s="87"/>
      <c r="AU973" s="87"/>
      <c r="AV973" s="87"/>
      <c r="AW973" s="87"/>
      <c r="AX973" s="87"/>
      <c r="AY973" s="87"/>
      <c r="AZ973" s="87"/>
      <c r="BA973" s="87"/>
      <c r="BB973" s="87"/>
      <c r="BC973" s="87"/>
      <c r="BD973" s="87"/>
      <c r="BE973" s="87"/>
      <c r="BF973" s="87"/>
      <c r="BG973" s="87"/>
      <c r="BH973" s="87"/>
      <c r="BI973" s="87"/>
      <c r="BJ973" s="87"/>
      <c r="BK973" s="87"/>
      <c r="BL973" s="87"/>
      <c r="BM973" s="87"/>
      <c r="BN973" s="87"/>
      <c r="BO973" s="87"/>
      <c r="BP973" s="87"/>
      <c r="BQ973" s="87"/>
      <c r="BR973" s="87"/>
      <c r="BS973" s="87"/>
      <c r="BT973" s="87"/>
      <c r="BU973" s="87"/>
      <c r="BV973" s="87"/>
      <c r="BW973" s="87"/>
      <c r="BX973" s="87"/>
      <c r="BY973" s="87"/>
    </row>
    <row r="974" spans="3:77" x14ac:dyDescent="0.3">
      <c r="C974" s="90"/>
      <c r="D974" s="87"/>
      <c r="E974" s="91"/>
      <c r="F974" s="92"/>
      <c r="G974" s="93"/>
      <c r="H974" s="93"/>
      <c r="I974" s="93"/>
      <c r="J974" s="93"/>
      <c r="K974" s="93"/>
      <c r="L974" s="93"/>
      <c r="M974" s="93"/>
      <c r="N974" s="93"/>
      <c r="O974" s="93"/>
      <c r="P974" s="93"/>
      <c r="Q974" s="93"/>
      <c r="R974" s="87"/>
      <c r="S974" s="87"/>
      <c r="T974" s="87"/>
      <c r="U974" s="19"/>
      <c r="V974" s="87"/>
      <c r="W974" s="87"/>
      <c r="X974" s="87"/>
      <c r="Y974" s="87"/>
      <c r="Z974" s="87"/>
      <c r="AA974" s="87"/>
      <c r="AB974" s="87"/>
      <c r="AC974" s="87"/>
      <c r="AD974" s="87"/>
      <c r="AE974" s="87"/>
      <c r="AF974" s="87"/>
      <c r="AG974" s="87"/>
      <c r="AH974" s="87"/>
      <c r="AI974" s="87"/>
      <c r="AJ974" s="87"/>
      <c r="AK974" s="87"/>
      <c r="AL974" s="87"/>
      <c r="AM974" s="87"/>
      <c r="AN974" s="87"/>
      <c r="AO974" s="87"/>
      <c r="AP974" s="87"/>
      <c r="AQ974" s="87"/>
      <c r="AR974" s="87"/>
      <c r="AS974" s="87"/>
      <c r="AT974" s="87"/>
      <c r="AU974" s="87"/>
      <c r="AV974" s="87"/>
      <c r="AW974" s="87"/>
      <c r="AX974" s="87"/>
      <c r="AY974" s="87"/>
      <c r="AZ974" s="87"/>
      <c r="BA974" s="87"/>
      <c r="BB974" s="87"/>
      <c r="BC974" s="87"/>
      <c r="BD974" s="87"/>
      <c r="BE974" s="87"/>
      <c r="BF974" s="87"/>
      <c r="BG974" s="87"/>
      <c r="BH974" s="87"/>
      <c r="BI974" s="87"/>
      <c r="BJ974" s="87"/>
      <c r="BK974" s="87"/>
      <c r="BL974" s="87"/>
      <c r="BM974" s="87"/>
      <c r="BN974" s="87"/>
      <c r="BO974" s="87"/>
      <c r="BP974" s="87"/>
      <c r="BQ974" s="87"/>
      <c r="BR974" s="87"/>
      <c r="BS974" s="87"/>
      <c r="BT974" s="87"/>
      <c r="BU974" s="87"/>
      <c r="BV974" s="87"/>
      <c r="BW974" s="87"/>
      <c r="BX974" s="87"/>
      <c r="BY974" s="87"/>
    </row>
    <row r="975" spans="3:77" x14ac:dyDescent="0.3">
      <c r="C975" s="90"/>
      <c r="D975" s="87"/>
      <c r="E975" s="91"/>
      <c r="F975" s="92"/>
      <c r="G975" s="93"/>
      <c r="H975" s="93"/>
      <c r="I975" s="93"/>
      <c r="J975" s="93"/>
      <c r="K975" s="93"/>
      <c r="L975" s="93"/>
      <c r="M975" s="93"/>
      <c r="N975" s="93"/>
      <c r="O975" s="93"/>
      <c r="P975" s="93"/>
      <c r="Q975" s="93"/>
      <c r="R975" s="87"/>
      <c r="S975" s="87"/>
      <c r="T975" s="87"/>
      <c r="U975" s="19"/>
      <c r="V975" s="87"/>
      <c r="W975" s="87"/>
      <c r="X975" s="87"/>
      <c r="Y975" s="87"/>
      <c r="Z975" s="87"/>
      <c r="AA975" s="87"/>
      <c r="AB975" s="87"/>
      <c r="AC975" s="87"/>
      <c r="AD975" s="87"/>
      <c r="AE975" s="87"/>
      <c r="AF975" s="87"/>
      <c r="AG975" s="87"/>
      <c r="AH975" s="87"/>
      <c r="AI975" s="87"/>
      <c r="AJ975" s="87"/>
      <c r="AK975" s="87"/>
      <c r="AL975" s="87"/>
      <c r="AM975" s="87"/>
      <c r="AN975" s="87"/>
      <c r="AO975" s="87"/>
      <c r="AP975" s="87"/>
      <c r="AQ975" s="87"/>
      <c r="AR975" s="87"/>
      <c r="AS975" s="87"/>
      <c r="AT975" s="87"/>
      <c r="AU975" s="87"/>
      <c r="AV975" s="87"/>
      <c r="AW975" s="87"/>
      <c r="AX975" s="87"/>
      <c r="AY975" s="87"/>
      <c r="AZ975" s="87"/>
      <c r="BA975" s="87"/>
      <c r="BB975" s="87"/>
      <c r="BC975" s="87"/>
      <c r="BD975" s="87"/>
      <c r="BE975" s="87"/>
      <c r="BF975" s="87"/>
      <c r="BG975" s="87"/>
      <c r="BH975" s="87"/>
      <c r="BI975" s="87"/>
      <c r="BJ975" s="87"/>
      <c r="BK975" s="87"/>
      <c r="BL975" s="87"/>
      <c r="BM975" s="87"/>
      <c r="BN975" s="87"/>
      <c r="BO975" s="87"/>
      <c r="BP975" s="87"/>
      <c r="BQ975" s="87"/>
      <c r="BR975" s="87"/>
      <c r="BS975" s="87"/>
      <c r="BT975" s="87"/>
      <c r="BU975" s="87"/>
      <c r="BV975" s="87"/>
      <c r="BW975" s="87"/>
      <c r="BX975" s="87"/>
      <c r="BY975" s="87"/>
    </row>
    <row r="976" spans="3:77" x14ac:dyDescent="0.3">
      <c r="C976" s="90"/>
      <c r="D976" s="87"/>
      <c r="E976" s="91"/>
      <c r="F976" s="92"/>
      <c r="G976" s="93"/>
      <c r="H976" s="93"/>
      <c r="I976" s="93"/>
      <c r="J976" s="93"/>
      <c r="K976" s="93"/>
      <c r="L976" s="93"/>
      <c r="M976" s="93"/>
      <c r="N976" s="93"/>
      <c r="O976" s="93"/>
      <c r="P976" s="93"/>
      <c r="Q976" s="93"/>
      <c r="R976" s="87"/>
      <c r="S976" s="87"/>
      <c r="T976" s="87"/>
      <c r="U976" s="19"/>
      <c r="V976" s="87"/>
      <c r="W976" s="87"/>
      <c r="X976" s="87"/>
      <c r="Y976" s="87"/>
      <c r="Z976" s="87"/>
      <c r="AA976" s="87"/>
      <c r="AB976" s="87"/>
      <c r="AC976" s="87"/>
      <c r="AD976" s="87"/>
      <c r="AE976" s="87"/>
      <c r="AF976" s="87"/>
      <c r="AG976" s="87"/>
      <c r="AH976" s="87"/>
      <c r="AI976" s="87"/>
      <c r="AJ976" s="87"/>
      <c r="AK976" s="87"/>
      <c r="AL976" s="87"/>
      <c r="AM976" s="87"/>
      <c r="AN976" s="87"/>
      <c r="AO976" s="87"/>
      <c r="AP976" s="87"/>
      <c r="AQ976" s="87"/>
      <c r="AR976" s="87"/>
      <c r="AS976" s="87"/>
      <c r="AT976" s="87"/>
      <c r="AU976" s="87"/>
      <c r="AV976" s="87"/>
      <c r="AW976" s="87"/>
      <c r="AX976" s="87"/>
      <c r="AY976" s="87"/>
      <c r="AZ976" s="87"/>
      <c r="BA976" s="87"/>
      <c r="BB976" s="87"/>
      <c r="BC976" s="87"/>
      <c r="BD976" s="87"/>
      <c r="BE976" s="87"/>
      <c r="BF976" s="87"/>
      <c r="BG976" s="87"/>
      <c r="BH976" s="87"/>
      <c r="BI976" s="87"/>
      <c r="BJ976" s="87"/>
      <c r="BK976" s="87"/>
      <c r="BL976" s="87"/>
      <c r="BM976" s="87"/>
      <c r="BN976" s="87"/>
      <c r="BO976" s="87"/>
      <c r="BP976" s="87"/>
      <c r="BQ976" s="87"/>
      <c r="BR976" s="87"/>
      <c r="BS976" s="87"/>
      <c r="BT976" s="87"/>
      <c r="BU976" s="87"/>
      <c r="BV976" s="87"/>
      <c r="BW976" s="87"/>
      <c r="BX976" s="87"/>
      <c r="BY976" s="87"/>
    </row>
    <row r="977" spans="3:77" x14ac:dyDescent="0.3">
      <c r="C977" s="90"/>
      <c r="D977" s="87"/>
      <c r="E977" s="91"/>
      <c r="F977" s="92"/>
      <c r="G977" s="93"/>
      <c r="H977" s="93"/>
      <c r="I977" s="93"/>
      <c r="J977" s="93"/>
      <c r="K977" s="93"/>
      <c r="L977" s="93"/>
      <c r="M977" s="93"/>
      <c r="N977" s="93"/>
      <c r="O977" s="93"/>
      <c r="P977" s="93"/>
      <c r="Q977" s="93"/>
      <c r="R977" s="87"/>
      <c r="S977" s="87"/>
      <c r="T977" s="87"/>
      <c r="U977" s="19"/>
      <c r="V977" s="87"/>
      <c r="W977" s="87"/>
      <c r="X977" s="87"/>
      <c r="Y977" s="87"/>
      <c r="Z977" s="87"/>
      <c r="AA977" s="87"/>
      <c r="AB977" s="87"/>
      <c r="AC977" s="87"/>
      <c r="AD977" s="87"/>
      <c r="AE977" s="87"/>
      <c r="AF977" s="87"/>
      <c r="AG977" s="87"/>
      <c r="AH977" s="87"/>
      <c r="AI977" s="87"/>
      <c r="AJ977" s="87"/>
      <c r="AK977" s="87"/>
      <c r="AL977" s="87"/>
      <c r="AM977" s="87"/>
      <c r="AN977" s="87"/>
      <c r="AO977" s="87"/>
      <c r="AP977" s="87"/>
      <c r="AQ977" s="87"/>
      <c r="AR977" s="87"/>
      <c r="AS977" s="87"/>
      <c r="AT977" s="87"/>
      <c r="AU977" s="87"/>
      <c r="AV977" s="87"/>
      <c r="AW977" s="87"/>
      <c r="AX977" s="87"/>
      <c r="AY977" s="87"/>
      <c r="AZ977" s="87"/>
      <c r="BA977" s="87"/>
      <c r="BB977" s="87"/>
      <c r="BC977" s="87"/>
      <c r="BD977" s="87"/>
      <c r="BE977" s="87"/>
      <c r="BF977" s="87"/>
      <c r="BG977" s="87"/>
      <c r="BH977" s="87"/>
      <c r="BI977" s="87"/>
      <c r="BJ977" s="87"/>
      <c r="BK977" s="87"/>
      <c r="BL977" s="87"/>
      <c r="BM977" s="87"/>
      <c r="BN977" s="87"/>
      <c r="BO977" s="87"/>
      <c r="BP977" s="87"/>
      <c r="BQ977" s="87"/>
      <c r="BR977" s="87"/>
      <c r="BS977" s="87"/>
      <c r="BT977" s="87"/>
      <c r="BU977" s="87"/>
      <c r="BV977" s="87"/>
      <c r="BW977" s="87"/>
      <c r="BX977" s="87"/>
      <c r="BY977" s="87"/>
    </row>
    <row r="978" spans="3:77" x14ac:dyDescent="0.3">
      <c r="C978" s="90"/>
      <c r="D978" s="87"/>
      <c r="E978" s="91"/>
      <c r="F978" s="92"/>
      <c r="G978" s="93"/>
      <c r="H978" s="93"/>
      <c r="I978" s="93"/>
      <c r="J978" s="93"/>
      <c r="K978" s="93"/>
      <c r="L978" s="93"/>
      <c r="M978" s="93"/>
      <c r="N978" s="93"/>
      <c r="O978" s="93"/>
      <c r="P978" s="93"/>
      <c r="Q978" s="93"/>
      <c r="R978" s="87"/>
      <c r="S978" s="87"/>
      <c r="T978" s="87"/>
      <c r="U978" s="19"/>
      <c r="V978" s="87"/>
      <c r="W978" s="87"/>
      <c r="X978" s="87"/>
      <c r="Y978" s="87"/>
      <c r="Z978" s="87"/>
      <c r="AA978" s="87"/>
      <c r="AB978" s="87"/>
      <c r="AC978" s="87"/>
      <c r="AD978" s="87"/>
      <c r="AE978" s="87"/>
      <c r="AF978" s="87"/>
      <c r="AG978" s="87"/>
      <c r="AH978" s="87"/>
      <c r="AI978" s="87"/>
      <c r="AJ978" s="87"/>
      <c r="AK978" s="87"/>
      <c r="AL978" s="87"/>
      <c r="AM978" s="87"/>
      <c r="AN978" s="87"/>
      <c r="AO978" s="87"/>
      <c r="AP978" s="87"/>
      <c r="AQ978" s="87"/>
      <c r="AR978" s="87"/>
      <c r="AS978" s="87"/>
      <c r="AT978" s="87"/>
      <c r="AU978" s="87"/>
      <c r="AV978" s="87"/>
      <c r="AW978" s="87"/>
      <c r="AX978" s="87"/>
      <c r="AY978" s="87"/>
      <c r="AZ978" s="87"/>
      <c r="BA978" s="87"/>
      <c r="BB978" s="87"/>
      <c r="BC978" s="87"/>
      <c r="BD978" s="87"/>
      <c r="BE978" s="87"/>
      <c r="BF978" s="87"/>
      <c r="BG978" s="87"/>
      <c r="BH978" s="87"/>
      <c r="BI978" s="87"/>
      <c r="BJ978" s="87"/>
      <c r="BK978" s="87"/>
      <c r="BL978" s="87"/>
      <c r="BM978" s="87"/>
      <c r="BN978" s="87"/>
      <c r="BO978" s="87"/>
      <c r="BP978" s="87"/>
      <c r="BQ978" s="87"/>
      <c r="BR978" s="87"/>
      <c r="BS978" s="87"/>
      <c r="BT978" s="87"/>
      <c r="BU978" s="87"/>
      <c r="BV978" s="87"/>
      <c r="BW978" s="87"/>
      <c r="BX978" s="87"/>
      <c r="BY978" s="87"/>
    </row>
    <row r="979" spans="3:77" x14ac:dyDescent="0.3">
      <c r="C979" s="90"/>
      <c r="D979" s="87"/>
      <c r="E979" s="91"/>
      <c r="F979" s="92"/>
      <c r="G979" s="93"/>
      <c r="H979" s="93"/>
      <c r="I979" s="93"/>
      <c r="J979" s="93"/>
      <c r="K979" s="93"/>
      <c r="L979" s="93"/>
      <c r="M979" s="93"/>
      <c r="N979" s="93"/>
      <c r="O979" s="93"/>
      <c r="P979" s="93"/>
      <c r="Q979" s="93"/>
      <c r="R979" s="87"/>
      <c r="S979" s="87"/>
      <c r="T979" s="87"/>
      <c r="U979" s="19"/>
      <c r="V979" s="87"/>
      <c r="W979" s="87"/>
      <c r="X979" s="87"/>
      <c r="Y979" s="87"/>
      <c r="Z979" s="87"/>
      <c r="AA979" s="87"/>
      <c r="AB979" s="87"/>
      <c r="AC979" s="87"/>
      <c r="AD979" s="87"/>
      <c r="AE979" s="87"/>
      <c r="AF979" s="87"/>
      <c r="AG979" s="87"/>
      <c r="AH979" s="87"/>
      <c r="AI979" s="87"/>
      <c r="AJ979" s="87"/>
      <c r="AK979" s="87"/>
      <c r="AL979" s="87"/>
      <c r="AM979" s="87"/>
      <c r="AN979" s="87"/>
      <c r="AO979" s="87"/>
      <c r="AP979" s="87"/>
      <c r="AQ979" s="87"/>
      <c r="AR979" s="87"/>
      <c r="AS979" s="87"/>
      <c r="AT979" s="87"/>
      <c r="AU979" s="87"/>
      <c r="AV979" s="87"/>
      <c r="AW979" s="87"/>
      <c r="AX979" s="87"/>
      <c r="AY979" s="87"/>
      <c r="AZ979" s="87"/>
      <c r="BA979" s="87"/>
      <c r="BB979" s="87"/>
      <c r="BC979" s="87"/>
      <c r="BD979" s="87"/>
      <c r="BE979" s="87"/>
      <c r="BF979" s="87"/>
      <c r="BG979" s="87"/>
      <c r="BH979" s="87"/>
      <c r="BI979" s="87"/>
      <c r="BJ979" s="87"/>
      <c r="BK979" s="87"/>
      <c r="BL979" s="87"/>
      <c r="BM979" s="87"/>
      <c r="BN979" s="87"/>
      <c r="BO979" s="87"/>
      <c r="BP979" s="87"/>
      <c r="BQ979" s="87"/>
      <c r="BR979" s="87"/>
      <c r="BS979" s="87"/>
      <c r="BT979" s="87"/>
      <c r="BU979" s="87"/>
      <c r="BV979" s="87"/>
      <c r="BW979" s="87"/>
      <c r="BX979" s="87"/>
      <c r="BY979" s="87"/>
    </row>
    <row r="980" spans="3:77" x14ac:dyDescent="0.3">
      <c r="C980" s="90"/>
      <c r="D980" s="87"/>
      <c r="E980" s="91"/>
      <c r="F980" s="92"/>
      <c r="G980" s="93"/>
      <c r="H980" s="93"/>
      <c r="I980" s="93"/>
      <c r="J980" s="93"/>
      <c r="K980" s="93"/>
      <c r="L980" s="93"/>
      <c r="M980" s="93"/>
      <c r="N980" s="93"/>
      <c r="O980" s="93"/>
      <c r="P980" s="93"/>
      <c r="Q980" s="93"/>
      <c r="R980" s="87"/>
      <c r="S980" s="87"/>
      <c r="T980" s="87"/>
      <c r="U980" s="19"/>
      <c r="V980" s="87"/>
      <c r="W980" s="87"/>
      <c r="X980" s="87"/>
      <c r="Y980" s="87"/>
      <c r="Z980" s="87"/>
      <c r="AA980" s="87"/>
      <c r="AB980" s="87"/>
      <c r="AC980" s="87"/>
      <c r="AD980" s="87"/>
      <c r="AE980" s="87"/>
      <c r="AF980" s="87"/>
      <c r="AG980" s="87"/>
      <c r="AH980" s="87"/>
      <c r="AI980" s="87"/>
      <c r="AJ980" s="87"/>
      <c r="AK980" s="87"/>
      <c r="AL980" s="87"/>
      <c r="AM980" s="87"/>
      <c r="AN980" s="87"/>
      <c r="AO980" s="87"/>
      <c r="AP980" s="87"/>
      <c r="AQ980" s="87"/>
      <c r="AR980" s="87"/>
      <c r="AS980" s="87"/>
      <c r="AT980" s="87"/>
      <c r="AU980" s="87"/>
      <c r="AV980" s="87"/>
      <c r="AW980" s="87"/>
      <c r="AX980" s="87"/>
      <c r="AY980" s="87"/>
      <c r="AZ980" s="87"/>
      <c r="BA980" s="87"/>
      <c r="BB980" s="87"/>
      <c r="BC980" s="87"/>
      <c r="BD980" s="87"/>
      <c r="BE980" s="87"/>
      <c r="BF980" s="87"/>
      <c r="BG980" s="87"/>
      <c r="BH980" s="87"/>
      <c r="BI980" s="87"/>
      <c r="BJ980" s="87"/>
      <c r="BK980" s="87"/>
      <c r="BL980" s="87"/>
      <c r="BM980" s="87"/>
      <c r="BN980" s="87"/>
      <c r="BO980" s="87"/>
      <c r="BP980" s="87"/>
      <c r="BQ980" s="87"/>
      <c r="BR980" s="87"/>
      <c r="BS980" s="87"/>
      <c r="BT980" s="87"/>
      <c r="BU980" s="87"/>
      <c r="BV980" s="87"/>
      <c r="BW980" s="87"/>
      <c r="BX980" s="87"/>
      <c r="BY980" s="87"/>
    </row>
    <row r="981" spans="3:77" x14ac:dyDescent="0.3">
      <c r="C981" s="90"/>
      <c r="D981" s="87"/>
      <c r="E981" s="91"/>
      <c r="F981" s="92"/>
      <c r="G981" s="93"/>
      <c r="H981" s="93"/>
      <c r="I981" s="93"/>
      <c r="J981" s="93"/>
      <c r="K981" s="93"/>
      <c r="L981" s="93"/>
      <c r="M981" s="93"/>
      <c r="N981" s="93"/>
      <c r="O981" s="93"/>
      <c r="P981" s="93"/>
      <c r="Q981" s="93"/>
      <c r="R981" s="87"/>
      <c r="S981" s="87"/>
      <c r="T981" s="87"/>
      <c r="U981" s="19"/>
      <c r="V981" s="87"/>
      <c r="W981" s="87"/>
      <c r="X981" s="87"/>
      <c r="Y981" s="87"/>
      <c r="Z981" s="87"/>
      <c r="AA981" s="87"/>
      <c r="AB981" s="87"/>
      <c r="AC981" s="87"/>
      <c r="AD981" s="87"/>
      <c r="AE981" s="87"/>
      <c r="AF981" s="87"/>
      <c r="AG981" s="87"/>
      <c r="AH981" s="87"/>
      <c r="AI981" s="87"/>
      <c r="AJ981" s="87"/>
      <c r="AK981" s="87"/>
      <c r="AL981" s="87"/>
      <c r="AM981" s="87"/>
      <c r="AN981" s="87"/>
      <c r="AO981" s="87"/>
      <c r="AP981" s="87"/>
      <c r="AQ981" s="87"/>
      <c r="AR981" s="87"/>
      <c r="AS981" s="87"/>
      <c r="AT981" s="87"/>
      <c r="AU981" s="87"/>
      <c r="AV981" s="87"/>
      <c r="AW981" s="87"/>
      <c r="AX981" s="87"/>
      <c r="AY981" s="87"/>
      <c r="AZ981" s="87"/>
      <c r="BA981" s="87"/>
      <c r="BB981" s="87"/>
      <c r="BC981" s="87"/>
      <c r="BD981" s="87"/>
      <c r="BE981" s="87"/>
      <c r="BF981" s="87"/>
      <c r="BG981" s="87"/>
      <c r="BH981" s="87"/>
      <c r="BI981" s="87"/>
      <c r="BJ981" s="87"/>
      <c r="BK981" s="87"/>
      <c r="BL981" s="87"/>
      <c r="BM981" s="87"/>
      <c r="BN981" s="87"/>
      <c r="BO981" s="87"/>
      <c r="BP981" s="87"/>
      <c r="BQ981" s="87"/>
      <c r="BR981" s="87"/>
      <c r="BS981" s="87"/>
      <c r="BT981" s="87"/>
      <c r="BU981" s="87"/>
      <c r="BV981" s="87"/>
      <c r="BW981" s="87"/>
      <c r="BX981" s="87"/>
      <c r="BY981" s="87"/>
    </row>
    <row r="982" spans="3:77" x14ac:dyDescent="0.3">
      <c r="C982" s="90"/>
      <c r="D982" s="87"/>
      <c r="E982" s="91"/>
      <c r="F982" s="92"/>
      <c r="G982" s="93"/>
      <c r="H982" s="93"/>
      <c r="I982" s="93"/>
      <c r="J982" s="93"/>
      <c r="K982" s="93"/>
      <c r="L982" s="93"/>
      <c r="M982" s="93"/>
      <c r="N982" s="93"/>
      <c r="O982" s="93"/>
      <c r="P982" s="93"/>
      <c r="Q982" s="93"/>
      <c r="R982" s="87"/>
      <c r="S982" s="87"/>
      <c r="T982" s="87"/>
      <c r="U982" s="19"/>
      <c r="V982" s="87"/>
      <c r="W982" s="87"/>
      <c r="X982" s="87"/>
      <c r="Y982" s="87"/>
      <c r="Z982" s="87"/>
      <c r="AA982" s="87"/>
      <c r="AB982" s="87"/>
      <c r="AC982" s="87"/>
      <c r="AD982" s="87"/>
      <c r="AE982" s="87"/>
      <c r="AF982" s="87"/>
      <c r="AG982" s="87"/>
      <c r="AH982" s="87"/>
      <c r="AI982" s="87"/>
      <c r="AJ982" s="87"/>
      <c r="AK982" s="87"/>
      <c r="AL982" s="87"/>
      <c r="AM982" s="87"/>
      <c r="AN982" s="87"/>
      <c r="AO982" s="87"/>
      <c r="AP982" s="87"/>
      <c r="AQ982" s="87"/>
      <c r="AR982" s="87"/>
      <c r="AS982" s="87"/>
      <c r="AT982" s="87"/>
      <c r="AU982" s="87"/>
      <c r="AV982" s="87"/>
      <c r="AW982" s="87"/>
      <c r="AX982" s="87"/>
      <c r="AY982" s="87"/>
      <c r="AZ982" s="87"/>
      <c r="BA982" s="87"/>
      <c r="BB982" s="87"/>
      <c r="BC982" s="87"/>
      <c r="BD982" s="87"/>
      <c r="BE982" s="87"/>
      <c r="BF982" s="87"/>
      <c r="BG982" s="87"/>
      <c r="BH982" s="87"/>
      <c r="BI982" s="87"/>
      <c r="BJ982" s="87"/>
      <c r="BK982" s="87"/>
      <c r="BL982" s="87"/>
      <c r="BM982" s="87"/>
      <c r="BN982" s="87"/>
      <c r="BO982" s="87"/>
      <c r="BP982" s="87"/>
      <c r="BQ982" s="87"/>
      <c r="BR982" s="87"/>
      <c r="BS982" s="87"/>
      <c r="BT982" s="87"/>
      <c r="BU982" s="87"/>
      <c r="BV982" s="87"/>
      <c r="BW982" s="87"/>
      <c r="BX982" s="87"/>
      <c r="BY982" s="87"/>
    </row>
    <row r="983" spans="3:77" x14ac:dyDescent="0.3">
      <c r="C983" s="90"/>
      <c r="D983" s="87"/>
      <c r="E983" s="91"/>
      <c r="F983" s="92"/>
      <c r="G983" s="93"/>
      <c r="H983" s="93"/>
      <c r="I983" s="93"/>
      <c r="J983" s="93"/>
      <c r="K983" s="93"/>
      <c r="L983" s="93"/>
      <c r="M983" s="93"/>
      <c r="N983" s="93"/>
      <c r="O983" s="93"/>
      <c r="P983" s="93"/>
      <c r="Q983" s="93"/>
      <c r="R983" s="87"/>
      <c r="S983" s="87"/>
      <c r="T983" s="87"/>
      <c r="U983" s="19"/>
      <c r="V983" s="87"/>
      <c r="W983" s="87"/>
      <c r="X983" s="87"/>
      <c r="Y983" s="87"/>
      <c r="Z983" s="87"/>
      <c r="AA983" s="87"/>
      <c r="AB983" s="87"/>
      <c r="AC983" s="87"/>
      <c r="AD983" s="87"/>
      <c r="AE983" s="87"/>
      <c r="AF983" s="87"/>
      <c r="AG983" s="87"/>
      <c r="AH983" s="87"/>
      <c r="AI983" s="87"/>
      <c r="AJ983" s="87"/>
      <c r="AK983" s="87"/>
      <c r="AL983" s="87"/>
      <c r="AM983" s="87"/>
      <c r="AN983" s="87"/>
      <c r="AO983" s="87"/>
      <c r="AP983" s="87"/>
      <c r="AQ983" s="87"/>
      <c r="AR983" s="87"/>
      <c r="AS983" s="87"/>
      <c r="AT983" s="87"/>
      <c r="AU983" s="87"/>
      <c r="AV983" s="87"/>
      <c r="AW983" s="87"/>
      <c r="AX983" s="87"/>
      <c r="AY983" s="87"/>
      <c r="AZ983" s="87"/>
      <c r="BA983" s="87"/>
      <c r="BB983" s="87"/>
      <c r="BC983" s="87"/>
      <c r="BD983" s="87"/>
      <c r="BE983" s="87"/>
      <c r="BF983" s="87"/>
      <c r="BG983" s="87"/>
      <c r="BH983" s="87"/>
      <c r="BI983" s="87"/>
      <c r="BJ983" s="87"/>
      <c r="BK983" s="87"/>
      <c r="BL983" s="87"/>
      <c r="BM983" s="87"/>
      <c r="BN983" s="87"/>
      <c r="BO983" s="87"/>
      <c r="BP983" s="87"/>
      <c r="BQ983" s="87"/>
      <c r="BR983" s="87"/>
      <c r="BS983" s="87"/>
      <c r="BT983" s="87"/>
      <c r="BU983" s="87"/>
      <c r="BV983" s="87"/>
      <c r="BW983" s="87"/>
      <c r="BX983" s="87"/>
      <c r="BY983" s="87"/>
    </row>
    <row r="984" spans="3:77" x14ac:dyDescent="0.3">
      <c r="C984" s="90"/>
      <c r="D984" s="87"/>
      <c r="E984" s="91"/>
      <c r="F984" s="92"/>
      <c r="G984" s="93"/>
      <c r="H984" s="93"/>
      <c r="I984" s="93"/>
      <c r="J984" s="93"/>
      <c r="K984" s="93"/>
      <c r="L984" s="93"/>
      <c r="M984" s="93"/>
      <c r="N984" s="93"/>
      <c r="O984" s="93"/>
      <c r="P984" s="93"/>
      <c r="Q984" s="93"/>
      <c r="R984" s="87"/>
      <c r="S984" s="87"/>
      <c r="T984" s="87"/>
      <c r="U984" s="19"/>
      <c r="V984" s="87"/>
      <c r="W984" s="87"/>
      <c r="X984" s="87"/>
      <c r="Y984" s="87"/>
      <c r="Z984" s="87"/>
      <c r="AA984" s="87"/>
      <c r="AB984" s="87"/>
      <c r="AC984" s="87"/>
      <c r="AD984" s="87"/>
      <c r="AE984" s="87"/>
      <c r="AF984" s="87"/>
      <c r="AG984" s="87"/>
      <c r="AH984" s="87"/>
      <c r="AI984" s="87"/>
      <c r="AJ984" s="87"/>
      <c r="AK984" s="87"/>
      <c r="AL984" s="87"/>
      <c r="AM984" s="87"/>
      <c r="AN984" s="87"/>
      <c r="AO984" s="87"/>
      <c r="AP984" s="87"/>
      <c r="AQ984" s="87"/>
      <c r="AR984" s="87"/>
      <c r="AS984" s="87"/>
      <c r="AT984" s="87"/>
      <c r="AU984" s="87"/>
      <c r="AV984" s="87"/>
      <c r="AW984" s="87"/>
      <c r="AX984" s="87"/>
      <c r="AY984" s="87"/>
      <c r="AZ984" s="87"/>
      <c r="BA984" s="87"/>
      <c r="BB984" s="87"/>
      <c r="BC984" s="87"/>
      <c r="BD984" s="87"/>
      <c r="BE984" s="87"/>
      <c r="BF984" s="87"/>
      <c r="BG984" s="87"/>
      <c r="BH984" s="87"/>
      <c r="BI984" s="87"/>
      <c r="BJ984" s="87"/>
      <c r="BK984" s="87"/>
      <c r="BL984" s="87"/>
      <c r="BM984" s="87"/>
      <c r="BN984" s="87"/>
      <c r="BO984" s="87"/>
      <c r="BP984" s="87"/>
      <c r="BQ984" s="87"/>
      <c r="BR984" s="87"/>
      <c r="BS984" s="87"/>
      <c r="BT984" s="87"/>
      <c r="BU984" s="87"/>
      <c r="BV984" s="87"/>
      <c r="BW984" s="87"/>
      <c r="BX984" s="87"/>
      <c r="BY984" s="87"/>
    </row>
    <row r="985" spans="3:77" x14ac:dyDescent="0.3">
      <c r="C985" s="5"/>
      <c r="D985" s="5"/>
      <c r="E985" s="5"/>
      <c r="F985" s="5"/>
      <c r="G985" s="5"/>
      <c r="H985" s="5"/>
      <c r="I985" s="5"/>
      <c r="J985" s="5"/>
      <c r="K985" s="5"/>
      <c r="L985" s="5"/>
      <c r="M985" s="5"/>
      <c r="N985" s="5"/>
      <c r="O985" s="5"/>
      <c r="P985" s="5"/>
      <c r="Q985" s="5"/>
      <c r="R985" s="87"/>
      <c r="S985" s="87"/>
      <c r="T985" s="87"/>
      <c r="U985" s="19"/>
      <c r="V985" s="87"/>
      <c r="W985" s="87"/>
      <c r="X985" s="87"/>
      <c r="Y985" s="87"/>
      <c r="Z985" s="87"/>
      <c r="AA985" s="87"/>
      <c r="AB985" s="87"/>
      <c r="AC985" s="87"/>
      <c r="AD985" s="87"/>
      <c r="AE985" s="87"/>
      <c r="AF985" s="87"/>
      <c r="AG985" s="87"/>
      <c r="AH985" s="87"/>
      <c r="AI985" s="87"/>
      <c r="AJ985" s="87"/>
      <c r="AK985" s="87"/>
      <c r="AL985" s="87"/>
      <c r="AM985" s="87"/>
      <c r="AN985" s="87"/>
      <c r="AO985" s="87"/>
      <c r="AP985" s="87"/>
      <c r="AQ985" s="87"/>
      <c r="AR985" s="87"/>
      <c r="AS985" s="87"/>
      <c r="AT985" s="87"/>
      <c r="AU985" s="87"/>
      <c r="AV985" s="87"/>
      <c r="AW985" s="87"/>
      <c r="AX985" s="87"/>
      <c r="AY985" s="87"/>
      <c r="AZ985" s="87"/>
      <c r="BA985" s="87"/>
      <c r="BB985" s="87"/>
      <c r="BC985" s="87"/>
      <c r="BD985" s="87"/>
      <c r="BE985" s="87"/>
      <c r="BF985" s="87"/>
      <c r="BG985" s="87"/>
      <c r="BH985" s="87"/>
      <c r="BI985" s="87"/>
      <c r="BJ985" s="87"/>
      <c r="BK985" s="87"/>
      <c r="BL985" s="87"/>
      <c r="BM985" s="87"/>
      <c r="BN985" s="87"/>
      <c r="BO985" s="87"/>
      <c r="BP985" s="87"/>
      <c r="BQ985" s="87"/>
      <c r="BR985" s="87"/>
      <c r="BS985" s="87"/>
      <c r="BT985" s="87"/>
      <c r="BU985" s="87"/>
      <c r="BV985" s="87"/>
      <c r="BW985" s="87"/>
      <c r="BX985" s="87"/>
      <c r="BY985" s="87"/>
    </row>
    <row r="986" spans="3:77" x14ac:dyDescent="0.3">
      <c r="C986" s="5"/>
      <c r="D986" s="5"/>
      <c r="E986" s="5"/>
      <c r="F986" s="5"/>
      <c r="G986" s="5"/>
      <c r="H986" s="5"/>
      <c r="I986" s="5"/>
      <c r="J986" s="5"/>
      <c r="K986" s="5"/>
      <c r="L986" s="5"/>
      <c r="M986" s="5"/>
      <c r="N986" s="5"/>
      <c r="O986" s="5"/>
      <c r="P986" s="5"/>
      <c r="Q986" s="5"/>
      <c r="R986" s="87"/>
      <c r="S986" s="87"/>
      <c r="T986" s="87"/>
      <c r="U986" s="19"/>
      <c r="V986" s="87"/>
      <c r="W986" s="87"/>
      <c r="X986" s="87"/>
      <c r="Y986" s="87"/>
      <c r="Z986" s="87"/>
      <c r="AA986" s="87"/>
      <c r="AB986" s="87"/>
      <c r="AC986" s="87"/>
      <c r="AD986" s="87"/>
      <c r="AE986" s="87"/>
      <c r="AF986" s="87"/>
      <c r="AG986" s="87"/>
      <c r="AH986" s="87"/>
      <c r="AI986" s="87"/>
      <c r="AJ986" s="87"/>
      <c r="AK986" s="87"/>
      <c r="AL986" s="87"/>
      <c r="AM986" s="87"/>
      <c r="AN986" s="87"/>
      <c r="AO986" s="87"/>
      <c r="AP986" s="87"/>
      <c r="AQ986" s="87"/>
      <c r="AR986" s="87"/>
      <c r="AS986" s="87"/>
      <c r="AT986" s="87"/>
      <c r="AU986" s="87"/>
      <c r="AV986" s="87"/>
      <c r="AW986" s="87"/>
      <c r="AX986" s="87"/>
      <c r="AY986" s="87"/>
      <c r="AZ986" s="87"/>
      <c r="BA986" s="87"/>
      <c r="BB986" s="87"/>
      <c r="BC986" s="87"/>
      <c r="BD986" s="87"/>
      <c r="BE986" s="87"/>
      <c r="BF986" s="87"/>
      <c r="BG986" s="87"/>
      <c r="BH986" s="87"/>
      <c r="BI986" s="87"/>
      <c r="BJ986" s="87"/>
      <c r="BK986" s="87"/>
      <c r="BL986" s="87"/>
      <c r="BM986" s="87"/>
      <c r="BN986" s="87"/>
      <c r="BO986" s="87"/>
      <c r="BP986" s="87"/>
      <c r="BQ986" s="87"/>
      <c r="BR986" s="87"/>
      <c r="BS986" s="87"/>
      <c r="BT986" s="87"/>
      <c r="BU986" s="87"/>
      <c r="BV986" s="87"/>
      <c r="BW986" s="87"/>
      <c r="BX986" s="87"/>
      <c r="BY986" s="87"/>
    </row>
    <row r="987" spans="3:77" x14ac:dyDescent="0.3">
      <c r="C987" s="5"/>
      <c r="D987" s="5"/>
      <c r="E987" s="5"/>
      <c r="F987" s="5"/>
      <c r="G987" s="5"/>
      <c r="H987" s="5"/>
      <c r="I987" s="5"/>
      <c r="J987" s="5"/>
      <c r="K987" s="5"/>
      <c r="L987" s="5"/>
      <c r="M987" s="5"/>
      <c r="N987" s="5"/>
      <c r="O987" s="5"/>
      <c r="P987" s="5"/>
      <c r="Q987" s="5"/>
      <c r="R987" s="87"/>
      <c r="S987" s="87"/>
      <c r="T987" s="87"/>
      <c r="U987" s="19"/>
      <c r="V987" s="87"/>
      <c r="W987" s="87"/>
      <c r="X987" s="87"/>
      <c r="Y987" s="87"/>
      <c r="Z987" s="87"/>
      <c r="AA987" s="87"/>
      <c r="AB987" s="87"/>
      <c r="AC987" s="87"/>
      <c r="AD987" s="87"/>
      <c r="AE987" s="87"/>
      <c r="AF987" s="87"/>
      <c r="AG987" s="87"/>
      <c r="AH987" s="87"/>
      <c r="AI987" s="87"/>
      <c r="AJ987" s="87"/>
      <c r="AK987" s="87"/>
      <c r="AL987" s="87"/>
      <c r="AM987" s="87"/>
      <c r="AN987" s="87"/>
      <c r="AO987" s="87"/>
      <c r="AP987" s="87"/>
      <c r="AQ987" s="87"/>
      <c r="AR987" s="87"/>
      <c r="AS987" s="87"/>
      <c r="AT987" s="87"/>
      <c r="AU987" s="87"/>
      <c r="AV987" s="87"/>
      <c r="AW987" s="87"/>
      <c r="AX987" s="87"/>
      <c r="AY987" s="87"/>
      <c r="AZ987" s="87"/>
      <c r="BA987" s="87"/>
      <c r="BB987" s="87"/>
      <c r="BC987" s="87"/>
      <c r="BD987" s="87"/>
      <c r="BE987" s="87"/>
      <c r="BF987" s="87"/>
      <c r="BG987" s="87"/>
      <c r="BH987" s="87"/>
      <c r="BI987" s="87"/>
      <c r="BJ987" s="87"/>
      <c r="BK987" s="87"/>
      <c r="BL987" s="87"/>
      <c r="BM987" s="87"/>
      <c r="BN987" s="87"/>
      <c r="BO987" s="87"/>
      <c r="BP987" s="87"/>
      <c r="BQ987" s="87"/>
      <c r="BR987" s="87"/>
      <c r="BS987" s="87"/>
      <c r="BT987" s="87"/>
      <c r="BU987" s="87"/>
      <c r="BV987" s="87"/>
      <c r="BW987" s="87"/>
      <c r="BX987" s="87"/>
      <c r="BY987" s="87"/>
    </row>
    <row r="988" spans="3:77" x14ac:dyDescent="0.3">
      <c r="C988" s="5"/>
      <c r="D988" s="5"/>
      <c r="E988" s="5"/>
      <c r="F988" s="5"/>
      <c r="G988" s="5"/>
      <c r="H988" s="5"/>
      <c r="I988" s="5"/>
      <c r="J988" s="5"/>
      <c r="K988" s="5"/>
      <c r="L988" s="5"/>
      <c r="M988" s="5"/>
      <c r="N988" s="5"/>
      <c r="O988" s="5"/>
      <c r="P988" s="5"/>
      <c r="Q988" s="5"/>
      <c r="R988" s="87"/>
      <c r="S988" s="87"/>
      <c r="T988" s="87"/>
      <c r="U988" s="19"/>
      <c r="V988" s="87"/>
      <c r="W988" s="87"/>
      <c r="X988" s="87"/>
      <c r="Y988" s="87"/>
      <c r="Z988" s="87"/>
      <c r="AA988" s="87"/>
      <c r="AB988" s="87"/>
      <c r="AC988" s="87"/>
      <c r="AD988" s="87"/>
      <c r="AE988" s="87"/>
      <c r="AF988" s="87"/>
      <c r="AG988" s="87"/>
      <c r="AH988" s="87"/>
      <c r="AI988" s="87"/>
      <c r="AJ988" s="87"/>
      <c r="AK988" s="87"/>
      <c r="AL988" s="87"/>
      <c r="AM988" s="87"/>
      <c r="AN988" s="87"/>
      <c r="AO988" s="87"/>
      <c r="AP988" s="87"/>
      <c r="AQ988" s="87"/>
      <c r="AR988" s="87"/>
      <c r="AS988" s="87"/>
      <c r="AT988" s="87"/>
      <c r="AU988" s="87"/>
      <c r="AV988" s="87"/>
      <c r="AW988" s="87"/>
      <c r="AX988" s="87"/>
      <c r="AY988" s="87"/>
      <c r="AZ988" s="87"/>
      <c r="BA988" s="87"/>
      <c r="BB988" s="87"/>
      <c r="BC988" s="87"/>
      <c r="BD988" s="87"/>
      <c r="BE988" s="87"/>
      <c r="BF988" s="87"/>
      <c r="BG988" s="87"/>
      <c r="BH988" s="87"/>
      <c r="BI988" s="87"/>
      <c r="BJ988" s="87"/>
      <c r="BK988" s="87"/>
      <c r="BL988" s="87"/>
      <c r="BM988" s="87"/>
      <c r="BN988" s="87"/>
      <c r="BO988" s="87"/>
      <c r="BP988" s="87"/>
      <c r="BQ988" s="87"/>
      <c r="BR988" s="87"/>
      <c r="BS988" s="87"/>
      <c r="BT988" s="87"/>
      <c r="BU988" s="87"/>
      <c r="BV988" s="87"/>
      <c r="BW988" s="87"/>
      <c r="BX988" s="87"/>
      <c r="BY988" s="87"/>
    </row>
    <row r="989" spans="3:77" x14ac:dyDescent="0.3">
      <c r="C989" s="5"/>
      <c r="D989" s="5"/>
      <c r="E989" s="5"/>
      <c r="F989" s="5"/>
      <c r="G989" s="5"/>
      <c r="H989" s="5"/>
      <c r="I989" s="5"/>
      <c r="J989" s="5"/>
      <c r="K989" s="5"/>
      <c r="L989" s="5"/>
      <c r="M989" s="5"/>
      <c r="N989" s="5"/>
      <c r="O989" s="5"/>
      <c r="P989" s="5"/>
      <c r="Q989" s="5"/>
      <c r="R989" s="87"/>
      <c r="S989" s="87"/>
      <c r="T989" s="87"/>
      <c r="U989" s="19"/>
      <c r="V989" s="87"/>
      <c r="W989" s="87"/>
      <c r="X989" s="87"/>
      <c r="Y989" s="87"/>
      <c r="Z989" s="87"/>
      <c r="AA989" s="87"/>
      <c r="AB989" s="87"/>
      <c r="AC989" s="87"/>
      <c r="AD989" s="87"/>
      <c r="AE989" s="87"/>
      <c r="AF989" s="87"/>
      <c r="AG989" s="87"/>
      <c r="AH989" s="87"/>
      <c r="AI989" s="87"/>
      <c r="AJ989" s="87"/>
      <c r="AK989" s="87"/>
      <c r="AL989" s="87"/>
      <c r="AM989" s="87"/>
      <c r="AN989" s="87"/>
      <c r="AO989" s="87"/>
      <c r="AP989" s="87"/>
      <c r="AQ989" s="87"/>
      <c r="AR989" s="87"/>
      <c r="AS989" s="87"/>
      <c r="AT989" s="87"/>
      <c r="AU989" s="87"/>
      <c r="AV989" s="87"/>
      <c r="AW989" s="87"/>
      <c r="AX989" s="87"/>
      <c r="AY989" s="87"/>
      <c r="AZ989" s="87"/>
      <c r="BA989" s="87"/>
      <c r="BB989" s="87"/>
      <c r="BC989" s="87"/>
      <c r="BD989" s="87"/>
      <c r="BE989" s="87"/>
      <c r="BF989" s="87"/>
      <c r="BG989" s="87"/>
      <c r="BH989" s="87"/>
      <c r="BI989" s="87"/>
      <c r="BJ989" s="87"/>
      <c r="BK989" s="87"/>
      <c r="BL989" s="87"/>
      <c r="BM989" s="87"/>
      <c r="BN989" s="87"/>
      <c r="BO989" s="87"/>
      <c r="BP989" s="87"/>
      <c r="BQ989" s="87"/>
      <c r="BR989" s="87"/>
      <c r="BS989" s="87"/>
      <c r="BT989" s="87"/>
      <c r="BU989" s="87"/>
      <c r="BV989" s="87"/>
      <c r="BW989" s="87"/>
      <c r="BX989" s="87"/>
      <c r="BY989" s="87"/>
    </row>
    <row r="990" spans="3:77" x14ac:dyDescent="0.3">
      <c r="C990" s="5"/>
      <c r="D990" s="5"/>
      <c r="E990" s="5"/>
      <c r="F990" s="5"/>
      <c r="G990" s="5"/>
      <c r="H990" s="5"/>
      <c r="I990" s="5"/>
      <c r="J990" s="5"/>
      <c r="K990" s="5"/>
      <c r="L990" s="5"/>
      <c r="M990" s="5"/>
      <c r="N990" s="5"/>
      <c r="O990" s="5"/>
      <c r="P990" s="5"/>
      <c r="Q990" s="5"/>
      <c r="R990" s="87"/>
      <c r="S990" s="87"/>
      <c r="T990" s="87"/>
      <c r="U990" s="19"/>
      <c r="V990" s="87"/>
      <c r="W990" s="87"/>
      <c r="X990" s="87"/>
      <c r="Y990" s="87"/>
      <c r="Z990" s="87"/>
      <c r="AA990" s="87"/>
      <c r="AB990" s="87"/>
      <c r="AC990" s="87"/>
      <c r="AD990" s="87"/>
      <c r="AE990" s="87"/>
      <c r="AF990" s="87"/>
      <c r="AG990" s="87"/>
      <c r="AH990" s="87"/>
      <c r="AI990" s="87"/>
      <c r="AJ990" s="87"/>
      <c r="AK990" s="87"/>
      <c r="AL990" s="87"/>
      <c r="AM990" s="87"/>
      <c r="AN990" s="87"/>
      <c r="AO990" s="87"/>
      <c r="AP990" s="87"/>
      <c r="AQ990" s="87"/>
      <c r="AR990" s="87"/>
      <c r="AS990" s="87"/>
      <c r="AT990" s="87"/>
      <c r="AU990" s="87"/>
      <c r="AV990" s="87"/>
      <c r="AW990" s="87"/>
      <c r="AX990" s="87"/>
      <c r="AY990" s="87"/>
      <c r="AZ990" s="87"/>
      <c r="BA990" s="87"/>
      <c r="BB990" s="87"/>
      <c r="BC990" s="87"/>
      <c r="BD990" s="87"/>
      <c r="BE990" s="87"/>
      <c r="BF990" s="87"/>
      <c r="BG990" s="87"/>
      <c r="BH990" s="87"/>
      <c r="BI990" s="87"/>
      <c r="BJ990" s="87"/>
      <c r="BK990" s="87"/>
      <c r="BL990" s="87"/>
      <c r="BM990" s="87"/>
      <c r="BN990" s="87"/>
      <c r="BO990" s="87"/>
      <c r="BP990" s="87"/>
      <c r="BQ990" s="87"/>
      <c r="BR990" s="87"/>
      <c r="BS990" s="87"/>
      <c r="BT990" s="87"/>
      <c r="BU990" s="87"/>
      <c r="BV990" s="87"/>
      <c r="BW990" s="87"/>
      <c r="BX990" s="87"/>
      <c r="BY990" s="87"/>
    </row>
    <row r="991" spans="3:77" x14ac:dyDescent="0.3">
      <c r="C991" s="5"/>
      <c r="D991" s="5"/>
      <c r="E991" s="5"/>
      <c r="F991" s="5"/>
      <c r="G991" s="5"/>
      <c r="H991" s="5"/>
      <c r="I991" s="5"/>
      <c r="J991" s="5"/>
      <c r="K991" s="5"/>
      <c r="L991" s="5"/>
      <c r="M991" s="5"/>
      <c r="N991" s="5"/>
      <c r="O991" s="5"/>
      <c r="P991" s="5"/>
      <c r="Q991" s="5"/>
      <c r="R991" s="87"/>
      <c r="S991" s="87"/>
      <c r="T991" s="87"/>
      <c r="U991" s="19"/>
      <c r="V991" s="87"/>
      <c r="W991" s="87"/>
      <c r="X991" s="87"/>
      <c r="Y991" s="87"/>
      <c r="Z991" s="87"/>
      <c r="AA991" s="87"/>
      <c r="AB991" s="87"/>
      <c r="AC991" s="87"/>
      <c r="AD991" s="87"/>
      <c r="AE991" s="87"/>
      <c r="AF991" s="87"/>
      <c r="AG991" s="87"/>
      <c r="AH991" s="87"/>
      <c r="AI991" s="87"/>
      <c r="AJ991" s="87"/>
      <c r="AK991" s="87"/>
      <c r="AL991" s="87"/>
      <c r="AM991" s="87"/>
      <c r="AN991" s="87"/>
      <c r="AO991" s="87"/>
      <c r="AP991" s="87"/>
      <c r="AQ991" s="87"/>
      <c r="AR991" s="87"/>
      <c r="AS991" s="87"/>
      <c r="AT991" s="87"/>
      <c r="AU991" s="87"/>
      <c r="AV991" s="87"/>
      <c r="AW991" s="87"/>
      <c r="AX991" s="87"/>
      <c r="AY991" s="87"/>
      <c r="AZ991" s="87"/>
      <c r="BA991" s="87"/>
      <c r="BB991" s="87"/>
      <c r="BC991" s="87"/>
      <c r="BD991" s="87"/>
      <c r="BE991" s="87"/>
      <c r="BF991" s="87"/>
      <c r="BG991" s="87"/>
      <c r="BH991" s="87"/>
      <c r="BI991" s="87"/>
      <c r="BJ991" s="87"/>
      <c r="BK991" s="87"/>
      <c r="BL991" s="87"/>
      <c r="BM991" s="87"/>
      <c r="BN991" s="87"/>
      <c r="BO991" s="87"/>
      <c r="BP991" s="87"/>
      <c r="BQ991" s="87"/>
      <c r="BR991" s="87"/>
      <c r="BS991" s="87"/>
      <c r="BT991" s="87"/>
      <c r="BU991" s="87"/>
      <c r="BV991" s="87"/>
      <c r="BW991" s="87"/>
      <c r="BX991" s="87"/>
      <c r="BY991" s="87"/>
    </row>
    <row r="992" spans="3:77" x14ac:dyDescent="0.3">
      <c r="C992" s="5"/>
      <c r="D992" s="5"/>
      <c r="E992" s="5"/>
      <c r="F992" s="5"/>
      <c r="G992" s="5"/>
      <c r="H992" s="5"/>
      <c r="I992" s="5"/>
      <c r="J992" s="5"/>
      <c r="K992" s="5"/>
      <c r="L992" s="5"/>
      <c r="M992" s="5"/>
      <c r="N992" s="5"/>
      <c r="O992" s="5"/>
      <c r="P992" s="5"/>
      <c r="Q992" s="5"/>
      <c r="R992" s="87"/>
      <c r="S992" s="87"/>
      <c r="T992" s="87"/>
      <c r="U992" s="19"/>
      <c r="V992" s="87"/>
      <c r="W992" s="87"/>
      <c r="X992" s="87"/>
      <c r="Y992" s="87"/>
      <c r="Z992" s="87"/>
      <c r="AA992" s="87"/>
      <c r="AB992" s="87"/>
      <c r="AC992" s="87"/>
      <c r="AD992" s="87"/>
      <c r="AE992" s="87"/>
      <c r="AF992" s="87"/>
      <c r="AG992" s="87"/>
      <c r="AH992" s="87"/>
      <c r="AI992" s="87"/>
      <c r="AJ992" s="87"/>
      <c r="AK992" s="87"/>
      <c r="AL992" s="87"/>
      <c r="AM992" s="87"/>
      <c r="AN992" s="87"/>
      <c r="AO992" s="87"/>
      <c r="AP992" s="87"/>
      <c r="AQ992" s="87"/>
      <c r="AR992" s="87"/>
      <c r="AS992" s="87"/>
      <c r="AT992" s="87"/>
      <c r="AU992" s="87"/>
      <c r="AV992" s="87"/>
      <c r="AW992" s="87"/>
      <c r="AX992" s="87"/>
      <c r="AY992" s="87"/>
      <c r="AZ992" s="87"/>
      <c r="BA992" s="87"/>
      <c r="BB992" s="87"/>
      <c r="BC992" s="87"/>
      <c r="BD992" s="87"/>
      <c r="BE992" s="87"/>
      <c r="BF992" s="87"/>
      <c r="BG992" s="87"/>
      <c r="BH992" s="87"/>
      <c r="BI992" s="87"/>
      <c r="BJ992" s="87"/>
      <c r="BK992" s="87"/>
      <c r="BL992" s="87"/>
      <c r="BM992" s="87"/>
      <c r="BN992" s="87"/>
      <c r="BO992" s="87"/>
      <c r="BP992" s="87"/>
      <c r="BQ992" s="87"/>
      <c r="BR992" s="87"/>
      <c r="BS992" s="87"/>
      <c r="BT992" s="87"/>
      <c r="BU992" s="87"/>
      <c r="BV992" s="87"/>
      <c r="BW992" s="87"/>
      <c r="BX992" s="87"/>
      <c r="BY992" s="87"/>
    </row>
    <row r="993" spans="3:77" x14ac:dyDescent="0.3">
      <c r="C993" s="5"/>
      <c r="D993" s="5"/>
      <c r="E993" s="5"/>
      <c r="F993" s="5"/>
      <c r="G993" s="5"/>
      <c r="H993" s="5"/>
      <c r="I993" s="5"/>
      <c r="J993" s="5"/>
      <c r="K993" s="5"/>
      <c r="L993" s="5"/>
      <c r="M993" s="5"/>
      <c r="N993" s="5"/>
      <c r="O993" s="5"/>
      <c r="P993" s="5"/>
      <c r="Q993" s="5"/>
      <c r="R993" s="87"/>
      <c r="S993" s="87"/>
      <c r="T993" s="87"/>
      <c r="U993" s="19"/>
      <c r="V993" s="87"/>
      <c r="W993" s="87"/>
      <c r="X993" s="87"/>
      <c r="Y993" s="87"/>
      <c r="Z993" s="87"/>
      <c r="AA993" s="87"/>
      <c r="AB993" s="87"/>
      <c r="AC993" s="87"/>
      <c r="AD993" s="87"/>
      <c r="AE993" s="87"/>
      <c r="AF993" s="87"/>
      <c r="AG993" s="87"/>
      <c r="AH993" s="87"/>
      <c r="AI993" s="87"/>
      <c r="AJ993" s="87"/>
      <c r="AK993" s="87"/>
      <c r="AL993" s="87"/>
      <c r="AM993" s="87"/>
      <c r="AN993" s="87"/>
      <c r="AO993" s="87"/>
      <c r="AP993" s="87"/>
      <c r="AQ993" s="87"/>
      <c r="AR993" s="87"/>
      <c r="AS993" s="87"/>
      <c r="AT993" s="87"/>
      <c r="AU993" s="87"/>
      <c r="AV993" s="87"/>
      <c r="AW993" s="87"/>
      <c r="AX993" s="87"/>
      <c r="AY993" s="87"/>
      <c r="AZ993" s="87"/>
      <c r="BA993" s="87"/>
      <c r="BB993" s="87"/>
      <c r="BC993" s="87"/>
      <c r="BD993" s="87"/>
      <c r="BE993" s="87"/>
      <c r="BF993" s="87"/>
      <c r="BG993" s="87"/>
      <c r="BH993" s="87"/>
      <c r="BI993" s="87"/>
      <c r="BJ993" s="87"/>
      <c r="BK993" s="87"/>
      <c r="BL993" s="87"/>
      <c r="BM993" s="87"/>
      <c r="BN993" s="87"/>
      <c r="BO993" s="87"/>
      <c r="BP993" s="87"/>
      <c r="BQ993" s="87"/>
      <c r="BR993" s="87"/>
      <c r="BS993" s="87"/>
      <c r="BT993" s="87"/>
      <c r="BU993" s="87"/>
      <c r="BV993" s="87"/>
      <c r="BW993" s="87"/>
      <c r="BX993" s="87"/>
      <c r="BY993" s="87"/>
    </row>
    <row r="994" spans="3:77" x14ac:dyDescent="0.3">
      <c r="C994" s="5"/>
      <c r="D994" s="5"/>
      <c r="E994" s="5"/>
      <c r="F994" s="5"/>
      <c r="G994" s="5"/>
      <c r="H994" s="5"/>
      <c r="I994" s="5"/>
      <c r="J994" s="5"/>
      <c r="K994" s="5"/>
      <c r="L994" s="5"/>
      <c r="M994" s="5"/>
      <c r="N994" s="5"/>
      <c r="O994" s="5"/>
      <c r="P994" s="5"/>
      <c r="Q994" s="5"/>
      <c r="R994" s="87"/>
      <c r="S994" s="87"/>
      <c r="T994" s="87"/>
      <c r="U994" s="19"/>
      <c r="V994" s="87"/>
      <c r="W994" s="87"/>
      <c r="X994" s="87"/>
      <c r="Y994" s="87"/>
      <c r="Z994" s="87"/>
      <c r="AA994" s="87"/>
      <c r="AB994" s="87"/>
      <c r="AC994" s="87"/>
      <c r="AD994" s="87"/>
      <c r="AE994" s="87"/>
      <c r="AF994" s="87"/>
      <c r="AG994" s="87"/>
      <c r="AH994" s="87"/>
      <c r="AI994" s="87"/>
      <c r="AJ994" s="87"/>
      <c r="AK994" s="87"/>
      <c r="AL994" s="87"/>
      <c r="AM994" s="87"/>
      <c r="AN994" s="87"/>
      <c r="AO994" s="87"/>
      <c r="AP994" s="87"/>
      <c r="AQ994" s="87"/>
      <c r="AR994" s="87"/>
      <c r="AS994" s="87"/>
      <c r="AT994" s="87"/>
      <c r="AU994" s="87"/>
      <c r="AV994" s="87"/>
      <c r="AW994" s="87"/>
      <c r="AX994" s="87"/>
      <c r="AY994" s="87"/>
      <c r="AZ994" s="87"/>
      <c r="BA994" s="87"/>
      <c r="BB994" s="87"/>
      <c r="BC994" s="87"/>
      <c r="BD994" s="87"/>
      <c r="BE994" s="87"/>
      <c r="BF994" s="87"/>
      <c r="BG994" s="87"/>
      <c r="BH994" s="87"/>
      <c r="BI994" s="87"/>
      <c r="BJ994" s="87"/>
      <c r="BK994" s="87"/>
      <c r="BL994" s="87"/>
      <c r="BM994" s="87"/>
      <c r="BN994" s="87"/>
      <c r="BO994" s="87"/>
      <c r="BP994" s="87"/>
      <c r="BQ994" s="87"/>
      <c r="BR994" s="87"/>
      <c r="BS994" s="87"/>
      <c r="BT994" s="87"/>
      <c r="BU994" s="87"/>
      <c r="BV994" s="87"/>
      <c r="BW994" s="87"/>
      <c r="BX994" s="87"/>
      <c r="BY994" s="87"/>
    </row>
    <row r="995" spans="3:77" x14ac:dyDescent="0.3">
      <c r="C995" s="5"/>
      <c r="D995" s="5"/>
      <c r="E995" s="5"/>
      <c r="F995" s="5"/>
      <c r="G995" s="5"/>
      <c r="H995" s="5"/>
      <c r="I995" s="5"/>
      <c r="J995" s="5"/>
      <c r="K995" s="5"/>
      <c r="L995" s="5"/>
      <c r="M995" s="5"/>
      <c r="N995" s="5"/>
      <c r="O995" s="5"/>
      <c r="P995" s="5"/>
      <c r="Q995" s="5"/>
      <c r="R995" s="87"/>
      <c r="S995" s="87"/>
      <c r="T995" s="87"/>
      <c r="U995" s="19"/>
      <c r="V995" s="87"/>
      <c r="W995" s="87"/>
      <c r="X995" s="87"/>
      <c r="Y995" s="87"/>
      <c r="Z995" s="87"/>
      <c r="AA995" s="87"/>
      <c r="AB995" s="87"/>
      <c r="AC995" s="87"/>
      <c r="AD995" s="87"/>
      <c r="AE995" s="87"/>
      <c r="AF995" s="87"/>
      <c r="AG995" s="87"/>
      <c r="AH995" s="87"/>
      <c r="AI995" s="87"/>
      <c r="AJ995" s="87"/>
      <c r="AK995" s="87"/>
      <c r="AL995" s="87"/>
      <c r="AM995" s="87"/>
      <c r="AN995" s="87"/>
      <c r="AO995" s="87"/>
      <c r="AP995" s="87"/>
      <c r="AQ995" s="87"/>
      <c r="AR995" s="87"/>
      <c r="AS995" s="87"/>
      <c r="AT995" s="87"/>
      <c r="AU995" s="87"/>
      <c r="AV995" s="87"/>
      <c r="AW995" s="87"/>
      <c r="AX995" s="87"/>
      <c r="AY995" s="87"/>
      <c r="AZ995" s="87"/>
      <c r="BA995" s="87"/>
      <c r="BB995" s="87"/>
      <c r="BC995" s="87"/>
      <c r="BD995" s="87"/>
      <c r="BE995" s="87"/>
      <c r="BF995" s="87"/>
      <c r="BG995" s="87"/>
      <c r="BH995" s="87"/>
      <c r="BI995" s="87"/>
      <c r="BJ995" s="87"/>
      <c r="BK995" s="87"/>
      <c r="BL995" s="87"/>
      <c r="BM995" s="87"/>
      <c r="BN995" s="87"/>
      <c r="BO995" s="87"/>
      <c r="BP995" s="87"/>
      <c r="BQ995" s="87"/>
      <c r="BR995" s="87"/>
      <c r="BS995" s="87"/>
      <c r="BT995" s="87"/>
      <c r="BU995" s="87"/>
      <c r="BV995" s="87"/>
      <c r="BW995" s="87"/>
      <c r="BX995" s="87"/>
      <c r="BY995" s="87"/>
    </row>
    <row r="996" spans="3:77" x14ac:dyDescent="0.3">
      <c r="C996" s="5"/>
      <c r="D996" s="5"/>
      <c r="E996" s="5"/>
      <c r="F996" s="5"/>
      <c r="G996" s="5"/>
      <c r="H996" s="5"/>
      <c r="I996" s="5"/>
      <c r="J996" s="5"/>
      <c r="K996" s="5"/>
      <c r="L996" s="5"/>
      <c r="M996" s="5"/>
      <c r="N996" s="5"/>
      <c r="O996" s="5"/>
      <c r="P996" s="5"/>
      <c r="Q996" s="5"/>
      <c r="R996" s="87"/>
      <c r="S996" s="87"/>
      <c r="T996" s="87"/>
      <c r="U996" s="19"/>
      <c r="V996" s="87"/>
      <c r="W996" s="87"/>
      <c r="X996" s="87"/>
      <c r="Y996" s="87"/>
      <c r="Z996" s="87"/>
      <c r="AA996" s="87"/>
      <c r="AB996" s="87"/>
      <c r="AC996" s="87"/>
      <c r="AD996" s="87"/>
      <c r="AE996" s="87"/>
      <c r="AF996" s="87"/>
      <c r="AG996" s="87"/>
      <c r="AH996" s="87"/>
      <c r="AI996" s="87"/>
      <c r="AJ996" s="87"/>
      <c r="AK996" s="87"/>
      <c r="AL996" s="87"/>
      <c r="AM996" s="87"/>
      <c r="AN996" s="87"/>
      <c r="AO996" s="87"/>
      <c r="AP996" s="87"/>
      <c r="AQ996" s="87"/>
      <c r="AR996" s="87"/>
      <c r="AS996" s="87"/>
      <c r="AT996" s="87"/>
      <c r="AU996" s="87"/>
      <c r="AV996" s="87"/>
      <c r="AW996" s="87"/>
      <c r="AX996" s="87"/>
      <c r="AY996" s="87"/>
      <c r="AZ996" s="87"/>
      <c r="BA996" s="87"/>
      <c r="BB996" s="87"/>
      <c r="BC996" s="87"/>
      <c r="BD996" s="87"/>
      <c r="BE996" s="87"/>
      <c r="BF996" s="87"/>
      <c r="BG996" s="87"/>
      <c r="BH996" s="87"/>
      <c r="BI996" s="87"/>
      <c r="BJ996" s="87"/>
      <c r="BK996" s="87"/>
      <c r="BL996" s="87"/>
      <c r="BM996" s="87"/>
      <c r="BN996" s="87"/>
      <c r="BO996" s="87"/>
      <c r="BP996" s="87"/>
      <c r="BQ996" s="87"/>
      <c r="BR996" s="87"/>
      <c r="BS996" s="87"/>
      <c r="BT996" s="87"/>
      <c r="BU996" s="87"/>
      <c r="BV996" s="87"/>
      <c r="BW996" s="87"/>
      <c r="BX996" s="87"/>
      <c r="BY996" s="87"/>
    </row>
    <row r="997" spans="3:77" x14ac:dyDescent="0.3">
      <c r="C997" s="5"/>
      <c r="D997" s="5"/>
      <c r="E997" s="5"/>
      <c r="F997" s="5"/>
      <c r="G997" s="5"/>
      <c r="H997" s="5"/>
      <c r="I997" s="5"/>
      <c r="J997" s="5"/>
      <c r="K997" s="5"/>
      <c r="L997" s="5"/>
      <c r="M997" s="5"/>
      <c r="N997" s="5"/>
      <c r="O997" s="5"/>
      <c r="P997" s="5"/>
      <c r="Q997" s="5"/>
      <c r="R997" s="87"/>
      <c r="S997" s="87"/>
      <c r="T997" s="87"/>
      <c r="U997" s="19"/>
      <c r="V997" s="87"/>
      <c r="W997" s="87"/>
      <c r="X997" s="87"/>
      <c r="Y997" s="87"/>
      <c r="Z997" s="87"/>
      <c r="AA997" s="87"/>
      <c r="AB997" s="87"/>
      <c r="AC997" s="87"/>
      <c r="AD997" s="87"/>
      <c r="AE997" s="87"/>
      <c r="AF997" s="87"/>
      <c r="AG997" s="87"/>
      <c r="AH997" s="87"/>
      <c r="AI997" s="87"/>
      <c r="AJ997" s="87"/>
      <c r="AK997" s="87"/>
      <c r="AL997" s="87"/>
      <c r="AM997" s="87"/>
      <c r="AN997" s="87"/>
      <c r="AO997" s="87"/>
      <c r="AP997" s="87"/>
      <c r="AQ997" s="87"/>
      <c r="AR997" s="87"/>
      <c r="AS997" s="87"/>
      <c r="AT997" s="87"/>
      <c r="AU997" s="87"/>
      <c r="AV997" s="87"/>
      <c r="AW997" s="87"/>
      <c r="AX997" s="87"/>
      <c r="AY997" s="87"/>
      <c r="AZ997" s="87"/>
      <c r="BA997" s="87"/>
      <c r="BB997" s="87"/>
      <c r="BC997" s="87"/>
      <c r="BD997" s="87"/>
      <c r="BE997" s="87"/>
      <c r="BF997" s="87"/>
      <c r="BG997" s="87"/>
      <c r="BH997" s="87"/>
      <c r="BI997" s="87"/>
      <c r="BJ997" s="87"/>
      <c r="BK997" s="87"/>
      <c r="BL997" s="87"/>
      <c r="BM997" s="87"/>
      <c r="BN997" s="87"/>
      <c r="BO997" s="87"/>
      <c r="BP997" s="87"/>
      <c r="BQ997" s="87"/>
      <c r="BR997" s="87"/>
      <c r="BS997" s="87"/>
      <c r="BT997" s="87"/>
      <c r="BU997" s="87"/>
      <c r="BV997" s="87"/>
      <c r="BW997" s="87"/>
      <c r="BX997" s="87"/>
      <c r="BY997" s="87"/>
    </row>
    <row r="998" spans="3:77" x14ac:dyDescent="0.3">
      <c r="C998" s="5"/>
      <c r="D998" s="5"/>
      <c r="E998" s="5"/>
      <c r="F998" s="5"/>
      <c r="G998" s="5"/>
      <c r="H998" s="5"/>
      <c r="I998" s="5"/>
      <c r="J998" s="5"/>
      <c r="K998" s="5"/>
      <c r="L998" s="5"/>
      <c r="M998" s="5"/>
      <c r="N998" s="5"/>
      <c r="O998" s="5"/>
      <c r="P998" s="5"/>
      <c r="Q998" s="5"/>
      <c r="R998" s="87"/>
      <c r="S998" s="87"/>
      <c r="T998" s="87"/>
      <c r="U998" s="19"/>
      <c r="V998" s="87"/>
      <c r="W998" s="87"/>
      <c r="X998" s="87"/>
      <c r="Y998" s="87"/>
      <c r="Z998" s="87"/>
      <c r="AA998" s="87"/>
      <c r="AB998" s="87"/>
      <c r="AC998" s="87"/>
      <c r="AD998" s="87"/>
      <c r="AE998" s="87"/>
      <c r="AF998" s="87"/>
      <c r="AG998" s="87"/>
      <c r="AH998" s="87"/>
      <c r="AI998" s="87"/>
      <c r="AJ998" s="87"/>
      <c r="AK998" s="87"/>
      <c r="AL998" s="87"/>
      <c r="AM998" s="87"/>
      <c r="AN998" s="87"/>
      <c r="AO998" s="87"/>
      <c r="AP998" s="87"/>
      <c r="AQ998" s="87"/>
      <c r="AR998" s="87"/>
      <c r="AS998" s="87"/>
      <c r="AT998" s="87"/>
      <c r="AU998" s="87"/>
      <c r="AV998" s="87"/>
      <c r="AW998" s="87"/>
      <c r="AX998" s="87"/>
      <c r="AY998" s="87"/>
      <c r="AZ998" s="87"/>
      <c r="BA998" s="87"/>
      <c r="BB998" s="87"/>
      <c r="BC998" s="87"/>
      <c r="BD998" s="87"/>
      <c r="BE998" s="87"/>
      <c r="BF998" s="87"/>
      <c r="BG998" s="87"/>
      <c r="BH998" s="87"/>
      <c r="BI998" s="87"/>
      <c r="BJ998" s="87"/>
      <c r="BK998" s="87"/>
      <c r="BL998" s="87"/>
      <c r="BM998" s="87"/>
      <c r="BN998" s="87"/>
      <c r="BO998" s="87"/>
      <c r="BP998" s="87"/>
      <c r="BQ998" s="87"/>
      <c r="BR998" s="87"/>
      <c r="BS998" s="87"/>
      <c r="BT998" s="87"/>
      <c r="BU998" s="87"/>
      <c r="BV998" s="87"/>
      <c r="BW998" s="87"/>
      <c r="BX998" s="87"/>
      <c r="BY998" s="87"/>
    </row>
    <row r="999" spans="3:77" x14ac:dyDescent="0.3">
      <c r="C999" s="5"/>
      <c r="D999" s="5"/>
      <c r="E999" s="5"/>
      <c r="F999" s="5"/>
      <c r="G999" s="5"/>
      <c r="H999" s="5"/>
      <c r="I999" s="5"/>
      <c r="J999" s="5"/>
      <c r="K999" s="5"/>
      <c r="L999" s="5"/>
      <c r="M999" s="5"/>
      <c r="N999" s="5"/>
      <c r="O999" s="5"/>
      <c r="P999" s="5"/>
      <c r="Q999" s="5"/>
      <c r="R999" s="87"/>
      <c r="S999" s="87"/>
      <c r="T999" s="87"/>
      <c r="U999" s="19"/>
      <c r="V999" s="87"/>
      <c r="W999" s="87"/>
      <c r="X999" s="87"/>
      <c r="Y999" s="87"/>
      <c r="Z999" s="87"/>
      <c r="AA999" s="87"/>
      <c r="AB999" s="87"/>
      <c r="AC999" s="87"/>
      <c r="AD999" s="87"/>
      <c r="AE999" s="87"/>
      <c r="AF999" s="87"/>
      <c r="AG999" s="87"/>
      <c r="AH999" s="87"/>
      <c r="AI999" s="87"/>
      <c r="AJ999" s="87"/>
      <c r="AK999" s="87"/>
      <c r="AL999" s="87"/>
      <c r="AM999" s="87"/>
      <c r="AN999" s="87"/>
      <c r="AO999" s="87"/>
      <c r="AP999" s="87"/>
      <c r="AQ999" s="87"/>
      <c r="AR999" s="87"/>
      <c r="AS999" s="87"/>
      <c r="AT999" s="87"/>
      <c r="AU999" s="87"/>
      <c r="AV999" s="87"/>
      <c r="AW999" s="87"/>
      <c r="AX999" s="87"/>
      <c r="AY999" s="87"/>
      <c r="AZ999" s="87"/>
      <c r="BA999" s="87"/>
      <c r="BB999" s="87"/>
      <c r="BC999" s="87"/>
      <c r="BD999" s="87"/>
      <c r="BE999" s="87"/>
      <c r="BF999" s="87"/>
      <c r="BG999" s="87"/>
      <c r="BH999" s="87"/>
      <c r="BI999" s="87"/>
      <c r="BJ999" s="87"/>
      <c r="BK999" s="87"/>
      <c r="BL999" s="87"/>
      <c r="BM999" s="87"/>
      <c r="BN999" s="87"/>
      <c r="BO999" s="87"/>
      <c r="BP999" s="87"/>
      <c r="BQ999" s="87"/>
      <c r="BR999" s="87"/>
      <c r="BS999" s="87"/>
      <c r="BT999" s="87"/>
      <c r="BU999" s="87"/>
      <c r="BV999" s="87"/>
      <c r="BW999" s="87"/>
      <c r="BX999" s="87"/>
      <c r="BY999" s="87"/>
    </row>
    <row r="1000" spans="3:77" x14ac:dyDescent="0.3">
      <c r="C1000" s="5"/>
      <c r="D1000" s="5"/>
      <c r="E1000" s="5"/>
      <c r="F1000" s="5"/>
      <c r="G1000" s="5"/>
      <c r="H1000" s="5"/>
      <c r="I1000" s="5"/>
      <c r="J1000" s="5"/>
      <c r="K1000" s="5"/>
      <c r="L1000" s="5"/>
      <c r="M1000" s="5"/>
      <c r="N1000" s="5"/>
      <c r="O1000" s="5"/>
      <c r="P1000" s="5"/>
      <c r="Q1000" s="5"/>
      <c r="R1000" s="87"/>
      <c r="S1000" s="87"/>
      <c r="T1000" s="87"/>
      <c r="U1000" s="19"/>
      <c r="V1000" s="87"/>
      <c r="W1000" s="87"/>
      <c r="X1000" s="87"/>
      <c r="Y1000" s="87"/>
      <c r="Z1000" s="87"/>
      <c r="AA1000" s="87"/>
      <c r="AB1000" s="87"/>
      <c r="AC1000" s="87"/>
      <c r="AD1000" s="87"/>
      <c r="AE1000" s="87"/>
      <c r="AF1000" s="87"/>
      <c r="AG1000" s="87"/>
      <c r="AH1000" s="87"/>
      <c r="AI1000" s="87"/>
      <c r="AJ1000" s="87"/>
      <c r="AK1000" s="87"/>
      <c r="AL1000" s="87"/>
      <c r="AM1000" s="87"/>
      <c r="AN1000" s="87"/>
      <c r="AO1000" s="87"/>
      <c r="AP1000" s="87"/>
      <c r="AQ1000" s="87"/>
      <c r="AR1000" s="87"/>
      <c r="AS1000" s="87"/>
      <c r="AT1000" s="87"/>
      <c r="AU1000" s="87"/>
      <c r="AV1000" s="87"/>
      <c r="AW1000" s="87"/>
      <c r="AX1000" s="87"/>
      <c r="AY1000" s="87"/>
      <c r="AZ1000" s="87"/>
      <c r="BA1000" s="87"/>
      <c r="BB1000" s="87"/>
      <c r="BC1000" s="87"/>
      <c r="BD1000" s="87"/>
      <c r="BE1000" s="87"/>
      <c r="BF1000" s="87"/>
      <c r="BG1000" s="87"/>
      <c r="BH1000" s="87"/>
      <c r="BI1000" s="87"/>
      <c r="BJ1000" s="87"/>
      <c r="BK1000" s="87"/>
      <c r="BL1000" s="87"/>
      <c r="BM1000" s="87"/>
      <c r="BN1000" s="87"/>
      <c r="BO1000" s="87"/>
      <c r="BP1000" s="87"/>
      <c r="BQ1000" s="87"/>
      <c r="BR1000" s="87"/>
      <c r="BS1000" s="87"/>
      <c r="BT1000" s="87"/>
      <c r="BU1000" s="87"/>
      <c r="BV1000" s="87"/>
      <c r="BW1000" s="87"/>
      <c r="BX1000" s="87"/>
      <c r="BY1000" s="87"/>
    </row>
    <row r="1001" spans="3:77" x14ac:dyDescent="0.3">
      <c r="C1001" s="5"/>
      <c r="D1001" s="5"/>
      <c r="E1001" s="5"/>
      <c r="F1001" s="5"/>
      <c r="G1001" s="5"/>
      <c r="H1001" s="5"/>
      <c r="I1001" s="5"/>
      <c r="J1001" s="5"/>
      <c r="K1001" s="5"/>
      <c r="L1001" s="5"/>
      <c r="M1001" s="5"/>
      <c r="N1001" s="5"/>
      <c r="O1001" s="5"/>
      <c r="P1001" s="5"/>
      <c r="Q1001" s="5"/>
      <c r="R1001" s="87"/>
      <c r="S1001" s="87"/>
      <c r="T1001" s="87"/>
      <c r="U1001" s="19"/>
      <c r="V1001" s="87"/>
      <c r="W1001" s="87"/>
      <c r="X1001" s="87"/>
      <c r="Y1001" s="87"/>
      <c r="Z1001" s="87"/>
      <c r="AA1001" s="87"/>
      <c r="AB1001" s="87"/>
      <c r="AC1001" s="87"/>
      <c r="AD1001" s="87"/>
      <c r="AE1001" s="87"/>
      <c r="AF1001" s="87"/>
      <c r="AG1001" s="87"/>
      <c r="AH1001" s="87"/>
      <c r="AI1001" s="87"/>
      <c r="AJ1001" s="87"/>
      <c r="AK1001" s="87"/>
      <c r="AL1001" s="87"/>
      <c r="AM1001" s="87"/>
      <c r="AN1001" s="87"/>
      <c r="AO1001" s="87"/>
      <c r="AP1001" s="87"/>
      <c r="AQ1001" s="87"/>
      <c r="AR1001" s="87"/>
      <c r="AS1001" s="87"/>
      <c r="AT1001" s="87"/>
      <c r="AU1001" s="87"/>
      <c r="AV1001" s="87"/>
      <c r="AW1001" s="87"/>
      <c r="AX1001" s="87"/>
      <c r="AY1001" s="87"/>
      <c r="AZ1001" s="87"/>
      <c r="BA1001" s="87"/>
      <c r="BB1001" s="87"/>
      <c r="BC1001" s="87"/>
      <c r="BD1001" s="87"/>
      <c r="BE1001" s="87"/>
      <c r="BF1001" s="87"/>
      <c r="BG1001" s="87"/>
      <c r="BH1001" s="87"/>
      <c r="BI1001" s="87"/>
      <c r="BJ1001" s="87"/>
      <c r="BK1001" s="87"/>
      <c r="BL1001" s="87"/>
      <c r="BM1001" s="87"/>
      <c r="BN1001" s="87"/>
      <c r="BO1001" s="87"/>
      <c r="BP1001" s="87"/>
      <c r="BQ1001" s="87"/>
      <c r="BR1001" s="87"/>
      <c r="BS1001" s="87"/>
      <c r="BT1001" s="87"/>
      <c r="BU1001" s="87"/>
      <c r="BV1001" s="87"/>
      <c r="BW1001" s="87"/>
      <c r="BX1001" s="87"/>
      <c r="BY1001" s="87"/>
    </row>
    <row r="1002" spans="3:77" x14ac:dyDescent="0.3">
      <c r="C1002" s="5"/>
      <c r="D1002" s="5"/>
      <c r="E1002" s="5"/>
      <c r="F1002" s="5"/>
      <c r="G1002" s="5"/>
      <c r="H1002" s="5"/>
      <c r="I1002" s="5"/>
      <c r="J1002" s="5"/>
      <c r="K1002" s="5"/>
      <c r="L1002" s="5"/>
      <c r="M1002" s="5"/>
      <c r="N1002" s="5"/>
      <c r="O1002" s="5"/>
      <c r="P1002" s="5"/>
      <c r="Q1002" s="5"/>
      <c r="R1002" s="87"/>
      <c r="S1002" s="87"/>
      <c r="T1002" s="87"/>
      <c r="U1002" s="19"/>
      <c r="V1002" s="87"/>
      <c r="W1002" s="87"/>
      <c r="X1002" s="87"/>
      <c r="Y1002" s="87"/>
      <c r="Z1002" s="87"/>
      <c r="AA1002" s="87"/>
      <c r="AB1002" s="87"/>
      <c r="AC1002" s="87"/>
      <c r="AD1002" s="87"/>
      <c r="AE1002" s="87"/>
      <c r="AF1002" s="87"/>
      <c r="AG1002" s="87"/>
      <c r="AH1002" s="87"/>
      <c r="AI1002" s="87"/>
      <c r="AJ1002" s="87"/>
      <c r="AK1002" s="87"/>
      <c r="AL1002" s="87"/>
      <c r="AM1002" s="87"/>
      <c r="AN1002" s="87"/>
      <c r="AO1002" s="87"/>
      <c r="AP1002" s="87"/>
      <c r="AQ1002" s="87"/>
      <c r="AR1002" s="87"/>
      <c r="AS1002" s="87"/>
      <c r="AT1002" s="87"/>
      <c r="AU1002" s="87"/>
      <c r="AV1002" s="87"/>
      <c r="AW1002" s="87"/>
      <c r="AX1002" s="87"/>
      <c r="AY1002" s="87"/>
      <c r="AZ1002" s="87"/>
      <c r="BA1002" s="87"/>
      <c r="BB1002" s="87"/>
      <c r="BC1002" s="87"/>
      <c r="BD1002" s="87"/>
      <c r="BE1002" s="87"/>
      <c r="BF1002" s="87"/>
      <c r="BG1002" s="87"/>
      <c r="BH1002" s="87"/>
      <c r="BI1002" s="87"/>
      <c r="BJ1002" s="87"/>
      <c r="BK1002" s="87"/>
      <c r="BL1002" s="87"/>
      <c r="BM1002" s="87"/>
      <c r="BN1002" s="87"/>
      <c r="BO1002" s="87"/>
      <c r="BP1002" s="87"/>
      <c r="BQ1002" s="87"/>
      <c r="BR1002" s="87"/>
      <c r="BS1002" s="87"/>
      <c r="BT1002" s="87"/>
      <c r="BU1002" s="87"/>
      <c r="BV1002" s="87"/>
      <c r="BW1002" s="87"/>
      <c r="BX1002" s="87"/>
      <c r="BY1002" s="87"/>
    </row>
    <row r="1003" spans="3:77" x14ac:dyDescent="0.3">
      <c r="C1003" s="5"/>
      <c r="D1003" s="5"/>
      <c r="E1003" s="5"/>
      <c r="F1003" s="5"/>
      <c r="G1003" s="5"/>
      <c r="H1003" s="5"/>
      <c r="I1003" s="5"/>
      <c r="J1003" s="5"/>
      <c r="K1003" s="5"/>
      <c r="L1003" s="5"/>
      <c r="M1003" s="5"/>
      <c r="N1003" s="5"/>
      <c r="O1003" s="5"/>
      <c r="P1003" s="5"/>
      <c r="Q1003" s="5"/>
      <c r="R1003" s="87"/>
      <c r="S1003" s="87"/>
      <c r="T1003" s="87"/>
      <c r="U1003" s="19"/>
      <c r="V1003" s="87"/>
      <c r="W1003" s="87"/>
      <c r="X1003" s="87"/>
      <c r="Y1003" s="87"/>
      <c r="Z1003" s="87"/>
      <c r="AA1003" s="87"/>
      <c r="AB1003" s="87"/>
      <c r="AC1003" s="87"/>
      <c r="AD1003" s="87"/>
      <c r="AE1003" s="87"/>
      <c r="AF1003" s="87"/>
      <c r="AG1003" s="87"/>
      <c r="AH1003" s="87"/>
      <c r="AI1003" s="87"/>
      <c r="AJ1003" s="87"/>
      <c r="AK1003" s="87"/>
      <c r="AL1003" s="87"/>
      <c r="AM1003" s="87"/>
      <c r="AN1003" s="87"/>
      <c r="AO1003" s="87"/>
      <c r="AP1003" s="87"/>
      <c r="AQ1003" s="87"/>
      <c r="AR1003" s="87"/>
      <c r="AS1003" s="87"/>
      <c r="AT1003" s="87"/>
      <c r="AU1003" s="87"/>
      <c r="AV1003" s="87"/>
      <c r="AW1003" s="87"/>
      <c r="AX1003" s="87"/>
      <c r="AY1003" s="87"/>
      <c r="AZ1003" s="87"/>
      <c r="BA1003" s="87"/>
      <c r="BB1003" s="87"/>
      <c r="BC1003" s="87"/>
      <c r="BD1003" s="87"/>
      <c r="BE1003" s="87"/>
      <c r="BF1003" s="87"/>
      <c r="BG1003" s="87"/>
      <c r="BH1003" s="87"/>
      <c r="BI1003" s="87"/>
      <c r="BJ1003" s="87"/>
      <c r="BK1003" s="87"/>
      <c r="BL1003" s="87"/>
      <c r="BM1003" s="87"/>
      <c r="BN1003" s="87"/>
      <c r="BO1003" s="87"/>
      <c r="BP1003" s="87"/>
      <c r="BQ1003" s="87"/>
      <c r="BR1003" s="87"/>
      <c r="BS1003" s="87"/>
      <c r="BT1003" s="87"/>
      <c r="BU1003" s="87"/>
      <c r="BV1003" s="87"/>
      <c r="BW1003" s="87"/>
      <c r="BX1003" s="87"/>
      <c r="BY1003" s="87"/>
    </row>
    <row r="1004" spans="3:77" x14ac:dyDescent="0.3">
      <c r="C1004" s="5"/>
      <c r="D1004" s="5"/>
      <c r="E1004" s="5"/>
      <c r="F1004" s="5"/>
      <c r="G1004" s="5"/>
      <c r="H1004" s="5"/>
      <c r="I1004" s="5"/>
      <c r="J1004" s="5"/>
      <c r="K1004" s="5"/>
      <c r="L1004" s="5"/>
      <c r="M1004" s="5"/>
      <c r="N1004" s="5"/>
      <c r="O1004" s="5"/>
      <c r="P1004" s="5"/>
      <c r="Q1004" s="5"/>
      <c r="R1004" s="87"/>
      <c r="S1004" s="87"/>
      <c r="T1004" s="87"/>
      <c r="U1004" s="19"/>
      <c r="V1004" s="87"/>
      <c r="W1004" s="87"/>
      <c r="X1004" s="87"/>
      <c r="Y1004" s="87"/>
      <c r="Z1004" s="87"/>
      <c r="AA1004" s="87"/>
      <c r="AB1004" s="87"/>
      <c r="AC1004" s="87"/>
      <c r="AD1004" s="87"/>
      <c r="AE1004" s="87"/>
      <c r="AF1004" s="87"/>
      <c r="AG1004" s="87"/>
      <c r="AH1004" s="87"/>
      <c r="AI1004" s="87"/>
      <c r="AJ1004" s="87"/>
      <c r="AK1004" s="87"/>
      <c r="AL1004" s="87"/>
      <c r="AM1004" s="87"/>
      <c r="AN1004" s="87"/>
      <c r="AO1004" s="87"/>
      <c r="AP1004" s="87"/>
      <c r="AQ1004" s="87"/>
      <c r="AR1004" s="87"/>
      <c r="AS1004" s="87"/>
      <c r="AT1004" s="87"/>
      <c r="AU1004" s="87"/>
      <c r="AV1004" s="87"/>
      <c r="AW1004" s="87"/>
      <c r="AX1004" s="87"/>
      <c r="AY1004" s="87"/>
      <c r="AZ1004" s="87"/>
      <c r="BA1004" s="87"/>
      <c r="BB1004" s="87"/>
      <c r="BC1004" s="87"/>
      <c r="BD1004" s="87"/>
      <c r="BE1004" s="87"/>
      <c r="BF1004" s="87"/>
      <c r="BG1004" s="87"/>
      <c r="BH1004" s="87"/>
      <c r="BI1004" s="87"/>
      <c r="BJ1004" s="87"/>
      <c r="BK1004" s="87"/>
      <c r="BL1004" s="87"/>
      <c r="BM1004" s="87"/>
      <c r="BN1004" s="87"/>
      <c r="BO1004" s="87"/>
      <c r="BP1004" s="87"/>
      <c r="BQ1004" s="87"/>
      <c r="BR1004" s="87"/>
      <c r="BS1004" s="87"/>
      <c r="BT1004" s="87"/>
      <c r="BU1004" s="87"/>
      <c r="BV1004" s="87"/>
      <c r="BW1004" s="87"/>
      <c r="BX1004" s="87"/>
      <c r="BY1004" s="87"/>
    </row>
    <row r="1005" spans="3:77" x14ac:dyDescent="0.3">
      <c r="C1005" s="5"/>
      <c r="D1005" s="5"/>
      <c r="E1005" s="5"/>
      <c r="F1005" s="5"/>
      <c r="G1005" s="5"/>
      <c r="H1005" s="5"/>
      <c r="I1005" s="5"/>
      <c r="J1005" s="5"/>
      <c r="K1005" s="5"/>
      <c r="L1005" s="5"/>
      <c r="M1005" s="5"/>
      <c r="N1005" s="5"/>
      <c r="O1005" s="5"/>
      <c r="P1005" s="5"/>
      <c r="Q1005" s="5"/>
      <c r="R1005" s="87"/>
      <c r="S1005" s="87"/>
      <c r="T1005" s="87"/>
      <c r="U1005" s="19"/>
      <c r="V1005" s="87"/>
      <c r="W1005" s="87"/>
      <c r="X1005" s="87"/>
      <c r="Y1005" s="87"/>
      <c r="Z1005" s="87"/>
      <c r="AA1005" s="87"/>
      <c r="AB1005" s="87"/>
      <c r="AC1005" s="87"/>
      <c r="AD1005" s="87"/>
      <c r="AE1005" s="87"/>
      <c r="AF1005" s="87"/>
      <c r="AG1005" s="87"/>
      <c r="AH1005" s="87"/>
      <c r="AI1005" s="87"/>
      <c r="AJ1005" s="87"/>
      <c r="AK1005" s="87"/>
      <c r="AL1005" s="87"/>
      <c r="AM1005" s="87"/>
      <c r="AN1005" s="87"/>
      <c r="AO1005" s="87"/>
      <c r="AP1005" s="87"/>
      <c r="AQ1005" s="87"/>
      <c r="AR1005" s="87"/>
      <c r="AS1005" s="87"/>
      <c r="AT1005" s="87"/>
      <c r="AU1005" s="87"/>
      <c r="AV1005" s="87"/>
      <c r="AW1005" s="87"/>
      <c r="AX1005" s="87"/>
      <c r="AY1005" s="87"/>
      <c r="AZ1005" s="87"/>
      <c r="BA1005" s="87"/>
      <c r="BB1005" s="87"/>
      <c r="BC1005" s="87"/>
      <c r="BD1005" s="87"/>
      <c r="BE1005" s="87"/>
      <c r="BF1005" s="87"/>
      <c r="BG1005" s="87"/>
      <c r="BH1005" s="87"/>
      <c r="BI1005" s="87"/>
      <c r="BJ1005" s="87"/>
      <c r="BK1005" s="87"/>
      <c r="BL1005" s="87"/>
      <c r="BM1005" s="87"/>
      <c r="BN1005" s="87"/>
      <c r="BO1005" s="87"/>
      <c r="BP1005" s="87"/>
      <c r="BQ1005" s="87"/>
      <c r="BR1005" s="87"/>
      <c r="BS1005" s="87"/>
      <c r="BT1005" s="87"/>
      <c r="BU1005" s="87"/>
      <c r="BV1005" s="87"/>
      <c r="BW1005" s="87"/>
      <c r="BX1005" s="87"/>
      <c r="BY1005" s="87"/>
    </row>
    <row r="1006" spans="3:77" x14ac:dyDescent="0.3">
      <c r="C1006" s="5"/>
      <c r="D1006" s="5"/>
      <c r="E1006" s="5"/>
      <c r="F1006" s="5"/>
      <c r="G1006" s="5"/>
      <c r="H1006" s="5"/>
      <c r="I1006" s="5"/>
      <c r="J1006" s="5"/>
      <c r="K1006" s="5"/>
      <c r="L1006" s="5"/>
      <c r="M1006" s="5"/>
      <c r="N1006" s="5"/>
      <c r="O1006" s="5"/>
      <c r="P1006" s="5"/>
      <c r="Q1006" s="5"/>
      <c r="R1006" s="87"/>
      <c r="S1006" s="87"/>
      <c r="T1006" s="87"/>
      <c r="U1006" s="19"/>
      <c r="V1006" s="87"/>
      <c r="W1006" s="87"/>
      <c r="X1006" s="87"/>
      <c r="Y1006" s="87"/>
      <c r="Z1006" s="87"/>
      <c r="AA1006" s="87"/>
      <c r="AB1006" s="87"/>
      <c r="AC1006" s="87"/>
      <c r="AD1006" s="87"/>
      <c r="AE1006" s="87"/>
      <c r="AF1006" s="87"/>
      <c r="AG1006" s="87"/>
      <c r="AH1006" s="87"/>
      <c r="AI1006" s="87"/>
      <c r="AJ1006" s="87"/>
      <c r="AK1006" s="87"/>
      <c r="AL1006" s="87"/>
      <c r="AM1006" s="87"/>
      <c r="AN1006" s="87"/>
      <c r="AO1006" s="87"/>
      <c r="AP1006" s="87"/>
      <c r="AQ1006" s="87"/>
      <c r="AR1006" s="87"/>
      <c r="AS1006" s="87"/>
      <c r="AT1006" s="87"/>
      <c r="AU1006" s="87"/>
      <c r="AV1006" s="87"/>
      <c r="AW1006" s="87"/>
      <c r="AX1006" s="87"/>
      <c r="AY1006" s="87"/>
      <c r="AZ1006" s="87"/>
      <c r="BA1006" s="87"/>
      <c r="BB1006" s="87"/>
      <c r="BC1006" s="87"/>
      <c r="BD1006" s="87"/>
      <c r="BE1006" s="87"/>
      <c r="BF1006" s="87"/>
      <c r="BG1006" s="87"/>
      <c r="BH1006" s="87"/>
      <c r="BI1006" s="87"/>
      <c r="BJ1006" s="87"/>
      <c r="BK1006" s="87"/>
      <c r="BL1006" s="87"/>
      <c r="BM1006" s="87"/>
      <c r="BN1006" s="87"/>
      <c r="BO1006" s="87"/>
      <c r="BP1006" s="87"/>
      <c r="BQ1006" s="87"/>
      <c r="BR1006" s="87"/>
      <c r="BS1006" s="87"/>
      <c r="BT1006" s="87"/>
      <c r="BU1006" s="87"/>
      <c r="BV1006" s="87"/>
      <c r="BW1006" s="87"/>
      <c r="BX1006" s="87"/>
      <c r="BY1006" s="87"/>
    </row>
    <row r="1007" spans="3:77" x14ac:dyDescent="0.3">
      <c r="C1007" s="5"/>
      <c r="D1007" s="5"/>
      <c r="E1007" s="5"/>
      <c r="F1007" s="5"/>
      <c r="G1007" s="5"/>
      <c r="H1007" s="5"/>
      <c r="I1007" s="5"/>
      <c r="J1007" s="5"/>
      <c r="K1007" s="5"/>
      <c r="L1007" s="5"/>
      <c r="M1007" s="5"/>
      <c r="N1007" s="5"/>
      <c r="O1007" s="5"/>
      <c r="P1007" s="5"/>
      <c r="Q1007" s="5"/>
      <c r="R1007" s="87"/>
      <c r="S1007" s="87"/>
      <c r="T1007" s="87"/>
      <c r="U1007" s="19"/>
      <c r="V1007" s="87"/>
      <c r="W1007" s="87"/>
      <c r="X1007" s="87"/>
      <c r="Y1007" s="87"/>
      <c r="Z1007" s="87"/>
      <c r="AA1007" s="87"/>
      <c r="AB1007" s="87"/>
      <c r="AC1007" s="87"/>
      <c r="AD1007" s="87"/>
      <c r="AE1007" s="87"/>
      <c r="AF1007" s="87"/>
      <c r="AG1007" s="87"/>
      <c r="AH1007" s="87"/>
      <c r="AI1007" s="87"/>
      <c r="AJ1007" s="87"/>
      <c r="AK1007" s="87"/>
      <c r="AL1007" s="87"/>
      <c r="AM1007" s="87"/>
      <c r="AN1007" s="87"/>
      <c r="AO1007" s="87"/>
      <c r="AP1007" s="87"/>
      <c r="AQ1007" s="87"/>
      <c r="AR1007" s="87"/>
      <c r="AS1007" s="87"/>
      <c r="AT1007" s="87"/>
      <c r="AU1007" s="87"/>
      <c r="AV1007" s="87"/>
      <c r="AW1007" s="87"/>
      <c r="AX1007" s="87"/>
      <c r="AY1007" s="87"/>
      <c r="AZ1007" s="87"/>
      <c r="BA1007" s="87"/>
      <c r="BB1007" s="87"/>
      <c r="BC1007" s="87"/>
      <c r="BD1007" s="87"/>
      <c r="BE1007" s="87"/>
      <c r="BF1007" s="87"/>
      <c r="BG1007" s="87"/>
      <c r="BH1007" s="87"/>
      <c r="BI1007" s="87"/>
      <c r="BJ1007" s="87"/>
      <c r="BK1007" s="87"/>
      <c r="BL1007" s="87"/>
      <c r="BM1007" s="87"/>
      <c r="BN1007" s="87"/>
      <c r="BO1007" s="87"/>
      <c r="BP1007" s="87"/>
      <c r="BQ1007" s="87"/>
      <c r="BR1007" s="87"/>
      <c r="BS1007" s="87"/>
      <c r="BT1007" s="87"/>
      <c r="BU1007" s="87"/>
      <c r="BV1007" s="87"/>
      <c r="BW1007" s="87"/>
      <c r="BX1007" s="87"/>
      <c r="BY1007" s="87"/>
    </row>
    <row r="1008" spans="3:77" x14ac:dyDescent="0.3">
      <c r="C1008" s="5"/>
      <c r="D1008" s="5"/>
      <c r="E1008" s="5"/>
      <c r="F1008" s="5"/>
      <c r="G1008" s="5"/>
      <c r="H1008" s="5"/>
      <c r="I1008" s="5"/>
      <c r="J1008" s="5"/>
      <c r="K1008" s="5"/>
      <c r="L1008" s="5"/>
      <c r="M1008" s="5"/>
      <c r="N1008" s="5"/>
      <c r="O1008" s="5"/>
      <c r="P1008" s="5"/>
      <c r="Q1008" s="5"/>
      <c r="R1008" s="87"/>
      <c r="S1008" s="87"/>
      <c r="T1008" s="87"/>
      <c r="U1008" s="19"/>
      <c r="V1008" s="87"/>
      <c r="W1008" s="87"/>
      <c r="X1008" s="87"/>
      <c r="Y1008" s="87"/>
      <c r="Z1008" s="87"/>
      <c r="AA1008" s="87"/>
      <c r="AB1008" s="87"/>
      <c r="AC1008" s="87"/>
      <c r="AD1008" s="87"/>
      <c r="AE1008" s="87"/>
      <c r="AF1008" s="87"/>
      <c r="AG1008" s="87"/>
      <c r="AH1008" s="87"/>
      <c r="AI1008" s="87"/>
      <c r="AJ1008" s="87"/>
      <c r="AK1008" s="87"/>
      <c r="AL1008" s="87"/>
      <c r="AM1008" s="87"/>
      <c r="AN1008" s="87"/>
      <c r="AO1008" s="87"/>
      <c r="AP1008" s="87"/>
      <c r="AQ1008" s="87"/>
      <c r="AR1008" s="87"/>
      <c r="AS1008" s="87"/>
      <c r="AT1008" s="87"/>
      <c r="AU1008" s="87"/>
      <c r="AV1008" s="87"/>
      <c r="AW1008" s="87"/>
      <c r="AX1008" s="87"/>
      <c r="AY1008" s="87"/>
      <c r="AZ1008" s="87"/>
      <c r="BA1008" s="87"/>
      <c r="BB1008" s="87"/>
      <c r="BC1008" s="87"/>
      <c r="BD1008" s="87"/>
      <c r="BE1008" s="87"/>
      <c r="BF1008" s="87"/>
      <c r="BG1008" s="87"/>
      <c r="BH1008" s="87"/>
      <c r="BI1008" s="87"/>
      <c r="BJ1008" s="87"/>
      <c r="BK1008" s="87"/>
      <c r="BL1008" s="87"/>
      <c r="BM1008" s="87"/>
      <c r="BN1008" s="87"/>
      <c r="BO1008" s="87"/>
      <c r="BP1008" s="87"/>
      <c r="BQ1008" s="87"/>
      <c r="BR1008" s="87"/>
      <c r="BS1008" s="87"/>
      <c r="BT1008" s="87"/>
      <c r="BU1008" s="87"/>
      <c r="BV1008" s="87"/>
      <c r="BW1008" s="87"/>
      <c r="BX1008" s="87"/>
      <c r="BY1008" s="87"/>
    </row>
    <row r="1009" spans="3:77" x14ac:dyDescent="0.3">
      <c r="C1009" s="5"/>
      <c r="D1009" s="5"/>
      <c r="E1009" s="5"/>
      <c r="F1009" s="5"/>
      <c r="G1009" s="5"/>
      <c r="H1009" s="5"/>
      <c r="I1009" s="5"/>
      <c r="J1009" s="5"/>
      <c r="K1009" s="5"/>
      <c r="L1009" s="5"/>
      <c r="M1009" s="5"/>
      <c r="N1009" s="5"/>
      <c r="O1009" s="5"/>
      <c r="P1009" s="5"/>
      <c r="Q1009" s="5"/>
      <c r="R1009" s="87"/>
      <c r="S1009" s="87"/>
      <c r="T1009" s="87"/>
      <c r="U1009" s="19"/>
      <c r="V1009" s="87"/>
      <c r="W1009" s="87"/>
      <c r="X1009" s="87"/>
      <c r="Y1009" s="87"/>
      <c r="Z1009" s="87"/>
      <c r="AA1009" s="87"/>
      <c r="AB1009" s="87"/>
      <c r="AC1009" s="87"/>
      <c r="AD1009" s="87"/>
      <c r="AE1009" s="87"/>
      <c r="AF1009" s="87"/>
      <c r="AG1009" s="87"/>
      <c r="AH1009" s="87"/>
      <c r="AI1009" s="87"/>
      <c r="AJ1009" s="87"/>
      <c r="AK1009" s="87"/>
      <c r="AL1009" s="87"/>
      <c r="AM1009" s="87"/>
      <c r="AN1009" s="87"/>
      <c r="AO1009" s="87"/>
      <c r="AP1009" s="87"/>
      <c r="AQ1009" s="87"/>
      <c r="AR1009" s="87"/>
      <c r="AS1009" s="87"/>
      <c r="AT1009" s="87"/>
      <c r="AU1009" s="87"/>
      <c r="AV1009" s="87"/>
      <c r="AW1009" s="87"/>
      <c r="AX1009" s="87"/>
      <c r="AY1009" s="87"/>
      <c r="AZ1009" s="87"/>
      <c r="BA1009" s="87"/>
      <c r="BB1009" s="87"/>
      <c r="BC1009" s="87"/>
      <c r="BD1009" s="87"/>
      <c r="BE1009" s="87"/>
      <c r="BF1009" s="87"/>
      <c r="BG1009" s="87"/>
      <c r="BH1009" s="87"/>
      <c r="BI1009" s="87"/>
      <c r="BJ1009" s="87"/>
      <c r="BK1009" s="87"/>
      <c r="BL1009" s="87"/>
      <c r="BM1009" s="87"/>
      <c r="BN1009" s="87"/>
      <c r="BO1009" s="87"/>
      <c r="BP1009" s="87"/>
      <c r="BQ1009" s="87"/>
      <c r="BR1009" s="87"/>
      <c r="BS1009" s="87"/>
      <c r="BT1009" s="87"/>
      <c r="BU1009" s="87"/>
      <c r="BV1009" s="87"/>
      <c r="BW1009" s="87"/>
      <c r="BX1009" s="87"/>
      <c r="BY1009" s="87"/>
    </row>
    <row r="1010" spans="3:77" x14ac:dyDescent="0.3">
      <c r="C1010" s="5"/>
      <c r="D1010" s="5"/>
      <c r="E1010" s="5"/>
      <c r="F1010" s="5"/>
      <c r="G1010" s="5"/>
      <c r="H1010" s="5"/>
      <c r="I1010" s="5"/>
      <c r="J1010" s="5"/>
      <c r="K1010" s="5"/>
      <c r="L1010" s="5"/>
      <c r="M1010" s="5"/>
      <c r="N1010" s="5"/>
      <c r="O1010" s="5"/>
      <c r="P1010" s="5"/>
      <c r="Q1010" s="5"/>
      <c r="R1010" s="87"/>
      <c r="S1010" s="87"/>
      <c r="T1010" s="87"/>
      <c r="U1010" s="19"/>
      <c r="V1010" s="87"/>
      <c r="W1010" s="87"/>
      <c r="X1010" s="87"/>
      <c r="Y1010" s="87"/>
      <c r="Z1010" s="87"/>
      <c r="AA1010" s="87"/>
      <c r="AB1010" s="87"/>
      <c r="AC1010" s="87"/>
      <c r="AD1010" s="87"/>
      <c r="AE1010" s="87"/>
      <c r="AF1010" s="87"/>
      <c r="AG1010" s="87"/>
      <c r="AH1010" s="87"/>
      <c r="AI1010" s="87"/>
      <c r="AJ1010" s="87"/>
      <c r="AK1010" s="87"/>
      <c r="AL1010" s="87"/>
      <c r="AM1010" s="87"/>
      <c r="AN1010" s="87"/>
      <c r="AO1010" s="87"/>
      <c r="AP1010" s="87"/>
      <c r="AQ1010" s="87"/>
      <c r="AR1010" s="87"/>
      <c r="AS1010" s="87"/>
      <c r="AT1010" s="87"/>
      <c r="AU1010" s="87"/>
      <c r="AV1010" s="87"/>
      <c r="AW1010" s="87"/>
      <c r="AX1010" s="87"/>
      <c r="AY1010" s="87"/>
      <c r="AZ1010" s="87"/>
      <c r="BA1010" s="87"/>
      <c r="BB1010" s="87"/>
      <c r="BC1010" s="87"/>
      <c r="BD1010" s="87"/>
      <c r="BE1010" s="87"/>
      <c r="BF1010" s="87"/>
      <c r="BG1010" s="87"/>
      <c r="BH1010" s="87"/>
      <c r="BI1010" s="87"/>
      <c r="BJ1010" s="87"/>
      <c r="BK1010" s="87"/>
      <c r="BL1010" s="87"/>
      <c r="BM1010" s="87"/>
      <c r="BN1010" s="87"/>
      <c r="BO1010" s="87"/>
      <c r="BP1010" s="87"/>
      <c r="BQ1010" s="87"/>
      <c r="BR1010" s="87"/>
      <c r="BS1010" s="87"/>
      <c r="BT1010" s="87"/>
      <c r="BU1010" s="87"/>
      <c r="BV1010" s="87"/>
      <c r="BW1010" s="87"/>
      <c r="BX1010" s="87"/>
      <c r="BY1010" s="87"/>
    </row>
    <row r="1011" spans="3:77" x14ac:dyDescent="0.3">
      <c r="C1011" s="5"/>
      <c r="D1011" s="5"/>
      <c r="E1011" s="5"/>
      <c r="F1011" s="5"/>
      <c r="G1011" s="5"/>
      <c r="H1011" s="5"/>
      <c r="I1011" s="5"/>
      <c r="J1011" s="5"/>
      <c r="K1011" s="5"/>
      <c r="L1011" s="5"/>
      <c r="M1011" s="5"/>
      <c r="N1011" s="5"/>
      <c r="O1011" s="5"/>
      <c r="P1011" s="5"/>
      <c r="Q1011" s="5"/>
      <c r="R1011" s="87"/>
      <c r="S1011" s="87"/>
      <c r="T1011" s="87"/>
      <c r="U1011" s="19"/>
      <c r="V1011" s="87"/>
      <c r="W1011" s="87"/>
      <c r="X1011" s="87"/>
      <c r="Y1011" s="87"/>
      <c r="Z1011" s="87"/>
      <c r="AA1011" s="87"/>
      <c r="AB1011" s="87"/>
      <c r="AC1011" s="87"/>
      <c r="AD1011" s="87"/>
      <c r="AE1011" s="87"/>
      <c r="AF1011" s="87"/>
      <c r="AG1011" s="87"/>
      <c r="AH1011" s="87"/>
      <c r="AI1011" s="87"/>
      <c r="AJ1011" s="87"/>
      <c r="AK1011" s="87"/>
      <c r="AL1011" s="87"/>
      <c r="AM1011" s="87"/>
      <c r="AN1011" s="87"/>
      <c r="AO1011" s="87"/>
      <c r="AP1011" s="87"/>
      <c r="AQ1011" s="87"/>
      <c r="AR1011" s="87"/>
      <c r="AS1011" s="87"/>
      <c r="AT1011" s="87"/>
      <c r="AU1011" s="87"/>
      <c r="AV1011" s="87"/>
      <c r="AW1011" s="87"/>
      <c r="AX1011" s="87"/>
      <c r="AY1011" s="87"/>
      <c r="AZ1011" s="87"/>
      <c r="BA1011" s="87"/>
      <c r="BB1011" s="87"/>
      <c r="BC1011" s="87"/>
      <c r="BD1011" s="87"/>
      <c r="BE1011" s="87"/>
      <c r="BF1011" s="87"/>
      <c r="BG1011" s="87"/>
      <c r="BH1011" s="87"/>
      <c r="BI1011" s="87"/>
      <c r="BJ1011" s="87"/>
      <c r="BK1011" s="87"/>
      <c r="BL1011" s="87"/>
      <c r="BM1011" s="87"/>
      <c r="BN1011" s="87"/>
      <c r="BO1011" s="87"/>
      <c r="BP1011" s="87"/>
      <c r="BQ1011" s="87"/>
      <c r="BR1011" s="87"/>
      <c r="BS1011" s="87"/>
      <c r="BT1011" s="87"/>
      <c r="BU1011" s="87"/>
      <c r="BV1011" s="87"/>
      <c r="BW1011" s="87"/>
      <c r="BX1011" s="87"/>
      <c r="BY1011" s="87"/>
    </row>
    <row r="1012" spans="3:77" x14ac:dyDescent="0.3">
      <c r="C1012" s="5"/>
      <c r="D1012" s="5"/>
      <c r="E1012" s="5"/>
      <c r="F1012" s="5"/>
      <c r="G1012" s="5"/>
      <c r="H1012" s="5"/>
      <c r="I1012" s="5"/>
      <c r="J1012" s="5"/>
      <c r="K1012" s="5"/>
      <c r="L1012" s="5"/>
      <c r="M1012" s="5"/>
      <c r="N1012" s="5"/>
      <c r="O1012" s="5"/>
      <c r="P1012" s="5"/>
      <c r="Q1012" s="5"/>
      <c r="R1012" s="87"/>
      <c r="S1012" s="87"/>
      <c r="T1012" s="87"/>
      <c r="U1012" s="19"/>
      <c r="V1012" s="87"/>
      <c r="W1012" s="87"/>
      <c r="X1012" s="87"/>
      <c r="Y1012" s="87"/>
      <c r="Z1012" s="87"/>
      <c r="AA1012" s="87"/>
      <c r="AB1012" s="87"/>
      <c r="AC1012" s="87"/>
      <c r="AD1012" s="87"/>
      <c r="AE1012" s="87"/>
      <c r="AF1012" s="87"/>
      <c r="AG1012" s="87"/>
      <c r="AH1012" s="87"/>
      <c r="AI1012" s="87"/>
      <c r="AJ1012" s="87"/>
      <c r="AK1012" s="87"/>
      <c r="AL1012" s="87"/>
      <c r="AM1012" s="87"/>
      <c r="AN1012" s="87"/>
      <c r="AO1012" s="87"/>
      <c r="AP1012" s="87"/>
      <c r="AQ1012" s="87"/>
      <c r="AR1012" s="87"/>
      <c r="AS1012" s="87"/>
      <c r="AT1012" s="87"/>
      <c r="AU1012" s="87"/>
      <c r="AV1012" s="87"/>
      <c r="AW1012" s="87"/>
      <c r="AX1012" s="87"/>
      <c r="AY1012" s="87"/>
      <c r="AZ1012" s="87"/>
      <c r="BA1012" s="87"/>
      <c r="BB1012" s="87"/>
      <c r="BC1012" s="87"/>
      <c r="BD1012" s="87"/>
      <c r="BE1012" s="87"/>
      <c r="BF1012" s="87"/>
      <c r="BG1012" s="87"/>
      <c r="BH1012" s="87"/>
      <c r="BI1012" s="87"/>
      <c r="BJ1012" s="87"/>
      <c r="BK1012" s="87"/>
      <c r="BL1012" s="87"/>
      <c r="BM1012" s="87"/>
      <c r="BN1012" s="87"/>
      <c r="BO1012" s="87"/>
      <c r="BP1012" s="87"/>
      <c r="BQ1012" s="87"/>
      <c r="BR1012" s="87"/>
      <c r="BS1012" s="87"/>
      <c r="BT1012" s="87"/>
      <c r="BU1012" s="87"/>
      <c r="BV1012" s="87"/>
      <c r="BW1012" s="87"/>
      <c r="BX1012" s="87"/>
      <c r="BY1012" s="87"/>
    </row>
    <row r="1013" spans="3:77" x14ac:dyDescent="0.3">
      <c r="C1013" s="5"/>
      <c r="D1013" s="5"/>
      <c r="E1013" s="5"/>
      <c r="F1013" s="5"/>
      <c r="G1013" s="5"/>
      <c r="H1013" s="5"/>
      <c r="I1013" s="5"/>
      <c r="J1013" s="5"/>
      <c r="K1013" s="5"/>
      <c r="L1013" s="5"/>
      <c r="M1013" s="5"/>
      <c r="N1013" s="5"/>
      <c r="O1013" s="5"/>
      <c r="P1013" s="5"/>
      <c r="Q1013" s="5"/>
      <c r="R1013" s="87"/>
      <c r="S1013" s="87"/>
      <c r="T1013" s="87"/>
      <c r="U1013" s="19"/>
      <c r="V1013" s="87"/>
      <c r="W1013" s="87"/>
      <c r="X1013" s="87"/>
      <c r="Y1013" s="87"/>
      <c r="Z1013" s="87"/>
      <c r="AA1013" s="87"/>
      <c r="AB1013" s="87"/>
      <c r="AC1013" s="87"/>
      <c r="AD1013" s="87"/>
      <c r="AE1013" s="87"/>
      <c r="AF1013" s="87"/>
      <c r="AG1013" s="87"/>
      <c r="AH1013" s="87"/>
      <c r="AI1013" s="87"/>
      <c r="AJ1013" s="87"/>
      <c r="AK1013" s="87"/>
      <c r="AL1013" s="87"/>
      <c r="AM1013" s="87"/>
      <c r="AN1013" s="87"/>
      <c r="AO1013" s="87"/>
      <c r="AP1013" s="87"/>
      <c r="AQ1013" s="87"/>
      <c r="AR1013" s="87"/>
      <c r="AS1013" s="87"/>
      <c r="AT1013" s="87"/>
      <c r="AU1013" s="87"/>
      <c r="AV1013" s="87"/>
      <c r="AW1013" s="87"/>
      <c r="AX1013" s="87"/>
      <c r="AY1013" s="87"/>
      <c r="AZ1013" s="87"/>
      <c r="BA1013" s="87"/>
      <c r="BB1013" s="87"/>
      <c r="BC1013" s="87"/>
      <c r="BD1013" s="87"/>
      <c r="BE1013" s="87"/>
      <c r="BF1013" s="87"/>
      <c r="BG1013" s="87"/>
      <c r="BH1013" s="87"/>
      <c r="BI1013" s="87"/>
      <c r="BJ1013" s="87"/>
      <c r="BK1013" s="87"/>
      <c r="BL1013" s="87"/>
      <c r="BM1013" s="87"/>
      <c r="BN1013" s="87"/>
      <c r="BO1013" s="87"/>
      <c r="BP1013" s="87"/>
      <c r="BQ1013" s="87"/>
      <c r="BR1013" s="87"/>
      <c r="BS1013" s="87"/>
      <c r="BT1013" s="87"/>
      <c r="BU1013" s="87"/>
      <c r="BV1013" s="87"/>
      <c r="BW1013" s="87"/>
      <c r="BX1013" s="87"/>
      <c r="BY1013" s="87"/>
    </row>
    <row r="1014" spans="3:77" x14ac:dyDescent="0.3">
      <c r="C1014" s="5"/>
      <c r="D1014" s="5"/>
      <c r="E1014" s="5"/>
      <c r="F1014" s="5"/>
      <c r="G1014" s="5"/>
      <c r="H1014" s="5"/>
      <c r="I1014" s="5"/>
      <c r="J1014" s="5"/>
      <c r="K1014" s="5"/>
      <c r="L1014" s="5"/>
      <c r="M1014" s="5"/>
      <c r="N1014" s="5"/>
      <c r="O1014" s="5"/>
      <c r="P1014" s="5"/>
      <c r="Q1014" s="5"/>
      <c r="R1014" s="87"/>
      <c r="S1014" s="87"/>
      <c r="T1014" s="87"/>
      <c r="U1014" s="19"/>
      <c r="V1014" s="87"/>
      <c r="W1014" s="87"/>
      <c r="X1014" s="87"/>
      <c r="Y1014" s="87"/>
      <c r="Z1014" s="87"/>
      <c r="AA1014" s="87"/>
      <c r="AB1014" s="87"/>
      <c r="AC1014" s="87"/>
      <c r="AD1014" s="87"/>
      <c r="AE1014" s="87"/>
      <c r="AF1014" s="87"/>
      <c r="AG1014" s="87"/>
      <c r="AH1014" s="87"/>
      <c r="AI1014" s="87"/>
      <c r="AJ1014" s="87"/>
      <c r="AK1014" s="87"/>
      <c r="AL1014" s="87"/>
      <c r="AM1014" s="87"/>
      <c r="AN1014" s="87"/>
      <c r="AO1014" s="87"/>
      <c r="AP1014" s="87"/>
      <c r="AQ1014" s="87"/>
      <c r="AR1014" s="87"/>
      <c r="AS1014" s="87"/>
      <c r="AT1014" s="87"/>
      <c r="AU1014" s="87"/>
      <c r="AV1014" s="87"/>
      <c r="AW1014" s="87"/>
      <c r="AX1014" s="87"/>
      <c r="AY1014" s="87"/>
      <c r="AZ1014" s="87"/>
      <c r="BA1014" s="87"/>
      <c r="BB1014" s="87"/>
      <c r="BC1014" s="87"/>
      <c r="BD1014" s="87"/>
      <c r="BE1014" s="87"/>
      <c r="BF1014" s="87"/>
      <c r="BG1014" s="87"/>
      <c r="BH1014" s="87"/>
      <c r="BI1014" s="87"/>
      <c r="BJ1014" s="87"/>
      <c r="BK1014" s="87"/>
      <c r="BL1014" s="87"/>
      <c r="BM1014" s="87"/>
      <c r="BN1014" s="87"/>
      <c r="BO1014" s="87"/>
      <c r="BP1014" s="87"/>
      <c r="BQ1014" s="87"/>
      <c r="BR1014" s="87"/>
      <c r="BS1014" s="87"/>
      <c r="BT1014" s="87"/>
      <c r="BU1014" s="87"/>
      <c r="BV1014" s="87"/>
      <c r="BW1014" s="87"/>
      <c r="BX1014" s="87"/>
      <c r="BY1014" s="87"/>
    </row>
    <row r="1015" spans="3:77" x14ac:dyDescent="0.3">
      <c r="C1015" s="5"/>
      <c r="D1015" s="5"/>
      <c r="E1015" s="5"/>
      <c r="F1015" s="5"/>
      <c r="G1015" s="5"/>
      <c r="H1015" s="5"/>
      <c r="I1015" s="5"/>
      <c r="J1015" s="5"/>
      <c r="K1015" s="5"/>
      <c r="L1015" s="5"/>
      <c r="M1015" s="5"/>
      <c r="N1015" s="5"/>
      <c r="O1015" s="5"/>
      <c r="P1015" s="5"/>
      <c r="Q1015" s="5"/>
      <c r="R1015" s="87"/>
      <c r="S1015" s="87"/>
      <c r="T1015" s="87"/>
      <c r="U1015" s="19"/>
      <c r="V1015" s="87"/>
      <c r="W1015" s="87"/>
      <c r="X1015" s="87"/>
      <c r="Y1015" s="87"/>
      <c r="Z1015" s="87"/>
      <c r="AA1015" s="87"/>
      <c r="AB1015" s="87"/>
      <c r="AC1015" s="87"/>
      <c r="AD1015" s="87"/>
      <c r="AE1015" s="87"/>
      <c r="AF1015" s="87"/>
      <c r="AG1015" s="87"/>
      <c r="AH1015" s="87"/>
      <c r="AI1015" s="87"/>
      <c r="AJ1015" s="87"/>
      <c r="AK1015" s="87"/>
      <c r="AL1015" s="87"/>
      <c r="AM1015" s="87"/>
      <c r="AN1015" s="87"/>
      <c r="AO1015" s="87"/>
      <c r="AP1015" s="87"/>
      <c r="AQ1015" s="87"/>
      <c r="AR1015" s="87"/>
      <c r="AS1015" s="87"/>
      <c r="AT1015" s="87"/>
      <c r="AU1015" s="87"/>
      <c r="AV1015" s="87"/>
      <c r="AW1015" s="87"/>
      <c r="AX1015" s="87"/>
      <c r="AY1015" s="87"/>
      <c r="AZ1015" s="87"/>
      <c r="BA1015" s="87"/>
      <c r="BB1015" s="87"/>
      <c r="BC1015" s="87"/>
      <c r="BD1015" s="87"/>
      <c r="BE1015" s="87"/>
      <c r="BF1015" s="87"/>
      <c r="BG1015" s="87"/>
      <c r="BH1015" s="87"/>
      <c r="BI1015" s="87"/>
      <c r="BJ1015" s="87"/>
      <c r="BK1015" s="87"/>
      <c r="BL1015" s="87"/>
      <c r="BM1015" s="87"/>
      <c r="BN1015" s="87"/>
      <c r="BO1015" s="87"/>
      <c r="BP1015" s="87"/>
      <c r="BQ1015" s="87"/>
      <c r="BR1015" s="87"/>
      <c r="BS1015" s="87"/>
      <c r="BT1015" s="87"/>
      <c r="BU1015" s="87"/>
      <c r="BV1015" s="87"/>
      <c r="BW1015" s="87"/>
      <c r="BX1015" s="87"/>
      <c r="BY1015" s="87"/>
    </row>
    <row r="1016" spans="3:77" x14ac:dyDescent="0.3">
      <c r="C1016" s="5"/>
      <c r="D1016" s="5"/>
      <c r="E1016" s="5"/>
      <c r="F1016" s="5"/>
      <c r="G1016" s="5"/>
      <c r="H1016" s="5"/>
      <c r="I1016" s="5"/>
      <c r="J1016" s="5"/>
      <c r="K1016" s="5"/>
      <c r="L1016" s="5"/>
      <c r="M1016" s="5"/>
      <c r="N1016" s="5"/>
      <c r="O1016" s="5"/>
      <c r="P1016" s="5"/>
      <c r="Q1016" s="5"/>
      <c r="R1016" s="87"/>
      <c r="S1016" s="87"/>
      <c r="T1016" s="87"/>
      <c r="U1016" s="19"/>
      <c r="V1016" s="87"/>
      <c r="W1016" s="87"/>
      <c r="X1016" s="87"/>
      <c r="Y1016" s="87"/>
      <c r="Z1016" s="87"/>
      <c r="AA1016" s="87"/>
      <c r="AB1016" s="87"/>
      <c r="AC1016" s="87"/>
      <c r="AD1016" s="87"/>
      <c r="AE1016" s="87"/>
      <c r="AF1016" s="87"/>
      <c r="AG1016" s="87"/>
      <c r="AH1016" s="87"/>
      <c r="AI1016" s="87"/>
      <c r="AJ1016" s="87"/>
      <c r="AK1016" s="87"/>
      <c r="AL1016" s="87"/>
      <c r="AM1016" s="87"/>
      <c r="AN1016" s="87"/>
      <c r="AO1016" s="87"/>
      <c r="AP1016" s="87"/>
      <c r="AQ1016" s="87"/>
      <c r="AR1016" s="87"/>
      <c r="AS1016" s="87"/>
      <c r="AT1016" s="87"/>
      <c r="AU1016" s="87"/>
      <c r="AV1016" s="87"/>
      <c r="AW1016" s="87"/>
      <c r="AX1016" s="87"/>
      <c r="AY1016" s="87"/>
      <c r="AZ1016" s="87"/>
      <c r="BA1016" s="87"/>
      <c r="BB1016" s="87"/>
      <c r="BC1016" s="87"/>
      <c r="BD1016" s="87"/>
      <c r="BE1016" s="87"/>
      <c r="BF1016" s="87"/>
      <c r="BG1016" s="87"/>
      <c r="BH1016" s="87"/>
      <c r="BI1016" s="87"/>
      <c r="BJ1016" s="87"/>
      <c r="BK1016" s="87"/>
      <c r="BL1016" s="87"/>
      <c r="BM1016" s="87"/>
      <c r="BN1016" s="87"/>
      <c r="BO1016" s="87"/>
      <c r="BP1016" s="87"/>
      <c r="BQ1016" s="87"/>
      <c r="BR1016" s="87"/>
      <c r="BS1016" s="87"/>
      <c r="BT1016" s="87"/>
      <c r="BU1016" s="87"/>
      <c r="BV1016" s="87"/>
      <c r="BW1016" s="87"/>
      <c r="BX1016" s="87"/>
      <c r="BY1016" s="87"/>
    </row>
    <row r="1017" spans="3:77" x14ac:dyDescent="0.3">
      <c r="C1017" s="5"/>
      <c r="D1017" s="5"/>
      <c r="E1017" s="5"/>
      <c r="F1017" s="5"/>
      <c r="G1017" s="5"/>
      <c r="H1017" s="5"/>
      <c r="I1017" s="5"/>
      <c r="J1017" s="5"/>
      <c r="K1017" s="5"/>
      <c r="L1017" s="5"/>
      <c r="M1017" s="5"/>
      <c r="N1017" s="5"/>
      <c r="O1017" s="5"/>
      <c r="P1017" s="5"/>
      <c r="Q1017" s="5"/>
      <c r="R1017" s="87"/>
      <c r="S1017" s="87"/>
      <c r="T1017" s="87"/>
      <c r="U1017" s="19"/>
      <c r="V1017" s="87"/>
      <c r="W1017" s="87"/>
      <c r="X1017" s="87"/>
      <c r="Y1017" s="87"/>
      <c r="Z1017" s="87"/>
      <c r="AA1017" s="87"/>
      <c r="AB1017" s="87"/>
      <c r="AC1017" s="87"/>
      <c r="AD1017" s="87"/>
      <c r="AE1017" s="87"/>
      <c r="AF1017" s="87"/>
      <c r="AG1017" s="87"/>
      <c r="AH1017" s="87"/>
      <c r="AI1017" s="87"/>
      <c r="AJ1017" s="87"/>
      <c r="AK1017" s="87"/>
      <c r="AL1017" s="87"/>
      <c r="AM1017" s="87"/>
      <c r="AN1017" s="87"/>
      <c r="AO1017" s="87"/>
      <c r="AP1017" s="87"/>
      <c r="AQ1017" s="87"/>
      <c r="AR1017" s="87"/>
      <c r="AS1017" s="87"/>
      <c r="AT1017" s="87"/>
      <c r="AU1017" s="87"/>
      <c r="AV1017" s="87"/>
      <c r="AW1017" s="87"/>
      <c r="AX1017" s="87"/>
      <c r="AY1017" s="87"/>
      <c r="AZ1017" s="87"/>
      <c r="BA1017" s="87"/>
      <c r="BB1017" s="87"/>
      <c r="BC1017" s="87"/>
      <c r="BD1017" s="87"/>
      <c r="BE1017" s="87"/>
      <c r="BF1017" s="87"/>
      <c r="BG1017" s="87"/>
      <c r="BH1017" s="87"/>
      <c r="BI1017" s="87"/>
      <c r="BJ1017" s="87"/>
      <c r="BK1017" s="87"/>
      <c r="BL1017" s="87"/>
      <c r="BM1017" s="87"/>
      <c r="BN1017" s="87"/>
      <c r="BO1017" s="87"/>
      <c r="BP1017" s="87"/>
      <c r="BQ1017" s="87"/>
      <c r="BR1017" s="87"/>
      <c r="BS1017" s="87"/>
      <c r="BT1017" s="87"/>
      <c r="BU1017" s="87"/>
      <c r="BV1017" s="87"/>
      <c r="BW1017" s="87"/>
      <c r="BX1017" s="87"/>
      <c r="BY1017" s="87"/>
    </row>
    <row r="1018" spans="3:77" x14ac:dyDescent="0.3">
      <c r="C1018" s="5"/>
      <c r="D1018" s="5"/>
      <c r="E1018" s="5"/>
      <c r="F1018" s="5"/>
      <c r="G1018" s="5"/>
      <c r="H1018" s="5"/>
      <c r="I1018" s="5"/>
      <c r="J1018" s="5"/>
      <c r="K1018" s="5"/>
      <c r="L1018" s="5"/>
      <c r="M1018" s="5"/>
      <c r="N1018" s="5"/>
      <c r="O1018" s="5"/>
      <c r="P1018" s="5"/>
      <c r="Q1018" s="5"/>
      <c r="R1018" s="87"/>
      <c r="S1018" s="87"/>
      <c r="T1018" s="87"/>
      <c r="U1018" s="19"/>
      <c r="V1018" s="87"/>
      <c r="W1018" s="87"/>
      <c r="X1018" s="87"/>
      <c r="Y1018" s="87"/>
      <c r="Z1018" s="87"/>
      <c r="AA1018" s="87"/>
      <c r="AB1018" s="87"/>
      <c r="AC1018" s="87"/>
      <c r="AD1018" s="87"/>
      <c r="AE1018" s="87"/>
      <c r="AF1018" s="87"/>
      <c r="AG1018" s="87"/>
      <c r="AH1018" s="87"/>
      <c r="AI1018" s="87"/>
      <c r="AJ1018" s="87"/>
      <c r="AK1018" s="87"/>
      <c r="AL1018" s="87"/>
      <c r="AM1018" s="87"/>
      <c r="AN1018" s="87"/>
      <c r="AO1018" s="87"/>
      <c r="AP1018" s="87"/>
      <c r="AQ1018" s="87"/>
      <c r="AR1018" s="87"/>
      <c r="AS1018" s="87"/>
      <c r="AT1018" s="87"/>
      <c r="AU1018" s="87"/>
      <c r="AV1018" s="87"/>
      <c r="AW1018" s="87"/>
      <c r="AX1018" s="87"/>
      <c r="AY1018" s="87"/>
      <c r="AZ1018" s="87"/>
      <c r="BA1018" s="87"/>
      <c r="BB1018" s="87"/>
      <c r="BC1018" s="87"/>
      <c r="BD1018" s="87"/>
      <c r="BE1018" s="87"/>
      <c r="BF1018" s="87"/>
      <c r="BG1018" s="87"/>
      <c r="BH1018" s="87"/>
      <c r="BI1018" s="87"/>
      <c r="BJ1018" s="87"/>
      <c r="BK1018" s="87"/>
      <c r="BL1018" s="87"/>
      <c r="BM1018" s="87"/>
      <c r="BN1018" s="87"/>
      <c r="BO1018" s="87"/>
      <c r="BP1018" s="87"/>
      <c r="BQ1018" s="87"/>
      <c r="BR1018" s="87"/>
      <c r="BS1018" s="87"/>
      <c r="BT1018" s="87"/>
      <c r="BU1018" s="87"/>
      <c r="BV1018" s="87"/>
      <c r="BW1018" s="87"/>
      <c r="BX1018" s="87"/>
      <c r="BY1018" s="87"/>
    </row>
    <row r="1019" spans="3:77" x14ac:dyDescent="0.3">
      <c r="C1019" s="5"/>
      <c r="D1019" s="5"/>
      <c r="E1019" s="5"/>
      <c r="F1019" s="5"/>
      <c r="G1019" s="5"/>
      <c r="H1019" s="5"/>
      <c r="I1019" s="5"/>
      <c r="J1019" s="5"/>
      <c r="K1019" s="5"/>
      <c r="L1019" s="5"/>
      <c r="M1019" s="5"/>
      <c r="N1019" s="5"/>
      <c r="O1019" s="5"/>
      <c r="P1019" s="5"/>
      <c r="Q1019" s="5"/>
      <c r="R1019" s="87"/>
      <c r="S1019" s="87"/>
      <c r="T1019" s="87"/>
      <c r="U1019" s="19"/>
      <c r="V1019" s="87"/>
      <c r="W1019" s="87"/>
      <c r="X1019" s="87"/>
      <c r="Y1019" s="87"/>
      <c r="Z1019" s="87"/>
      <c r="AA1019" s="87"/>
      <c r="AB1019" s="87"/>
      <c r="AC1019" s="87"/>
      <c r="AD1019" s="87"/>
      <c r="AE1019" s="87"/>
      <c r="AF1019" s="87"/>
      <c r="AG1019" s="87"/>
      <c r="AH1019" s="87"/>
      <c r="AI1019" s="87"/>
      <c r="AJ1019" s="87"/>
      <c r="AK1019" s="87"/>
      <c r="AL1019" s="87"/>
      <c r="AM1019" s="87"/>
      <c r="AN1019" s="87"/>
      <c r="AO1019" s="87"/>
      <c r="AP1019" s="87"/>
      <c r="AQ1019" s="87"/>
      <c r="AR1019" s="87"/>
      <c r="AS1019" s="87"/>
      <c r="AT1019" s="87"/>
      <c r="AU1019" s="87"/>
      <c r="AV1019" s="87"/>
      <c r="AW1019" s="87"/>
      <c r="AX1019" s="87"/>
      <c r="AY1019" s="87"/>
      <c r="AZ1019" s="87"/>
      <c r="BA1019" s="87"/>
      <c r="BB1019" s="87"/>
      <c r="BC1019" s="87"/>
      <c r="BD1019" s="87"/>
      <c r="BE1019" s="87"/>
      <c r="BF1019" s="87"/>
      <c r="BG1019" s="87"/>
      <c r="BH1019" s="87"/>
      <c r="BI1019" s="87"/>
      <c r="BJ1019" s="87"/>
      <c r="BK1019" s="87"/>
      <c r="BL1019" s="87"/>
      <c r="BM1019" s="87"/>
      <c r="BN1019" s="87"/>
      <c r="BO1019" s="87"/>
      <c r="BP1019" s="87"/>
      <c r="BQ1019" s="87"/>
      <c r="BR1019" s="87"/>
      <c r="BS1019" s="87"/>
      <c r="BT1019" s="87"/>
      <c r="BU1019" s="87"/>
      <c r="BV1019" s="87"/>
      <c r="BW1019" s="87"/>
      <c r="BX1019" s="87"/>
      <c r="BY1019" s="87"/>
    </row>
    <row r="1020" spans="3:77" x14ac:dyDescent="0.3">
      <c r="C1020" s="5"/>
      <c r="D1020" s="5"/>
      <c r="E1020" s="5"/>
      <c r="F1020" s="5"/>
      <c r="G1020" s="5"/>
      <c r="H1020" s="5"/>
      <c r="I1020" s="5"/>
      <c r="J1020" s="5"/>
      <c r="K1020" s="5"/>
      <c r="L1020" s="5"/>
      <c r="M1020" s="5"/>
      <c r="N1020" s="5"/>
      <c r="O1020" s="5"/>
      <c r="P1020" s="5"/>
      <c r="Q1020" s="5"/>
      <c r="R1020" s="87"/>
      <c r="S1020" s="87"/>
      <c r="T1020" s="87"/>
      <c r="U1020" s="19"/>
      <c r="V1020" s="87"/>
      <c r="W1020" s="87"/>
      <c r="X1020" s="87"/>
      <c r="Y1020" s="87"/>
      <c r="Z1020" s="87"/>
      <c r="AA1020" s="87"/>
      <c r="AB1020" s="87"/>
      <c r="AC1020" s="87"/>
      <c r="AD1020" s="87"/>
      <c r="AE1020" s="87"/>
      <c r="AF1020" s="87"/>
      <c r="AG1020" s="87"/>
      <c r="AH1020" s="87"/>
      <c r="AI1020" s="87"/>
      <c r="AJ1020" s="87"/>
      <c r="AK1020" s="87"/>
      <c r="AL1020" s="87"/>
      <c r="AM1020" s="87"/>
      <c r="AN1020" s="87"/>
      <c r="AO1020" s="87"/>
      <c r="AP1020" s="87"/>
      <c r="AQ1020" s="87"/>
      <c r="AR1020" s="87"/>
      <c r="AS1020" s="87"/>
      <c r="AT1020" s="87"/>
      <c r="AU1020" s="87"/>
      <c r="AV1020" s="87"/>
      <c r="AW1020" s="87"/>
      <c r="AX1020" s="87"/>
      <c r="AY1020" s="87"/>
      <c r="AZ1020" s="87"/>
      <c r="BA1020" s="87"/>
      <c r="BB1020" s="87"/>
      <c r="BC1020" s="87"/>
      <c r="BD1020" s="87"/>
      <c r="BE1020" s="87"/>
      <c r="BF1020" s="87"/>
      <c r="BG1020" s="87"/>
      <c r="BH1020" s="87"/>
      <c r="BI1020" s="87"/>
      <c r="BJ1020" s="87"/>
      <c r="BK1020" s="87"/>
      <c r="BL1020" s="87"/>
      <c r="BM1020" s="87"/>
      <c r="BN1020" s="87"/>
      <c r="BO1020" s="87"/>
      <c r="BP1020" s="87"/>
      <c r="BQ1020" s="87"/>
      <c r="BR1020" s="87"/>
      <c r="BS1020" s="87"/>
      <c r="BT1020" s="87"/>
      <c r="BU1020" s="87"/>
      <c r="BV1020" s="87"/>
      <c r="BW1020" s="87"/>
      <c r="BX1020" s="87"/>
      <c r="BY1020" s="87"/>
    </row>
    <row r="1021" spans="3:77" x14ac:dyDescent="0.3">
      <c r="C1021" s="5"/>
      <c r="D1021" s="5"/>
      <c r="E1021" s="5"/>
      <c r="F1021" s="5"/>
      <c r="G1021" s="5"/>
      <c r="H1021" s="5"/>
      <c r="I1021" s="5"/>
      <c r="J1021" s="5"/>
      <c r="K1021" s="5"/>
      <c r="L1021" s="5"/>
      <c r="M1021" s="5"/>
      <c r="N1021" s="5"/>
      <c r="O1021" s="5"/>
      <c r="P1021" s="5"/>
      <c r="Q1021" s="5"/>
      <c r="R1021" s="87"/>
      <c r="S1021" s="87"/>
      <c r="T1021" s="87"/>
      <c r="U1021" s="19"/>
      <c r="V1021" s="87"/>
      <c r="W1021" s="87"/>
      <c r="X1021" s="87"/>
      <c r="Y1021" s="87"/>
      <c r="Z1021" s="87"/>
      <c r="AA1021" s="87"/>
      <c r="AB1021" s="87"/>
      <c r="AC1021" s="87"/>
      <c r="AD1021" s="87"/>
      <c r="AE1021" s="87"/>
      <c r="AF1021" s="87"/>
      <c r="AG1021" s="87"/>
      <c r="AH1021" s="87"/>
      <c r="AI1021" s="87"/>
      <c r="AJ1021" s="87"/>
      <c r="AK1021" s="87"/>
      <c r="AL1021" s="87"/>
      <c r="AM1021" s="87"/>
      <c r="AN1021" s="87"/>
      <c r="AO1021" s="87"/>
      <c r="AP1021" s="87"/>
      <c r="AQ1021" s="87"/>
      <c r="AR1021" s="87"/>
      <c r="AS1021" s="87"/>
      <c r="AT1021" s="87"/>
      <c r="AU1021" s="87"/>
      <c r="AV1021" s="87"/>
      <c r="AW1021" s="87"/>
      <c r="AX1021" s="87"/>
      <c r="AY1021" s="87"/>
      <c r="AZ1021" s="87"/>
      <c r="BA1021" s="87"/>
      <c r="BB1021" s="87"/>
      <c r="BC1021" s="87"/>
      <c r="BD1021" s="87"/>
      <c r="BE1021" s="87"/>
      <c r="BF1021" s="87"/>
      <c r="BG1021" s="87"/>
      <c r="BH1021" s="87"/>
      <c r="BI1021" s="87"/>
      <c r="BJ1021" s="87"/>
      <c r="BK1021" s="87"/>
      <c r="BL1021" s="87"/>
      <c r="BM1021" s="87"/>
      <c r="BN1021" s="87"/>
      <c r="BO1021" s="87"/>
      <c r="BP1021" s="87"/>
      <c r="BQ1021" s="87"/>
      <c r="BR1021" s="87"/>
      <c r="BS1021" s="87"/>
      <c r="BT1021" s="87"/>
      <c r="BU1021" s="87"/>
      <c r="BV1021" s="87"/>
      <c r="BW1021" s="87"/>
      <c r="BX1021" s="87"/>
      <c r="BY1021" s="87"/>
    </row>
    <row r="1022" spans="3:77" x14ac:dyDescent="0.3">
      <c r="C1022" s="5"/>
      <c r="D1022" s="5"/>
      <c r="E1022" s="5"/>
      <c r="F1022" s="5"/>
      <c r="G1022" s="5"/>
      <c r="H1022" s="5"/>
      <c r="I1022" s="5"/>
      <c r="J1022" s="5"/>
      <c r="K1022" s="5"/>
      <c r="L1022" s="5"/>
      <c r="M1022" s="5"/>
      <c r="N1022" s="5"/>
      <c r="O1022" s="5"/>
      <c r="P1022" s="5"/>
      <c r="Q1022" s="5"/>
      <c r="R1022" s="87"/>
      <c r="S1022" s="87"/>
      <c r="T1022" s="87"/>
      <c r="U1022" s="19"/>
      <c r="V1022" s="87"/>
      <c r="W1022" s="87"/>
      <c r="X1022" s="87"/>
      <c r="Y1022" s="87"/>
      <c r="Z1022" s="87"/>
      <c r="AA1022" s="87"/>
      <c r="AB1022" s="87"/>
      <c r="AC1022" s="87"/>
      <c r="AD1022" s="87"/>
      <c r="AE1022" s="87"/>
      <c r="AF1022" s="87"/>
      <c r="AG1022" s="87"/>
      <c r="AH1022" s="87"/>
      <c r="AI1022" s="87"/>
      <c r="AJ1022" s="87"/>
      <c r="AK1022" s="87"/>
      <c r="AL1022" s="87"/>
      <c r="AM1022" s="87"/>
      <c r="AN1022" s="87"/>
      <c r="AO1022" s="87"/>
      <c r="AP1022" s="87"/>
      <c r="AQ1022" s="87"/>
      <c r="AR1022" s="87"/>
      <c r="AS1022" s="87"/>
      <c r="AT1022" s="87"/>
      <c r="AU1022" s="87"/>
      <c r="AV1022" s="87"/>
      <c r="AW1022" s="87"/>
      <c r="AX1022" s="87"/>
      <c r="AY1022" s="87"/>
      <c r="AZ1022" s="87"/>
      <c r="BA1022" s="87"/>
      <c r="BB1022" s="87"/>
      <c r="BC1022" s="87"/>
      <c r="BD1022" s="87"/>
      <c r="BE1022" s="87"/>
      <c r="BF1022" s="87"/>
      <c r="BG1022" s="87"/>
      <c r="BH1022" s="87"/>
      <c r="BI1022" s="87"/>
      <c r="BJ1022" s="87"/>
      <c r="BK1022" s="87"/>
      <c r="BL1022" s="87"/>
      <c r="BM1022" s="87"/>
      <c r="BN1022" s="87"/>
      <c r="BO1022" s="87"/>
      <c r="BP1022" s="87"/>
      <c r="BQ1022" s="87"/>
      <c r="BR1022" s="87"/>
      <c r="BS1022" s="87"/>
      <c r="BT1022" s="87"/>
      <c r="BU1022" s="87"/>
      <c r="BV1022" s="87"/>
      <c r="BW1022" s="87"/>
      <c r="BX1022" s="87"/>
      <c r="BY1022" s="87"/>
    </row>
    <row r="1023" spans="3:77" x14ac:dyDescent="0.3">
      <c r="C1023" s="5"/>
      <c r="D1023" s="5"/>
      <c r="E1023" s="5"/>
      <c r="F1023" s="5"/>
      <c r="G1023" s="5"/>
      <c r="H1023" s="5"/>
      <c r="I1023" s="5"/>
      <c r="J1023" s="5"/>
      <c r="K1023" s="5"/>
      <c r="L1023" s="5"/>
      <c r="M1023" s="5"/>
      <c r="N1023" s="5"/>
      <c r="O1023" s="5"/>
      <c r="P1023" s="5"/>
      <c r="Q1023" s="5"/>
      <c r="R1023" s="87"/>
      <c r="S1023" s="87"/>
      <c r="T1023" s="87"/>
      <c r="U1023" s="19"/>
      <c r="V1023" s="87"/>
      <c r="W1023" s="87"/>
      <c r="X1023" s="87"/>
      <c r="Y1023" s="87"/>
      <c r="Z1023" s="87"/>
      <c r="AA1023" s="87"/>
      <c r="AB1023" s="87"/>
      <c r="AC1023" s="87"/>
      <c r="AD1023" s="87"/>
      <c r="AE1023" s="87"/>
      <c r="AF1023" s="87"/>
      <c r="AG1023" s="87"/>
      <c r="AH1023" s="87"/>
      <c r="AI1023" s="87"/>
      <c r="AJ1023" s="87"/>
      <c r="AK1023" s="87"/>
      <c r="AL1023" s="87"/>
      <c r="AM1023" s="87"/>
      <c r="AN1023" s="87"/>
      <c r="AO1023" s="87"/>
      <c r="AP1023" s="87"/>
      <c r="AQ1023" s="87"/>
      <c r="AR1023" s="87"/>
      <c r="AS1023" s="87"/>
      <c r="AT1023" s="87"/>
      <c r="AU1023" s="87"/>
      <c r="AV1023" s="87"/>
      <c r="AW1023" s="87"/>
      <c r="AX1023" s="87"/>
      <c r="AY1023" s="87"/>
      <c r="AZ1023" s="87"/>
      <c r="BA1023" s="87"/>
      <c r="BB1023" s="87"/>
      <c r="BC1023" s="87"/>
      <c r="BD1023" s="87"/>
      <c r="BE1023" s="87"/>
      <c r="BF1023" s="87"/>
      <c r="BG1023" s="87"/>
      <c r="BH1023" s="87"/>
      <c r="BI1023" s="87"/>
      <c r="BJ1023" s="87"/>
      <c r="BK1023" s="87"/>
      <c r="BL1023" s="87"/>
      <c r="BM1023" s="87"/>
      <c r="BN1023" s="87"/>
      <c r="BO1023" s="87"/>
      <c r="BP1023" s="87"/>
      <c r="BQ1023" s="87"/>
      <c r="BR1023" s="87"/>
      <c r="BS1023" s="87"/>
      <c r="BT1023" s="87"/>
      <c r="BU1023" s="87"/>
      <c r="BV1023" s="87"/>
      <c r="BW1023" s="87"/>
      <c r="BX1023" s="87"/>
      <c r="BY1023" s="87"/>
    </row>
    <row r="1024" spans="3:77" x14ac:dyDescent="0.3">
      <c r="C1024" s="5"/>
      <c r="D1024" s="5"/>
      <c r="E1024" s="5"/>
      <c r="F1024" s="5"/>
      <c r="G1024" s="5"/>
      <c r="H1024" s="5"/>
      <c r="I1024" s="5"/>
      <c r="J1024" s="5"/>
      <c r="K1024" s="5"/>
      <c r="L1024" s="5"/>
      <c r="M1024" s="5"/>
      <c r="N1024" s="5"/>
      <c r="O1024" s="5"/>
      <c r="P1024" s="5"/>
      <c r="Q1024" s="5"/>
      <c r="R1024" s="87"/>
      <c r="S1024" s="87"/>
      <c r="T1024" s="87"/>
      <c r="U1024" s="19"/>
      <c r="V1024" s="87"/>
      <c r="W1024" s="87"/>
      <c r="X1024" s="87"/>
      <c r="Y1024" s="87"/>
      <c r="Z1024" s="87"/>
      <c r="AA1024" s="87"/>
      <c r="AB1024" s="87"/>
      <c r="AC1024" s="87"/>
      <c r="AD1024" s="87"/>
      <c r="AE1024" s="87"/>
      <c r="AF1024" s="87"/>
      <c r="AG1024" s="87"/>
      <c r="AH1024" s="87"/>
      <c r="AI1024" s="87"/>
      <c r="AJ1024" s="87"/>
      <c r="AK1024" s="87"/>
      <c r="AL1024" s="87"/>
      <c r="AM1024" s="87"/>
      <c r="AN1024" s="87"/>
      <c r="AO1024" s="87"/>
      <c r="AP1024" s="87"/>
      <c r="AQ1024" s="87"/>
      <c r="AR1024" s="87"/>
      <c r="AS1024" s="87"/>
      <c r="AT1024" s="87"/>
      <c r="AU1024" s="87"/>
      <c r="AV1024" s="87"/>
      <c r="AW1024" s="87"/>
      <c r="AX1024" s="87"/>
      <c r="AY1024" s="87"/>
      <c r="AZ1024" s="87"/>
      <c r="BA1024" s="87"/>
      <c r="BB1024" s="87"/>
      <c r="BC1024" s="87"/>
      <c r="BD1024" s="87"/>
      <c r="BE1024" s="87"/>
      <c r="BF1024" s="87"/>
      <c r="BG1024" s="87"/>
      <c r="BH1024" s="87"/>
      <c r="BI1024" s="87"/>
      <c r="BJ1024" s="87"/>
      <c r="BK1024" s="87"/>
      <c r="BL1024" s="87"/>
      <c r="BM1024" s="87"/>
      <c r="BN1024" s="87"/>
      <c r="BO1024" s="87"/>
      <c r="BP1024" s="87"/>
      <c r="BQ1024" s="87"/>
      <c r="BR1024" s="87"/>
      <c r="BS1024" s="87"/>
      <c r="BT1024" s="87"/>
      <c r="BU1024" s="87"/>
      <c r="BV1024" s="87"/>
      <c r="BW1024" s="87"/>
      <c r="BX1024" s="87"/>
      <c r="BY1024" s="87"/>
    </row>
    <row r="1025" spans="3:77" x14ac:dyDescent="0.3">
      <c r="C1025" s="5"/>
      <c r="D1025" s="5"/>
      <c r="E1025" s="5"/>
      <c r="F1025" s="5"/>
      <c r="G1025" s="5"/>
      <c r="H1025" s="5"/>
      <c r="I1025" s="5"/>
      <c r="J1025" s="5"/>
      <c r="K1025" s="5"/>
      <c r="L1025" s="5"/>
      <c r="M1025" s="5"/>
      <c r="N1025" s="5"/>
      <c r="O1025" s="5"/>
      <c r="P1025" s="5"/>
      <c r="Q1025" s="5"/>
      <c r="R1025" s="87"/>
      <c r="S1025" s="87"/>
      <c r="T1025" s="87"/>
      <c r="U1025" s="19"/>
      <c r="V1025" s="87"/>
      <c r="W1025" s="87"/>
      <c r="X1025" s="87"/>
      <c r="Y1025" s="87"/>
      <c r="Z1025" s="87"/>
      <c r="AA1025" s="87"/>
      <c r="AB1025" s="87"/>
      <c r="AC1025" s="87"/>
      <c r="AD1025" s="87"/>
      <c r="AE1025" s="87"/>
      <c r="AF1025" s="87"/>
      <c r="AG1025" s="87"/>
      <c r="AH1025" s="87"/>
      <c r="AI1025" s="87"/>
      <c r="AJ1025" s="87"/>
      <c r="AK1025" s="87"/>
      <c r="AL1025" s="87"/>
      <c r="AM1025" s="87"/>
      <c r="AN1025" s="87"/>
      <c r="AO1025" s="87"/>
      <c r="AP1025" s="87"/>
      <c r="AQ1025" s="87"/>
      <c r="AR1025" s="87"/>
      <c r="AS1025" s="87"/>
      <c r="AT1025" s="87"/>
      <c r="AU1025" s="87"/>
      <c r="AV1025" s="87"/>
      <c r="AW1025" s="87"/>
      <c r="AX1025" s="87"/>
      <c r="AY1025" s="87"/>
      <c r="AZ1025" s="87"/>
      <c r="BA1025" s="87"/>
      <c r="BB1025" s="87"/>
      <c r="BC1025" s="87"/>
      <c r="BD1025" s="87"/>
      <c r="BE1025" s="87"/>
      <c r="BF1025" s="87"/>
      <c r="BG1025" s="87"/>
      <c r="BH1025" s="87"/>
      <c r="BI1025" s="87"/>
      <c r="BJ1025" s="87"/>
      <c r="BK1025" s="87"/>
      <c r="BL1025" s="87"/>
      <c r="BM1025" s="87"/>
      <c r="BN1025" s="87"/>
      <c r="BO1025" s="87"/>
      <c r="BP1025" s="87"/>
      <c r="BQ1025" s="87"/>
      <c r="BR1025" s="87"/>
      <c r="BS1025" s="87"/>
      <c r="BT1025" s="87"/>
      <c r="BU1025" s="87"/>
      <c r="BV1025" s="87"/>
      <c r="BW1025" s="87"/>
      <c r="BX1025" s="87"/>
      <c r="BY1025" s="87"/>
    </row>
    <row r="1026" spans="3:77" x14ac:dyDescent="0.3">
      <c r="C1026" s="5"/>
      <c r="D1026" s="5"/>
      <c r="E1026" s="5"/>
      <c r="F1026" s="5"/>
      <c r="G1026" s="5"/>
      <c r="H1026" s="5"/>
      <c r="I1026" s="5"/>
      <c r="J1026" s="5"/>
      <c r="K1026" s="5"/>
      <c r="L1026" s="5"/>
      <c r="M1026" s="5"/>
      <c r="N1026" s="5"/>
      <c r="O1026" s="5"/>
      <c r="P1026" s="5"/>
      <c r="Q1026" s="5"/>
      <c r="R1026" s="87"/>
      <c r="S1026" s="87"/>
      <c r="T1026" s="87"/>
      <c r="U1026" s="19"/>
      <c r="V1026" s="87"/>
      <c r="W1026" s="87"/>
      <c r="X1026" s="87"/>
      <c r="Y1026" s="87"/>
      <c r="Z1026" s="87"/>
      <c r="AA1026" s="87"/>
      <c r="AB1026" s="87"/>
      <c r="AC1026" s="87"/>
      <c r="AD1026" s="87"/>
      <c r="AE1026" s="87"/>
      <c r="AF1026" s="87"/>
      <c r="AG1026" s="87"/>
      <c r="AH1026" s="87"/>
      <c r="AI1026" s="87"/>
      <c r="AJ1026" s="87"/>
      <c r="AK1026" s="87"/>
      <c r="AL1026" s="87"/>
      <c r="AM1026" s="87"/>
      <c r="AN1026" s="87"/>
      <c r="AO1026" s="87"/>
      <c r="AP1026" s="87"/>
      <c r="AQ1026" s="87"/>
      <c r="AR1026" s="87"/>
      <c r="AS1026" s="87"/>
      <c r="AT1026" s="87"/>
      <c r="AU1026" s="87"/>
      <c r="AV1026" s="87"/>
      <c r="AW1026" s="87"/>
      <c r="AX1026" s="87"/>
      <c r="AY1026" s="87"/>
      <c r="AZ1026" s="87"/>
      <c r="BA1026" s="87"/>
      <c r="BB1026" s="87"/>
      <c r="BC1026" s="87"/>
      <c r="BD1026" s="87"/>
      <c r="BE1026" s="87"/>
      <c r="BF1026" s="87"/>
      <c r="BG1026" s="87"/>
      <c r="BH1026" s="87"/>
      <c r="BI1026" s="87"/>
      <c r="BJ1026" s="87"/>
      <c r="BK1026" s="87"/>
      <c r="BL1026" s="87"/>
      <c r="BM1026" s="87"/>
      <c r="BN1026" s="87"/>
      <c r="BO1026" s="87"/>
      <c r="BP1026" s="87"/>
      <c r="BQ1026" s="87"/>
      <c r="BR1026" s="87"/>
      <c r="BS1026" s="87"/>
      <c r="BT1026" s="87"/>
      <c r="BU1026" s="87"/>
      <c r="BV1026" s="87"/>
      <c r="BW1026" s="87"/>
      <c r="BX1026" s="87"/>
      <c r="BY1026" s="87"/>
    </row>
    <row r="1027" spans="3:77" x14ac:dyDescent="0.3">
      <c r="C1027" s="5"/>
      <c r="D1027" s="5"/>
      <c r="E1027" s="5"/>
      <c r="F1027" s="5"/>
      <c r="G1027" s="5"/>
      <c r="H1027" s="5"/>
      <c r="I1027" s="5"/>
      <c r="J1027" s="5"/>
      <c r="K1027" s="5"/>
      <c r="L1027" s="5"/>
      <c r="M1027" s="5"/>
      <c r="N1027" s="5"/>
      <c r="O1027" s="5"/>
      <c r="P1027" s="5"/>
      <c r="Q1027" s="5"/>
      <c r="R1027" s="87"/>
      <c r="S1027" s="87"/>
      <c r="T1027" s="87"/>
      <c r="U1027" s="19"/>
      <c r="V1027" s="87"/>
      <c r="W1027" s="87"/>
      <c r="X1027" s="87"/>
      <c r="Y1027" s="87"/>
      <c r="Z1027" s="87"/>
      <c r="AA1027" s="87"/>
      <c r="AB1027" s="87"/>
      <c r="AC1027" s="87"/>
      <c r="AD1027" s="87"/>
      <c r="AE1027" s="87"/>
      <c r="AF1027" s="87"/>
      <c r="AG1027" s="87"/>
      <c r="AH1027" s="87"/>
      <c r="AI1027" s="87"/>
      <c r="AJ1027" s="87"/>
      <c r="AK1027" s="87"/>
      <c r="AL1027" s="87"/>
      <c r="AM1027" s="87"/>
      <c r="AN1027" s="87"/>
      <c r="AO1027" s="87"/>
      <c r="AP1027" s="87"/>
      <c r="AQ1027" s="87"/>
      <c r="AR1027" s="87"/>
      <c r="AS1027" s="87"/>
      <c r="AT1027" s="87"/>
      <c r="AU1027" s="87"/>
      <c r="AV1027" s="87"/>
      <c r="AW1027" s="87"/>
      <c r="AX1027" s="87"/>
      <c r="AY1027" s="87"/>
      <c r="AZ1027" s="87"/>
      <c r="BA1027" s="87"/>
      <c r="BB1027" s="87"/>
      <c r="BC1027" s="87"/>
      <c r="BD1027" s="87"/>
      <c r="BE1027" s="87"/>
      <c r="BF1027" s="87"/>
      <c r="BG1027" s="87"/>
      <c r="BH1027" s="87"/>
      <c r="BI1027" s="87"/>
      <c r="BJ1027" s="87"/>
      <c r="BK1027" s="87"/>
      <c r="BL1027" s="87"/>
      <c r="BM1027" s="87"/>
      <c r="BN1027" s="87"/>
      <c r="BO1027" s="87"/>
      <c r="BP1027" s="87"/>
      <c r="BQ1027" s="87"/>
      <c r="BR1027" s="87"/>
      <c r="BS1027" s="87"/>
      <c r="BT1027" s="87"/>
      <c r="BU1027" s="87"/>
      <c r="BV1027" s="87"/>
      <c r="BW1027" s="87"/>
      <c r="BX1027" s="87"/>
      <c r="BY1027" s="87"/>
    </row>
    <row r="1028" spans="3:77" x14ac:dyDescent="0.3">
      <c r="C1028" s="5"/>
      <c r="D1028" s="5"/>
      <c r="E1028" s="5"/>
      <c r="F1028" s="5"/>
      <c r="G1028" s="5"/>
      <c r="H1028" s="5"/>
      <c r="I1028" s="5"/>
      <c r="J1028" s="5"/>
      <c r="K1028" s="5"/>
      <c r="L1028" s="5"/>
      <c r="M1028" s="5"/>
      <c r="N1028" s="5"/>
      <c r="O1028" s="5"/>
      <c r="P1028" s="5"/>
      <c r="Q1028" s="5"/>
      <c r="R1028" s="87"/>
      <c r="S1028" s="87"/>
      <c r="T1028" s="87"/>
      <c r="U1028" s="19"/>
      <c r="V1028" s="87"/>
      <c r="W1028" s="87"/>
      <c r="X1028" s="87"/>
      <c r="Y1028" s="87"/>
      <c r="Z1028" s="87"/>
      <c r="AA1028" s="87"/>
      <c r="AB1028" s="87"/>
      <c r="AC1028" s="87"/>
      <c r="AD1028" s="87"/>
      <c r="AE1028" s="87"/>
      <c r="AF1028" s="87"/>
      <c r="AG1028" s="87"/>
      <c r="AH1028" s="87"/>
      <c r="AI1028" s="87"/>
      <c r="AJ1028" s="87"/>
      <c r="AK1028" s="87"/>
      <c r="AL1028" s="87"/>
      <c r="AM1028" s="87"/>
      <c r="AN1028" s="87"/>
      <c r="AO1028" s="87"/>
      <c r="AP1028" s="87"/>
      <c r="AQ1028" s="87"/>
      <c r="AR1028" s="87"/>
      <c r="AS1028" s="87"/>
      <c r="AT1028" s="87"/>
      <c r="AU1028" s="87"/>
      <c r="AV1028" s="87"/>
      <c r="AW1028" s="87"/>
      <c r="AX1028" s="87"/>
      <c r="AY1028" s="87"/>
      <c r="AZ1028" s="87"/>
      <c r="BA1028" s="87"/>
      <c r="BB1028" s="87"/>
      <c r="BC1028" s="87"/>
      <c r="BD1028" s="87"/>
      <c r="BE1028" s="87"/>
      <c r="BF1028" s="87"/>
      <c r="BG1028" s="87"/>
      <c r="BH1028" s="87"/>
      <c r="BI1028" s="87"/>
      <c r="BJ1028" s="87"/>
      <c r="BK1028" s="87"/>
      <c r="BL1028" s="87"/>
      <c r="BM1028" s="87"/>
      <c r="BN1028" s="87"/>
      <c r="BO1028" s="87"/>
      <c r="BP1028" s="87"/>
      <c r="BQ1028" s="87"/>
      <c r="BR1028" s="87"/>
      <c r="BS1028" s="87"/>
      <c r="BT1028" s="87"/>
      <c r="BU1028" s="87"/>
      <c r="BV1028" s="87"/>
      <c r="BW1028" s="87"/>
      <c r="BX1028" s="87"/>
      <c r="BY1028" s="87"/>
    </row>
    <row r="1029" spans="3:77" x14ac:dyDescent="0.3">
      <c r="C1029" s="5"/>
      <c r="D1029" s="5"/>
      <c r="E1029" s="5"/>
      <c r="F1029" s="5"/>
      <c r="G1029" s="5"/>
      <c r="H1029" s="5"/>
      <c r="I1029" s="5"/>
      <c r="J1029" s="5"/>
      <c r="K1029" s="5"/>
      <c r="L1029" s="5"/>
      <c r="M1029" s="5"/>
      <c r="N1029" s="5"/>
      <c r="O1029" s="5"/>
      <c r="P1029" s="5"/>
      <c r="Q1029" s="5"/>
      <c r="R1029" s="87"/>
      <c r="S1029" s="87"/>
      <c r="T1029" s="87"/>
      <c r="U1029" s="19"/>
      <c r="V1029" s="87"/>
      <c r="W1029" s="87"/>
      <c r="X1029" s="87"/>
      <c r="Y1029" s="87"/>
      <c r="Z1029" s="87"/>
      <c r="AA1029" s="87"/>
      <c r="AB1029" s="87"/>
      <c r="AC1029" s="87"/>
      <c r="AD1029" s="87"/>
      <c r="AE1029" s="87"/>
      <c r="AF1029" s="87"/>
      <c r="AG1029" s="87"/>
      <c r="AH1029" s="87"/>
      <c r="AI1029" s="87"/>
      <c r="AJ1029" s="87"/>
      <c r="AK1029" s="87"/>
      <c r="AL1029" s="87"/>
      <c r="AM1029" s="87"/>
      <c r="AN1029" s="87"/>
      <c r="AO1029" s="87"/>
      <c r="AP1029" s="87"/>
      <c r="AQ1029" s="87"/>
      <c r="AR1029" s="87"/>
      <c r="AS1029" s="87"/>
      <c r="AT1029" s="87"/>
      <c r="AU1029" s="87"/>
      <c r="AV1029" s="87"/>
      <c r="AW1029" s="87"/>
      <c r="AX1029" s="87"/>
      <c r="AY1029" s="87"/>
      <c r="AZ1029" s="87"/>
      <c r="BA1029" s="87"/>
      <c r="BB1029" s="87"/>
      <c r="BC1029" s="87"/>
      <c r="BD1029" s="87"/>
      <c r="BE1029" s="87"/>
      <c r="BF1029" s="87"/>
      <c r="BG1029" s="87"/>
      <c r="BH1029" s="87"/>
      <c r="BI1029" s="87"/>
      <c r="BJ1029" s="87"/>
      <c r="BK1029" s="87"/>
      <c r="BL1029" s="87"/>
      <c r="BM1029" s="87"/>
      <c r="BN1029" s="87"/>
      <c r="BO1029" s="87"/>
      <c r="BP1029" s="87"/>
      <c r="BQ1029" s="87"/>
      <c r="BR1029" s="87"/>
      <c r="BS1029" s="87"/>
      <c r="BT1029" s="87"/>
      <c r="BU1029" s="87"/>
      <c r="BV1029" s="87"/>
      <c r="BW1029" s="87"/>
      <c r="BX1029" s="87"/>
      <c r="BY1029" s="87"/>
    </row>
    <row r="1030" spans="3:77" x14ac:dyDescent="0.3">
      <c r="C1030" s="5"/>
      <c r="D1030" s="5"/>
      <c r="E1030" s="5"/>
      <c r="F1030" s="5"/>
      <c r="G1030" s="5"/>
      <c r="H1030" s="5"/>
      <c r="I1030" s="5"/>
      <c r="J1030" s="5"/>
      <c r="K1030" s="5"/>
      <c r="L1030" s="5"/>
      <c r="M1030" s="5"/>
      <c r="N1030" s="5"/>
      <c r="O1030" s="5"/>
      <c r="P1030" s="5"/>
      <c r="Q1030" s="5"/>
      <c r="R1030" s="87"/>
      <c r="S1030" s="87"/>
      <c r="T1030" s="87"/>
      <c r="U1030" s="19"/>
      <c r="V1030" s="87"/>
      <c r="W1030" s="87"/>
      <c r="X1030" s="87"/>
      <c r="Y1030" s="87"/>
      <c r="Z1030" s="87"/>
      <c r="AA1030" s="87"/>
      <c r="AB1030" s="87"/>
      <c r="AC1030" s="87"/>
      <c r="AD1030" s="87"/>
      <c r="AE1030" s="87"/>
      <c r="AF1030" s="87"/>
      <c r="AG1030" s="87"/>
      <c r="AH1030" s="87"/>
      <c r="AI1030" s="87"/>
      <c r="AJ1030" s="87"/>
      <c r="AK1030" s="87"/>
      <c r="AL1030" s="87"/>
      <c r="AM1030" s="87"/>
      <c r="AN1030" s="87"/>
      <c r="AO1030" s="87"/>
      <c r="AP1030" s="87"/>
      <c r="AQ1030" s="87"/>
      <c r="AR1030" s="87"/>
      <c r="AS1030" s="87"/>
      <c r="AT1030" s="87"/>
      <c r="AU1030" s="87"/>
      <c r="AV1030" s="87"/>
      <c r="AW1030" s="87"/>
      <c r="AX1030" s="87"/>
      <c r="AY1030" s="87"/>
      <c r="AZ1030" s="87"/>
      <c r="BA1030" s="87"/>
      <c r="BB1030" s="87"/>
      <c r="BC1030" s="87"/>
      <c r="BD1030" s="87"/>
      <c r="BE1030" s="87"/>
      <c r="BF1030" s="87"/>
      <c r="BG1030" s="87"/>
      <c r="BH1030" s="87"/>
      <c r="BI1030" s="87"/>
      <c r="BJ1030" s="87"/>
      <c r="BK1030" s="87"/>
      <c r="BL1030" s="87"/>
      <c r="BM1030" s="87"/>
      <c r="BN1030" s="87"/>
      <c r="BO1030" s="87"/>
      <c r="BP1030" s="87"/>
      <c r="BQ1030" s="87"/>
      <c r="BR1030" s="87"/>
      <c r="BS1030" s="87"/>
      <c r="BT1030" s="87"/>
      <c r="BU1030" s="87"/>
      <c r="BV1030" s="87"/>
      <c r="BW1030" s="87"/>
      <c r="BX1030" s="87"/>
      <c r="BY1030" s="87"/>
    </row>
    <row r="1031" spans="3:77" x14ac:dyDescent="0.3">
      <c r="C1031" s="5"/>
      <c r="D1031" s="5"/>
      <c r="E1031" s="5"/>
      <c r="F1031" s="5"/>
      <c r="G1031" s="5"/>
      <c r="H1031" s="5"/>
      <c r="I1031" s="5"/>
      <c r="J1031" s="5"/>
      <c r="K1031" s="5"/>
      <c r="L1031" s="5"/>
      <c r="M1031" s="5"/>
      <c r="N1031" s="5"/>
      <c r="O1031" s="5"/>
      <c r="P1031" s="5"/>
      <c r="Q1031" s="5"/>
      <c r="R1031" s="87"/>
      <c r="S1031" s="87"/>
      <c r="T1031" s="87"/>
      <c r="U1031" s="19"/>
      <c r="V1031" s="87"/>
      <c r="W1031" s="87"/>
      <c r="X1031" s="87"/>
      <c r="Y1031" s="87"/>
      <c r="Z1031" s="87"/>
      <c r="AA1031" s="87"/>
      <c r="AB1031" s="87"/>
      <c r="AC1031" s="87"/>
      <c r="AD1031" s="87"/>
      <c r="AE1031" s="87"/>
      <c r="AF1031" s="87"/>
      <c r="AG1031" s="87"/>
      <c r="AH1031" s="87"/>
      <c r="AI1031" s="87"/>
      <c r="AJ1031" s="87"/>
      <c r="AK1031" s="87"/>
      <c r="AL1031" s="87"/>
      <c r="AM1031" s="87"/>
      <c r="AN1031" s="87"/>
      <c r="AO1031" s="87"/>
      <c r="AP1031" s="87"/>
      <c r="AQ1031" s="87"/>
      <c r="AR1031" s="87"/>
      <c r="AS1031" s="87"/>
      <c r="AT1031" s="87"/>
      <c r="AU1031" s="87"/>
      <c r="AV1031" s="87"/>
      <c r="AW1031" s="87"/>
      <c r="AX1031" s="87"/>
      <c r="AY1031" s="87"/>
      <c r="AZ1031" s="87"/>
      <c r="BA1031" s="87"/>
      <c r="BB1031" s="87"/>
      <c r="BC1031" s="87"/>
      <c r="BD1031" s="87"/>
      <c r="BE1031" s="87"/>
      <c r="BF1031" s="87"/>
      <c r="BG1031" s="87"/>
      <c r="BH1031" s="87"/>
      <c r="BI1031" s="87"/>
      <c r="BJ1031" s="87"/>
      <c r="BK1031" s="87"/>
      <c r="BL1031" s="87"/>
      <c r="BM1031" s="87"/>
      <c r="BN1031" s="87"/>
      <c r="BO1031" s="87"/>
      <c r="BP1031" s="87"/>
      <c r="BQ1031" s="87"/>
      <c r="BR1031" s="87"/>
      <c r="BS1031" s="87"/>
      <c r="BT1031" s="87"/>
      <c r="BU1031" s="87"/>
      <c r="BV1031" s="87"/>
      <c r="BW1031" s="87"/>
      <c r="BX1031" s="87"/>
      <c r="BY1031" s="87"/>
    </row>
    <row r="1032" spans="3:77" x14ac:dyDescent="0.3">
      <c r="C1032" s="5"/>
      <c r="D1032" s="5"/>
      <c r="E1032" s="5"/>
      <c r="F1032" s="5"/>
      <c r="G1032" s="5"/>
      <c r="H1032" s="5"/>
      <c r="I1032" s="5"/>
      <c r="J1032" s="5"/>
      <c r="K1032" s="5"/>
      <c r="L1032" s="5"/>
      <c r="M1032" s="5"/>
      <c r="N1032" s="5"/>
      <c r="O1032" s="5"/>
      <c r="P1032" s="5"/>
      <c r="Q1032" s="5"/>
      <c r="R1032" s="87"/>
      <c r="S1032" s="87"/>
      <c r="T1032" s="87"/>
      <c r="U1032" s="19"/>
      <c r="V1032" s="87"/>
      <c r="W1032" s="87"/>
      <c r="X1032" s="87"/>
      <c r="Y1032" s="87"/>
      <c r="Z1032" s="87"/>
      <c r="AA1032" s="87"/>
      <c r="AB1032" s="87"/>
      <c r="AC1032" s="87"/>
      <c r="AD1032" s="87"/>
      <c r="AE1032" s="87"/>
      <c r="AF1032" s="87"/>
      <c r="AG1032" s="87"/>
      <c r="AH1032" s="87"/>
      <c r="AI1032" s="87"/>
      <c r="AJ1032" s="87"/>
      <c r="AK1032" s="87"/>
      <c r="AL1032" s="87"/>
      <c r="AM1032" s="87"/>
      <c r="AN1032" s="87"/>
      <c r="AO1032" s="87"/>
      <c r="AP1032" s="87"/>
      <c r="AQ1032" s="87"/>
      <c r="AR1032" s="87"/>
      <c r="AS1032" s="87"/>
      <c r="AT1032" s="87"/>
      <c r="AU1032" s="87"/>
      <c r="AV1032" s="87"/>
      <c r="AW1032" s="87"/>
      <c r="AX1032" s="87"/>
      <c r="AY1032" s="87"/>
      <c r="AZ1032" s="87"/>
      <c r="BA1032" s="87"/>
      <c r="BB1032" s="87"/>
      <c r="BC1032" s="87"/>
      <c r="BD1032" s="87"/>
      <c r="BE1032" s="87"/>
      <c r="BF1032" s="87"/>
      <c r="BG1032" s="87"/>
      <c r="BH1032" s="87"/>
      <c r="BI1032" s="87"/>
      <c r="BJ1032" s="87"/>
      <c r="BK1032" s="87"/>
      <c r="BL1032" s="87"/>
      <c r="BM1032" s="87"/>
      <c r="BN1032" s="87"/>
      <c r="BO1032" s="87"/>
      <c r="BP1032" s="87"/>
      <c r="BQ1032" s="87"/>
      <c r="BR1032" s="87"/>
      <c r="BS1032" s="87"/>
      <c r="BT1032" s="87"/>
      <c r="BU1032" s="87"/>
      <c r="BV1032" s="87"/>
      <c r="BW1032" s="87"/>
      <c r="BX1032" s="87"/>
      <c r="BY1032" s="87"/>
    </row>
    <row r="1033" spans="3:77" x14ac:dyDescent="0.3">
      <c r="C1033" s="5"/>
      <c r="D1033" s="5"/>
      <c r="E1033" s="5"/>
      <c r="F1033" s="5"/>
      <c r="G1033" s="5"/>
      <c r="H1033" s="5"/>
      <c r="I1033" s="5"/>
      <c r="J1033" s="5"/>
      <c r="K1033" s="5"/>
      <c r="L1033" s="5"/>
      <c r="M1033" s="5"/>
      <c r="N1033" s="5"/>
      <c r="O1033" s="5"/>
      <c r="P1033" s="5"/>
      <c r="Q1033" s="5"/>
      <c r="R1033" s="87"/>
      <c r="S1033" s="87"/>
      <c r="T1033" s="87"/>
      <c r="U1033" s="19"/>
      <c r="V1033" s="87"/>
      <c r="W1033" s="87"/>
      <c r="X1033" s="87"/>
      <c r="Y1033" s="87"/>
      <c r="Z1033" s="87"/>
      <c r="AA1033" s="87"/>
      <c r="AB1033" s="87"/>
      <c r="AC1033" s="87"/>
      <c r="AD1033" s="87"/>
      <c r="AE1033" s="87"/>
      <c r="AF1033" s="87"/>
      <c r="AG1033" s="87"/>
      <c r="AH1033" s="87"/>
      <c r="AI1033" s="87"/>
      <c r="AJ1033" s="87"/>
      <c r="AK1033" s="87"/>
      <c r="AL1033" s="87"/>
      <c r="AM1033" s="87"/>
      <c r="AN1033" s="87"/>
      <c r="AO1033" s="87"/>
      <c r="AP1033" s="87"/>
      <c r="AQ1033" s="87"/>
      <c r="AR1033" s="87"/>
      <c r="AS1033" s="87"/>
      <c r="AT1033" s="87"/>
      <c r="AU1033" s="87"/>
      <c r="AV1033" s="87"/>
      <c r="AW1033" s="87"/>
      <c r="AX1033" s="87"/>
      <c r="AY1033" s="87"/>
      <c r="AZ1033" s="87"/>
      <c r="BA1033" s="87"/>
      <c r="BB1033" s="87"/>
      <c r="BC1033" s="87"/>
      <c r="BD1033" s="87"/>
      <c r="BE1033" s="87"/>
      <c r="BF1033" s="87"/>
      <c r="BG1033" s="87"/>
      <c r="BH1033" s="87"/>
      <c r="BI1033" s="87"/>
      <c r="BJ1033" s="87"/>
      <c r="BK1033" s="87"/>
      <c r="BL1033" s="87"/>
      <c r="BM1033" s="87"/>
      <c r="BN1033" s="87"/>
      <c r="BO1033" s="87"/>
      <c r="BP1033" s="87"/>
      <c r="BQ1033" s="87"/>
      <c r="BR1033" s="87"/>
      <c r="BS1033" s="87"/>
      <c r="BT1033" s="87"/>
      <c r="BU1033" s="87"/>
      <c r="BV1033" s="87"/>
      <c r="BW1033" s="87"/>
      <c r="BX1033" s="87"/>
      <c r="BY1033" s="87"/>
    </row>
    <row r="1034" spans="3:77" x14ac:dyDescent="0.3">
      <c r="C1034" s="5"/>
      <c r="D1034" s="5"/>
      <c r="E1034" s="5"/>
      <c r="F1034" s="5"/>
      <c r="G1034" s="5"/>
      <c r="H1034" s="5"/>
      <c r="I1034" s="5"/>
      <c r="J1034" s="5"/>
      <c r="K1034" s="5"/>
      <c r="L1034" s="5"/>
      <c r="M1034" s="5"/>
      <c r="N1034" s="5"/>
      <c r="O1034" s="5"/>
      <c r="P1034" s="5"/>
      <c r="Q1034" s="5"/>
      <c r="R1034" s="87"/>
      <c r="S1034" s="87"/>
      <c r="T1034" s="87"/>
      <c r="U1034" s="19"/>
      <c r="V1034" s="87"/>
      <c r="W1034" s="87"/>
      <c r="X1034" s="87"/>
      <c r="Y1034" s="87"/>
      <c r="Z1034" s="87"/>
      <c r="AA1034" s="87"/>
      <c r="AB1034" s="87"/>
      <c r="AC1034" s="87"/>
      <c r="AD1034" s="87"/>
      <c r="AE1034" s="87"/>
      <c r="AF1034" s="87"/>
      <c r="AG1034" s="87"/>
      <c r="AH1034" s="87"/>
      <c r="AI1034" s="87"/>
      <c r="AJ1034" s="87"/>
      <c r="AK1034" s="87"/>
      <c r="AL1034" s="87"/>
      <c r="AM1034" s="87"/>
      <c r="AN1034" s="87"/>
      <c r="AO1034" s="87"/>
      <c r="AP1034" s="87"/>
      <c r="AQ1034" s="87"/>
      <c r="AR1034" s="87"/>
      <c r="AS1034" s="87"/>
      <c r="AT1034" s="87"/>
      <c r="AU1034" s="87"/>
      <c r="AV1034" s="87"/>
      <c r="AW1034" s="87"/>
      <c r="AX1034" s="87"/>
      <c r="AY1034" s="87"/>
      <c r="AZ1034" s="87"/>
      <c r="BA1034" s="87"/>
      <c r="BB1034" s="87"/>
      <c r="BC1034" s="87"/>
      <c r="BD1034" s="87"/>
      <c r="BE1034" s="87"/>
      <c r="BF1034" s="87"/>
      <c r="BG1034" s="87"/>
      <c r="BH1034" s="87"/>
      <c r="BI1034" s="87"/>
      <c r="BJ1034" s="87"/>
      <c r="BK1034" s="87"/>
      <c r="BL1034" s="87"/>
      <c r="BM1034" s="87"/>
      <c r="BN1034" s="87"/>
      <c r="BO1034" s="87"/>
      <c r="BP1034" s="87"/>
      <c r="BQ1034" s="87"/>
      <c r="BR1034" s="87"/>
      <c r="BS1034" s="87"/>
      <c r="BT1034" s="87"/>
      <c r="BU1034" s="87"/>
      <c r="BV1034" s="87"/>
      <c r="BW1034" s="87"/>
      <c r="BX1034" s="87"/>
      <c r="BY1034" s="87"/>
    </row>
    <row r="1035" spans="3:77" x14ac:dyDescent="0.3">
      <c r="C1035" s="5"/>
      <c r="D1035" s="5"/>
      <c r="E1035" s="5"/>
      <c r="F1035" s="5"/>
      <c r="G1035" s="5"/>
      <c r="H1035" s="5"/>
      <c r="I1035" s="5"/>
      <c r="J1035" s="5"/>
      <c r="K1035" s="5"/>
      <c r="L1035" s="5"/>
      <c r="M1035" s="5"/>
      <c r="N1035" s="5"/>
      <c r="O1035" s="5"/>
      <c r="P1035" s="5"/>
      <c r="Q1035" s="5"/>
      <c r="R1035" s="87"/>
      <c r="S1035" s="87"/>
      <c r="T1035" s="87"/>
      <c r="U1035" s="19"/>
      <c r="V1035" s="87"/>
      <c r="W1035" s="87"/>
      <c r="X1035" s="87"/>
      <c r="Y1035" s="87"/>
      <c r="Z1035" s="87"/>
      <c r="AA1035" s="87"/>
      <c r="AB1035" s="87"/>
      <c r="AC1035" s="87"/>
      <c r="AD1035" s="87"/>
      <c r="AE1035" s="87"/>
      <c r="AF1035" s="87"/>
      <c r="AG1035" s="87"/>
      <c r="AH1035" s="87"/>
      <c r="AI1035" s="87"/>
      <c r="AJ1035" s="87"/>
      <c r="AK1035" s="87"/>
      <c r="AL1035" s="87"/>
      <c r="AM1035" s="87"/>
      <c r="AN1035" s="87"/>
      <c r="AO1035" s="87"/>
      <c r="AP1035" s="87"/>
      <c r="AQ1035" s="87"/>
      <c r="AR1035" s="87"/>
      <c r="AS1035" s="87"/>
      <c r="AT1035" s="87"/>
      <c r="AU1035" s="87"/>
      <c r="AV1035" s="87"/>
      <c r="AW1035" s="87"/>
      <c r="AX1035" s="87"/>
      <c r="AY1035" s="87"/>
      <c r="AZ1035" s="87"/>
      <c r="BA1035" s="87"/>
      <c r="BB1035" s="87"/>
      <c r="BC1035" s="87"/>
      <c r="BD1035" s="87"/>
      <c r="BE1035" s="87"/>
      <c r="BF1035" s="87"/>
      <c r="BG1035" s="87"/>
      <c r="BH1035" s="87"/>
      <c r="BI1035" s="87"/>
      <c r="BJ1035" s="87"/>
      <c r="BK1035" s="87"/>
      <c r="BL1035" s="87"/>
      <c r="BM1035" s="87"/>
      <c r="BN1035" s="87"/>
      <c r="BO1035" s="87"/>
      <c r="BP1035" s="87"/>
      <c r="BQ1035" s="87"/>
      <c r="BR1035" s="87"/>
      <c r="BS1035" s="87"/>
      <c r="BT1035" s="87"/>
      <c r="BU1035" s="87"/>
      <c r="BV1035" s="87"/>
      <c r="BW1035" s="87"/>
      <c r="BX1035" s="87"/>
      <c r="BY1035" s="87"/>
    </row>
    <row r="1036" spans="3:77" x14ac:dyDescent="0.3">
      <c r="C1036" s="5"/>
      <c r="D1036" s="5"/>
      <c r="E1036" s="5"/>
      <c r="F1036" s="5"/>
      <c r="G1036" s="5"/>
      <c r="H1036" s="5"/>
      <c r="I1036" s="5"/>
      <c r="J1036" s="5"/>
      <c r="K1036" s="5"/>
      <c r="L1036" s="5"/>
      <c r="M1036" s="5"/>
      <c r="N1036" s="5"/>
      <c r="O1036" s="5"/>
      <c r="P1036" s="5"/>
      <c r="Q1036" s="5"/>
      <c r="R1036" s="87"/>
      <c r="S1036" s="87"/>
      <c r="T1036" s="87"/>
      <c r="U1036" s="19"/>
      <c r="V1036" s="87"/>
      <c r="W1036" s="87"/>
      <c r="X1036" s="87"/>
      <c r="Y1036" s="87"/>
      <c r="Z1036" s="87"/>
      <c r="AA1036" s="87"/>
      <c r="AB1036" s="87"/>
      <c r="AC1036" s="87"/>
      <c r="AD1036" s="87"/>
      <c r="AE1036" s="87"/>
      <c r="AF1036" s="87"/>
      <c r="AG1036" s="87"/>
      <c r="AH1036" s="87"/>
      <c r="AI1036" s="87"/>
      <c r="AJ1036" s="87"/>
      <c r="AK1036" s="87"/>
      <c r="AL1036" s="87"/>
      <c r="AM1036" s="87"/>
      <c r="AN1036" s="87"/>
      <c r="AO1036" s="87"/>
      <c r="AP1036" s="87"/>
      <c r="AQ1036" s="87"/>
      <c r="AR1036" s="87"/>
      <c r="AS1036" s="87"/>
      <c r="AT1036" s="87"/>
      <c r="AU1036" s="87"/>
      <c r="AV1036" s="87"/>
      <c r="AW1036" s="87"/>
      <c r="AX1036" s="87"/>
      <c r="AY1036" s="87"/>
      <c r="AZ1036" s="87"/>
      <c r="BA1036" s="87"/>
      <c r="BB1036" s="87"/>
      <c r="BC1036" s="87"/>
      <c r="BD1036" s="87"/>
      <c r="BE1036" s="87"/>
      <c r="BF1036" s="87"/>
      <c r="BG1036" s="87"/>
      <c r="BH1036" s="87"/>
      <c r="BI1036" s="87"/>
      <c r="BJ1036" s="87"/>
      <c r="BK1036" s="87"/>
      <c r="BL1036" s="87"/>
      <c r="BM1036" s="87"/>
      <c r="BN1036" s="87"/>
      <c r="BO1036" s="87"/>
      <c r="BP1036" s="87"/>
      <c r="BQ1036" s="87"/>
      <c r="BR1036" s="87"/>
      <c r="BS1036" s="87"/>
      <c r="BT1036" s="87"/>
      <c r="BU1036" s="87"/>
      <c r="BV1036" s="87"/>
      <c r="BW1036" s="87"/>
      <c r="BX1036" s="87"/>
      <c r="BY1036" s="87"/>
    </row>
    <row r="1037" spans="3:77" x14ac:dyDescent="0.3">
      <c r="C1037" s="5"/>
      <c r="D1037" s="5"/>
      <c r="E1037" s="5"/>
      <c r="F1037" s="5"/>
      <c r="G1037" s="5"/>
      <c r="H1037" s="5"/>
      <c r="I1037" s="5"/>
      <c r="J1037" s="5"/>
      <c r="K1037" s="5"/>
      <c r="L1037" s="5"/>
      <c r="M1037" s="5"/>
      <c r="N1037" s="5"/>
      <c r="O1037" s="5"/>
      <c r="P1037" s="5"/>
      <c r="Q1037" s="5"/>
      <c r="R1037" s="87"/>
      <c r="S1037" s="87"/>
      <c r="T1037" s="87"/>
      <c r="U1037" s="19"/>
      <c r="V1037" s="87"/>
      <c r="W1037" s="87"/>
      <c r="X1037" s="87"/>
      <c r="Y1037" s="87"/>
      <c r="Z1037" s="87"/>
      <c r="AA1037" s="87"/>
      <c r="AB1037" s="87"/>
      <c r="AC1037" s="87"/>
      <c r="AD1037" s="87"/>
      <c r="AE1037" s="87"/>
      <c r="AF1037" s="87"/>
      <c r="AG1037" s="87"/>
      <c r="AH1037" s="87"/>
      <c r="AI1037" s="87"/>
      <c r="AJ1037" s="87"/>
      <c r="AK1037" s="87"/>
      <c r="AL1037" s="87"/>
      <c r="AM1037" s="87"/>
      <c r="AN1037" s="87"/>
      <c r="AO1037" s="87"/>
      <c r="AP1037" s="87"/>
      <c r="AQ1037" s="87"/>
      <c r="AR1037" s="87"/>
      <c r="AS1037" s="87"/>
      <c r="AT1037" s="87"/>
      <c r="AU1037" s="87"/>
      <c r="AV1037" s="87"/>
      <c r="AW1037" s="87"/>
      <c r="AX1037" s="87"/>
      <c r="AY1037" s="87"/>
      <c r="AZ1037" s="87"/>
      <c r="BA1037" s="87"/>
      <c r="BB1037" s="87"/>
      <c r="BC1037" s="87"/>
      <c r="BD1037" s="87"/>
      <c r="BE1037" s="87"/>
      <c r="BF1037" s="87"/>
      <c r="BG1037" s="87"/>
      <c r="BH1037" s="87"/>
      <c r="BI1037" s="87"/>
      <c r="BJ1037" s="87"/>
      <c r="BK1037" s="87"/>
      <c r="BL1037" s="87"/>
      <c r="BM1037" s="87"/>
      <c r="BN1037" s="87"/>
      <c r="BO1037" s="87"/>
      <c r="BP1037" s="87"/>
      <c r="BQ1037" s="87"/>
      <c r="BR1037" s="87"/>
      <c r="BS1037" s="87"/>
      <c r="BT1037" s="87"/>
      <c r="BU1037" s="87"/>
      <c r="BV1037" s="87"/>
      <c r="BW1037" s="87"/>
      <c r="BX1037" s="87"/>
      <c r="BY1037" s="87"/>
    </row>
    <row r="1038" spans="3:77" x14ac:dyDescent="0.3">
      <c r="C1038" s="5"/>
      <c r="D1038" s="5"/>
      <c r="E1038" s="5"/>
      <c r="F1038" s="5"/>
      <c r="G1038" s="5"/>
      <c r="H1038" s="5"/>
      <c r="I1038" s="5"/>
      <c r="J1038" s="5"/>
      <c r="K1038" s="5"/>
      <c r="L1038" s="5"/>
      <c r="M1038" s="5"/>
      <c r="N1038" s="5"/>
      <c r="O1038" s="5"/>
      <c r="P1038" s="5"/>
      <c r="Q1038" s="5"/>
      <c r="R1038" s="87"/>
      <c r="S1038" s="87"/>
      <c r="T1038" s="87"/>
      <c r="U1038" s="19"/>
      <c r="V1038" s="87"/>
      <c r="W1038" s="87"/>
      <c r="X1038" s="87"/>
      <c r="Y1038" s="87"/>
      <c r="Z1038" s="87"/>
      <c r="AA1038" s="87"/>
      <c r="AB1038" s="87"/>
      <c r="AC1038" s="87"/>
      <c r="AD1038" s="87"/>
      <c r="AE1038" s="87"/>
      <c r="AF1038" s="87"/>
      <c r="AG1038" s="87"/>
      <c r="AH1038" s="87"/>
      <c r="AI1038" s="87"/>
      <c r="AJ1038" s="87"/>
      <c r="AK1038" s="87"/>
      <c r="AL1038" s="87"/>
      <c r="AM1038" s="87"/>
      <c r="AN1038" s="87"/>
      <c r="AO1038" s="87"/>
      <c r="AP1038" s="87"/>
      <c r="AQ1038" s="87"/>
      <c r="AR1038" s="87"/>
      <c r="AS1038" s="87"/>
      <c r="AT1038" s="87"/>
      <c r="AU1038" s="87"/>
      <c r="AV1038" s="87"/>
      <c r="AW1038" s="87"/>
      <c r="AX1038" s="87"/>
      <c r="AY1038" s="87"/>
      <c r="AZ1038" s="87"/>
      <c r="BA1038" s="87"/>
      <c r="BB1038" s="87"/>
      <c r="BC1038" s="87"/>
      <c r="BD1038" s="87"/>
      <c r="BE1038" s="87"/>
      <c r="BF1038" s="87"/>
      <c r="BG1038" s="87"/>
      <c r="BH1038" s="87"/>
      <c r="BI1038" s="87"/>
      <c r="BJ1038" s="87"/>
      <c r="BK1038" s="87"/>
      <c r="BL1038" s="87"/>
      <c r="BM1038" s="87"/>
      <c r="BN1038" s="87"/>
      <c r="BO1038" s="87"/>
      <c r="BP1038" s="87"/>
      <c r="BQ1038" s="87"/>
      <c r="BR1038" s="87"/>
      <c r="BS1038" s="87"/>
      <c r="BT1038" s="87"/>
      <c r="BU1038" s="87"/>
      <c r="BV1038" s="87"/>
      <c r="BW1038" s="87"/>
      <c r="BX1038" s="87"/>
      <c r="BY1038" s="87"/>
    </row>
    <row r="1039" spans="3:77" x14ac:dyDescent="0.3">
      <c r="C1039" s="5"/>
      <c r="D1039" s="5"/>
      <c r="E1039" s="5"/>
      <c r="F1039" s="5"/>
      <c r="G1039" s="5"/>
      <c r="H1039" s="5"/>
      <c r="I1039" s="5"/>
      <c r="J1039" s="5"/>
      <c r="K1039" s="5"/>
      <c r="L1039" s="5"/>
      <c r="M1039" s="5"/>
      <c r="N1039" s="5"/>
      <c r="O1039" s="5"/>
      <c r="P1039" s="5"/>
      <c r="Q1039" s="5"/>
      <c r="R1039" s="87"/>
      <c r="S1039" s="87"/>
      <c r="T1039" s="87"/>
      <c r="U1039" s="19"/>
      <c r="V1039" s="87"/>
      <c r="W1039" s="87"/>
      <c r="X1039" s="87"/>
      <c r="Y1039" s="87"/>
      <c r="Z1039" s="87"/>
      <c r="AA1039" s="87"/>
      <c r="AB1039" s="87"/>
      <c r="AC1039" s="87"/>
      <c r="AD1039" s="87"/>
      <c r="AE1039" s="87"/>
      <c r="AF1039" s="87"/>
      <c r="AG1039" s="87"/>
      <c r="AH1039" s="87"/>
      <c r="AI1039" s="87"/>
      <c r="AJ1039" s="87"/>
      <c r="AK1039" s="87"/>
      <c r="AL1039" s="87"/>
      <c r="AM1039" s="87"/>
      <c r="AN1039" s="87"/>
      <c r="AO1039" s="87"/>
      <c r="AP1039" s="87"/>
      <c r="AQ1039" s="87"/>
      <c r="AR1039" s="87"/>
      <c r="AS1039" s="87"/>
      <c r="AT1039" s="87"/>
      <c r="AU1039" s="87"/>
      <c r="AV1039" s="87"/>
      <c r="AW1039" s="87"/>
      <c r="AX1039" s="87"/>
      <c r="AY1039" s="87"/>
      <c r="AZ1039" s="87"/>
      <c r="BA1039" s="87"/>
      <c r="BB1039" s="87"/>
      <c r="BC1039" s="87"/>
      <c r="BD1039" s="87"/>
      <c r="BE1039" s="87"/>
      <c r="BF1039" s="87"/>
      <c r="BG1039" s="87"/>
      <c r="BH1039" s="87"/>
      <c r="BI1039" s="87"/>
      <c r="BJ1039" s="87"/>
      <c r="BK1039" s="87"/>
      <c r="BL1039" s="87"/>
      <c r="BM1039" s="87"/>
      <c r="BN1039" s="87"/>
      <c r="BO1039" s="87"/>
      <c r="BP1039" s="87"/>
      <c r="BQ1039" s="87"/>
      <c r="BR1039" s="87"/>
      <c r="BS1039" s="87"/>
      <c r="BT1039" s="87"/>
      <c r="BU1039" s="87"/>
      <c r="BV1039" s="87"/>
      <c r="BW1039" s="87"/>
      <c r="BX1039" s="87"/>
      <c r="BY1039" s="87"/>
    </row>
    <row r="1040" spans="3:77" x14ac:dyDescent="0.3">
      <c r="C1040" s="5"/>
      <c r="D1040" s="5"/>
      <c r="E1040" s="5"/>
      <c r="F1040" s="5"/>
      <c r="G1040" s="5"/>
      <c r="H1040" s="5"/>
      <c r="I1040" s="5"/>
      <c r="J1040" s="5"/>
      <c r="K1040" s="5"/>
      <c r="L1040" s="5"/>
      <c r="M1040" s="5"/>
      <c r="N1040" s="5"/>
      <c r="O1040" s="5"/>
      <c r="P1040" s="5"/>
      <c r="Q1040" s="5"/>
      <c r="R1040" s="87"/>
      <c r="S1040" s="87"/>
      <c r="T1040" s="87"/>
      <c r="U1040" s="19"/>
      <c r="V1040" s="87"/>
      <c r="W1040" s="87"/>
      <c r="X1040" s="87"/>
      <c r="Y1040" s="87"/>
      <c r="Z1040" s="87"/>
      <c r="AA1040" s="87"/>
      <c r="AB1040" s="87"/>
      <c r="AC1040" s="87"/>
      <c r="AD1040" s="87"/>
      <c r="AE1040" s="87"/>
      <c r="AF1040" s="87"/>
      <c r="AG1040" s="87"/>
      <c r="AH1040" s="87"/>
      <c r="AI1040" s="87"/>
      <c r="AJ1040" s="87"/>
      <c r="AK1040" s="87"/>
      <c r="AL1040" s="87"/>
      <c r="AM1040" s="87"/>
      <c r="AN1040" s="87"/>
      <c r="AO1040" s="87"/>
      <c r="AP1040" s="87"/>
      <c r="AQ1040" s="87"/>
      <c r="AR1040" s="87"/>
      <c r="AS1040" s="87"/>
      <c r="AT1040" s="87"/>
      <c r="AU1040" s="87"/>
      <c r="AV1040" s="87"/>
      <c r="AW1040" s="87"/>
      <c r="AX1040" s="87"/>
      <c r="AY1040" s="87"/>
      <c r="AZ1040" s="87"/>
      <c r="BA1040" s="87"/>
      <c r="BB1040" s="87"/>
      <c r="BC1040" s="87"/>
      <c r="BD1040" s="87"/>
      <c r="BE1040" s="87"/>
      <c r="BF1040" s="87"/>
      <c r="BG1040" s="87"/>
      <c r="BH1040" s="87"/>
      <c r="BI1040" s="87"/>
      <c r="BJ1040" s="87"/>
      <c r="BK1040" s="87"/>
      <c r="BL1040" s="87"/>
      <c r="BM1040" s="87"/>
      <c r="BN1040" s="87"/>
      <c r="BO1040" s="87"/>
      <c r="BP1040" s="87"/>
      <c r="BQ1040" s="87"/>
      <c r="BR1040" s="87"/>
      <c r="BS1040" s="87"/>
      <c r="BT1040" s="87"/>
      <c r="BU1040" s="87"/>
      <c r="BV1040" s="87"/>
      <c r="BW1040" s="87"/>
      <c r="BX1040" s="87"/>
      <c r="BY1040" s="87"/>
    </row>
    <row r="1041" spans="3:77" x14ac:dyDescent="0.3">
      <c r="C1041" s="5"/>
      <c r="D1041" s="5"/>
      <c r="E1041" s="5"/>
      <c r="F1041" s="5"/>
      <c r="G1041" s="5"/>
      <c r="H1041" s="5"/>
      <c r="I1041" s="5"/>
      <c r="J1041" s="5"/>
      <c r="K1041" s="5"/>
      <c r="L1041" s="5"/>
      <c r="M1041" s="5"/>
      <c r="N1041" s="5"/>
      <c r="O1041" s="5"/>
      <c r="P1041" s="5"/>
      <c r="Q1041" s="5"/>
      <c r="R1041" s="87"/>
      <c r="S1041" s="87"/>
      <c r="T1041" s="87"/>
      <c r="U1041" s="19"/>
      <c r="V1041" s="87"/>
      <c r="W1041" s="87"/>
      <c r="X1041" s="87"/>
      <c r="Y1041" s="87"/>
      <c r="Z1041" s="87"/>
      <c r="AA1041" s="87"/>
      <c r="AB1041" s="87"/>
      <c r="AC1041" s="87"/>
      <c r="AD1041" s="87"/>
      <c r="AE1041" s="87"/>
      <c r="AF1041" s="87"/>
      <c r="AG1041" s="87"/>
      <c r="AH1041" s="87"/>
      <c r="AI1041" s="87"/>
      <c r="AJ1041" s="87"/>
      <c r="AK1041" s="87"/>
      <c r="AL1041" s="87"/>
      <c r="AM1041" s="87"/>
      <c r="AN1041" s="87"/>
      <c r="AO1041" s="87"/>
      <c r="AP1041" s="87"/>
      <c r="AQ1041" s="87"/>
      <c r="AR1041" s="87"/>
      <c r="AS1041" s="87"/>
      <c r="AT1041" s="87"/>
      <c r="AU1041" s="87"/>
      <c r="AV1041" s="87"/>
      <c r="AW1041" s="87"/>
      <c r="AX1041" s="87"/>
      <c r="AY1041" s="87"/>
      <c r="AZ1041" s="87"/>
      <c r="BA1041" s="87"/>
      <c r="BB1041" s="87"/>
      <c r="BC1041" s="87"/>
      <c r="BD1041" s="87"/>
      <c r="BE1041" s="87"/>
      <c r="BF1041" s="87"/>
      <c r="BG1041" s="87"/>
      <c r="BH1041" s="87"/>
      <c r="BI1041" s="87"/>
      <c r="BJ1041" s="87"/>
      <c r="BK1041" s="87"/>
      <c r="BL1041" s="87"/>
      <c r="BM1041" s="87"/>
      <c r="BN1041" s="87"/>
      <c r="BO1041" s="87"/>
      <c r="BP1041" s="87"/>
      <c r="BQ1041" s="87"/>
      <c r="BR1041" s="87"/>
      <c r="BS1041" s="87"/>
      <c r="BT1041" s="87"/>
      <c r="BU1041" s="87"/>
      <c r="BV1041" s="87"/>
      <c r="BW1041" s="87"/>
      <c r="BX1041" s="87"/>
      <c r="BY1041" s="87"/>
    </row>
    <row r="1042" spans="3:77" x14ac:dyDescent="0.3">
      <c r="C1042" s="5"/>
      <c r="D1042" s="5"/>
      <c r="E1042" s="5"/>
      <c r="F1042" s="5"/>
      <c r="G1042" s="5"/>
      <c r="H1042" s="5"/>
      <c r="I1042" s="5"/>
      <c r="J1042" s="5"/>
      <c r="K1042" s="5"/>
      <c r="L1042" s="5"/>
      <c r="M1042" s="5"/>
      <c r="N1042" s="5"/>
      <c r="O1042" s="5"/>
      <c r="P1042" s="5"/>
      <c r="Q1042" s="5"/>
      <c r="R1042" s="87"/>
      <c r="S1042" s="87"/>
      <c r="T1042" s="87"/>
      <c r="U1042" s="19"/>
      <c r="V1042" s="87"/>
      <c r="W1042" s="87"/>
      <c r="X1042" s="87"/>
      <c r="Y1042" s="87"/>
      <c r="Z1042" s="87"/>
      <c r="AA1042" s="87"/>
      <c r="AB1042" s="87"/>
      <c r="AC1042" s="87"/>
      <c r="AD1042" s="87"/>
      <c r="AE1042" s="87"/>
      <c r="AF1042" s="87"/>
      <c r="AG1042" s="87"/>
      <c r="AH1042" s="87"/>
      <c r="AI1042" s="87"/>
      <c r="AJ1042" s="87"/>
      <c r="AK1042" s="87"/>
      <c r="AL1042" s="87"/>
      <c r="AM1042" s="87"/>
      <c r="AN1042" s="87"/>
      <c r="AO1042" s="87"/>
      <c r="AP1042" s="87"/>
      <c r="AQ1042" s="87"/>
      <c r="AR1042" s="87"/>
      <c r="AS1042" s="87"/>
      <c r="AT1042" s="87"/>
      <c r="AU1042" s="87"/>
      <c r="AV1042" s="87"/>
      <c r="AW1042" s="87"/>
      <c r="AX1042" s="87"/>
      <c r="AY1042" s="87"/>
      <c r="AZ1042" s="87"/>
      <c r="BA1042" s="87"/>
      <c r="BB1042" s="87"/>
      <c r="BC1042" s="87"/>
      <c r="BD1042" s="87"/>
      <c r="BE1042" s="87"/>
      <c r="BF1042" s="87"/>
      <c r="BG1042" s="87"/>
      <c r="BH1042" s="87"/>
      <c r="BI1042" s="87"/>
      <c r="BJ1042" s="87"/>
      <c r="BK1042" s="87"/>
      <c r="BL1042" s="87"/>
      <c r="BM1042" s="87"/>
      <c r="BN1042" s="87"/>
      <c r="BO1042" s="87"/>
      <c r="BP1042" s="87"/>
      <c r="BQ1042" s="87"/>
      <c r="BR1042" s="87"/>
      <c r="BS1042" s="87"/>
      <c r="BT1042" s="87"/>
      <c r="BU1042" s="87"/>
      <c r="BV1042" s="87"/>
      <c r="BW1042" s="87"/>
      <c r="BX1042" s="87"/>
      <c r="BY1042" s="87"/>
    </row>
    <row r="1043" spans="3:77" x14ac:dyDescent="0.3">
      <c r="C1043" s="5"/>
      <c r="D1043" s="5"/>
      <c r="E1043" s="5"/>
      <c r="F1043" s="5"/>
      <c r="G1043" s="5"/>
      <c r="H1043" s="5"/>
      <c r="I1043" s="5"/>
      <c r="J1043" s="5"/>
      <c r="K1043" s="5"/>
      <c r="L1043" s="5"/>
      <c r="M1043" s="5"/>
      <c r="N1043" s="5"/>
      <c r="O1043" s="5"/>
      <c r="P1043" s="5"/>
      <c r="Q1043" s="5"/>
      <c r="R1043" s="87"/>
      <c r="S1043" s="87"/>
      <c r="T1043" s="87"/>
      <c r="U1043" s="19"/>
      <c r="V1043" s="87"/>
      <c r="W1043" s="87"/>
      <c r="X1043" s="87"/>
      <c r="Y1043" s="87"/>
      <c r="Z1043" s="87"/>
      <c r="AA1043" s="87"/>
      <c r="AB1043" s="87"/>
      <c r="AC1043" s="87"/>
      <c r="AD1043" s="87"/>
      <c r="AE1043" s="87"/>
      <c r="AF1043" s="87"/>
      <c r="AG1043" s="87"/>
      <c r="AH1043" s="87"/>
      <c r="AI1043" s="87"/>
      <c r="AJ1043" s="87"/>
      <c r="AK1043" s="87"/>
      <c r="AL1043" s="87"/>
      <c r="AM1043" s="87"/>
      <c r="AN1043" s="87"/>
      <c r="AO1043" s="87"/>
      <c r="AP1043" s="87"/>
      <c r="AQ1043" s="87"/>
      <c r="AR1043" s="87"/>
      <c r="AS1043" s="87"/>
      <c r="AT1043" s="87"/>
      <c r="AU1043" s="87"/>
      <c r="AV1043" s="87"/>
      <c r="AW1043" s="87"/>
      <c r="AX1043" s="87"/>
      <c r="AY1043" s="87"/>
      <c r="AZ1043" s="87"/>
      <c r="BA1043" s="87"/>
      <c r="BB1043" s="87"/>
      <c r="BC1043" s="87"/>
      <c r="BD1043" s="87"/>
      <c r="BE1043" s="87"/>
      <c r="BF1043" s="87"/>
      <c r="BG1043" s="87"/>
      <c r="BH1043" s="87"/>
      <c r="BI1043" s="87"/>
      <c r="BJ1043" s="87"/>
      <c r="BK1043" s="87"/>
      <c r="BL1043" s="87"/>
      <c r="BM1043" s="87"/>
      <c r="BN1043" s="87"/>
      <c r="BO1043" s="87"/>
      <c r="BP1043" s="87"/>
      <c r="BQ1043" s="87"/>
      <c r="BR1043" s="87"/>
      <c r="BS1043" s="87"/>
      <c r="BT1043" s="87"/>
      <c r="BU1043" s="87"/>
      <c r="BV1043" s="87"/>
      <c r="BW1043" s="87"/>
      <c r="BX1043" s="87"/>
      <c r="BY1043" s="87"/>
    </row>
    <row r="1044" spans="3:77" x14ac:dyDescent="0.3">
      <c r="C1044" s="5"/>
      <c r="D1044" s="5"/>
      <c r="E1044" s="5"/>
      <c r="F1044" s="5"/>
      <c r="G1044" s="5"/>
      <c r="H1044" s="5"/>
      <c r="I1044" s="5"/>
      <c r="J1044" s="5"/>
      <c r="K1044" s="5"/>
      <c r="L1044" s="5"/>
      <c r="M1044" s="5"/>
      <c r="N1044" s="5"/>
      <c r="O1044" s="5"/>
      <c r="P1044" s="5"/>
      <c r="Q1044" s="5"/>
      <c r="R1044" s="87"/>
      <c r="S1044" s="87"/>
      <c r="T1044" s="87"/>
      <c r="U1044" s="19"/>
      <c r="V1044" s="87"/>
      <c r="W1044" s="87"/>
      <c r="X1044" s="87"/>
      <c r="Y1044" s="87"/>
      <c r="Z1044" s="87"/>
      <c r="AA1044" s="87"/>
      <c r="AB1044" s="87"/>
      <c r="AC1044" s="87"/>
      <c r="AD1044" s="87"/>
      <c r="AE1044" s="87"/>
      <c r="AF1044" s="87"/>
      <c r="AG1044" s="87"/>
      <c r="AH1044" s="87"/>
      <c r="AI1044" s="87"/>
      <c r="AJ1044" s="87"/>
      <c r="AK1044" s="87"/>
      <c r="AL1044" s="87"/>
      <c r="AM1044" s="87"/>
      <c r="AN1044" s="87"/>
      <c r="AO1044" s="87"/>
      <c r="AP1044" s="87"/>
      <c r="AQ1044" s="87"/>
      <c r="AR1044" s="87"/>
      <c r="AS1044" s="87"/>
      <c r="AT1044" s="87"/>
      <c r="AU1044" s="87"/>
      <c r="AV1044" s="87"/>
      <c r="AW1044" s="87"/>
      <c r="AX1044" s="87"/>
      <c r="AY1044" s="87"/>
      <c r="AZ1044" s="87"/>
      <c r="BA1044" s="87"/>
      <c r="BB1044" s="87"/>
      <c r="BC1044" s="87"/>
      <c r="BD1044" s="87"/>
      <c r="BE1044" s="87"/>
      <c r="BF1044" s="87"/>
      <c r="BG1044" s="87"/>
      <c r="BH1044" s="87"/>
      <c r="BI1044" s="87"/>
      <c r="BJ1044" s="87"/>
      <c r="BK1044" s="87"/>
      <c r="BL1044" s="87"/>
      <c r="BM1044" s="87"/>
      <c r="BN1044" s="87"/>
      <c r="BO1044" s="87"/>
      <c r="BP1044" s="87"/>
      <c r="BQ1044" s="87"/>
      <c r="BR1044" s="87"/>
      <c r="BS1044" s="87"/>
      <c r="BT1044" s="87"/>
      <c r="BU1044" s="87"/>
      <c r="BV1044" s="87"/>
      <c r="BW1044" s="87"/>
      <c r="BX1044" s="87"/>
      <c r="BY1044" s="87"/>
    </row>
    <row r="1045" spans="3:77" x14ac:dyDescent="0.3">
      <c r="C1045" s="5"/>
      <c r="D1045" s="5"/>
      <c r="E1045" s="5"/>
      <c r="F1045" s="5"/>
      <c r="G1045" s="5"/>
      <c r="H1045" s="5"/>
      <c r="I1045" s="5"/>
      <c r="J1045" s="5"/>
      <c r="K1045" s="5"/>
      <c r="L1045" s="5"/>
      <c r="M1045" s="5"/>
      <c r="N1045" s="5"/>
      <c r="O1045" s="5"/>
      <c r="P1045" s="5"/>
      <c r="Q1045" s="5"/>
      <c r="R1045" s="87"/>
      <c r="S1045" s="87"/>
      <c r="T1045" s="87"/>
      <c r="U1045" s="19"/>
      <c r="V1045" s="87"/>
      <c r="W1045" s="87"/>
      <c r="X1045" s="87"/>
      <c r="Y1045" s="87"/>
      <c r="Z1045" s="87"/>
      <c r="AA1045" s="87"/>
      <c r="AB1045" s="87"/>
      <c r="AC1045" s="87"/>
      <c r="AD1045" s="87"/>
      <c r="AE1045" s="87"/>
      <c r="AF1045" s="87"/>
      <c r="AG1045" s="87"/>
      <c r="AH1045" s="87"/>
      <c r="AI1045" s="87"/>
      <c r="AJ1045" s="87"/>
      <c r="AK1045" s="87"/>
      <c r="AL1045" s="87"/>
      <c r="AM1045" s="87"/>
      <c r="AN1045" s="87"/>
      <c r="AO1045" s="87"/>
      <c r="AP1045" s="87"/>
      <c r="AQ1045" s="87"/>
      <c r="AR1045" s="87"/>
      <c r="AS1045" s="87"/>
      <c r="AT1045" s="87"/>
      <c r="AU1045" s="87"/>
      <c r="AV1045" s="87"/>
      <c r="AW1045" s="87"/>
      <c r="AX1045" s="87"/>
      <c r="AY1045" s="87"/>
      <c r="AZ1045" s="87"/>
      <c r="BA1045" s="87"/>
      <c r="BB1045" s="87"/>
      <c r="BC1045" s="87"/>
      <c r="BD1045" s="87"/>
      <c r="BE1045" s="87"/>
      <c r="BF1045" s="87"/>
      <c r="BG1045" s="87"/>
      <c r="BH1045" s="87"/>
      <c r="BI1045" s="87"/>
      <c r="BJ1045" s="87"/>
      <c r="BK1045" s="87"/>
      <c r="BL1045" s="87"/>
      <c r="BM1045" s="87"/>
      <c r="BN1045" s="87"/>
      <c r="BO1045" s="87"/>
      <c r="BP1045" s="87"/>
      <c r="BQ1045" s="87"/>
      <c r="BR1045" s="87"/>
      <c r="BS1045" s="87"/>
      <c r="BT1045" s="87"/>
      <c r="BU1045" s="87"/>
      <c r="BV1045" s="87"/>
      <c r="BW1045" s="87"/>
      <c r="BX1045" s="87"/>
      <c r="BY1045" s="87"/>
    </row>
    <row r="1046" spans="3:77" x14ac:dyDescent="0.3">
      <c r="C1046" s="90"/>
      <c r="D1046" s="87"/>
      <c r="E1046" s="91"/>
      <c r="F1046" s="92"/>
      <c r="G1046" s="93"/>
      <c r="H1046" s="93"/>
      <c r="I1046" s="93"/>
      <c r="J1046" s="93"/>
      <c r="K1046" s="93"/>
      <c r="L1046" s="93"/>
      <c r="M1046" s="93"/>
      <c r="N1046" s="93"/>
      <c r="O1046" s="93"/>
      <c r="P1046" s="93"/>
      <c r="Q1046" s="93"/>
      <c r="R1046" s="87"/>
      <c r="S1046" s="87"/>
      <c r="T1046" s="87"/>
      <c r="U1046" s="19"/>
      <c r="V1046" s="87"/>
      <c r="W1046" s="87"/>
      <c r="X1046" s="87"/>
      <c r="Y1046" s="87"/>
      <c r="Z1046" s="87"/>
      <c r="AA1046" s="87"/>
      <c r="AB1046" s="87"/>
      <c r="AC1046" s="87"/>
      <c r="AD1046" s="87"/>
      <c r="AE1046" s="87"/>
      <c r="AF1046" s="87"/>
      <c r="AG1046" s="87"/>
      <c r="AH1046" s="87"/>
      <c r="AI1046" s="87"/>
      <c r="AJ1046" s="87"/>
      <c r="AK1046" s="87"/>
      <c r="AL1046" s="87"/>
      <c r="AM1046" s="87"/>
      <c r="AN1046" s="87"/>
      <c r="AO1046" s="87"/>
      <c r="AP1046" s="87"/>
      <c r="AQ1046" s="87"/>
      <c r="AR1046" s="87"/>
      <c r="AS1046" s="87"/>
      <c r="AT1046" s="87"/>
      <c r="AU1046" s="87"/>
      <c r="AV1046" s="87"/>
      <c r="AW1046" s="87"/>
      <c r="AX1046" s="87"/>
      <c r="AY1046" s="87"/>
      <c r="AZ1046" s="87"/>
      <c r="BA1046" s="87"/>
      <c r="BB1046" s="87"/>
      <c r="BC1046" s="87"/>
      <c r="BD1046" s="87"/>
      <c r="BE1046" s="87"/>
      <c r="BF1046" s="87"/>
      <c r="BG1046" s="87"/>
      <c r="BH1046" s="87"/>
      <c r="BI1046" s="87"/>
      <c r="BJ1046" s="87"/>
      <c r="BK1046" s="87"/>
      <c r="BL1046" s="87"/>
      <c r="BM1046" s="87"/>
      <c r="BN1046" s="87"/>
      <c r="BO1046" s="87"/>
      <c r="BP1046" s="87"/>
      <c r="BQ1046" s="87"/>
      <c r="BR1046" s="87"/>
      <c r="BS1046" s="87"/>
      <c r="BT1046" s="87"/>
      <c r="BU1046" s="87"/>
      <c r="BV1046" s="87"/>
      <c r="BW1046" s="87"/>
      <c r="BX1046" s="87"/>
      <c r="BY1046" s="87"/>
    </row>
    <row r="1047" spans="3:77" x14ac:dyDescent="0.3">
      <c r="C1047" s="90"/>
      <c r="D1047" s="87"/>
      <c r="E1047" s="91"/>
      <c r="F1047" s="92"/>
      <c r="G1047" s="93"/>
      <c r="H1047" s="93"/>
      <c r="I1047" s="93"/>
      <c r="J1047" s="93"/>
      <c r="K1047" s="93"/>
      <c r="L1047" s="93"/>
      <c r="M1047" s="93"/>
      <c r="N1047" s="93"/>
      <c r="O1047" s="93"/>
      <c r="P1047" s="93"/>
      <c r="Q1047" s="93"/>
      <c r="R1047" s="87"/>
      <c r="S1047" s="87"/>
      <c r="T1047" s="87"/>
      <c r="U1047" s="19"/>
      <c r="V1047" s="87"/>
      <c r="W1047" s="87"/>
      <c r="X1047" s="87"/>
      <c r="Y1047" s="87"/>
      <c r="Z1047" s="87"/>
      <c r="AA1047" s="87"/>
      <c r="AB1047" s="87"/>
      <c r="AC1047" s="87"/>
      <c r="AD1047" s="87"/>
      <c r="AE1047" s="87"/>
      <c r="AF1047" s="87"/>
      <c r="AG1047" s="87"/>
      <c r="AH1047" s="87"/>
      <c r="AI1047" s="87"/>
      <c r="AJ1047" s="87"/>
      <c r="AK1047" s="87"/>
      <c r="AL1047" s="87"/>
      <c r="AM1047" s="87"/>
      <c r="AN1047" s="87"/>
      <c r="AO1047" s="87"/>
      <c r="AP1047" s="87"/>
      <c r="AQ1047" s="87"/>
      <c r="AR1047" s="87"/>
      <c r="AS1047" s="87"/>
      <c r="AT1047" s="87"/>
      <c r="AU1047" s="87"/>
      <c r="AV1047" s="87"/>
      <c r="AW1047" s="87"/>
      <c r="AX1047" s="87"/>
      <c r="AY1047" s="87"/>
      <c r="AZ1047" s="87"/>
      <c r="BA1047" s="87"/>
      <c r="BB1047" s="87"/>
      <c r="BC1047" s="87"/>
      <c r="BD1047" s="87"/>
      <c r="BE1047" s="87"/>
      <c r="BF1047" s="87"/>
      <c r="BG1047" s="87"/>
      <c r="BH1047" s="87"/>
      <c r="BI1047" s="87"/>
      <c r="BJ1047" s="87"/>
      <c r="BK1047" s="87"/>
      <c r="BL1047" s="87"/>
      <c r="BM1047" s="87"/>
      <c r="BN1047" s="87"/>
      <c r="BO1047" s="87"/>
      <c r="BP1047" s="87"/>
      <c r="BQ1047" s="87"/>
      <c r="BR1047" s="87"/>
      <c r="BS1047" s="87"/>
      <c r="BT1047" s="87"/>
      <c r="BU1047" s="87"/>
      <c r="BV1047" s="87"/>
      <c r="BW1047" s="87"/>
      <c r="BX1047" s="87"/>
      <c r="BY1047" s="87"/>
    </row>
    <row r="1048" spans="3:77" x14ac:dyDescent="0.3">
      <c r="C1048" s="90"/>
      <c r="D1048" s="87"/>
      <c r="E1048" s="91"/>
      <c r="F1048" s="92"/>
      <c r="G1048" s="93"/>
      <c r="H1048" s="93"/>
      <c r="I1048" s="93"/>
      <c r="J1048" s="93"/>
      <c r="K1048" s="93"/>
      <c r="L1048" s="93"/>
      <c r="M1048" s="93"/>
      <c r="N1048" s="93"/>
      <c r="O1048" s="93"/>
      <c r="P1048" s="93"/>
      <c r="Q1048" s="93"/>
      <c r="R1048" s="87"/>
      <c r="S1048" s="87"/>
      <c r="T1048" s="87"/>
      <c r="U1048" s="19"/>
      <c r="V1048" s="87"/>
      <c r="W1048" s="87"/>
      <c r="X1048" s="87"/>
      <c r="Y1048" s="87"/>
      <c r="Z1048" s="87"/>
      <c r="AA1048" s="87"/>
      <c r="AB1048" s="87"/>
      <c r="AC1048" s="87"/>
      <c r="AD1048" s="87"/>
      <c r="AE1048" s="87"/>
      <c r="AF1048" s="87"/>
      <c r="AG1048" s="87"/>
      <c r="AH1048" s="87"/>
      <c r="AI1048" s="87"/>
      <c r="AJ1048" s="87"/>
      <c r="AK1048" s="87"/>
      <c r="AL1048" s="87"/>
      <c r="AM1048" s="87"/>
      <c r="AN1048" s="87"/>
      <c r="AO1048" s="87"/>
      <c r="AP1048" s="87"/>
      <c r="AQ1048" s="87"/>
      <c r="AR1048" s="87"/>
      <c r="AS1048" s="87"/>
      <c r="AT1048" s="87"/>
      <c r="AU1048" s="87"/>
      <c r="AV1048" s="87"/>
      <c r="AW1048" s="87"/>
      <c r="AX1048" s="87"/>
      <c r="AY1048" s="87"/>
      <c r="AZ1048" s="87"/>
      <c r="BA1048" s="87"/>
      <c r="BB1048" s="87"/>
      <c r="BC1048" s="87"/>
      <c r="BD1048" s="87"/>
      <c r="BE1048" s="87"/>
      <c r="BF1048" s="87"/>
      <c r="BG1048" s="87"/>
      <c r="BH1048" s="87"/>
      <c r="BI1048" s="87"/>
      <c r="BJ1048" s="87"/>
      <c r="BK1048" s="87"/>
      <c r="BL1048" s="87"/>
      <c r="BM1048" s="87"/>
      <c r="BN1048" s="87"/>
      <c r="BO1048" s="87"/>
      <c r="BP1048" s="87"/>
      <c r="BQ1048" s="87"/>
      <c r="BR1048" s="87"/>
      <c r="BS1048" s="87"/>
      <c r="BT1048" s="87"/>
      <c r="BU1048" s="87"/>
      <c r="BV1048" s="87"/>
      <c r="BW1048" s="87"/>
      <c r="BX1048" s="87"/>
      <c r="BY1048" s="87"/>
    </row>
    <row r="1049" spans="3:77" x14ac:dyDescent="0.3">
      <c r="C1049" s="90"/>
      <c r="D1049" s="87"/>
      <c r="E1049" s="91"/>
      <c r="F1049" s="92"/>
      <c r="G1049" s="93"/>
      <c r="H1049" s="93"/>
      <c r="I1049" s="93"/>
      <c r="J1049" s="93"/>
      <c r="K1049" s="93"/>
      <c r="L1049" s="93"/>
      <c r="M1049" s="93"/>
      <c r="N1049" s="93"/>
      <c r="O1049" s="93"/>
      <c r="P1049" s="93"/>
      <c r="Q1049" s="93"/>
      <c r="R1049" s="87"/>
      <c r="S1049" s="87"/>
      <c r="T1049" s="87"/>
      <c r="U1049" s="19"/>
      <c r="V1049" s="87"/>
      <c r="W1049" s="87"/>
      <c r="X1049" s="87"/>
      <c r="Y1049" s="87"/>
      <c r="Z1049" s="87"/>
      <c r="AA1049" s="87"/>
      <c r="AB1049" s="87"/>
      <c r="AC1049" s="87"/>
      <c r="AD1049" s="87"/>
      <c r="AE1049" s="87"/>
      <c r="AF1049" s="87"/>
      <c r="AG1049" s="87"/>
      <c r="AH1049" s="87"/>
      <c r="AI1049" s="87"/>
      <c r="AJ1049" s="87"/>
      <c r="AK1049" s="87"/>
      <c r="AL1049" s="87"/>
      <c r="AM1049" s="87"/>
      <c r="AN1049" s="87"/>
      <c r="AO1049" s="87"/>
      <c r="AP1049" s="87"/>
      <c r="AQ1049" s="87"/>
      <c r="AR1049" s="87"/>
      <c r="AS1049" s="87"/>
      <c r="AT1049" s="87"/>
      <c r="AU1049" s="87"/>
      <c r="AV1049" s="87"/>
      <c r="AW1049" s="87"/>
      <c r="AX1049" s="87"/>
      <c r="AY1049" s="87"/>
      <c r="AZ1049" s="87"/>
      <c r="BA1049" s="87"/>
      <c r="BB1049" s="87"/>
      <c r="BC1049" s="87"/>
      <c r="BD1049" s="87"/>
      <c r="BE1049" s="87"/>
      <c r="BF1049" s="87"/>
      <c r="BG1049" s="87"/>
      <c r="BH1049" s="87"/>
      <c r="BI1049" s="87"/>
      <c r="BJ1049" s="87"/>
      <c r="BK1049" s="87"/>
      <c r="BL1049" s="87"/>
      <c r="BM1049" s="87"/>
      <c r="BN1049" s="87"/>
      <c r="BO1049" s="87"/>
      <c r="BP1049" s="87"/>
      <c r="BQ1049" s="87"/>
      <c r="BR1049" s="87"/>
      <c r="BS1049" s="87"/>
      <c r="BT1049" s="87"/>
      <c r="BU1049" s="87"/>
      <c r="BV1049" s="87"/>
      <c r="BW1049" s="87"/>
      <c r="BX1049" s="87"/>
      <c r="BY1049" s="87"/>
    </row>
    <row r="1050" spans="3:77" x14ac:dyDescent="0.3">
      <c r="C1050" s="90"/>
      <c r="D1050" s="87"/>
      <c r="E1050" s="91"/>
      <c r="F1050" s="92"/>
      <c r="G1050" s="93"/>
      <c r="H1050" s="93"/>
      <c r="I1050" s="93"/>
      <c r="J1050" s="93"/>
      <c r="K1050" s="93"/>
      <c r="L1050" s="93"/>
      <c r="M1050" s="93"/>
      <c r="N1050" s="93"/>
      <c r="O1050" s="93"/>
      <c r="P1050" s="93"/>
      <c r="Q1050" s="93"/>
      <c r="R1050" s="87"/>
      <c r="S1050" s="87"/>
      <c r="T1050" s="87"/>
      <c r="U1050" s="19"/>
      <c r="V1050" s="87"/>
      <c r="W1050" s="87"/>
      <c r="X1050" s="87"/>
      <c r="Y1050" s="87"/>
      <c r="Z1050" s="87"/>
      <c r="AA1050" s="87"/>
      <c r="AB1050" s="87"/>
      <c r="AC1050" s="87"/>
      <c r="AD1050" s="87"/>
      <c r="AE1050" s="87"/>
      <c r="AF1050" s="87"/>
      <c r="AG1050" s="87"/>
      <c r="AH1050" s="87"/>
      <c r="AI1050" s="87"/>
      <c r="AJ1050" s="87"/>
      <c r="AK1050" s="87"/>
      <c r="AL1050" s="87"/>
      <c r="AM1050" s="87"/>
      <c r="AN1050" s="87"/>
      <c r="AO1050" s="87"/>
      <c r="AP1050" s="87"/>
      <c r="AQ1050" s="87"/>
      <c r="AR1050" s="87"/>
      <c r="AS1050" s="87"/>
      <c r="AT1050" s="87"/>
      <c r="AU1050" s="87"/>
      <c r="AV1050" s="87"/>
      <c r="AW1050" s="87"/>
      <c r="AX1050" s="87"/>
      <c r="AY1050" s="87"/>
      <c r="AZ1050" s="87"/>
      <c r="BA1050" s="87"/>
      <c r="BB1050" s="87"/>
      <c r="BC1050" s="87"/>
      <c r="BD1050" s="87"/>
      <c r="BE1050" s="87"/>
      <c r="BF1050" s="87"/>
      <c r="BG1050" s="87"/>
      <c r="BH1050" s="87"/>
      <c r="BI1050" s="87"/>
      <c r="BJ1050" s="87"/>
      <c r="BK1050" s="87"/>
      <c r="BL1050" s="87"/>
      <c r="BM1050" s="87"/>
      <c r="BN1050" s="87"/>
      <c r="BO1050" s="87"/>
      <c r="BP1050" s="87"/>
      <c r="BQ1050" s="87"/>
      <c r="BR1050" s="87"/>
      <c r="BS1050" s="87"/>
      <c r="BT1050" s="87"/>
      <c r="BU1050" s="87"/>
      <c r="BV1050" s="87"/>
      <c r="BW1050" s="87"/>
      <c r="BX1050" s="87"/>
      <c r="BY1050" s="87"/>
    </row>
    <row r="1051" spans="3:77" x14ac:dyDescent="0.3">
      <c r="C1051" s="90"/>
      <c r="D1051" s="87"/>
      <c r="E1051" s="91"/>
      <c r="F1051" s="92"/>
      <c r="G1051" s="93"/>
      <c r="H1051" s="93"/>
      <c r="I1051" s="93"/>
      <c r="J1051" s="93"/>
      <c r="K1051" s="93"/>
      <c r="L1051" s="93"/>
      <c r="M1051" s="93"/>
      <c r="N1051" s="93"/>
      <c r="O1051" s="93"/>
      <c r="P1051" s="93"/>
      <c r="Q1051" s="93"/>
      <c r="R1051" s="87"/>
      <c r="S1051" s="87"/>
      <c r="T1051" s="87"/>
      <c r="U1051" s="19"/>
      <c r="V1051" s="87"/>
      <c r="W1051" s="87"/>
      <c r="X1051" s="87"/>
      <c r="Y1051" s="87"/>
      <c r="Z1051" s="87"/>
      <c r="AA1051" s="87"/>
      <c r="AB1051" s="87"/>
      <c r="AC1051" s="87"/>
      <c r="AD1051" s="87"/>
      <c r="AE1051" s="87"/>
      <c r="AF1051" s="87"/>
      <c r="AG1051" s="87"/>
      <c r="AH1051" s="87"/>
      <c r="AI1051" s="87"/>
      <c r="AJ1051" s="87"/>
      <c r="AK1051" s="87"/>
      <c r="AL1051" s="87"/>
      <c r="AM1051" s="87"/>
      <c r="AN1051" s="87"/>
      <c r="AO1051" s="87"/>
      <c r="AP1051" s="87"/>
      <c r="AQ1051" s="87"/>
      <c r="AR1051" s="87"/>
      <c r="AS1051" s="87"/>
      <c r="AT1051" s="87"/>
      <c r="AU1051" s="87"/>
      <c r="AV1051" s="87"/>
      <c r="AW1051" s="87"/>
      <c r="AX1051" s="87"/>
      <c r="AY1051" s="87"/>
      <c r="AZ1051" s="87"/>
      <c r="BA1051" s="87"/>
      <c r="BB1051" s="87"/>
      <c r="BC1051" s="87"/>
      <c r="BD1051" s="87"/>
      <c r="BE1051" s="87"/>
      <c r="BF1051" s="87"/>
      <c r="BG1051" s="87"/>
      <c r="BH1051" s="87"/>
      <c r="BI1051" s="87"/>
      <c r="BJ1051" s="87"/>
      <c r="BK1051" s="87"/>
      <c r="BL1051" s="87"/>
      <c r="BM1051" s="87"/>
      <c r="BN1051" s="87"/>
      <c r="BO1051" s="87"/>
      <c r="BP1051" s="87"/>
      <c r="BQ1051" s="87"/>
      <c r="BR1051" s="87"/>
      <c r="BS1051" s="87"/>
      <c r="BT1051" s="87"/>
      <c r="BU1051" s="87"/>
      <c r="BV1051" s="87"/>
      <c r="BW1051" s="87"/>
      <c r="BX1051" s="87"/>
      <c r="BY1051" s="87"/>
    </row>
    <row r="1052" spans="3:77" x14ac:dyDescent="0.3">
      <c r="C1052" s="90"/>
      <c r="D1052" s="87"/>
      <c r="E1052" s="91"/>
      <c r="F1052" s="92"/>
      <c r="G1052" s="93"/>
      <c r="H1052" s="93"/>
      <c r="I1052" s="93"/>
      <c r="J1052" s="93"/>
      <c r="K1052" s="93"/>
      <c r="L1052" s="93"/>
      <c r="M1052" s="93"/>
      <c r="N1052" s="93"/>
      <c r="O1052" s="93"/>
      <c r="P1052" s="93"/>
      <c r="Q1052" s="93"/>
      <c r="R1052" s="87"/>
      <c r="S1052" s="87"/>
      <c r="T1052" s="87"/>
      <c r="U1052" s="19"/>
      <c r="V1052" s="87"/>
      <c r="W1052" s="87"/>
      <c r="X1052" s="87"/>
      <c r="Y1052" s="87"/>
      <c r="Z1052" s="87"/>
      <c r="AA1052" s="87"/>
      <c r="AB1052" s="87"/>
      <c r="AC1052" s="87"/>
      <c r="AD1052" s="87"/>
      <c r="AE1052" s="87"/>
      <c r="AF1052" s="87"/>
      <c r="AG1052" s="87"/>
      <c r="AH1052" s="87"/>
      <c r="AI1052" s="87"/>
      <c r="AJ1052" s="87"/>
      <c r="AK1052" s="87"/>
      <c r="AL1052" s="87"/>
      <c r="AM1052" s="87"/>
      <c r="AN1052" s="87"/>
      <c r="AO1052" s="87"/>
      <c r="AP1052" s="87"/>
      <c r="AQ1052" s="87"/>
      <c r="AR1052" s="87"/>
      <c r="AS1052" s="87"/>
      <c r="AT1052" s="87"/>
      <c r="AU1052" s="87"/>
      <c r="AV1052" s="87"/>
      <c r="AW1052" s="87"/>
      <c r="AX1052" s="87"/>
      <c r="AY1052" s="87"/>
      <c r="AZ1052" s="87"/>
      <c r="BA1052" s="87"/>
      <c r="BB1052" s="87"/>
      <c r="BC1052" s="87"/>
      <c r="BD1052" s="87"/>
      <c r="BE1052" s="87"/>
      <c r="BF1052" s="87"/>
      <c r="BG1052" s="87"/>
      <c r="BH1052" s="87"/>
      <c r="BI1052" s="87"/>
      <c r="BJ1052" s="87"/>
      <c r="BK1052" s="87"/>
      <c r="BL1052" s="87"/>
      <c r="BM1052" s="87"/>
      <c r="BN1052" s="87"/>
      <c r="BO1052" s="87"/>
      <c r="BP1052" s="87"/>
      <c r="BQ1052" s="87"/>
      <c r="BR1052" s="87"/>
      <c r="BS1052" s="87"/>
      <c r="BT1052" s="87"/>
      <c r="BU1052" s="87"/>
      <c r="BV1052" s="87"/>
      <c r="BW1052" s="87"/>
      <c r="BX1052" s="87"/>
      <c r="BY1052" s="87"/>
    </row>
    <row r="1053" spans="3:77" x14ac:dyDescent="0.3">
      <c r="C1053" s="90"/>
      <c r="D1053" s="87"/>
      <c r="E1053" s="91"/>
      <c r="F1053" s="92"/>
      <c r="G1053" s="93"/>
      <c r="H1053" s="93"/>
      <c r="I1053" s="93"/>
      <c r="J1053" s="93"/>
      <c r="K1053" s="93"/>
      <c r="L1053" s="93"/>
      <c r="M1053" s="93"/>
      <c r="N1053" s="93"/>
      <c r="O1053" s="93"/>
      <c r="P1053" s="93"/>
      <c r="Q1053" s="93"/>
      <c r="R1053" s="87"/>
      <c r="S1053" s="87"/>
      <c r="T1053" s="87"/>
      <c r="U1053" s="19"/>
      <c r="V1053" s="87"/>
      <c r="W1053" s="87"/>
      <c r="X1053" s="87"/>
      <c r="Y1053" s="87"/>
      <c r="Z1053" s="87"/>
      <c r="AA1053" s="87"/>
      <c r="AB1053" s="87"/>
      <c r="AC1053" s="87"/>
      <c r="AD1053" s="87"/>
      <c r="AE1053" s="87"/>
      <c r="AF1053" s="87"/>
      <c r="AG1053" s="87"/>
      <c r="AH1053" s="87"/>
      <c r="AI1053" s="87"/>
      <c r="AJ1053" s="87"/>
      <c r="AK1053" s="87"/>
      <c r="AL1053" s="87"/>
      <c r="AM1053" s="87"/>
      <c r="AN1053" s="87"/>
      <c r="AO1053" s="87"/>
      <c r="AP1053" s="87"/>
      <c r="AQ1053" s="87"/>
      <c r="AR1053" s="87"/>
      <c r="AS1053" s="87"/>
      <c r="AT1053" s="87"/>
      <c r="AU1053" s="87"/>
      <c r="AV1053" s="87"/>
      <c r="AW1053" s="87"/>
      <c r="AX1053" s="87"/>
      <c r="AY1053" s="87"/>
      <c r="AZ1053" s="87"/>
      <c r="BA1053" s="87"/>
      <c r="BB1053" s="87"/>
      <c r="BC1053" s="87"/>
      <c r="BD1053" s="87"/>
      <c r="BE1053" s="87"/>
      <c r="BF1053" s="87"/>
      <c r="BG1053" s="87"/>
      <c r="BH1053" s="87"/>
      <c r="BI1053" s="87"/>
      <c r="BJ1053" s="87"/>
      <c r="BK1053" s="87"/>
      <c r="BL1053" s="87"/>
      <c r="BM1053" s="87"/>
      <c r="BN1053" s="87"/>
      <c r="BO1053" s="87"/>
      <c r="BP1053" s="87"/>
      <c r="BQ1053" s="87"/>
      <c r="BR1053" s="87"/>
      <c r="BS1053" s="87"/>
      <c r="BT1053" s="87"/>
      <c r="BU1053" s="87"/>
      <c r="BV1053" s="87"/>
      <c r="BW1053" s="87"/>
      <c r="BX1053" s="87"/>
      <c r="BY1053" s="87"/>
    </row>
    <row r="1054" spans="3:77" x14ac:dyDescent="0.3">
      <c r="C1054" s="90"/>
      <c r="D1054" s="87"/>
      <c r="E1054" s="91"/>
      <c r="F1054" s="92"/>
      <c r="G1054" s="93"/>
      <c r="H1054" s="93"/>
      <c r="I1054" s="93"/>
      <c r="J1054" s="93"/>
      <c r="K1054" s="93"/>
      <c r="L1054" s="93"/>
      <c r="M1054" s="93"/>
      <c r="N1054" s="93"/>
      <c r="O1054" s="93"/>
      <c r="P1054" s="93"/>
      <c r="Q1054" s="93"/>
      <c r="R1054" s="87"/>
      <c r="S1054" s="87"/>
      <c r="T1054" s="87"/>
      <c r="U1054" s="19"/>
      <c r="V1054" s="87"/>
      <c r="W1054" s="87"/>
      <c r="X1054" s="87"/>
      <c r="Y1054" s="87"/>
      <c r="Z1054" s="87"/>
      <c r="AA1054" s="87"/>
      <c r="AB1054" s="87"/>
      <c r="AC1054" s="87"/>
      <c r="AD1054" s="87"/>
      <c r="AE1054" s="87"/>
      <c r="AF1054" s="87"/>
      <c r="AG1054" s="87"/>
      <c r="AH1054" s="87"/>
      <c r="AI1054" s="87"/>
      <c r="AJ1054" s="87"/>
      <c r="AK1054" s="87"/>
      <c r="AL1054" s="87"/>
      <c r="AM1054" s="87"/>
      <c r="AN1054" s="87"/>
      <c r="AO1054" s="87"/>
      <c r="AP1054" s="87"/>
      <c r="AQ1054" s="87"/>
      <c r="AR1054" s="87"/>
      <c r="AS1054" s="87"/>
      <c r="AT1054" s="87"/>
      <c r="AU1054" s="87"/>
      <c r="AV1054" s="87"/>
      <c r="AW1054" s="87"/>
      <c r="AX1054" s="87"/>
      <c r="AY1054" s="87"/>
      <c r="AZ1054" s="87"/>
      <c r="BA1054" s="87"/>
      <c r="BB1054" s="87"/>
      <c r="BC1054" s="87"/>
      <c r="BD1054" s="87"/>
      <c r="BE1054" s="87"/>
      <c r="BF1054" s="87"/>
      <c r="BG1054" s="87"/>
      <c r="BH1054" s="87"/>
      <c r="BI1054" s="87"/>
      <c r="BJ1054" s="87"/>
      <c r="BK1054" s="87"/>
      <c r="BL1054" s="87"/>
      <c r="BM1054" s="87"/>
      <c r="BN1054" s="87"/>
      <c r="BO1054" s="87"/>
      <c r="BP1054" s="87"/>
      <c r="BQ1054" s="87"/>
      <c r="BR1054" s="87"/>
      <c r="BS1054" s="87"/>
      <c r="BT1054" s="87"/>
      <c r="BU1054" s="87"/>
      <c r="BV1054" s="87"/>
      <c r="BW1054" s="87"/>
      <c r="BX1054" s="87"/>
      <c r="BY1054" s="87"/>
    </row>
    <row r="1055" spans="3:77" x14ac:dyDescent="0.3">
      <c r="C1055" s="90"/>
      <c r="D1055" s="87"/>
      <c r="E1055" s="91"/>
      <c r="F1055" s="92"/>
      <c r="G1055" s="93"/>
      <c r="H1055" s="93"/>
      <c r="I1055" s="93"/>
      <c r="J1055" s="93"/>
      <c r="K1055" s="93"/>
      <c r="L1055" s="93"/>
      <c r="M1055" s="93"/>
      <c r="N1055" s="93"/>
      <c r="O1055" s="93"/>
      <c r="P1055" s="93"/>
      <c r="Q1055" s="93"/>
      <c r="R1055" s="87"/>
      <c r="S1055" s="87"/>
      <c r="T1055" s="87"/>
      <c r="U1055" s="19"/>
      <c r="V1055" s="87"/>
      <c r="W1055" s="87"/>
      <c r="X1055" s="87"/>
      <c r="Y1055" s="87"/>
      <c r="Z1055" s="87"/>
      <c r="AA1055" s="87"/>
      <c r="AB1055" s="87"/>
      <c r="AC1055" s="87"/>
      <c r="AD1055" s="87"/>
      <c r="AE1055" s="87"/>
      <c r="AF1055" s="87"/>
      <c r="AG1055" s="87"/>
      <c r="AH1055" s="87"/>
      <c r="AI1055" s="87"/>
      <c r="AJ1055" s="87"/>
      <c r="AK1055" s="87"/>
      <c r="AL1055" s="87"/>
      <c r="AM1055" s="87"/>
      <c r="AN1055" s="87"/>
      <c r="AO1055" s="87"/>
      <c r="AP1055" s="87"/>
      <c r="AQ1055" s="87"/>
      <c r="AR1055" s="87"/>
      <c r="AS1055" s="87"/>
      <c r="AT1055" s="87"/>
      <c r="AU1055" s="87"/>
      <c r="AV1055" s="87"/>
      <c r="AW1055" s="87"/>
      <c r="AX1055" s="87"/>
      <c r="AY1055" s="87"/>
      <c r="AZ1055" s="87"/>
      <c r="BA1055" s="87"/>
      <c r="BB1055" s="87"/>
      <c r="BC1055" s="87"/>
      <c r="BD1055" s="87"/>
      <c r="BE1055" s="87"/>
      <c r="BF1055" s="87"/>
      <c r="BG1055" s="87"/>
      <c r="BH1055" s="87"/>
      <c r="BI1055" s="87"/>
      <c r="BJ1055" s="87"/>
      <c r="BK1055" s="87"/>
      <c r="BL1055" s="87"/>
      <c r="BM1055" s="87"/>
      <c r="BN1055" s="87"/>
      <c r="BO1055" s="87"/>
      <c r="BP1055" s="87"/>
      <c r="BQ1055" s="87"/>
      <c r="BR1055" s="87"/>
      <c r="BS1055" s="87"/>
      <c r="BT1055" s="87"/>
      <c r="BU1055" s="87"/>
      <c r="BV1055" s="87"/>
      <c r="BW1055" s="87"/>
      <c r="BX1055" s="87"/>
      <c r="BY1055" s="87"/>
    </row>
    <row r="1056" spans="3:77" x14ac:dyDescent="0.3">
      <c r="C1056" s="90"/>
      <c r="D1056" s="87"/>
      <c r="E1056" s="91"/>
      <c r="F1056" s="92"/>
      <c r="G1056" s="93"/>
      <c r="H1056" s="93"/>
      <c r="I1056" s="93"/>
      <c r="J1056" s="93"/>
      <c r="K1056" s="93"/>
      <c r="L1056" s="93"/>
      <c r="M1056" s="93"/>
      <c r="N1056" s="93"/>
      <c r="O1056" s="93"/>
      <c r="P1056" s="93"/>
      <c r="Q1056" s="93"/>
      <c r="R1056" s="87"/>
      <c r="S1056" s="87"/>
      <c r="T1056" s="87"/>
      <c r="U1056" s="19"/>
      <c r="V1056" s="87"/>
      <c r="W1056" s="87"/>
      <c r="X1056" s="87"/>
      <c r="Y1056" s="87"/>
      <c r="Z1056" s="87"/>
      <c r="AA1056" s="87"/>
      <c r="AB1056" s="87"/>
      <c r="AC1056" s="87"/>
      <c r="AD1056" s="87"/>
      <c r="AE1056" s="87"/>
      <c r="AF1056" s="87"/>
      <c r="AG1056" s="87"/>
      <c r="AH1056" s="87"/>
      <c r="AI1056" s="87"/>
      <c r="AJ1056" s="87"/>
      <c r="AK1056" s="87"/>
      <c r="AL1056" s="87"/>
      <c r="AM1056" s="87"/>
      <c r="AN1056" s="87"/>
      <c r="AO1056" s="87"/>
      <c r="AP1056" s="87"/>
      <c r="AQ1056" s="87"/>
      <c r="AR1056" s="87"/>
      <c r="AS1056" s="87"/>
      <c r="AT1056" s="87"/>
      <c r="AU1056" s="87"/>
      <c r="AV1056" s="87"/>
      <c r="AW1056" s="87"/>
      <c r="AX1056" s="87"/>
      <c r="AY1056" s="87"/>
      <c r="AZ1056" s="87"/>
      <c r="BA1056" s="87"/>
      <c r="BB1056" s="87"/>
      <c r="BC1056" s="87"/>
      <c r="BD1056" s="87"/>
      <c r="BE1056" s="87"/>
      <c r="BF1056" s="87"/>
      <c r="BG1056" s="87"/>
      <c r="BH1056" s="87"/>
      <c r="BI1056" s="87"/>
      <c r="BJ1056" s="87"/>
      <c r="BK1056" s="87"/>
      <c r="BL1056" s="87"/>
      <c r="BM1056" s="87"/>
      <c r="BN1056" s="87"/>
      <c r="BO1056" s="87"/>
      <c r="BP1056" s="87"/>
      <c r="BQ1056" s="87"/>
      <c r="BR1056" s="87"/>
      <c r="BS1056" s="87"/>
      <c r="BT1056" s="87"/>
      <c r="BU1056" s="87"/>
      <c r="BV1056" s="87"/>
      <c r="BW1056" s="87"/>
      <c r="BX1056" s="87"/>
      <c r="BY1056" s="87"/>
    </row>
    <row r="1057" spans="3:77" x14ac:dyDescent="0.3">
      <c r="C1057" s="90"/>
      <c r="D1057" s="87"/>
      <c r="E1057" s="91"/>
      <c r="F1057" s="92"/>
      <c r="G1057" s="93"/>
      <c r="H1057" s="93"/>
      <c r="I1057" s="93"/>
      <c r="J1057" s="93"/>
      <c r="K1057" s="93"/>
      <c r="L1057" s="93"/>
      <c r="M1057" s="93"/>
      <c r="N1057" s="93"/>
      <c r="O1057" s="93"/>
      <c r="P1057" s="93"/>
      <c r="Q1057" s="93"/>
      <c r="R1057" s="87"/>
      <c r="S1057" s="87"/>
      <c r="T1057" s="87"/>
      <c r="U1057" s="19"/>
      <c r="V1057" s="87"/>
      <c r="W1057" s="87"/>
      <c r="X1057" s="87"/>
      <c r="Y1057" s="87"/>
      <c r="Z1057" s="87"/>
      <c r="AA1057" s="87"/>
      <c r="AB1057" s="87"/>
      <c r="AC1057" s="87"/>
      <c r="AD1057" s="87"/>
      <c r="AE1057" s="87"/>
      <c r="AF1057" s="87"/>
      <c r="AG1057" s="87"/>
      <c r="AH1057" s="87"/>
      <c r="AI1057" s="87"/>
      <c r="AJ1057" s="87"/>
      <c r="AK1057" s="87"/>
      <c r="AL1057" s="87"/>
      <c r="AM1057" s="87"/>
      <c r="AN1057" s="87"/>
      <c r="AO1057" s="87"/>
      <c r="AP1057" s="87"/>
      <c r="AQ1057" s="87"/>
      <c r="AR1057" s="87"/>
      <c r="AS1057" s="87"/>
      <c r="AT1057" s="87"/>
      <c r="AU1057" s="87"/>
      <c r="AV1057" s="87"/>
      <c r="AW1057" s="87"/>
      <c r="AX1057" s="87"/>
      <c r="AY1057" s="87"/>
      <c r="AZ1057" s="87"/>
      <c r="BA1057" s="87"/>
      <c r="BB1057" s="87"/>
      <c r="BC1057" s="87"/>
      <c r="BD1057" s="87"/>
      <c r="BE1057" s="87"/>
      <c r="BF1057" s="87"/>
      <c r="BG1057" s="87"/>
      <c r="BH1057" s="87"/>
      <c r="BI1057" s="87"/>
      <c r="BJ1057" s="87"/>
      <c r="BK1057" s="87"/>
      <c r="BL1057" s="87"/>
      <c r="BM1057" s="87"/>
      <c r="BN1057" s="87"/>
      <c r="BO1057" s="87"/>
      <c r="BP1057" s="87"/>
      <c r="BQ1057" s="87"/>
      <c r="BR1057" s="87"/>
      <c r="BS1057" s="87"/>
      <c r="BT1057" s="87"/>
      <c r="BU1057" s="87"/>
      <c r="BV1057" s="87"/>
      <c r="BW1057" s="87"/>
      <c r="BX1057" s="87"/>
      <c r="BY1057" s="87"/>
    </row>
    <row r="1058" spans="3:77" x14ac:dyDescent="0.3">
      <c r="C1058" s="90"/>
      <c r="D1058" s="87"/>
      <c r="E1058" s="91"/>
      <c r="F1058" s="92"/>
      <c r="G1058" s="93"/>
      <c r="H1058" s="93"/>
      <c r="I1058" s="93"/>
      <c r="J1058" s="93"/>
      <c r="K1058" s="93"/>
      <c r="L1058" s="93"/>
      <c r="M1058" s="93"/>
      <c r="N1058" s="93"/>
      <c r="O1058" s="93"/>
      <c r="P1058" s="93"/>
      <c r="Q1058" s="93"/>
      <c r="R1058" s="87"/>
      <c r="S1058" s="87"/>
      <c r="T1058" s="87"/>
      <c r="U1058" s="19"/>
      <c r="V1058" s="87"/>
      <c r="W1058" s="87"/>
      <c r="X1058" s="87"/>
      <c r="Y1058" s="87"/>
      <c r="Z1058" s="87"/>
      <c r="AA1058" s="87"/>
      <c r="AB1058" s="87"/>
      <c r="AC1058" s="87"/>
      <c r="AD1058" s="87"/>
      <c r="AE1058" s="87"/>
      <c r="AF1058" s="87"/>
      <c r="AG1058" s="87"/>
      <c r="AH1058" s="87"/>
      <c r="AI1058" s="87"/>
      <c r="AJ1058" s="87"/>
      <c r="AK1058" s="87"/>
      <c r="AL1058" s="87"/>
      <c r="AM1058" s="87"/>
      <c r="AN1058" s="87"/>
      <c r="AO1058" s="87"/>
      <c r="AP1058" s="87"/>
      <c r="AQ1058" s="87"/>
      <c r="AR1058" s="87"/>
      <c r="AS1058" s="87"/>
      <c r="AT1058" s="87"/>
      <c r="AU1058" s="87"/>
      <c r="AV1058" s="87"/>
      <c r="AW1058" s="87"/>
      <c r="AX1058" s="87"/>
      <c r="AY1058" s="87"/>
      <c r="AZ1058" s="87"/>
      <c r="BA1058" s="87"/>
      <c r="BB1058" s="87"/>
      <c r="BC1058" s="87"/>
      <c r="BD1058" s="87"/>
      <c r="BE1058" s="87"/>
      <c r="BF1058" s="87"/>
      <c r="BG1058" s="87"/>
      <c r="BH1058" s="87"/>
      <c r="BI1058" s="87"/>
      <c r="BJ1058" s="87"/>
      <c r="BK1058" s="87"/>
      <c r="BL1058" s="87"/>
      <c r="BM1058" s="87"/>
      <c r="BN1058" s="87"/>
      <c r="BO1058" s="87"/>
      <c r="BP1058" s="87"/>
      <c r="BQ1058" s="87"/>
      <c r="BR1058" s="87"/>
      <c r="BS1058" s="87"/>
      <c r="BT1058" s="87"/>
      <c r="BU1058" s="87"/>
      <c r="BV1058" s="87"/>
      <c r="BW1058" s="87"/>
      <c r="BX1058" s="87"/>
      <c r="BY1058" s="87"/>
    </row>
    <row r="1059" spans="3:77" x14ac:dyDescent="0.3">
      <c r="C1059" s="90"/>
      <c r="D1059" s="87"/>
      <c r="E1059" s="91"/>
      <c r="F1059" s="92"/>
      <c r="G1059" s="93"/>
      <c r="H1059" s="93"/>
      <c r="I1059" s="93"/>
      <c r="J1059" s="93"/>
      <c r="K1059" s="93"/>
      <c r="L1059" s="93"/>
      <c r="M1059" s="93"/>
      <c r="N1059" s="93"/>
      <c r="O1059" s="93"/>
      <c r="P1059" s="93"/>
      <c r="Q1059" s="93"/>
      <c r="R1059" s="87"/>
      <c r="S1059" s="87"/>
      <c r="T1059" s="87"/>
      <c r="U1059" s="19"/>
      <c r="V1059" s="87"/>
      <c r="W1059" s="87"/>
      <c r="X1059" s="87"/>
      <c r="Y1059" s="87"/>
      <c r="Z1059" s="87"/>
      <c r="AA1059" s="87"/>
      <c r="AB1059" s="87"/>
      <c r="AC1059" s="87"/>
      <c r="AD1059" s="87"/>
      <c r="AE1059" s="87"/>
      <c r="AF1059" s="87"/>
      <c r="AG1059" s="87"/>
      <c r="AH1059" s="87"/>
      <c r="AI1059" s="87"/>
      <c r="AJ1059" s="87"/>
      <c r="AK1059" s="87"/>
      <c r="AL1059" s="87"/>
      <c r="AM1059" s="87"/>
      <c r="AN1059" s="87"/>
      <c r="AO1059" s="87"/>
      <c r="AP1059" s="87"/>
      <c r="AQ1059" s="87"/>
      <c r="AR1059" s="87"/>
      <c r="AS1059" s="87"/>
      <c r="AT1059" s="87"/>
      <c r="AU1059" s="87"/>
      <c r="AV1059" s="87"/>
      <c r="AW1059" s="87"/>
      <c r="AX1059" s="87"/>
      <c r="AY1059" s="87"/>
      <c r="AZ1059" s="87"/>
      <c r="BA1059" s="87"/>
      <c r="BB1059" s="87"/>
      <c r="BC1059" s="87"/>
      <c r="BD1059" s="87"/>
      <c r="BE1059" s="87"/>
      <c r="BF1059" s="87"/>
      <c r="BG1059" s="87"/>
      <c r="BH1059" s="87"/>
      <c r="BI1059" s="87"/>
      <c r="BJ1059" s="87"/>
      <c r="BK1059" s="87"/>
      <c r="BL1059" s="87"/>
      <c r="BM1059" s="87"/>
      <c r="BN1059" s="87"/>
      <c r="BO1059" s="87"/>
      <c r="BP1059" s="87"/>
      <c r="BQ1059" s="87"/>
      <c r="BR1059" s="87"/>
      <c r="BS1059" s="87"/>
      <c r="BT1059" s="87"/>
      <c r="BU1059" s="87"/>
      <c r="BV1059" s="87"/>
      <c r="BW1059" s="87"/>
      <c r="BX1059" s="87"/>
      <c r="BY1059" s="87"/>
    </row>
    <row r="1060" spans="3:77" x14ac:dyDescent="0.3">
      <c r="C1060" s="90"/>
      <c r="D1060" s="87"/>
      <c r="E1060" s="91"/>
      <c r="F1060" s="92"/>
      <c r="G1060" s="93"/>
      <c r="H1060" s="93"/>
      <c r="I1060" s="93"/>
      <c r="J1060" s="93"/>
      <c r="K1060" s="93"/>
      <c r="L1060" s="93"/>
      <c r="M1060" s="93"/>
      <c r="N1060" s="93"/>
      <c r="O1060" s="93"/>
      <c r="P1060" s="93"/>
      <c r="Q1060" s="93"/>
      <c r="R1060" s="87"/>
      <c r="S1060" s="87"/>
      <c r="T1060" s="87"/>
      <c r="U1060" s="19"/>
      <c r="V1060" s="87"/>
      <c r="W1060" s="87"/>
      <c r="X1060" s="87"/>
      <c r="Y1060" s="87"/>
      <c r="Z1060" s="87"/>
      <c r="AA1060" s="87"/>
      <c r="AB1060" s="87"/>
      <c r="AC1060" s="87"/>
      <c r="AD1060" s="87"/>
      <c r="AE1060" s="87"/>
      <c r="AF1060" s="87"/>
      <c r="AG1060" s="87"/>
      <c r="AH1060" s="87"/>
      <c r="AI1060" s="87"/>
      <c r="AJ1060" s="87"/>
      <c r="AK1060" s="87"/>
      <c r="AL1060" s="87"/>
      <c r="AM1060" s="87"/>
      <c r="AN1060" s="87"/>
      <c r="AO1060" s="87"/>
      <c r="AP1060" s="87"/>
      <c r="AQ1060" s="87"/>
      <c r="AR1060" s="87"/>
      <c r="AS1060" s="87"/>
      <c r="AT1060" s="87"/>
      <c r="AU1060" s="87"/>
      <c r="AV1060" s="87"/>
      <c r="AW1060" s="87"/>
      <c r="AX1060" s="87"/>
      <c r="AY1060" s="87"/>
      <c r="AZ1060" s="87"/>
      <c r="BA1060" s="87"/>
      <c r="BB1060" s="87"/>
      <c r="BC1060" s="87"/>
      <c r="BD1060" s="87"/>
      <c r="BE1060" s="87"/>
      <c r="BF1060" s="87"/>
      <c r="BG1060" s="87"/>
      <c r="BH1060" s="87"/>
      <c r="BI1060" s="87"/>
      <c r="BJ1060" s="87"/>
      <c r="BK1060" s="87"/>
      <c r="BL1060" s="87"/>
      <c r="BM1060" s="87"/>
      <c r="BN1060" s="87"/>
      <c r="BO1060" s="87"/>
      <c r="BP1060" s="87"/>
      <c r="BQ1060" s="87"/>
      <c r="BR1060" s="87"/>
      <c r="BS1060" s="87"/>
      <c r="BT1060" s="87"/>
      <c r="BU1060" s="87"/>
      <c r="BV1060" s="87"/>
      <c r="BW1060" s="87"/>
      <c r="BX1060" s="87"/>
      <c r="BY1060" s="87"/>
    </row>
    <row r="1061" spans="3:77" x14ac:dyDescent="0.3">
      <c r="C1061" s="90"/>
      <c r="D1061" s="87"/>
      <c r="E1061" s="91"/>
      <c r="F1061" s="92"/>
      <c r="G1061" s="93"/>
      <c r="H1061" s="93"/>
      <c r="I1061" s="93"/>
      <c r="J1061" s="93"/>
      <c r="K1061" s="93"/>
      <c r="L1061" s="93"/>
      <c r="M1061" s="93"/>
      <c r="N1061" s="93"/>
      <c r="O1061" s="93"/>
      <c r="P1061" s="93"/>
      <c r="Q1061" s="93"/>
      <c r="R1061" s="87"/>
      <c r="S1061" s="87"/>
      <c r="T1061" s="87"/>
      <c r="U1061" s="19"/>
      <c r="V1061" s="87"/>
      <c r="W1061" s="87"/>
      <c r="X1061" s="87"/>
      <c r="Y1061" s="87"/>
      <c r="Z1061" s="87"/>
      <c r="AA1061" s="87"/>
      <c r="AB1061" s="87"/>
      <c r="AC1061" s="87"/>
      <c r="AD1061" s="87"/>
      <c r="AE1061" s="87"/>
      <c r="AF1061" s="87"/>
      <c r="AG1061" s="87"/>
      <c r="AH1061" s="87"/>
      <c r="AI1061" s="87"/>
      <c r="AJ1061" s="87"/>
      <c r="AK1061" s="87"/>
      <c r="AL1061" s="87"/>
      <c r="AM1061" s="87"/>
      <c r="AN1061" s="87"/>
      <c r="AO1061" s="87"/>
      <c r="AP1061" s="87"/>
      <c r="AQ1061" s="87"/>
      <c r="AR1061" s="87"/>
      <c r="AS1061" s="87"/>
      <c r="AT1061" s="87"/>
      <c r="AU1061" s="87"/>
      <c r="AV1061" s="87"/>
      <c r="AW1061" s="87"/>
      <c r="AX1061" s="87"/>
      <c r="AY1061" s="87"/>
      <c r="AZ1061" s="87"/>
      <c r="BA1061" s="87"/>
      <c r="BB1061" s="87"/>
      <c r="BC1061" s="87"/>
      <c r="BD1061" s="87"/>
      <c r="BE1061" s="87"/>
      <c r="BF1061" s="87"/>
      <c r="BG1061" s="87"/>
      <c r="BH1061" s="87"/>
      <c r="BI1061" s="87"/>
      <c r="BJ1061" s="87"/>
      <c r="BK1061" s="87"/>
      <c r="BL1061" s="87"/>
      <c r="BM1061" s="87"/>
      <c r="BN1061" s="87"/>
      <c r="BO1061" s="87"/>
      <c r="BP1061" s="87"/>
      <c r="BQ1061" s="87"/>
      <c r="BR1061" s="87"/>
      <c r="BS1061" s="87"/>
      <c r="BT1061" s="87"/>
      <c r="BU1061" s="87"/>
      <c r="BV1061" s="87"/>
      <c r="BW1061" s="87"/>
      <c r="BX1061" s="87"/>
      <c r="BY1061" s="87"/>
    </row>
    <row r="1062" spans="3:77" x14ac:dyDescent="0.3">
      <c r="C1062" s="90"/>
      <c r="D1062" s="87"/>
      <c r="E1062" s="91"/>
      <c r="F1062" s="92"/>
      <c r="G1062" s="93"/>
      <c r="H1062" s="93"/>
      <c r="I1062" s="93"/>
      <c r="J1062" s="93"/>
      <c r="K1062" s="93"/>
      <c r="L1062" s="93"/>
      <c r="M1062" s="93"/>
      <c r="N1062" s="93"/>
      <c r="O1062" s="93"/>
      <c r="P1062" s="93"/>
      <c r="Q1062" s="93"/>
      <c r="R1062" s="87"/>
      <c r="S1062" s="87"/>
      <c r="T1062" s="87"/>
      <c r="U1062" s="19"/>
      <c r="V1062" s="87"/>
      <c r="W1062" s="87"/>
      <c r="X1062" s="87"/>
      <c r="Y1062" s="87"/>
      <c r="Z1062" s="87"/>
      <c r="AA1062" s="87"/>
      <c r="AB1062" s="87"/>
      <c r="AC1062" s="87"/>
      <c r="AD1062" s="87"/>
      <c r="AE1062" s="87"/>
      <c r="AF1062" s="87"/>
      <c r="AG1062" s="87"/>
      <c r="AH1062" s="87"/>
      <c r="AI1062" s="87"/>
      <c r="AJ1062" s="87"/>
      <c r="AK1062" s="87"/>
      <c r="AL1062" s="87"/>
      <c r="AM1062" s="87"/>
      <c r="AN1062" s="87"/>
      <c r="AO1062" s="87"/>
      <c r="AP1062" s="87"/>
      <c r="AQ1062" s="87"/>
      <c r="AR1062" s="87"/>
      <c r="AS1062" s="87"/>
      <c r="AT1062" s="87"/>
      <c r="AU1062" s="87"/>
      <c r="AV1062" s="87"/>
      <c r="AW1062" s="87"/>
      <c r="AX1062" s="87"/>
      <c r="AY1062" s="87"/>
      <c r="AZ1062" s="87"/>
      <c r="BA1062" s="87"/>
      <c r="BB1062" s="87"/>
      <c r="BC1062" s="87"/>
      <c r="BD1062" s="87"/>
      <c r="BE1062" s="87"/>
      <c r="BF1062" s="87"/>
      <c r="BG1062" s="87"/>
      <c r="BH1062" s="87"/>
      <c r="BI1062" s="87"/>
      <c r="BJ1062" s="87"/>
      <c r="BK1062" s="87"/>
      <c r="BL1062" s="87"/>
      <c r="BM1062" s="87"/>
      <c r="BN1062" s="87"/>
      <c r="BO1062" s="87"/>
      <c r="BP1062" s="87"/>
      <c r="BQ1062" s="87"/>
      <c r="BR1062" s="87"/>
      <c r="BS1062" s="87"/>
      <c r="BT1062" s="87"/>
      <c r="BU1062" s="87"/>
      <c r="BV1062" s="87"/>
      <c r="BW1062" s="87"/>
      <c r="BX1062" s="87"/>
      <c r="BY1062" s="87"/>
    </row>
    <row r="1063" spans="3:77" x14ac:dyDescent="0.3">
      <c r="C1063" s="90"/>
      <c r="D1063" s="87"/>
      <c r="E1063" s="91"/>
      <c r="F1063" s="92"/>
      <c r="G1063" s="93"/>
      <c r="H1063" s="93"/>
      <c r="I1063" s="93"/>
      <c r="J1063" s="93"/>
      <c r="K1063" s="93"/>
      <c r="L1063" s="93"/>
      <c r="M1063" s="93"/>
      <c r="N1063" s="93"/>
      <c r="O1063" s="93"/>
      <c r="P1063" s="93"/>
      <c r="Q1063" s="93"/>
      <c r="R1063" s="87"/>
      <c r="S1063" s="87"/>
      <c r="T1063" s="87"/>
      <c r="U1063" s="19"/>
      <c r="V1063" s="87"/>
      <c r="W1063" s="87"/>
      <c r="X1063" s="87"/>
      <c r="Y1063" s="87"/>
      <c r="Z1063" s="87"/>
      <c r="AA1063" s="87"/>
      <c r="AB1063" s="87"/>
      <c r="AC1063" s="87"/>
      <c r="AD1063" s="87"/>
      <c r="AE1063" s="87"/>
      <c r="AF1063" s="87"/>
      <c r="AG1063" s="87"/>
      <c r="AH1063" s="87"/>
      <c r="AI1063" s="87"/>
      <c r="AJ1063" s="87"/>
      <c r="AK1063" s="87"/>
      <c r="AL1063" s="87"/>
      <c r="AM1063" s="87"/>
      <c r="AN1063" s="87"/>
      <c r="AO1063" s="87"/>
      <c r="AP1063" s="87"/>
      <c r="AQ1063" s="87"/>
      <c r="AR1063" s="87"/>
      <c r="AS1063" s="87"/>
      <c r="AT1063" s="87"/>
      <c r="AU1063" s="87"/>
      <c r="AV1063" s="87"/>
      <c r="AW1063" s="87"/>
      <c r="AX1063" s="87"/>
      <c r="AY1063" s="87"/>
      <c r="AZ1063" s="87"/>
      <c r="BA1063" s="87"/>
      <c r="BB1063" s="87"/>
      <c r="BC1063" s="87"/>
      <c r="BD1063" s="87"/>
      <c r="BE1063" s="87"/>
      <c r="BF1063" s="87"/>
      <c r="BG1063" s="87"/>
      <c r="BH1063" s="87"/>
      <c r="BI1063" s="87"/>
      <c r="BJ1063" s="87"/>
      <c r="BK1063" s="87"/>
      <c r="BL1063" s="87"/>
      <c r="BM1063" s="87"/>
      <c r="BN1063" s="87"/>
      <c r="BO1063" s="87"/>
      <c r="BP1063" s="87"/>
      <c r="BQ1063" s="87"/>
      <c r="BR1063" s="87"/>
      <c r="BS1063" s="87"/>
      <c r="BT1063" s="87"/>
      <c r="BU1063" s="87"/>
      <c r="BV1063" s="87"/>
      <c r="BW1063" s="87"/>
      <c r="BX1063" s="87"/>
      <c r="BY1063" s="87"/>
    </row>
    <row r="1064" spans="3:77" x14ac:dyDescent="0.3">
      <c r="C1064" s="90"/>
      <c r="D1064" s="87"/>
      <c r="E1064" s="91"/>
      <c r="F1064" s="92"/>
      <c r="G1064" s="93"/>
      <c r="H1064" s="93"/>
      <c r="I1064" s="93"/>
      <c r="J1064" s="93"/>
      <c r="K1064" s="93"/>
      <c r="L1064" s="93"/>
      <c r="M1064" s="93"/>
      <c r="N1064" s="93"/>
      <c r="O1064" s="93"/>
      <c r="P1064" s="93"/>
      <c r="Q1064" s="93"/>
      <c r="R1064" s="87"/>
      <c r="S1064" s="87"/>
      <c r="T1064" s="87"/>
      <c r="U1064" s="19"/>
      <c r="V1064" s="87"/>
      <c r="W1064" s="87"/>
      <c r="X1064" s="87"/>
      <c r="Y1064" s="87"/>
      <c r="Z1064" s="87"/>
      <c r="AA1064" s="87"/>
      <c r="AB1064" s="87"/>
      <c r="AC1064" s="87"/>
      <c r="AD1064" s="87"/>
      <c r="AE1064" s="87"/>
      <c r="AF1064" s="87"/>
      <c r="AG1064" s="87"/>
      <c r="AH1064" s="87"/>
      <c r="AI1064" s="87"/>
      <c r="AJ1064" s="87"/>
      <c r="AK1064" s="87"/>
      <c r="AL1064" s="87"/>
      <c r="AM1064" s="87"/>
      <c r="AN1064" s="87"/>
      <c r="AO1064" s="87"/>
      <c r="AP1064" s="87"/>
      <c r="AQ1064" s="87"/>
      <c r="AR1064" s="87"/>
      <c r="AS1064" s="87"/>
      <c r="AT1064" s="87"/>
      <c r="AU1064" s="87"/>
      <c r="AV1064" s="87"/>
      <c r="AW1064" s="87"/>
      <c r="AX1064" s="87"/>
      <c r="AY1064" s="87"/>
      <c r="AZ1064" s="87"/>
      <c r="BA1064" s="87"/>
      <c r="BB1064" s="87"/>
      <c r="BC1064" s="87"/>
      <c r="BD1064" s="87"/>
      <c r="BE1064" s="87"/>
      <c r="BF1064" s="87"/>
      <c r="BG1064" s="87"/>
      <c r="BH1064" s="87"/>
      <c r="BI1064" s="87"/>
      <c r="BJ1064" s="87"/>
      <c r="BK1064" s="87"/>
      <c r="BL1064" s="87"/>
      <c r="BM1064" s="87"/>
      <c r="BN1064" s="87"/>
      <c r="BO1064" s="87"/>
      <c r="BP1064" s="87"/>
      <c r="BQ1064" s="87"/>
      <c r="BR1064" s="87"/>
      <c r="BS1064" s="87"/>
      <c r="BT1064" s="87"/>
      <c r="BU1064" s="87"/>
      <c r="BV1064" s="87"/>
      <c r="BW1064" s="87"/>
      <c r="BX1064" s="87"/>
      <c r="BY1064" s="87"/>
    </row>
    <row r="1065" spans="3:77" x14ac:dyDescent="0.3">
      <c r="C1065" s="90"/>
      <c r="D1065" s="87"/>
      <c r="E1065" s="91"/>
      <c r="F1065" s="92"/>
      <c r="G1065" s="93"/>
      <c r="H1065" s="93"/>
      <c r="I1065" s="93"/>
      <c r="J1065" s="93"/>
      <c r="K1065" s="93"/>
      <c r="L1065" s="93"/>
      <c r="M1065" s="93"/>
      <c r="N1065" s="93"/>
      <c r="O1065" s="93"/>
      <c r="P1065" s="93"/>
      <c r="Q1065" s="93"/>
      <c r="R1065" s="87"/>
      <c r="S1065" s="87"/>
      <c r="T1065" s="87"/>
      <c r="U1065" s="19"/>
      <c r="V1065" s="87"/>
      <c r="W1065" s="87"/>
      <c r="X1065" s="87"/>
      <c r="Y1065" s="87"/>
      <c r="Z1065" s="87"/>
      <c r="AA1065" s="87"/>
      <c r="AB1065" s="87"/>
      <c r="AC1065" s="87"/>
      <c r="AD1065" s="87"/>
      <c r="AE1065" s="87"/>
      <c r="AF1065" s="87"/>
      <c r="AG1065" s="87"/>
      <c r="AH1065" s="87"/>
      <c r="AI1065" s="87"/>
      <c r="AJ1065" s="87"/>
      <c r="AK1065" s="87"/>
      <c r="AL1065" s="87"/>
      <c r="AM1065" s="87"/>
      <c r="AN1065" s="87"/>
      <c r="AO1065" s="87"/>
      <c r="AP1065" s="87"/>
      <c r="AQ1065" s="87"/>
      <c r="AR1065" s="87"/>
      <c r="AS1065" s="87"/>
      <c r="AT1065" s="87"/>
      <c r="AU1065" s="87"/>
      <c r="AV1065" s="87"/>
      <c r="AW1065" s="87"/>
      <c r="AX1065" s="87"/>
      <c r="AY1065" s="87"/>
      <c r="AZ1065" s="87"/>
      <c r="BA1065" s="87"/>
      <c r="BB1065" s="87"/>
      <c r="BC1065" s="87"/>
      <c r="BD1065" s="87"/>
      <c r="BE1065" s="87"/>
      <c r="BF1065" s="87"/>
      <c r="BG1065" s="87"/>
      <c r="BH1065" s="87"/>
      <c r="BI1065" s="87"/>
      <c r="BJ1065" s="87"/>
      <c r="BK1065" s="87"/>
      <c r="BL1065" s="87"/>
      <c r="BM1065" s="87"/>
      <c r="BN1065" s="87"/>
      <c r="BO1065" s="87"/>
      <c r="BP1065" s="87"/>
      <c r="BQ1065" s="87"/>
      <c r="BR1065" s="87"/>
      <c r="BS1065" s="87"/>
      <c r="BT1065" s="87"/>
      <c r="BU1065" s="87"/>
      <c r="BV1065" s="87"/>
      <c r="BW1065" s="87"/>
      <c r="BX1065" s="87"/>
      <c r="BY1065" s="87"/>
    </row>
    <row r="1066" spans="3:77" x14ac:dyDescent="0.3">
      <c r="C1066" s="90"/>
      <c r="D1066" s="87"/>
      <c r="E1066" s="91"/>
      <c r="F1066" s="92"/>
      <c r="G1066" s="93"/>
      <c r="H1066" s="93"/>
      <c r="I1066" s="93"/>
      <c r="J1066" s="93"/>
      <c r="K1066" s="93"/>
      <c r="L1066" s="93"/>
      <c r="M1066" s="93"/>
      <c r="N1066" s="93"/>
      <c r="O1066" s="93"/>
      <c r="P1066" s="93"/>
      <c r="Q1066" s="93"/>
      <c r="R1066" s="87"/>
      <c r="S1066" s="87"/>
      <c r="T1066" s="87"/>
      <c r="U1066" s="19"/>
      <c r="V1066" s="87"/>
      <c r="W1066" s="87"/>
      <c r="X1066" s="87"/>
      <c r="Y1066" s="87"/>
      <c r="Z1066" s="87"/>
      <c r="AA1066" s="87"/>
      <c r="AB1066" s="87"/>
      <c r="AC1066" s="87"/>
      <c r="AD1066" s="87"/>
      <c r="AE1066" s="87"/>
      <c r="AF1066" s="87"/>
      <c r="AG1066" s="87"/>
      <c r="AH1066" s="87"/>
      <c r="AI1066" s="87"/>
      <c r="AJ1066" s="87"/>
      <c r="AK1066" s="87"/>
      <c r="AL1066" s="87"/>
      <c r="AM1066" s="87"/>
      <c r="AN1066" s="87"/>
      <c r="AO1066" s="87"/>
      <c r="AP1066" s="87"/>
      <c r="AQ1066" s="87"/>
      <c r="AR1066" s="87"/>
      <c r="AS1066" s="87"/>
      <c r="AT1066" s="87"/>
      <c r="AU1066" s="87"/>
      <c r="AV1066" s="87"/>
      <c r="AW1066" s="87"/>
      <c r="AX1066" s="87"/>
      <c r="AY1066" s="87"/>
      <c r="AZ1066" s="87"/>
      <c r="BA1066" s="87"/>
      <c r="BB1066" s="87"/>
      <c r="BC1066" s="87"/>
      <c r="BD1066" s="87"/>
      <c r="BE1066" s="87"/>
      <c r="BF1066" s="87"/>
      <c r="BG1066" s="87"/>
      <c r="BH1066" s="87"/>
      <c r="BI1066" s="87"/>
      <c r="BJ1066" s="87"/>
      <c r="BK1066" s="87"/>
      <c r="BL1066" s="87"/>
      <c r="BM1066" s="87"/>
      <c r="BN1066" s="87"/>
      <c r="BO1066" s="87"/>
      <c r="BP1066" s="87"/>
      <c r="BQ1066" s="87"/>
      <c r="BR1066" s="87"/>
      <c r="BS1066" s="87"/>
      <c r="BT1066" s="87"/>
      <c r="BU1066" s="87"/>
      <c r="BV1066" s="87"/>
      <c r="BW1066" s="87"/>
      <c r="BX1066" s="87"/>
      <c r="BY1066" s="87"/>
    </row>
    <row r="1067" spans="3:77" x14ac:dyDescent="0.3">
      <c r="C1067" s="90"/>
      <c r="D1067" s="87"/>
      <c r="E1067" s="91"/>
      <c r="F1067" s="92"/>
      <c r="G1067" s="93"/>
      <c r="H1067" s="93"/>
      <c r="I1067" s="93"/>
      <c r="J1067" s="93"/>
      <c r="K1067" s="93"/>
      <c r="L1067" s="93"/>
      <c r="M1067" s="93"/>
      <c r="N1067" s="93"/>
      <c r="O1067" s="93"/>
      <c r="P1067" s="93"/>
      <c r="Q1067" s="93"/>
      <c r="R1067" s="87"/>
      <c r="S1067" s="87"/>
      <c r="T1067" s="87"/>
      <c r="U1067" s="19"/>
      <c r="V1067" s="87"/>
      <c r="W1067" s="87"/>
      <c r="X1067" s="87"/>
      <c r="Y1067" s="87"/>
      <c r="Z1067" s="87"/>
      <c r="AA1067" s="87"/>
      <c r="AB1067" s="87"/>
      <c r="AC1067" s="87"/>
      <c r="AD1067" s="87"/>
      <c r="AE1067" s="87"/>
      <c r="AF1067" s="87"/>
      <c r="AG1067" s="87"/>
      <c r="AH1067" s="87"/>
      <c r="AI1067" s="87"/>
      <c r="AJ1067" s="87"/>
      <c r="AK1067" s="87"/>
      <c r="AL1067" s="87"/>
      <c r="AM1067" s="87"/>
      <c r="AN1067" s="87"/>
      <c r="AO1067" s="87"/>
      <c r="AP1067" s="87"/>
      <c r="AQ1067" s="87"/>
      <c r="AR1067" s="87"/>
      <c r="AS1067" s="87"/>
      <c r="AT1067" s="87"/>
      <c r="AU1067" s="87"/>
      <c r="AV1067" s="87"/>
      <c r="AW1067" s="87"/>
      <c r="AX1067" s="87"/>
      <c r="AY1067" s="87"/>
      <c r="AZ1067" s="87"/>
      <c r="BA1067" s="87"/>
      <c r="BB1067" s="87"/>
      <c r="BC1067" s="87"/>
      <c r="BD1067" s="87"/>
      <c r="BE1067" s="87"/>
      <c r="BF1067" s="87"/>
      <c r="BG1067" s="87"/>
      <c r="BH1067" s="87"/>
      <c r="BI1067" s="87"/>
      <c r="BJ1067" s="87"/>
      <c r="BK1067" s="87"/>
      <c r="BL1067" s="87"/>
      <c r="BM1067" s="87"/>
      <c r="BN1067" s="87"/>
      <c r="BO1067" s="87"/>
      <c r="BP1067" s="87"/>
      <c r="BQ1067" s="87"/>
      <c r="BR1067" s="87"/>
      <c r="BS1067" s="87"/>
      <c r="BT1067" s="87"/>
      <c r="BU1067" s="87"/>
      <c r="BV1067" s="87"/>
      <c r="BW1067" s="87"/>
      <c r="BX1067" s="87"/>
      <c r="BY1067" s="87"/>
    </row>
    <row r="1068" spans="3:77" x14ac:dyDescent="0.3">
      <c r="C1068" s="90"/>
      <c r="D1068" s="87"/>
      <c r="E1068" s="91"/>
      <c r="F1068" s="92"/>
      <c r="G1068" s="93"/>
      <c r="H1068" s="93"/>
      <c r="I1068" s="93"/>
      <c r="J1068" s="93"/>
      <c r="K1068" s="93"/>
      <c r="L1068" s="93"/>
      <c r="M1068" s="93"/>
      <c r="N1068" s="93"/>
      <c r="O1068" s="93"/>
      <c r="P1068" s="93"/>
      <c r="Q1068" s="93"/>
      <c r="R1068" s="87"/>
      <c r="S1068" s="87"/>
      <c r="T1068" s="87"/>
      <c r="U1068" s="19"/>
      <c r="V1068" s="87"/>
      <c r="W1068" s="87"/>
      <c r="X1068" s="87"/>
      <c r="Y1068" s="87"/>
      <c r="Z1068" s="87"/>
      <c r="AA1068" s="87"/>
      <c r="AB1068" s="87"/>
      <c r="AC1068" s="87"/>
      <c r="AD1068" s="87"/>
      <c r="AE1068" s="87"/>
      <c r="AF1068" s="87"/>
      <c r="AG1068" s="87"/>
      <c r="AH1068" s="87"/>
      <c r="AI1068" s="87"/>
      <c r="AJ1068" s="87"/>
      <c r="AK1068" s="87"/>
      <c r="AL1068" s="87"/>
      <c r="AM1068" s="87"/>
      <c r="AN1068" s="87"/>
      <c r="AO1068" s="87"/>
      <c r="AP1068" s="87"/>
      <c r="AQ1068" s="87"/>
      <c r="AR1068" s="87"/>
      <c r="AS1068" s="87"/>
      <c r="AT1068" s="87"/>
      <c r="AU1068" s="87"/>
      <c r="AV1068" s="87"/>
      <c r="AW1068" s="87"/>
      <c r="AX1068" s="87"/>
      <c r="AY1068" s="87"/>
      <c r="AZ1068" s="87"/>
      <c r="BA1068" s="87"/>
      <c r="BB1068" s="87"/>
      <c r="BC1068" s="87"/>
      <c r="BD1068" s="87"/>
      <c r="BE1068" s="87"/>
      <c r="BF1068" s="87"/>
      <c r="BG1068" s="87"/>
      <c r="BH1068" s="87"/>
      <c r="BI1068" s="87"/>
      <c r="BJ1068" s="87"/>
      <c r="BK1068" s="87"/>
      <c r="BL1068" s="87"/>
      <c r="BM1068" s="87"/>
      <c r="BN1068" s="87"/>
      <c r="BO1068" s="87"/>
      <c r="BP1068" s="87"/>
      <c r="BQ1068" s="87"/>
      <c r="BR1068" s="87"/>
      <c r="BS1068" s="87"/>
      <c r="BT1068" s="87"/>
      <c r="BU1068" s="87"/>
      <c r="BV1068" s="87"/>
      <c r="BW1068" s="87"/>
      <c r="BX1068" s="87"/>
      <c r="BY1068" s="87"/>
    </row>
    <row r="1069" spans="3:77" x14ac:dyDescent="0.3">
      <c r="C1069" s="90"/>
      <c r="D1069" s="87"/>
      <c r="E1069" s="91"/>
      <c r="F1069" s="92"/>
      <c r="G1069" s="93"/>
      <c r="H1069" s="93"/>
      <c r="I1069" s="93"/>
      <c r="J1069" s="93"/>
      <c r="K1069" s="93"/>
      <c r="L1069" s="93"/>
      <c r="M1069" s="93"/>
      <c r="N1069" s="93"/>
      <c r="O1069" s="93"/>
      <c r="P1069" s="93"/>
      <c r="Q1069" s="93"/>
      <c r="R1069" s="87"/>
      <c r="S1069" s="87"/>
      <c r="T1069" s="87"/>
      <c r="U1069" s="19"/>
      <c r="V1069" s="87"/>
      <c r="W1069" s="87"/>
      <c r="X1069" s="87"/>
      <c r="Y1069" s="87"/>
      <c r="Z1069" s="87"/>
      <c r="AA1069" s="87"/>
      <c r="AB1069" s="87"/>
      <c r="AC1069" s="87"/>
      <c r="AD1069" s="87"/>
      <c r="AE1069" s="87"/>
      <c r="AF1069" s="87"/>
      <c r="AG1069" s="87"/>
      <c r="AH1069" s="87"/>
      <c r="AI1069" s="87"/>
      <c r="AJ1069" s="87"/>
      <c r="AK1069" s="87"/>
      <c r="AL1069" s="87"/>
      <c r="AM1069" s="87"/>
      <c r="AN1069" s="87"/>
      <c r="AO1069" s="87"/>
      <c r="AP1069" s="87"/>
      <c r="AQ1069" s="87"/>
      <c r="AR1069" s="87"/>
      <c r="AS1069" s="87"/>
      <c r="AT1069" s="87"/>
      <c r="AU1069" s="87"/>
      <c r="AV1069" s="87"/>
      <c r="AW1069" s="87"/>
      <c r="AX1069" s="87"/>
      <c r="AY1069" s="87"/>
      <c r="AZ1069" s="87"/>
      <c r="BA1069" s="87"/>
      <c r="BB1069" s="87"/>
      <c r="BC1069" s="87"/>
      <c r="BD1069" s="87"/>
      <c r="BE1069" s="87"/>
      <c r="BF1069" s="87"/>
      <c r="BG1069" s="87"/>
      <c r="BH1069" s="87"/>
      <c r="BI1069" s="87"/>
      <c r="BJ1069" s="87"/>
      <c r="BK1069" s="87"/>
      <c r="BL1069" s="87"/>
      <c r="BM1069" s="87"/>
      <c r="BN1069" s="87"/>
      <c r="BO1069" s="87"/>
      <c r="BP1069" s="87"/>
      <c r="BQ1069" s="87"/>
      <c r="BR1069" s="87"/>
      <c r="BS1069" s="87"/>
      <c r="BT1069" s="87"/>
      <c r="BU1069" s="87"/>
      <c r="BV1069" s="87"/>
      <c r="BW1069" s="87"/>
      <c r="BX1069" s="87"/>
      <c r="BY1069" s="87"/>
    </row>
    <row r="1070" spans="3:77" x14ac:dyDescent="0.3">
      <c r="C1070" s="90"/>
      <c r="D1070" s="87"/>
      <c r="E1070" s="91"/>
      <c r="F1070" s="92"/>
      <c r="G1070" s="93"/>
      <c r="H1070" s="93"/>
      <c r="I1070" s="93"/>
      <c r="J1070" s="93"/>
      <c r="K1070" s="93"/>
      <c r="L1070" s="93"/>
      <c r="M1070" s="93"/>
      <c r="N1070" s="93"/>
      <c r="O1070" s="93"/>
      <c r="P1070" s="93"/>
      <c r="Q1070" s="93"/>
      <c r="R1070" s="87"/>
      <c r="S1070" s="87"/>
      <c r="T1070" s="87"/>
      <c r="U1070" s="19"/>
      <c r="V1070" s="87"/>
      <c r="W1070" s="87"/>
      <c r="X1070" s="87"/>
      <c r="Y1070" s="87"/>
      <c r="Z1070" s="87"/>
      <c r="AA1070" s="87"/>
      <c r="AB1070" s="87"/>
      <c r="AC1070" s="87"/>
      <c r="AD1070" s="87"/>
      <c r="AE1070" s="87"/>
      <c r="AF1070" s="87"/>
      <c r="AG1070" s="87"/>
      <c r="AH1070" s="87"/>
      <c r="AI1070" s="87"/>
      <c r="AJ1070" s="87"/>
      <c r="AK1070" s="87"/>
      <c r="AL1070" s="87"/>
      <c r="AM1070" s="87"/>
      <c r="AN1070" s="87"/>
      <c r="AO1070" s="87"/>
      <c r="AP1070" s="87"/>
      <c r="AQ1070" s="87"/>
      <c r="AR1070" s="87"/>
      <c r="AS1070" s="87"/>
      <c r="AT1070" s="87"/>
      <c r="AU1070" s="87"/>
      <c r="AV1070" s="87"/>
      <c r="AW1070" s="87"/>
      <c r="AX1070" s="87"/>
      <c r="AY1070" s="87"/>
      <c r="AZ1070" s="87"/>
      <c r="BA1070" s="87"/>
      <c r="BB1070" s="87"/>
      <c r="BC1070" s="87"/>
      <c r="BD1070" s="87"/>
      <c r="BE1070" s="87"/>
      <c r="BF1070" s="87"/>
      <c r="BG1070" s="87"/>
      <c r="BH1070" s="87"/>
      <c r="BI1070" s="87"/>
      <c r="BJ1070" s="87"/>
      <c r="BK1070" s="87"/>
      <c r="BL1070" s="87"/>
      <c r="BM1070" s="87"/>
      <c r="BN1070" s="87"/>
      <c r="BO1070" s="87"/>
      <c r="BP1070" s="87"/>
      <c r="BQ1070" s="87"/>
      <c r="BR1070" s="87"/>
      <c r="BS1070" s="87"/>
      <c r="BT1070" s="87"/>
      <c r="BU1070" s="87"/>
      <c r="BV1070" s="87"/>
      <c r="BW1070" s="87"/>
      <c r="BX1070" s="87"/>
      <c r="BY1070" s="87"/>
    </row>
    <row r="1071" spans="3:77" x14ac:dyDescent="0.3">
      <c r="C1071" s="90"/>
      <c r="D1071" s="87"/>
      <c r="E1071" s="91"/>
      <c r="F1071" s="92"/>
      <c r="G1071" s="93"/>
      <c r="H1071" s="93"/>
      <c r="I1071" s="93"/>
      <c r="J1071" s="93"/>
      <c r="K1071" s="93"/>
      <c r="L1071" s="93"/>
      <c r="M1071" s="93"/>
      <c r="N1071" s="93"/>
      <c r="O1071" s="93"/>
      <c r="P1071" s="93"/>
      <c r="Q1071" s="93"/>
      <c r="R1071" s="87"/>
      <c r="S1071" s="87"/>
      <c r="T1071" s="87"/>
      <c r="U1071" s="19"/>
      <c r="V1071" s="87"/>
      <c r="W1071" s="87"/>
      <c r="X1071" s="87"/>
      <c r="Y1071" s="87"/>
      <c r="Z1071" s="87"/>
      <c r="AA1071" s="87"/>
      <c r="AB1071" s="87"/>
      <c r="AC1071" s="87"/>
      <c r="AD1071" s="87"/>
      <c r="AE1071" s="87"/>
      <c r="AF1071" s="87"/>
      <c r="AG1071" s="87"/>
      <c r="AH1071" s="87"/>
      <c r="AI1071" s="87"/>
      <c r="AJ1071" s="87"/>
      <c r="AK1071" s="87"/>
      <c r="AL1071" s="87"/>
      <c r="AM1071" s="87"/>
      <c r="AN1071" s="87"/>
      <c r="AO1071" s="87"/>
      <c r="AP1071" s="87"/>
      <c r="AQ1071" s="87"/>
      <c r="AR1071" s="87"/>
      <c r="AS1071" s="87"/>
      <c r="AT1071" s="87"/>
      <c r="AU1071" s="87"/>
      <c r="AV1071" s="87"/>
      <c r="AW1071" s="87"/>
      <c r="AX1071" s="87"/>
      <c r="AY1071" s="87"/>
      <c r="AZ1071" s="87"/>
      <c r="BA1071" s="87"/>
      <c r="BB1071" s="87"/>
      <c r="BC1071" s="87"/>
      <c r="BD1071" s="87"/>
      <c r="BE1071" s="87"/>
      <c r="BF1071" s="87"/>
      <c r="BG1071" s="87"/>
      <c r="BH1071" s="87"/>
      <c r="BI1071" s="87"/>
      <c r="BJ1071" s="87"/>
      <c r="BK1071" s="87"/>
      <c r="BL1071" s="87"/>
      <c r="BM1071" s="87"/>
      <c r="BN1071" s="87"/>
      <c r="BO1071" s="87"/>
      <c r="BP1071" s="87"/>
      <c r="BQ1071" s="87"/>
      <c r="BR1071" s="87"/>
      <c r="BS1071" s="87"/>
      <c r="BT1071" s="87"/>
      <c r="BU1071" s="87"/>
      <c r="BV1071" s="87"/>
      <c r="BW1071" s="87"/>
      <c r="BX1071" s="87"/>
      <c r="BY1071" s="87"/>
    </row>
    <row r="1072" spans="3:77" x14ac:dyDescent="0.3">
      <c r="C1072" s="90"/>
      <c r="D1072" s="87"/>
      <c r="E1072" s="91"/>
      <c r="F1072" s="92"/>
      <c r="G1072" s="93"/>
      <c r="H1072" s="93"/>
      <c r="I1072" s="93"/>
      <c r="J1072" s="93"/>
      <c r="K1072" s="93"/>
      <c r="L1072" s="93"/>
      <c r="M1072" s="93"/>
      <c r="N1072" s="93"/>
      <c r="O1072" s="93"/>
      <c r="P1072" s="93"/>
      <c r="Q1072" s="93"/>
      <c r="R1072" s="87"/>
      <c r="S1072" s="87"/>
      <c r="T1072" s="87"/>
      <c r="U1072" s="19"/>
      <c r="V1072" s="87"/>
      <c r="W1072" s="87"/>
      <c r="X1072" s="87"/>
      <c r="Y1072" s="87"/>
      <c r="Z1072" s="87"/>
      <c r="AA1072" s="87"/>
      <c r="AB1072" s="87"/>
      <c r="AC1072" s="87"/>
      <c r="AD1072" s="87"/>
      <c r="AE1072" s="87"/>
      <c r="AF1072" s="87"/>
      <c r="AG1072" s="87"/>
      <c r="AH1072" s="87"/>
      <c r="AI1072" s="87"/>
      <c r="AJ1072" s="87"/>
      <c r="AK1072" s="87"/>
      <c r="AL1072" s="87"/>
      <c r="AM1072" s="87"/>
      <c r="AN1072" s="87"/>
      <c r="AO1072" s="87"/>
      <c r="AP1072" s="87"/>
      <c r="AQ1072" s="87"/>
      <c r="AR1072" s="87"/>
      <c r="AS1072" s="87"/>
      <c r="AT1072" s="87"/>
      <c r="AU1072" s="87"/>
      <c r="AV1072" s="87"/>
      <c r="AW1072" s="87"/>
      <c r="AX1072" s="87"/>
      <c r="AY1072" s="87"/>
      <c r="AZ1072" s="87"/>
      <c r="BA1072" s="87"/>
      <c r="BB1072" s="87"/>
      <c r="BC1072" s="87"/>
      <c r="BD1072" s="87"/>
      <c r="BE1072" s="87"/>
      <c r="BF1072" s="87"/>
      <c r="BG1072" s="87"/>
      <c r="BH1072" s="87"/>
      <c r="BI1072" s="87"/>
      <c r="BJ1072" s="87"/>
      <c r="BK1072" s="87"/>
      <c r="BL1072" s="87"/>
      <c r="BM1072" s="87"/>
      <c r="BN1072" s="87"/>
      <c r="BO1072" s="87"/>
      <c r="BP1072" s="87"/>
      <c r="BQ1072" s="87"/>
      <c r="BR1072" s="87"/>
      <c r="BS1072" s="87"/>
      <c r="BT1072" s="87"/>
      <c r="BU1072" s="87"/>
      <c r="BV1072" s="87"/>
      <c r="BW1072" s="87"/>
      <c r="BX1072" s="87"/>
      <c r="BY1072" s="87"/>
    </row>
    <row r="1073" spans="3:77" x14ac:dyDescent="0.3">
      <c r="C1073" s="90"/>
      <c r="D1073" s="87"/>
      <c r="E1073" s="91"/>
      <c r="F1073" s="92"/>
      <c r="G1073" s="93"/>
      <c r="H1073" s="93"/>
      <c r="I1073" s="93"/>
      <c r="J1073" s="93"/>
      <c r="K1073" s="93"/>
      <c r="L1073" s="93"/>
      <c r="M1073" s="93"/>
      <c r="N1073" s="93"/>
      <c r="O1073" s="93"/>
      <c r="P1073" s="93"/>
      <c r="Q1073" s="93"/>
      <c r="R1073" s="87"/>
      <c r="S1073" s="87"/>
      <c r="T1073" s="87"/>
      <c r="U1073" s="19"/>
      <c r="V1073" s="87"/>
      <c r="W1073" s="87"/>
      <c r="X1073" s="87"/>
      <c r="Y1073" s="87"/>
      <c r="Z1073" s="87"/>
      <c r="AA1073" s="87"/>
      <c r="AB1073" s="87"/>
      <c r="AC1073" s="87"/>
      <c r="AD1073" s="87"/>
      <c r="AE1073" s="87"/>
      <c r="AF1073" s="87"/>
      <c r="AG1073" s="87"/>
      <c r="AH1073" s="87"/>
      <c r="AI1073" s="87"/>
      <c r="AJ1073" s="87"/>
      <c r="AK1073" s="87"/>
      <c r="AL1073" s="87"/>
      <c r="AM1073" s="87"/>
      <c r="AN1073" s="87"/>
      <c r="AO1073" s="87"/>
      <c r="AP1073" s="87"/>
      <c r="AQ1073" s="87"/>
      <c r="AR1073" s="87"/>
      <c r="AS1073" s="87"/>
      <c r="AT1073" s="87"/>
      <c r="AU1073" s="87"/>
      <c r="AV1073" s="87"/>
      <c r="AW1073" s="87"/>
      <c r="AX1073" s="87"/>
      <c r="AY1073" s="87"/>
      <c r="AZ1073" s="87"/>
      <c r="BA1073" s="87"/>
      <c r="BB1073" s="87"/>
      <c r="BC1073" s="87"/>
      <c r="BD1073" s="87"/>
      <c r="BE1073" s="87"/>
      <c r="BF1073" s="87"/>
      <c r="BG1073" s="87"/>
      <c r="BH1073" s="87"/>
      <c r="BI1073" s="87"/>
      <c r="BJ1073" s="87"/>
      <c r="BK1073" s="87"/>
      <c r="BL1073" s="87"/>
      <c r="BM1073" s="87"/>
      <c r="BN1073" s="87"/>
      <c r="BO1073" s="87"/>
      <c r="BP1073" s="87"/>
      <c r="BQ1073" s="87"/>
      <c r="BR1073" s="87"/>
      <c r="BS1073" s="87"/>
      <c r="BT1073" s="87"/>
      <c r="BU1073" s="87"/>
      <c r="BV1073" s="87"/>
      <c r="BW1073" s="87"/>
      <c r="BX1073" s="87"/>
      <c r="BY1073" s="87"/>
    </row>
    <row r="1074" spans="3:77" x14ac:dyDescent="0.3">
      <c r="C1074" s="90"/>
      <c r="D1074" s="87"/>
      <c r="E1074" s="91"/>
      <c r="F1074" s="92"/>
      <c r="G1074" s="93"/>
      <c r="H1074" s="93"/>
      <c r="I1074" s="93"/>
      <c r="J1074" s="93"/>
      <c r="K1074" s="93"/>
      <c r="L1074" s="93"/>
      <c r="M1074" s="93"/>
      <c r="N1074" s="93"/>
      <c r="O1074" s="93"/>
      <c r="P1074" s="93"/>
      <c r="Q1074" s="93"/>
      <c r="R1074" s="87"/>
      <c r="S1074" s="87"/>
      <c r="T1074" s="87"/>
      <c r="U1074" s="19"/>
      <c r="V1074" s="87"/>
      <c r="W1074" s="87"/>
      <c r="X1074" s="87"/>
      <c r="Y1074" s="87"/>
      <c r="Z1074" s="87"/>
      <c r="AA1074" s="87"/>
      <c r="AB1074" s="87"/>
      <c r="AC1074" s="87"/>
      <c r="AD1074" s="87"/>
      <c r="AE1074" s="87"/>
      <c r="AF1074" s="87"/>
      <c r="AG1074" s="87"/>
      <c r="AH1074" s="87"/>
      <c r="AI1074" s="87"/>
      <c r="AJ1074" s="87"/>
      <c r="AK1074" s="87"/>
      <c r="AL1074" s="87"/>
      <c r="AM1074" s="87"/>
      <c r="AN1074" s="87"/>
      <c r="AO1074" s="87"/>
      <c r="AP1074" s="87"/>
      <c r="AQ1074" s="87"/>
      <c r="AR1074" s="87"/>
      <c r="AS1074" s="87"/>
      <c r="AT1074" s="87"/>
      <c r="AU1074" s="87"/>
      <c r="AV1074" s="87"/>
      <c r="AW1074" s="87"/>
      <c r="AX1074" s="87"/>
      <c r="AY1074" s="87"/>
      <c r="AZ1074" s="87"/>
      <c r="BA1074" s="87"/>
      <c r="BB1074" s="87"/>
      <c r="BC1074" s="87"/>
      <c r="BD1074" s="87"/>
      <c r="BE1074" s="87"/>
      <c r="BF1074" s="87"/>
      <c r="BG1074" s="87"/>
      <c r="BH1074" s="87"/>
      <c r="BI1074" s="87"/>
      <c r="BJ1074" s="87"/>
      <c r="BK1074" s="87"/>
      <c r="BL1074" s="87"/>
      <c r="BM1074" s="87"/>
      <c r="BN1074" s="87"/>
      <c r="BO1074" s="87"/>
      <c r="BP1074" s="87"/>
      <c r="BQ1074" s="87"/>
      <c r="BR1074" s="87"/>
      <c r="BS1074" s="87"/>
      <c r="BT1074" s="87"/>
      <c r="BU1074" s="87"/>
      <c r="BV1074" s="87"/>
      <c r="BW1074" s="87"/>
      <c r="BX1074" s="87"/>
      <c r="BY1074" s="87"/>
    </row>
    <row r="1075" spans="3:77" x14ac:dyDescent="0.3">
      <c r="C1075" s="90"/>
      <c r="D1075" s="87"/>
      <c r="E1075" s="91"/>
      <c r="F1075" s="92"/>
      <c r="G1075" s="93"/>
      <c r="H1075" s="93"/>
      <c r="I1075" s="93"/>
      <c r="J1075" s="93"/>
      <c r="K1075" s="93"/>
      <c r="L1075" s="93"/>
      <c r="M1075" s="93"/>
      <c r="N1075" s="93"/>
      <c r="O1075" s="93"/>
      <c r="P1075" s="93"/>
      <c r="Q1075" s="93"/>
      <c r="R1075" s="87"/>
      <c r="S1075" s="87"/>
      <c r="T1075" s="87"/>
      <c r="U1075" s="19"/>
      <c r="V1075" s="87"/>
      <c r="W1075" s="87"/>
      <c r="X1075" s="87"/>
      <c r="Y1075" s="87"/>
      <c r="Z1075" s="87"/>
      <c r="AA1075" s="87"/>
      <c r="AB1075" s="87"/>
      <c r="AC1075" s="87"/>
      <c r="AD1075" s="87"/>
      <c r="AE1075" s="87"/>
      <c r="AF1075" s="87"/>
      <c r="AG1075" s="87"/>
      <c r="AH1075" s="87"/>
      <c r="AI1075" s="87"/>
      <c r="AJ1075" s="87"/>
      <c r="AK1075" s="87"/>
      <c r="AL1075" s="87"/>
      <c r="AM1075" s="87"/>
      <c r="AN1075" s="87"/>
      <c r="AO1075" s="87"/>
      <c r="AP1075" s="87"/>
      <c r="AQ1075" s="87"/>
      <c r="AR1075" s="87"/>
      <c r="AS1075" s="87"/>
      <c r="AT1075" s="87"/>
      <c r="AU1075" s="87"/>
      <c r="AV1075" s="87"/>
      <c r="AW1075" s="87"/>
      <c r="AX1075" s="87"/>
      <c r="AY1075" s="87"/>
      <c r="AZ1075" s="87"/>
      <c r="BA1075" s="87"/>
      <c r="BB1075" s="87"/>
      <c r="BC1075" s="87"/>
      <c r="BD1075" s="87"/>
      <c r="BE1075" s="87"/>
      <c r="BF1075" s="87"/>
      <c r="BG1075" s="87"/>
      <c r="BH1075" s="87"/>
      <c r="BI1075" s="87"/>
      <c r="BJ1075" s="87"/>
      <c r="BK1075" s="87"/>
      <c r="BL1075" s="87"/>
      <c r="BM1075" s="87"/>
      <c r="BN1075" s="87"/>
      <c r="BO1075" s="87"/>
      <c r="BP1075" s="87"/>
      <c r="BQ1075" s="87"/>
      <c r="BR1075" s="87"/>
      <c r="BS1075" s="87"/>
      <c r="BT1075" s="87"/>
      <c r="BU1075" s="87"/>
      <c r="BV1075" s="87"/>
      <c r="BW1075" s="87"/>
      <c r="BX1075" s="87"/>
      <c r="BY1075" s="87"/>
    </row>
    <row r="1076" spans="3:77" x14ac:dyDescent="0.3">
      <c r="C1076" s="90"/>
      <c r="D1076" s="87"/>
      <c r="E1076" s="91"/>
      <c r="F1076" s="92"/>
      <c r="G1076" s="93"/>
      <c r="H1076" s="93"/>
      <c r="I1076" s="93"/>
      <c r="J1076" s="93"/>
      <c r="K1076" s="93"/>
      <c r="L1076" s="93"/>
      <c r="M1076" s="93"/>
      <c r="N1076" s="93"/>
      <c r="O1076" s="93"/>
      <c r="P1076" s="93"/>
      <c r="Q1076" s="93"/>
      <c r="R1076" s="87"/>
      <c r="S1076" s="87"/>
      <c r="T1076" s="87"/>
      <c r="U1076" s="19"/>
      <c r="V1076" s="87"/>
      <c r="W1076" s="87"/>
      <c r="X1076" s="87"/>
      <c r="Y1076" s="87"/>
      <c r="Z1076" s="87"/>
      <c r="AA1076" s="87"/>
      <c r="AB1076" s="87"/>
      <c r="AC1076" s="87"/>
      <c r="AD1076" s="87"/>
      <c r="AE1076" s="87"/>
      <c r="AF1076" s="87"/>
      <c r="AG1076" s="87"/>
      <c r="AH1076" s="87"/>
      <c r="AI1076" s="87"/>
      <c r="AJ1076" s="87"/>
      <c r="AK1076" s="87"/>
      <c r="AL1076" s="87"/>
      <c r="AM1076" s="87"/>
      <c r="AN1076" s="87"/>
      <c r="AO1076" s="87"/>
      <c r="AP1076" s="87"/>
      <c r="AQ1076" s="87"/>
      <c r="AR1076" s="87"/>
      <c r="AS1076" s="87"/>
      <c r="AT1076" s="87"/>
      <c r="AU1076" s="87"/>
      <c r="AV1076" s="87"/>
      <c r="AW1076" s="87"/>
      <c r="AX1076" s="87"/>
      <c r="AY1076" s="87"/>
      <c r="AZ1076" s="87"/>
      <c r="BA1076" s="87"/>
      <c r="BB1076" s="87"/>
      <c r="BC1076" s="87"/>
      <c r="BD1076" s="87"/>
      <c r="BE1076" s="87"/>
      <c r="BF1076" s="87"/>
      <c r="BG1076" s="87"/>
      <c r="BH1076" s="87"/>
      <c r="BI1076" s="87"/>
      <c r="BJ1076" s="87"/>
      <c r="BK1076" s="87"/>
      <c r="BL1076" s="87"/>
      <c r="BM1076" s="87"/>
      <c r="BN1076" s="87"/>
      <c r="BO1076" s="87"/>
      <c r="BP1076" s="87"/>
      <c r="BQ1076" s="87"/>
      <c r="BR1076" s="87"/>
      <c r="BS1076" s="87"/>
      <c r="BT1076" s="87"/>
      <c r="BU1076" s="87"/>
      <c r="BV1076" s="87"/>
      <c r="BW1076" s="87"/>
      <c r="BX1076" s="87"/>
      <c r="BY1076" s="87"/>
    </row>
    <row r="1077" spans="3:77" x14ac:dyDescent="0.3">
      <c r="C1077" s="90"/>
      <c r="D1077" s="87"/>
      <c r="E1077" s="91"/>
      <c r="F1077" s="92"/>
      <c r="G1077" s="93"/>
      <c r="H1077" s="93"/>
      <c r="I1077" s="93"/>
      <c r="J1077" s="93"/>
      <c r="K1077" s="93"/>
      <c r="L1077" s="93"/>
      <c r="M1077" s="93"/>
      <c r="N1077" s="93"/>
      <c r="O1077" s="93"/>
      <c r="P1077" s="93"/>
      <c r="Q1077" s="93"/>
      <c r="R1077" s="87"/>
      <c r="S1077" s="87"/>
      <c r="T1077" s="87"/>
      <c r="U1077" s="19"/>
      <c r="V1077" s="87"/>
      <c r="W1077" s="87"/>
      <c r="X1077" s="87"/>
      <c r="Y1077" s="87"/>
      <c r="Z1077" s="87"/>
      <c r="AA1077" s="87"/>
      <c r="AB1077" s="87"/>
      <c r="AC1077" s="87"/>
      <c r="AD1077" s="87"/>
      <c r="AE1077" s="87"/>
      <c r="AF1077" s="87"/>
      <c r="AG1077" s="87"/>
      <c r="AH1077" s="87"/>
      <c r="AI1077" s="87"/>
      <c r="AJ1077" s="87"/>
      <c r="AK1077" s="87"/>
      <c r="AL1077" s="87"/>
      <c r="AM1077" s="87"/>
      <c r="AN1077" s="87"/>
      <c r="AO1077" s="87"/>
      <c r="AP1077" s="87"/>
      <c r="AQ1077" s="87"/>
      <c r="AR1077" s="87"/>
      <c r="AS1077" s="87"/>
      <c r="AT1077" s="87"/>
      <c r="AU1077" s="87"/>
      <c r="AV1077" s="87"/>
      <c r="AW1077" s="87"/>
      <c r="AX1077" s="87"/>
      <c r="AY1077" s="87"/>
      <c r="AZ1077" s="87"/>
      <c r="BA1077" s="87"/>
      <c r="BB1077" s="87"/>
      <c r="BC1077" s="87"/>
      <c r="BD1077" s="87"/>
      <c r="BE1077" s="87"/>
      <c r="BF1077" s="87"/>
      <c r="BG1077" s="87"/>
      <c r="BH1077" s="87"/>
      <c r="BI1077" s="87"/>
      <c r="BJ1077" s="87"/>
      <c r="BK1077" s="87"/>
      <c r="BL1077" s="87"/>
      <c r="BM1077" s="87"/>
      <c r="BN1077" s="87"/>
      <c r="BO1077" s="87"/>
      <c r="BP1077" s="87"/>
      <c r="BQ1077" s="87"/>
      <c r="BR1077" s="87"/>
      <c r="BS1077" s="87"/>
      <c r="BT1077" s="87"/>
      <c r="BU1077" s="87"/>
      <c r="BV1077" s="87"/>
      <c r="BW1077" s="87"/>
      <c r="BX1077" s="87"/>
      <c r="BY1077" s="87"/>
    </row>
    <row r="1078" spans="3:77" x14ac:dyDescent="0.3">
      <c r="C1078" s="90"/>
      <c r="D1078" s="87"/>
      <c r="E1078" s="91"/>
      <c r="F1078" s="92"/>
      <c r="G1078" s="93"/>
      <c r="H1078" s="93"/>
      <c r="I1078" s="93"/>
      <c r="J1078" s="93"/>
      <c r="K1078" s="93"/>
      <c r="L1078" s="93"/>
      <c r="M1078" s="93"/>
      <c r="N1078" s="93"/>
      <c r="O1078" s="93"/>
      <c r="P1078" s="93"/>
      <c r="Q1078" s="93"/>
      <c r="R1078" s="87"/>
      <c r="S1078" s="87"/>
      <c r="T1078" s="87"/>
      <c r="U1078" s="19"/>
      <c r="V1078" s="87"/>
      <c r="W1078" s="87"/>
      <c r="X1078" s="87"/>
      <c r="Y1078" s="87"/>
      <c r="Z1078" s="87"/>
      <c r="AA1078" s="87"/>
      <c r="AB1078" s="87"/>
      <c r="AC1078" s="87"/>
      <c r="AD1078" s="87"/>
      <c r="AE1078" s="87"/>
      <c r="AF1078" s="87"/>
      <c r="AG1078" s="87"/>
      <c r="AH1078" s="87"/>
      <c r="AI1078" s="87"/>
      <c r="AJ1078" s="87"/>
      <c r="AK1078" s="87"/>
      <c r="AL1078" s="87"/>
      <c r="AM1078" s="87"/>
      <c r="AN1078" s="87"/>
      <c r="AO1078" s="87"/>
      <c r="AP1078" s="87"/>
      <c r="AQ1078" s="87"/>
      <c r="AR1078" s="87"/>
      <c r="AS1078" s="87"/>
      <c r="AT1078" s="87"/>
      <c r="AU1078" s="87"/>
      <c r="AV1078" s="87"/>
      <c r="AW1078" s="87"/>
      <c r="AX1078" s="87"/>
      <c r="AY1078" s="87"/>
      <c r="AZ1078" s="87"/>
      <c r="BA1078" s="87"/>
      <c r="BB1078" s="87"/>
      <c r="BC1078" s="87"/>
      <c r="BD1078" s="87"/>
      <c r="BE1078" s="87"/>
      <c r="BF1078" s="87"/>
      <c r="BG1078" s="87"/>
      <c r="BH1078" s="87"/>
      <c r="BI1078" s="87"/>
      <c r="BJ1078" s="87"/>
      <c r="BK1078" s="87"/>
      <c r="BL1078" s="87"/>
      <c r="BM1078" s="87"/>
      <c r="BN1078" s="87"/>
      <c r="BO1078" s="87"/>
      <c r="BP1078" s="87"/>
      <c r="BQ1078" s="87"/>
      <c r="BR1078" s="87"/>
      <c r="BS1078" s="87"/>
      <c r="BT1078" s="87"/>
      <c r="BU1078" s="87"/>
      <c r="BV1078" s="87"/>
      <c r="BW1078" s="87"/>
      <c r="BX1078" s="87"/>
      <c r="BY1078" s="87"/>
    </row>
    <row r="1079" spans="3:77" x14ac:dyDescent="0.3">
      <c r="C1079" s="90"/>
      <c r="D1079" s="87"/>
      <c r="E1079" s="91"/>
      <c r="F1079" s="92"/>
      <c r="G1079" s="93"/>
      <c r="H1079" s="93"/>
      <c r="I1079" s="93"/>
      <c r="J1079" s="93"/>
      <c r="K1079" s="93"/>
      <c r="L1079" s="93"/>
      <c r="M1079" s="93"/>
      <c r="N1079" s="93"/>
      <c r="O1079" s="93"/>
      <c r="P1079" s="93"/>
      <c r="Q1079" s="93"/>
      <c r="R1079" s="87"/>
      <c r="S1079" s="87"/>
      <c r="T1079" s="87"/>
      <c r="U1079" s="19"/>
      <c r="V1079" s="87"/>
      <c r="W1079" s="87"/>
      <c r="X1079" s="87"/>
      <c r="Y1079" s="87"/>
      <c r="Z1079" s="87"/>
      <c r="AA1079" s="87"/>
      <c r="AB1079" s="87"/>
      <c r="AC1079" s="87"/>
      <c r="AD1079" s="87"/>
      <c r="AE1079" s="87"/>
      <c r="AF1079" s="87"/>
      <c r="AG1079" s="87"/>
      <c r="AH1079" s="87"/>
      <c r="AI1079" s="87"/>
      <c r="AJ1079" s="87"/>
      <c r="AK1079" s="87"/>
      <c r="AL1079" s="87"/>
      <c r="AM1079" s="87"/>
      <c r="AN1079" s="87"/>
      <c r="AO1079" s="87"/>
      <c r="AP1079" s="87"/>
      <c r="AQ1079" s="87"/>
      <c r="AR1079" s="87"/>
      <c r="AS1079" s="87"/>
      <c r="AT1079" s="87"/>
      <c r="AU1079" s="87"/>
      <c r="AV1079" s="87"/>
      <c r="AW1079" s="87"/>
      <c r="AX1079" s="87"/>
      <c r="AY1079" s="87"/>
      <c r="AZ1079" s="87"/>
      <c r="BA1079" s="87"/>
      <c r="BB1079" s="87"/>
      <c r="BC1079" s="87"/>
      <c r="BD1079" s="87"/>
      <c r="BE1079" s="87"/>
      <c r="BF1079" s="87"/>
      <c r="BG1079" s="87"/>
      <c r="BH1079" s="87"/>
      <c r="BI1079" s="87"/>
      <c r="BJ1079" s="87"/>
      <c r="BK1079" s="87"/>
      <c r="BL1079" s="87"/>
      <c r="BM1079" s="87"/>
      <c r="BN1079" s="87"/>
      <c r="BO1079" s="87"/>
      <c r="BP1079" s="87"/>
      <c r="BQ1079" s="87"/>
      <c r="BR1079" s="87"/>
      <c r="BS1079" s="87"/>
      <c r="BT1079" s="87"/>
      <c r="BU1079" s="87"/>
      <c r="BV1079" s="87"/>
      <c r="BW1079" s="87"/>
      <c r="BX1079" s="87"/>
      <c r="BY1079" s="87"/>
    </row>
    <row r="1080" spans="3:77" x14ac:dyDescent="0.3">
      <c r="C1080" s="90"/>
      <c r="D1080" s="87"/>
      <c r="E1080" s="91"/>
      <c r="F1080" s="92"/>
      <c r="G1080" s="93"/>
      <c r="H1080" s="93"/>
      <c r="I1080" s="93"/>
      <c r="J1080" s="93"/>
      <c r="K1080" s="93"/>
      <c r="L1080" s="93"/>
      <c r="M1080" s="93"/>
      <c r="N1080" s="93"/>
      <c r="O1080" s="93"/>
      <c r="P1080" s="93"/>
      <c r="Q1080" s="93"/>
      <c r="R1080" s="87"/>
      <c r="S1080" s="87"/>
      <c r="T1080" s="87"/>
      <c r="U1080" s="19"/>
      <c r="V1080" s="87"/>
      <c r="W1080" s="87"/>
      <c r="X1080" s="87"/>
      <c r="Y1080" s="87"/>
      <c r="Z1080" s="87"/>
      <c r="AA1080" s="87"/>
      <c r="AB1080" s="87"/>
      <c r="AC1080" s="87"/>
      <c r="AD1080" s="87"/>
      <c r="AE1080" s="87"/>
      <c r="AF1080" s="87"/>
      <c r="AG1080" s="87"/>
      <c r="AH1080" s="87"/>
      <c r="AI1080" s="87"/>
      <c r="AJ1080" s="87"/>
      <c r="AK1080" s="87"/>
      <c r="AL1080" s="87"/>
      <c r="AM1080" s="87"/>
      <c r="AN1080" s="87"/>
      <c r="AO1080" s="87"/>
      <c r="AP1080" s="87"/>
      <c r="AQ1080" s="87"/>
      <c r="AR1080" s="87"/>
      <c r="AS1080" s="87"/>
      <c r="AT1080" s="87"/>
      <c r="AU1080" s="87"/>
      <c r="AV1080" s="87"/>
      <c r="AW1080" s="87"/>
      <c r="AX1080" s="87"/>
      <c r="AY1080" s="87"/>
      <c r="AZ1080" s="87"/>
      <c r="BA1080" s="87"/>
      <c r="BB1080" s="87"/>
      <c r="BC1080" s="87"/>
      <c r="BD1080" s="87"/>
      <c r="BE1080" s="87"/>
      <c r="BF1080" s="87"/>
      <c r="BG1080" s="87"/>
      <c r="BH1080" s="87"/>
      <c r="BI1080" s="87"/>
      <c r="BJ1080" s="87"/>
      <c r="BK1080" s="87"/>
      <c r="BL1080" s="87"/>
      <c r="BM1080" s="87"/>
      <c r="BN1080" s="87"/>
      <c r="BO1080" s="87"/>
      <c r="BP1080" s="87"/>
      <c r="BQ1080" s="87"/>
      <c r="BR1080" s="87"/>
      <c r="BS1080" s="87"/>
      <c r="BT1080" s="87"/>
      <c r="BU1080" s="87"/>
      <c r="BV1080" s="87"/>
      <c r="BW1080" s="87"/>
      <c r="BX1080" s="87"/>
      <c r="BY1080" s="87"/>
    </row>
    <row r="1081" spans="3:77" x14ac:dyDescent="0.3">
      <c r="C1081" s="90"/>
      <c r="D1081" s="87"/>
      <c r="E1081" s="91"/>
      <c r="F1081" s="92"/>
      <c r="G1081" s="93"/>
      <c r="H1081" s="93"/>
      <c r="I1081" s="93"/>
      <c r="J1081" s="93"/>
      <c r="K1081" s="93"/>
      <c r="L1081" s="93"/>
      <c r="M1081" s="93"/>
      <c r="N1081" s="93"/>
      <c r="O1081" s="93"/>
      <c r="P1081" s="93"/>
      <c r="Q1081" s="93"/>
      <c r="R1081" s="87"/>
      <c r="S1081" s="87"/>
      <c r="T1081" s="87"/>
      <c r="U1081" s="19"/>
      <c r="V1081" s="87"/>
      <c r="W1081" s="87"/>
      <c r="X1081" s="87"/>
      <c r="Y1081" s="87"/>
      <c r="Z1081" s="87"/>
      <c r="AA1081" s="87"/>
      <c r="AB1081" s="87"/>
      <c r="AC1081" s="87"/>
      <c r="AD1081" s="87"/>
      <c r="AE1081" s="87"/>
      <c r="AF1081" s="87"/>
      <c r="AG1081" s="87"/>
      <c r="AH1081" s="87"/>
      <c r="AI1081" s="87"/>
      <c r="AJ1081" s="87"/>
      <c r="AK1081" s="87"/>
      <c r="AL1081" s="87"/>
      <c r="AM1081" s="87"/>
      <c r="AN1081" s="87"/>
      <c r="AO1081" s="87"/>
      <c r="AP1081" s="87"/>
      <c r="AQ1081" s="87"/>
      <c r="AR1081" s="87"/>
      <c r="AS1081" s="87"/>
      <c r="AT1081" s="87"/>
      <c r="AU1081" s="87"/>
      <c r="AV1081" s="87"/>
      <c r="AW1081" s="87"/>
      <c r="AX1081" s="87"/>
      <c r="AY1081" s="87"/>
      <c r="AZ1081" s="87"/>
      <c r="BA1081" s="87"/>
      <c r="BB1081" s="87"/>
      <c r="BC1081" s="87"/>
      <c r="BD1081" s="87"/>
      <c r="BE1081" s="87"/>
      <c r="BF1081" s="87"/>
      <c r="BG1081" s="87"/>
      <c r="BH1081" s="87"/>
      <c r="BI1081" s="87"/>
      <c r="BJ1081" s="87"/>
      <c r="BK1081" s="87"/>
      <c r="BL1081" s="87"/>
      <c r="BM1081" s="87"/>
      <c r="BN1081" s="87"/>
      <c r="BO1081" s="87"/>
      <c r="BP1081" s="87"/>
      <c r="BQ1081" s="87"/>
      <c r="BR1081" s="87"/>
      <c r="BS1081" s="87"/>
      <c r="BT1081" s="87"/>
      <c r="BU1081" s="87"/>
      <c r="BV1081" s="87"/>
      <c r="BW1081" s="87"/>
      <c r="BX1081" s="87"/>
      <c r="BY1081" s="87"/>
    </row>
    <row r="1082" spans="3:77" x14ac:dyDescent="0.3">
      <c r="C1082" s="90"/>
      <c r="D1082" s="87"/>
      <c r="E1082" s="91"/>
      <c r="F1082" s="92"/>
      <c r="G1082" s="93"/>
      <c r="H1082" s="93"/>
      <c r="I1082" s="93"/>
      <c r="J1082" s="93"/>
      <c r="K1082" s="93"/>
      <c r="L1082" s="93"/>
      <c r="M1082" s="93"/>
      <c r="N1082" s="93"/>
      <c r="O1082" s="93"/>
      <c r="P1082" s="93"/>
      <c r="Q1082" s="93"/>
      <c r="R1082" s="87"/>
      <c r="S1082" s="87"/>
      <c r="T1082" s="87"/>
      <c r="U1082" s="19"/>
      <c r="V1082" s="87"/>
      <c r="W1082" s="87"/>
      <c r="X1082" s="87"/>
      <c r="Y1082" s="87"/>
      <c r="Z1082" s="87"/>
      <c r="AA1082" s="87"/>
      <c r="AB1082" s="87"/>
      <c r="AC1082" s="87"/>
      <c r="AD1082" s="87"/>
      <c r="AE1082" s="87"/>
      <c r="AF1082" s="87"/>
      <c r="AG1082" s="87"/>
      <c r="AH1082" s="87"/>
      <c r="AI1082" s="87"/>
      <c r="AJ1082" s="87"/>
      <c r="AK1082" s="87"/>
      <c r="AL1082" s="87"/>
      <c r="AM1082" s="87"/>
      <c r="AN1082" s="87"/>
      <c r="AO1082" s="87"/>
      <c r="AP1082" s="87"/>
      <c r="AQ1082" s="87"/>
      <c r="AR1082" s="87"/>
      <c r="AS1082" s="87"/>
      <c r="AT1082" s="87"/>
      <c r="AU1082" s="87"/>
      <c r="AV1082" s="87"/>
      <c r="AW1082" s="87"/>
      <c r="AX1082" s="87"/>
      <c r="AY1082" s="87"/>
      <c r="AZ1082" s="87"/>
      <c r="BA1082" s="87"/>
      <c r="BB1082" s="87"/>
      <c r="BC1082" s="87"/>
      <c r="BD1082" s="87"/>
      <c r="BE1082" s="87"/>
      <c r="BF1082" s="87"/>
      <c r="BG1082" s="87"/>
      <c r="BH1082" s="87"/>
      <c r="BI1082" s="87"/>
      <c r="BJ1082" s="87"/>
      <c r="BK1082" s="87"/>
      <c r="BL1082" s="87"/>
      <c r="BM1082" s="87"/>
      <c r="BN1082" s="87"/>
      <c r="BO1082" s="87"/>
      <c r="BP1082" s="87"/>
      <c r="BQ1082" s="87"/>
      <c r="BR1082" s="87"/>
      <c r="BS1082" s="87"/>
      <c r="BT1082" s="87"/>
      <c r="BU1082" s="87"/>
      <c r="BV1082" s="87"/>
      <c r="BW1082" s="87"/>
      <c r="BX1082" s="87"/>
      <c r="BY1082" s="87"/>
    </row>
    <row r="1083" spans="3:77" x14ac:dyDescent="0.3">
      <c r="C1083" s="90"/>
      <c r="D1083" s="87"/>
      <c r="E1083" s="91"/>
      <c r="F1083" s="92"/>
      <c r="G1083" s="93"/>
      <c r="H1083" s="93"/>
      <c r="I1083" s="93"/>
      <c r="J1083" s="93"/>
      <c r="K1083" s="93"/>
      <c r="L1083" s="93"/>
      <c r="M1083" s="93"/>
      <c r="N1083" s="93"/>
      <c r="O1083" s="93"/>
      <c r="P1083" s="93"/>
      <c r="Q1083" s="93"/>
      <c r="R1083" s="87"/>
      <c r="S1083" s="87"/>
      <c r="T1083" s="87"/>
      <c r="U1083" s="19"/>
      <c r="V1083" s="87"/>
      <c r="W1083" s="87"/>
      <c r="X1083" s="87"/>
      <c r="Y1083" s="87"/>
      <c r="Z1083" s="87"/>
      <c r="AA1083" s="87"/>
      <c r="AB1083" s="87"/>
      <c r="AC1083" s="87"/>
      <c r="AD1083" s="87"/>
      <c r="AE1083" s="87"/>
      <c r="AF1083" s="87"/>
      <c r="AG1083" s="87"/>
      <c r="AH1083" s="87"/>
      <c r="AI1083" s="87"/>
      <c r="AJ1083" s="87"/>
      <c r="AK1083" s="87"/>
      <c r="AL1083" s="87"/>
      <c r="AM1083" s="87"/>
      <c r="AN1083" s="87"/>
      <c r="AO1083" s="87"/>
      <c r="AP1083" s="87"/>
      <c r="AQ1083" s="87"/>
      <c r="AR1083" s="87"/>
      <c r="AS1083" s="87"/>
      <c r="AT1083" s="87"/>
      <c r="AU1083" s="87"/>
      <c r="AV1083" s="87"/>
      <c r="AW1083" s="87"/>
      <c r="AX1083" s="87"/>
      <c r="AY1083" s="87"/>
      <c r="AZ1083" s="87"/>
      <c r="BA1083" s="87"/>
      <c r="BB1083" s="87"/>
      <c r="BC1083" s="87"/>
      <c r="BD1083" s="87"/>
      <c r="BE1083" s="87"/>
      <c r="BF1083" s="87"/>
      <c r="BG1083" s="87"/>
      <c r="BH1083" s="87"/>
      <c r="BI1083" s="87"/>
      <c r="BJ1083" s="87"/>
      <c r="BK1083" s="87"/>
      <c r="BL1083" s="87"/>
      <c r="BM1083" s="87"/>
      <c r="BN1083" s="87"/>
      <c r="BO1083" s="87"/>
      <c r="BP1083" s="87"/>
      <c r="BQ1083" s="87"/>
      <c r="BR1083" s="87"/>
      <c r="BS1083" s="87"/>
      <c r="BT1083" s="87"/>
      <c r="BU1083" s="87"/>
      <c r="BV1083" s="87"/>
      <c r="BW1083" s="87"/>
      <c r="BX1083" s="87"/>
      <c r="BY1083" s="87"/>
    </row>
    <row r="1084" spans="3:77" x14ac:dyDescent="0.3">
      <c r="C1084" s="90"/>
      <c r="D1084" s="87"/>
      <c r="E1084" s="91"/>
      <c r="F1084" s="92"/>
      <c r="G1084" s="93"/>
      <c r="H1084" s="93"/>
      <c r="I1084" s="93"/>
      <c r="J1084" s="93"/>
      <c r="K1084" s="93"/>
      <c r="L1084" s="93"/>
      <c r="M1084" s="93"/>
      <c r="N1084" s="93"/>
      <c r="O1084" s="93"/>
      <c r="P1084" s="93"/>
      <c r="Q1084" s="93"/>
      <c r="R1084" s="87"/>
      <c r="S1084" s="87"/>
      <c r="T1084" s="87"/>
      <c r="U1084" s="19"/>
      <c r="V1084" s="87"/>
      <c r="W1084" s="87"/>
      <c r="X1084" s="87"/>
      <c r="Y1084" s="87"/>
      <c r="Z1084" s="87"/>
      <c r="AA1084" s="87"/>
      <c r="AB1084" s="87"/>
      <c r="AC1084" s="87"/>
      <c r="AD1084" s="87"/>
      <c r="AE1084" s="87"/>
      <c r="AF1084" s="87"/>
      <c r="AG1084" s="87"/>
      <c r="AH1084" s="87"/>
      <c r="AI1084" s="87"/>
      <c r="AJ1084" s="87"/>
      <c r="AK1084" s="87"/>
      <c r="AL1084" s="87"/>
      <c r="AM1084" s="87"/>
      <c r="AN1084" s="87"/>
      <c r="AO1084" s="87"/>
      <c r="AP1084" s="87"/>
      <c r="AQ1084" s="87"/>
      <c r="AR1084" s="87"/>
      <c r="AS1084" s="87"/>
      <c r="AT1084" s="87"/>
      <c r="AU1084" s="87"/>
      <c r="AV1084" s="87"/>
      <c r="AW1084" s="87"/>
      <c r="AX1084" s="87"/>
      <c r="AY1084" s="87"/>
      <c r="AZ1084" s="87"/>
      <c r="BA1084" s="87"/>
      <c r="BB1084" s="87"/>
      <c r="BC1084" s="87"/>
      <c r="BD1084" s="87"/>
      <c r="BE1084" s="87"/>
      <c r="BF1084" s="87"/>
      <c r="BG1084" s="87"/>
      <c r="BH1084" s="87"/>
      <c r="BI1084" s="87"/>
      <c r="BJ1084" s="87"/>
      <c r="BK1084" s="87"/>
      <c r="BL1084" s="87"/>
      <c r="BM1084" s="87"/>
      <c r="BN1084" s="87"/>
      <c r="BO1084" s="87"/>
      <c r="BP1084" s="87"/>
      <c r="BQ1084" s="87"/>
      <c r="BR1084" s="87"/>
      <c r="BS1084" s="87"/>
      <c r="BT1084" s="87"/>
      <c r="BU1084" s="87"/>
      <c r="BV1084" s="87"/>
      <c r="BW1084" s="87"/>
      <c r="BX1084" s="87"/>
      <c r="BY1084" s="87"/>
    </row>
    <row r="1085" spans="3:77" x14ac:dyDescent="0.3">
      <c r="C1085" s="90"/>
      <c r="D1085" s="87"/>
      <c r="E1085" s="91"/>
      <c r="F1085" s="92"/>
      <c r="G1085" s="93"/>
      <c r="H1085" s="93"/>
      <c r="I1085" s="93"/>
      <c r="J1085" s="93"/>
      <c r="K1085" s="93"/>
      <c r="L1085" s="93"/>
      <c r="M1085" s="93"/>
      <c r="N1085" s="93"/>
      <c r="O1085" s="93"/>
      <c r="P1085" s="93"/>
      <c r="Q1085" s="93"/>
      <c r="R1085" s="87"/>
      <c r="S1085" s="87"/>
      <c r="T1085" s="87"/>
      <c r="U1085" s="19"/>
      <c r="V1085" s="87"/>
      <c r="W1085" s="87"/>
      <c r="X1085" s="87"/>
      <c r="Y1085" s="87"/>
      <c r="Z1085" s="87"/>
      <c r="AA1085" s="87"/>
      <c r="AB1085" s="87"/>
      <c r="AC1085" s="87"/>
      <c r="AD1085" s="87"/>
      <c r="AE1085" s="87"/>
      <c r="AF1085" s="87"/>
      <c r="AG1085" s="87"/>
      <c r="AH1085" s="87"/>
      <c r="AI1085" s="87"/>
      <c r="AJ1085" s="87"/>
      <c r="AK1085" s="87"/>
      <c r="AL1085" s="87"/>
      <c r="AM1085" s="87"/>
      <c r="AN1085" s="87"/>
      <c r="AO1085" s="87"/>
      <c r="AP1085" s="87"/>
      <c r="AQ1085" s="87"/>
      <c r="AR1085" s="87"/>
      <c r="AS1085" s="87"/>
      <c r="AT1085" s="87"/>
      <c r="AU1085" s="87"/>
      <c r="AV1085" s="87"/>
      <c r="AW1085" s="87"/>
      <c r="AX1085" s="87"/>
      <c r="AY1085" s="87"/>
      <c r="AZ1085" s="87"/>
      <c r="BA1085" s="87"/>
      <c r="BB1085" s="87"/>
      <c r="BC1085" s="87"/>
      <c r="BD1085" s="87"/>
      <c r="BE1085" s="87"/>
      <c r="BF1085" s="87"/>
      <c r="BG1085" s="87"/>
      <c r="BH1085" s="87"/>
      <c r="BI1085" s="87"/>
      <c r="BJ1085" s="87"/>
      <c r="BK1085" s="87"/>
      <c r="BL1085" s="87"/>
      <c r="BM1085" s="87"/>
      <c r="BN1085" s="87"/>
      <c r="BO1085" s="87"/>
      <c r="BP1085" s="87"/>
      <c r="BQ1085" s="87"/>
      <c r="BR1085" s="87"/>
      <c r="BS1085" s="87"/>
      <c r="BT1085" s="87"/>
      <c r="BU1085" s="87"/>
      <c r="BV1085" s="87"/>
      <c r="BW1085" s="87"/>
      <c r="BX1085" s="87"/>
      <c r="BY1085" s="87"/>
    </row>
    <row r="1086" spans="3:77" x14ac:dyDescent="0.3">
      <c r="C1086" s="90"/>
      <c r="D1086" s="87"/>
      <c r="E1086" s="91"/>
      <c r="F1086" s="92"/>
      <c r="G1086" s="93"/>
      <c r="H1086" s="93"/>
      <c r="I1086" s="93"/>
      <c r="J1086" s="93"/>
      <c r="K1086" s="93"/>
      <c r="L1086" s="93"/>
      <c r="M1086" s="93"/>
      <c r="N1086" s="93"/>
      <c r="O1086" s="93"/>
      <c r="P1086" s="93"/>
      <c r="Q1086" s="93"/>
      <c r="R1086" s="87"/>
      <c r="S1086" s="87"/>
      <c r="T1086" s="87"/>
      <c r="U1086" s="19"/>
      <c r="V1086" s="87"/>
      <c r="W1086" s="87"/>
      <c r="X1086" s="87"/>
      <c r="Y1086" s="87"/>
      <c r="Z1086" s="87"/>
      <c r="AA1086" s="87"/>
      <c r="AB1086" s="87"/>
      <c r="AC1086" s="87"/>
      <c r="AD1086" s="87"/>
      <c r="AE1086" s="87"/>
      <c r="AF1086" s="87"/>
      <c r="AG1086" s="87"/>
      <c r="AH1086" s="87"/>
      <c r="AI1086" s="87"/>
      <c r="AJ1086" s="87"/>
      <c r="AK1086" s="87"/>
      <c r="AL1086" s="87"/>
      <c r="AM1086" s="87"/>
      <c r="AN1086" s="87"/>
      <c r="AO1086" s="87"/>
      <c r="AP1086" s="87"/>
      <c r="AQ1086" s="87"/>
      <c r="AR1086" s="87"/>
      <c r="AS1086" s="87"/>
      <c r="AT1086" s="87"/>
      <c r="AU1086" s="87"/>
      <c r="AV1086" s="87"/>
      <c r="AW1086" s="87"/>
      <c r="AX1086" s="87"/>
      <c r="AY1086" s="87"/>
      <c r="AZ1086" s="87"/>
      <c r="BA1086" s="87"/>
      <c r="BB1086" s="87"/>
      <c r="BC1086" s="87"/>
      <c r="BD1086" s="87"/>
      <c r="BE1086" s="87"/>
      <c r="BF1086" s="87"/>
      <c r="BG1086" s="87"/>
      <c r="BH1086" s="87"/>
      <c r="BI1086" s="87"/>
      <c r="BJ1086" s="87"/>
      <c r="BK1086" s="87"/>
      <c r="BL1086" s="87"/>
      <c r="BM1086" s="87"/>
      <c r="BN1086" s="87"/>
      <c r="BO1086" s="87"/>
      <c r="BP1086" s="87"/>
      <c r="BQ1086" s="87"/>
      <c r="BR1086" s="87"/>
      <c r="BS1086" s="87"/>
      <c r="BT1086" s="87"/>
      <c r="BU1086" s="87"/>
      <c r="BV1086" s="87"/>
      <c r="BW1086" s="87"/>
      <c r="BX1086" s="87"/>
      <c r="BY1086" s="87"/>
    </row>
    <row r="1087" spans="3:77" x14ac:dyDescent="0.3">
      <c r="C1087" s="90"/>
      <c r="D1087" s="87"/>
      <c r="E1087" s="91"/>
      <c r="F1087" s="92"/>
      <c r="G1087" s="93"/>
      <c r="H1087" s="93"/>
      <c r="I1087" s="93"/>
      <c r="J1087" s="93"/>
      <c r="K1087" s="93"/>
      <c r="L1087" s="93"/>
      <c r="M1087" s="93"/>
      <c r="N1087" s="93"/>
      <c r="O1087" s="93"/>
      <c r="P1087" s="93"/>
      <c r="Q1087" s="93"/>
      <c r="R1087" s="87"/>
      <c r="S1087" s="87"/>
      <c r="T1087" s="87"/>
      <c r="U1087" s="19"/>
      <c r="V1087" s="87"/>
      <c r="W1087" s="87"/>
      <c r="X1087" s="87"/>
      <c r="Y1087" s="87"/>
      <c r="Z1087" s="87"/>
      <c r="AA1087" s="87"/>
      <c r="AB1087" s="87"/>
      <c r="AC1087" s="87"/>
      <c r="AD1087" s="87"/>
      <c r="AE1087" s="87"/>
      <c r="AF1087" s="87"/>
      <c r="AG1087" s="87"/>
      <c r="AH1087" s="87"/>
      <c r="AI1087" s="87"/>
      <c r="AJ1087" s="87"/>
      <c r="AK1087" s="87"/>
      <c r="AL1087" s="87"/>
      <c r="AM1087" s="87"/>
      <c r="AN1087" s="87"/>
      <c r="AO1087" s="87"/>
      <c r="AP1087" s="87"/>
      <c r="AQ1087" s="87"/>
      <c r="AR1087" s="87"/>
      <c r="AS1087" s="87"/>
      <c r="AT1087" s="87"/>
      <c r="AU1087" s="87"/>
      <c r="AV1087" s="87"/>
      <c r="AW1087" s="87"/>
      <c r="AX1087" s="87"/>
      <c r="AY1087" s="87"/>
      <c r="AZ1087" s="87"/>
      <c r="BA1087" s="87"/>
      <c r="BB1087" s="87"/>
      <c r="BC1087" s="87"/>
      <c r="BD1087" s="87"/>
      <c r="BE1087" s="87"/>
      <c r="BF1087" s="87"/>
      <c r="BG1087" s="87"/>
      <c r="BH1087" s="87"/>
      <c r="BI1087" s="87"/>
      <c r="BJ1087" s="87"/>
      <c r="BK1087" s="87"/>
      <c r="BL1087" s="87"/>
      <c r="BM1087" s="87"/>
      <c r="BN1087" s="87"/>
      <c r="BO1087" s="87"/>
      <c r="BP1087" s="87"/>
      <c r="BQ1087" s="87"/>
      <c r="BR1087" s="87"/>
      <c r="BS1087" s="87"/>
      <c r="BT1087" s="87"/>
      <c r="BU1087" s="87"/>
      <c r="BV1087" s="87"/>
      <c r="BW1087" s="87"/>
      <c r="BX1087" s="87"/>
      <c r="BY1087" s="87"/>
    </row>
    <row r="1088" spans="3:77" x14ac:dyDescent="0.3">
      <c r="C1088" s="90"/>
      <c r="D1088" s="87"/>
      <c r="E1088" s="91"/>
      <c r="F1088" s="92"/>
      <c r="G1088" s="93"/>
      <c r="H1088" s="93"/>
      <c r="I1088" s="93"/>
      <c r="J1088" s="93"/>
      <c r="K1088" s="93"/>
      <c r="L1088" s="93"/>
      <c r="M1088" s="93"/>
      <c r="N1088" s="93"/>
      <c r="O1088" s="93"/>
      <c r="P1088" s="93"/>
      <c r="Q1088" s="93"/>
      <c r="R1088" s="87"/>
      <c r="S1088" s="87"/>
      <c r="T1088" s="87"/>
      <c r="U1088" s="19"/>
      <c r="V1088" s="87"/>
      <c r="W1088" s="87"/>
      <c r="X1088" s="87"/>
      <c r="Y1088" s="87"/>
      <c r="Z1088" s="87"/>
      <c r="AA1088" s="87"/>
      <c r="AB1088" s="87"/>
      <c r="AC1088" s="87"/>
      <c r="AD1088" s="87"/>
      <c r="AE1088" s="87"/>
      <c r="AF1088" s="87"/>
      <c r="AG1088" s="87"/>
      <c r="AH1088" s="87"/>
      <c r="AI1088" s="87"/>
      <c r="AJ1088" s="87"/>
      <c r="AK1088" s="87"/>
      <c r="AL1088" s="87"/>
      <c r="AM1088" s="87"/>
      <c r="AN1088" s="87"/>
      <c r="AO1088" s="87"/>
      <c r="AP1088" s="87"/>
      <c r="AQ1088" s="87"/>
      <c r="AR1088" s="87"/>
      <c r="AS1088" s="87"/>
      <c r="AT1088" s="87"/>
      <c r="AU1088" s="87"/>
      <c r="AV1088" s="87"/>
      <c r="AW1088" s="87"/>
      <c r="AX1088" s="87"/>
      <c r="AY1088" s="87"/>
      <c r="AZ1088" s="87"/>
      <c r="BA1088" s="87"/>
      <c r="BB1088" s="87"/>
      <c r="BC1088" s="87"/>
      <c r="BD1088" s="87"/>
      <c r="BE1088" s="87"/>
      <c r="BF1088" s="87"/>
      <c r="BG1088" s="87"/>
      <c r="BH1088" s="87"/>
      <c r="BI1088" s="87"/>
      <c r="BJ1088" s="87"/>
      <c r="BK1088" s="87"/>
      <c r="BL1088" s="87"/>
      <c r="BM1088" s="87"/>
      <c r="BN1088" s="87"/>
      <c r="BO1088" s="87"/>
      <c r="BP1088" s="87"/>
      <c r="BQ1088" s="87"/>
      <c r="BR1088" s="87"/>
      <c r="BS1088" s="87"/>
      <c r="BT1088" s="87"/>
      <c r="BU1088" s="87"/>
      <c r="BV1088" s="87"/>
      <c r="BW1088" s="87"/>
      <c r="BX1088" s="87"/>
      <c r="BY1088" s="87"/>
    </row>
    <row r="1089" spans="3:77" x14ac:dyDescent="0.3">
      <c r="C1089" s="90"/>
      <c r="D1089" s="87"/>
      <c r="E1089" s="91"/>
      <c r="F1089" s="92"/>
      <c r="G1089" s="93"/>
      <c r="H1089" s="93"/>
      <c r="I1089" s="93"/>
      <c r="J1089" s="93"/>
      <c r="K1089" s="93"/>
      <c r="L1089" s="93"/>
      <c r="M1089" s="93"/>
      <c r="N1089" s="93"/>
      <c r="O1089" s="93"/>
      <c r="P1089" s="93"/>
      <c r="Q1089" s="93"/>
      <c r="R1089" s="87"/>
      <c r="S1089" s="87"/>
      <c r="T1089" s="87"/>
      <c r="U1089" s="19"/>
      <c r="V1089" s="87"/>
      <c r="W1089" s="87"/>
      <c r="X1089" s="87"/>
      <c r="Y1089" s="87"/>
      <c r="Z1089" s="87"/>
      <c r="AA1089" s="87"/>
      <c r="AB1089" s="87"/>
      <c r="AC1089" s="87"/>
      <c r="AD1089" s="87"/>
      <c r="AE1089" s="87"/>
      <c r="AF1089" s="87"/>
      <c r="AG1089" s="87"/>
      <c r="AH1089" s="87"/>
      <c r="AI1089" s="87"/>
      <c r="AJ1089" s="87"/>
      <c r="AK1089" s="87"/>
      <c r="AL1089" s="87"/>
      <c r="AM1089" s="87"/>
      <c r="AN1089" s="87"/>
      <c r="AO1089" s="87"/>
      <c r="AP1089" s="87"/>
      <c r="AQ1089" s="87"/>
      <c r="AR1089" s="87"/>
      <c r="AS1089" s="87"/>
      <c r="AT1089" s="87"/>
      <c r="AU1089" s="87"/>
      <c r="AV1089" s="87"/>
      <c r="AW1089" s="87"/>
      <c r="AX1089" s="87"/>
      <c r="AY1089" s="87"/>
      <c r="AZ1089" s="87"/>
      <c r="BA1089" s="87"/>
      <c r="BB1089" s="87"/>
      <c r="BC1089" s="87"/>
      <c r="BD1089" s="87"/>
      <c r="BE1089" s="87"/>
      <c r="BF1089" s="87"/>
      <c r="BG1089" s="87"/>
      <c r="BH1089" s="87"/>
      <c r="BI1089" s="87"/>
      <c r="BJ1089" s="87"/>
      <c r="BK1089" s="87"/>
      <c r="BL1089" s="87"/>
      <c r="BM1089" s="87"/>
      <c r="BN1089" s="87"/>
      <c r="BO1089" s="87"/>
      <c r="BP1089" s="87"/>
      <c r="BQ1089" s="87"/>
      <c r="BR1089" s="87"/>
      <c r="BS1089" s="87"/>
      <c r="BT1089" s="87"/>
      <c r="BU1089" s="87"/>
      <c r="BV1089" s="87"/>
      <c r="BW1089" s="87"/>
      <c r="BX1089" s="87"/>
      <c r="BY1089" s="87"/>
    </row>
    <row r="1090" spans="3:77" x14ac:dyDescent="0.3">
      <c r="C1090" s="90"/>
      <c r="D1090" s="87"/>
      <c r="E1090" s="91"/>
      <c r="F1090" s="92"/>
      <c r="G1090" s="93"/>
      <c r="H1090" s="93"/>
      <c r="I1090" s="93"/>
      <c r="J1090" s="93"/>
      <c r="K1090" s="93"/>
      <c r="L1090" s="93"/>
      <c r="M1090" s="93"/>
      <c r="N1090" s="93"/>
      <c r="O1090" s="93"/>
      <c r="P1090" s="93"/>
      <c r="Q1090" s="93"/>
      <c r="R1090" s="87"/>
      <c r="S1090" s="87"/>
      <c r="T1090" s="87"/>
      <c r="U1090" s="19"/>
      <c r="V1090" s="87"/>
      <c r="W1090" s="87"/>
      <c r="X1090" s="87"/>
      <c r="Y1090" s="87"/>
      <c r="Z1090" s="87"/>
      <c r="AA1090" s="87"/>
      <c r="AB1090" s="87"/>
      <c r="AC1090" s="87"/>
      <c r="AD1090" s="87"/>
      <c r="AE1090" s="87"/>
      <c r="AF1090" s="87"/>
      <c r="AG1090" s="87"/>
      <c r="AH1090" s="87"/>
      <c r="AI1090" s="87"/>
      <c r="AJ1090" s="87"/>
      <c r="AK1090" s="87"/>
      <c r="AL1090" s="87"/>
      <c r="AM1090" s="87"/>
      <c r="AN1090" s="87"/>
      <c r="AO1090" s="87"/>
      <c r="AP1090" s="87"/>
      <c r="AQ1090" s="87"/>
      <c r="AR1090" s="87"/>
      <c r="AS1090" s="87"/>
      <c r="AT1090" s="87"/>
      <c r="AU1090" s="87"/>
      <c r="AV1090" s="87"/>
      <c r="AW1090" s="87"/>
      <c r="AX1090" s="87"/>
      <c r="AY1090" s="87"/>
      <c r="AZ1090" s="87"/>
      <c r="BA1090" s="87"/>
      <c r="BB1090" s="87"/>
      <c r="BC1090" s="87"/>
      <c r="BD1090" s="87"/>
      <c r="BE1090" s="87"/>
      <c r="BF1090" s="87"/>
      <c r="BG1090" s="87"/>
      <c r="BH1090" s="87"/>
      <c r="BI1090" s="87"/>
      <c r="BJ1090" s="87"/>
      <c r="BK1090" s="87"/>
      <c r="BL1090" s="87"/>
      <c r="BM1090" s="87"/>
      <c r="BN1090" s="87"/>
      <c r="BO1090" s="87"/>
      <c r="BP1090" s="87"/>
      <c r="BQ1090" s="87"/>
      <c r="BR1090" s="87"/>
      <c r="BS1090" s="87"/>
      <c r="BT1090" s="87"/>
      <c r="BU1090" s="87"/>
      <c r="BV1090" s="87"/>
      <c r="BW1090" s="87"/>
      <c r="BX1090" s="87"/>
      <c r="BY1090" s="87"/>
    </row>
    <row r="1091" spans="3:77" x14ac:dyDescent="0.3">
      <c r="C1091" s="90"/>
      <c r="D1091" s="87"/>
      <c r="E1091" s="91"/>
      <c r="F1091" s="92"/>
      <c r="G1091" s="93"/>
      <c r="H1091" s="93"/>
      <c r="I1091" s="93"/>
      <c r="J1091" s="93"/>
      <c r="K1091" s="93"/>
      <c r="L1091" s="93"/>
      <c r="M1091" s="93"/>
      <c r="N1091" s="93"/>
      <c r="O1091" s="93"/>
      <c r="P1091" s="93"/>
      <c r="Q1091" s="93"/>
      <c r="R1091" s="87"/>
      <c r="S1091" s="87"/>
      <c r="T1091" s="87"/>
      <c r="U1091" s="19"/>
      <c r="V1091" s="87"/>
      <c r="W1091" s="87"/>
      <c r="X1091" s="87"/>
      <c r="Y1091" s="87"/>
      <c r="Z1091" s="87"/>
      <c r="AA1091" s="87"/>
      <c r="AB1091" s="87"/>
      <c r="AC1091" s="87"/>
      <c r="AD1091" s="87"/>
      <c r="AE1091" s="87"/>
      <c r="AF1091" s="87"/>
      <c r="AG1091" s="87"/>
      <c r="AH1091" s="87"/>
      <c r="AI1091" s="87"/>
      <c r="AJ1091" s="87"/>
      <c r="AK1091" s="87"/>
      <c r="AL1091" s="87"/>
      <c r="AM1091" s="87"/>
      <c r="AN1091" s="87"/>
      <c r="AO1091" s="87"/>
      <c r="AP1091" s="87"/>
      <c r="AQ1091" s="87"/>
      <c r="AR1091" s="87"/>
      <c r="AS1091" s="87"/>
      <c r="AT1091" s="87"/>
      <c r="AU1091" s="87"/>
      <c r="AV1091" s="87"/>
      <c r="AW1091" s="87"/>
      <c r="AX1091" s="87"/>
      <c r="AY1091" s="87"/>
      <c r="AZ1091" s="87"/>
      <c r="BA1091" s="87"/>
      <c r="BB1091" s="87"/>
      <c r="BC1091" s="87"/>
      <c r="BD1091" s="87"/>
      <c r="BE1091" s="87"/>
      <c r="BF1091" s="87"/>
      <c r="BG1091" s="87"/>
      <c r="BH1091" s="87"/>
      <c r="BI1091" s="87"/>
      <c r="BJ1091" s="87"/>
      <c r="BK1091" s="87"/>
      <c r="BL1091" s="87"/>
      <c r="BM1091" s="87"/>
      <c r="BN1091" s="87"/>
      <c r="BO1091" s="87"/>
      <c r="BP1091" s="87"/>
      <c r="BQ1091" s="87"/>
      <c r="BR1091" s="87"/>
      <c r="BS1091" s="87"/>
      <c r="BT1091" s="87"/>
      <c r="BU1091" s="87"/>
      <c r="BV1091" s="87"/>
      <c r="BW1091" s="87"/>
      <c r="BX1091" s="87"/>
      <c r="BY1091" s="87"/>
    </row>
    <row r="1092" spans="3:77" x14ac:dyDescent="0.3">
      <c r="C1092" s="90"/>
      <c r="D1092" s="87"/>
      <c r="E1092" s="91"/>
      <c r="F1092" s="92"/>
      <c r="G1092" s="93"/>
      <c r="H1092" s="93"/>
      <c r="I1092" s="93"/>
      <c r="J1092" s="93"/>
      <c r="K1092" s="93"/>
      <c r="L1092" s="93"/>
      <c r="M1092" s="93"/>
      <c r="N1092" s="93"/>
      <c r="O1092" s="93"/>
      <c r="P1092" s="93"/>
      <c r="Q1092" s="93"/>
      <c r="R1092" s="87"/>
      <c r="S1092" s="87"/>
      <c r="T1092" s="87"/>
      <c r="U1092" s="19"/>
      <c r="V1092" s="87"/>
      <c r="W1092" s="87"/>
      <c r="X1092" s="87"/>
      <c r="Y1092" s="87"/>
      <c r="Z1092" s="87"/>
      <c r="AA1092" s="87"/>
      <c r="AB1092" s="87"/>
      <c r="AC1092" s="87"/>
      <c r="AD1092" s="87"/>
      <c r="AE1092" s="87"/>
      <c r="AF1092" s="87"/>
      <c r="AG1092" s="87"/>
      <c r="AH1092" s="87"/>
      <c r="AI1092" s="87"/>
      <c r="AJ1092" s="87"/>
      <c r="AK1092" s="87"/>
      <c r="AL1092" s="87"/>
      <c r="AM1092" s="87"/>
      <c r="AN1092" s="87"/>
      <c r="AO1092" s="87"/>
      <c r="AP1092" s="87"/>
      <c r="AQ1092" s="87"/>
      <c r="AR1092" s="87"/>
      <c r="AS1092" s="87"/>
      <c r="AT1092" s="87"/>
      <c r="AU1092" s="87"/>
      <c r="AV1092" s="87"/>
      <c r="AW1092" s="87"/>
      <c r="AX1092" s="87"/>
      <c r="AY1092" s="87"/>
      <c r="AZ1092" s="87"/>
      <c r="BA1092" s="87"/>
      <c r="BB1092" s="87"/>
      <c r="BC1092" s="87"/>
      <c r="BD1092" s="87"/>
      <c r="BE1092" s="87"/>
      <c r="BF1092" s="87"/>
      <c r="BG1092" s="87"/>
      <c r="BH1092" s="87"/>
      <c r="BI1092" s="87"/>
      <c r="BJ1092" s="87"/>
      <c r="BK1092" s="87"/>
      <c r="BL1092" s="87"/>
      <c r="BM1092" s="87"/>
      <c r="BN1092" s="87"/>
      <c r="BO1092" s="87"/>
      <c r="BP1092" s="87"/>
      <c r="BQ1092" s="87"/>
      <c r="BR1092" s="87"/>
      <c r="BS1092" s="87"/>
      <c r="BT1092" s="87"/>
      <c r="BU1092" s="87"/>
      <c r="BV1092" s="87"/>
      <c r="BW1092" s="87"/>
      <c r="BX1092" s="87"/>
      <c r="BY1092" s="87"/>
    </row>
    <row r="1093" spans="3:77" x14ac:dyDescent="0.3">
      <c r="C1093" s="90"/>
      <c r="D1093" s="87"/>
      <c r="E1093" s="91"/>
      <c r="F1093" s="92"/>
      <c r="G1093" s="93"/>
      <c r="H1093" s="93"/>
      <c r="I1093" s="93"/>
      <c r="J1093" s="93"/>
      <c r="K1093" s="93"/>
      <c r="L1093" s="93"/>
      <c r="M1093" s="93"/>
      <c r="N1093" s="93"/>
      <c r="O1093" s="93"/>
      <c r="P1093" s="93"/>
      <c r="Q1093" s="93"/>
      <c r="R1093" s="87"/>
      <c r="S1093" s="87"/>
      <c r="T1093" s="87"/>
      <c r="U1093" s="19"/>
      <c r="V1093" s="87"/>
      <c r="W1093" s="87"/>
      <c r="X1093" s="87"/>
      <c r="Y1093" s="87"/>
      <c r="Z1093" s="87"/>
      <c r="AA1093" s="87"/>
      <c r="AB1093" s="87"/>
      <c r="AC1093" s="87"/>
      <c r="AD1093" s="87"/>
      <c r="AE1093" s="87"/>
      <c r="AF1093" s="87"/>
      <c r="AG1093" s="87"/>
      <c r="AH1093" s="87"/>
      <c r="AI1093" s="87"/>
      <c r="AJ1093" s="87"/>
      <c r="AK1093" s="87"/>
      <c r="AL1093" s="87"/>
      <c r="AM1093" s="87"/>
      <c r="AN1093" s="87"/>
      <c r="AO1093" s="87"/>
      <c r="AP1093" s="87"/>
      <c r="AQ1093" s="87"/>
      <c r="AR1093" s="87"/>
      <c r="AS1093" s="87"/>
      <c r="AT1093" s="87"/>
      <c r="AU1093" s="87"/>
      <c r="AV1093" s="87"/>
      <c r="AW1093" s="87"/>
      <c r="AX1093" s="87"/>
      <c r="AY1093" s="87"/>
      <c r="AZ1093" s="87"/>
      <c r="BA1093" s="87"/>
      <c r="BB1093" s="87"/>
      <c r="BC1093" s="87"/>
      <c r="BD1093" s="87"/>
      <c r="BE1093" s="87"/>
      <c r="BF1093" s="87"/>
      <c r="BG1093" s="87"/>
      <c r="BH1093" s="87"/>
      <c r="BI1093" s="87"/>
      <c r="BJ1093" s="87"/>
      <c r="BK1093" s="87"/>
      <c r="BL1093" s="87"/>
      <c r="BM1093" s="87"/>
      <c r="BN1093" s="87"/>
      <c r="BO1093" s="87"/>
      <c r="BP1093" s="87"/>
      <c r="BQ1093" s="87"/>
      <c r="BR1093" s="87"/>
      <c r="BS1093" s="87"/>
      <c r="BT1093" s="87"/>
      <c r="BU1093" s="87"/>
      <c r="BV1093" s="87"/>
      <c r="BW1093" s="87"/>
      <c r="BX1093" s="87"/>
      <c r="BY1093" s="87"/>
    </row>
    <row r="1094" spans="3:77" x14ac:dyDescent="0.3">
      <c r="C1094" s="90"/>
      <c r="D1094" s="87"/>
      <c r="E1094" s="91"/>
      <c r="F1094" s="92"/>
      <c r="G1094" s="93"/>
      <c r="H1094" s="93"/>
      <c r="I1094" s="93"/>
      <c r="J1094" s="93"/>
      <c r="K1094" s="93"/>
      <c r="L1094" s="93"/>
      <c r="M1094" s="93"/>
      <c r="N1094" s="93"/>
      <c r="O1094" s="93"/>
      <c r="P1094" s="93"/>
      <c r="Q1094" s="93"/>
      <c r="R1094" s="87"/>
      <c r="S1094" s="87"/>
      <c r="T1094" s="87"/>
      <c r="U1094" s="19"/>
      <c r="V1094" s="87"/>
      <c r="W1094" s="87"/>
      <c r="X1094" s="87"/>
      <c r="Y1094" s="87"/>
      <c r="Z1094" s="87"/>
      <c r="AA1094" s="87"/>
      <c r="AB1094" s="87"/>
      <c r="AC1094" s="87"/>
      <c r="AD1094" s="87"/>
      <c r="AE1094" s="87"/>
      <c r="AF1094" s="87"/>
      <c r="AG1094" s="87"/>
      <c r="AH1094" s="87"/>
      <c r="AI1094" s="87"/>
      <c r="AJ1094" s="87"/>
      <c r="AK1094" s="87"/>
      <c r="AL1094" s="87"/>
      <c r="AM1094" s="87"/>
      <c r="AN1094" s="87"/>
      <c r="AO1094" s="87"/>
      <c r="AP1094" s="87"/>
      <c r="AQ1094" s="87"/>
      <c r="AR1094" s="87"/>
      <c r="AS1094" s="87"/>
      <c r="AT1094" s="87"/>
      <c r="AU1094" s="87"/>
      <c r="AV1094" s="87"/>
      <c r="AW1094" s="87"/>
      <c r="AX1094" s="87"/>
      <c r="AY1094" s="87"/>
      <c r="AZ1094" s="87"/>
      <c r="BA1094" s="87"/>
      <c r="BB1094" s="87"/>
      <c r="BC1094" s="87"/>
      <c r="BD1094" s="87"/>
      <c r="BE1094" s="87"/>
      <c r="BF1094" s="87"/>
      <c r="BG1094" s="87"/>
      <c r="BH1094" s="87"/>
      <c r="BI1094" s="87"/>
      <c r="BJ1094" s="87"/>
      <c r="BK1094" s="87"/>
      <c r="BL1094" s="87"/>
      <c r="BM1094" s="87"/>
      <c r="BN1094" s="87"/>
      <c r="BO1094" s="87"/>
      <c r="BP1094" s="87"/>
      <c r="BQ1094" s="87"/>
      <c r="BR1094" s="87"/>
      <c r="BS1094" s="87"/>
      <c r="BT1094" s="87"/>
      <c r="BU1094" s="87"/>
      <c r="BV1094" s="87"/>
      <c r="BW1094" s="87"/>
      <c r="BX1094" s="87"/>
      <c r="BY1094" s="87"/>
    </row>
    <row r="1095" spans="3:77" x14ac:dyDescent="0.3">
      <c r="C1095" s="90"/>
      <c r="D1095" s="87"/>
      <c r="E1095" s="91"/>
      <c r="F1095" s="92"/>
      <c r="G1095" s="93"/>
      <c r="H1095" s="93"/>
      <c r="I1095" s="93"/>
      <c r="J1095" s="93"/>
      <c r="K1095" s="93"/>
      <c r="L1095" s="93"/>
      <c r="M1095" s="93"/>
      <c r="N1095" s="93"/>
      <c r="O1095" s="93"/>
      <c r="P1095" s="93"/>
      <c r="Q1095" s="93"/>
      <c r="R1095" s="87"/>
      <c r="S1095" s="87"/>
      <c r="T1095" s="87"/>
      <c r="U1095" s="19"/>
      <c r="V1095" s="87"/>
      <c r="W1095" s="87"/>
      <c r="X1095" s="87"/>
      <c r="Y1095" s="87"/>
      <c r="Z1095" s="87"/>
      <c r="AA1095" s="87"/>
      <c r="AB1095" s="87"/>
      <c r="AC1095" s="87"/>
      <c r="AD1095" s="87"/>
      <c r="AE1095" s="87"/>
      <c r="AF1095" s="87"/>
      <c r="AG1095" s="87"/>
      <c r="AH1095" s="87"/>
      <c r="AI1095" s="87"/>
      <c r="AJ1095" s="87"/>
      <c r="AK1095" s="87"/>
      <c r="AL1095" s="87"/>
      <c r="AM1095" s="87"/>
      <c r="AN1095" s="87"/>
      <c r="AO1095" s="87"/>
      <c r="AP1095" s="87"/>
      <c r="AQ1095" s="87"/>
      <c r="AR1095" s="87"/>
      <c r="AS1095" s="87"/>
      <c r="AT1095" s="87"/>
      <c r="AU1095" s="87"/>
      <c r="AV1095" s="87"/>
      <c r="AW1095" s="87"/>
      <c r="AX1095" s="87"/>
      <c r="AY1095" s="87"/>
      <c r="AZ1095" s="87"/>
      <c r="BA1095" s="87"/>
      <c r="BB1095" s="87"/>
      <c r="BC1095" s="87"/>
      <c r="BD1095" s="87"/>
      <c r="BE1095" s="87"/>
      <c r="BF1095" s="87"/>
      <c r="BG1095" s="87"/>
      <c r="BH1095" s="87"/>
      <c r="BI1095" s="87"/>
      <c r="BJ1095" s="87"/>
      <c r="BK1095" s="87"/>
      <c r="BL1095" s="87"/>
      <c r="BM1095" s="87"/>
      <c r="BN1095" s="87"/>
      <c r="BO1095" s="87"/>
      <c r="BP1095" s="87"/>
      <c r="BQ1095" s="87"/>
      <c r="BR1095" s="87"/>
      <c r="BS1095" s="87"/>
      <c r="BT1095" s="87"/>
      <c r="BU1095" s="87"/>
      <c r="BV1095" s="87"/>
      <c r="BW1095" s="87"/>
      <c r="BX1095" s="87"/>
      <c r="BY1095" s="87"/>
    </row>
    <row r="1096" spans="3:77" x14ac:dyDescent="0.3">
      <c r="C1096" s="90"/>
      <c r="D1096" s="87"/>
      <c r="E1096" s="91"/>
      <c r="F1096" s="92"/>
      <c r="G1096" s="93"/>
      <c r="H1096" s="93"/>
      <c r="I1096" s="93"/>
      <c r="J1096" s="93"/>
      <c r="K1096" s="93"/>
      <c r="L1096" s="93"/>
      <c r="M1096" s="93"/>
      <c r="N1096" s="93"/>
      <c r="O1096" s="93"/>
      <c r="P1096" s="93"/>
      <c r="Q1096" s="93"/>
      <c r="R1096" s="87"/>
      <c r="S1096" s="87"/>
      <c r="T1096" s="87"/>
      <c r="U1096" s="19"/>
      <c r="V1096" s="87"/>
      <c r="W1096" s="87"/>
      <c r="X1096" s="87"/>
      <c r="Y1096" s="87"/>
      <c r="Z1096" s="87"/>
      <c r="AA1096" s="87"/>
      <c r="AB1096" s="87"/>
      <c r="AC1096" s="87"/>
      <c r="AD1096" s="87"/>
      <c r="AE1096" s="87"/>
      <c r="AF1096" s="87"/>
      <c r="AG1096" s="87"/>
      <c r="AH1096" s="87"/>
      <c r="AI1096" s="87"/>
      <c r="AJ1096" s="87"/>
      <c r="AK1096" s="87"/>
      <c r="AL1096" s="87"/>
      <c r="AM1096" s="87"/>
      <c r="AN1096" s="87"/>
      <c r="AO1096" s="87"/>
      <c r="AP1096" s="87"/>
      <c r="AQ1096" s="87"/>
      <c r="AR1096" s="87"/>
      <c r="AS1096" s="87"/>
      <c r="AT1096" s="87"/>
      <c r="AU1096" s="87"/>
      <c r="AV1096" s="87"/>
      <c r="AW1096" s="87"/>
      <c r="AX1096" s="87"/>
      <c r="AY1096" s="87"/>
      <c r="AZ1096" s="87"/>
      <c r="BA1096" s="87"/>
      <c r="BB1096" s="87"/>
      <c r="BC1096" s="87"/>
      <c r="BD1096" s="87"/>
      <c r="BE1096" s="87"/>
      <c r="BF1096" s="87"/>
      <c r="BG1096" s="87"/>
      <c r="BH1096" s="87"/>
      <c r="BI1096" s="87"/>
      <c r="BJ1096" s="87"/>
      <c r="BK1096" s="87"/>
      <c r="BL1096" s="87"/>
      <c r="BM1096" s="87"/>
      <c r="BN1096" s="87"/>
      <c r="BO1096" s="87"/>
      <c r="BP1096" s="87"/>
      <c r="BQ1096" s="87"/>
      <c r="BR1096" s="87"/>
      <c r="BS1096" s="87"/>
      <c r="BT1096" s="87"/>
      <c r="BU1096" s="87"/>
      <c r="BV1096" s="87"/>
      <c r="BW1096" s="87"/>
      <c r="BX1096" s="87"/>
      <c r="BY1096" s="87"/>
    </row>
    <row r="1097" spans="3:77" x14ac:dyDescent="0.3">
      <c r="C1097" s="90"/>
      <c r="D1097" s="87"/>
      <c r="E1097" s="91"/>
      <c r="F1097" s="92"/>
      <c r="G1097" s="93"/>
      <c r="H1097" s="93"/>
      <c r="I1097" s="93"/>
      <c r="J1097" s="93"/>
      <c r="K1097" s="93"/>
      <c r="L1097" s="93"/>
      <c r="M1097" s="93"/>
      <c r="N1097" s="93"/>
      <c r="O1097" s="93"/>
      <c r="P1097" s="93"/>
      <c r="Q1097" s="93"/>
      <c r="R1097" s="87"/>
      <c r="S1097" s="87"/>
      <c r="T1097" s="87"/>
      <c r="U1097" s="19"/>
      <c r="V1097" s="87"/>
      <c r="W1097" s="87"/>
      <c r="X1097" s="87"/>
      <c r="Y1097" s="87"/>
      <c r="Z1097" s="87"/>
      <c r="AA1097" s="87"/>
      <c r="AB1097" s="87"/>
      <c r="AC1097" s="87"/>
      <c r="AD1097" s="87"/>
      <c r="AE1097" s="87"/>
      <c r="AF1097" s="87"/>
      <c r="AG1097" s="87"/>
      <c r="AH1097" s="87"/>
      <c r="AI1097" s="87"/>
      <c r="AJ1097" s="87"/>
      <c r="AK1097" s="87"/>
      <c r="AL1097" s="87"/>
      <c r="AM1097" s="87"/>
      <c r="AN1097" s="87"/>
      <c r="AO1097" s="87"/>
      <c r="AP1097" s="87"/>
      <c r="AQ1097" s="87"/>
      <c r="AR1097" s="87"/>
      <c r="AS1097" s="87"/>
      <c r="AT1097" s="87"/>
      <c r="AU1097" s="87"/>
      <c r="AV1097" s="87"/>
      <c r="AW1097" s="87"/>
      <c r="AX1097" s="87"/>
      <c r="AY1097" s="87"/>
      <c r="AZ1097" s="87"/>
      <c r="BA1097" s="87"/>
      <c r="BB1097" s="87"/>
      <c r="BC1097" s="87"/>
      <c r="BD1097" s="87"/>
      <c r="BE1097" s="87"/>
      <c r="BF1097" s="87"/>
      <c r="BG1097" s="87"/>
      <c r="BH1097" s="87"/>
      <c r="BI1097" s="87"/>
      <c r="BJ1097" s="87"/>
      <c r="BK1097" s="87"/>
      <c r="BL1097" s="87"/>
      <c r="BM1097" s="87"/>
      <c r="BN1097" s="87"/>
      <c r="BO1097" s="87"/>
      <c r="BP1097" s="87"/>
      <c r="BQ1097" s="87"/>
      <c r="BR1097" s="87"/>
      <c r="BS1097" s="87"/>
      <c r="BT1097" s="87"/>
      <c r="BU1097" s="87"/>
      <c r="BV1097" s="87"/>
      <c r="BW1097" s="87"/>
      <c r="BX1097" s="87"/>
      <c r="BY1097" s="87"/>
    </row>
    <row r="1098" spans="3:77" x14ac:dyDescent="0.3">
      <c r="C1098" s="90"/>
      <c r="D1098" s="87"/>
      <c r="E1098" s="91"/>
      <c r="F1098" s="92"/>
      <c r="G1098" s="93"/>
      <c r="H1098" s="93"/>
      <c r="I1098" s="93"/>
      <c r="J1098" s="93"/>
      <c r="K1098" s="93"/>
      <c r="L1098" s="93"/>
      <c r="M1098" s="93"/>
      <c r="N1098" s="93"/>
      <c r="O1098" s="93"/>
      <c r="P1098" s="93"/>
      <c r="Q1098" s="93"/>
      <c r="R1098" s="87"/>
      <c r="S1098" s="87"/>
      <c r="T1098" s="87"/>
      <c r="U1098" s="19"/>
      <c r="V1098" s="87"/>
      <c r="W1098" s="87"/>
      <c r="X1098" s="87"/>
      <c r="Y1098" s="87"/>
      <c r="Z1098" s="87"/>
      <c r="AA1098" s="87"/>
      <c r="AB1098" s="87"/>
      <c r="AC1098" s="87"/>
      <c r="AD1098" s="87"/>
      <c r="AE1098" s="87"/>
      <c r="AF1098" s="87"/>
      <c r="AG1098" s="87"/>
      <c r="AH1098" s="87"/>
      <c r="AI1098" s="87"/>
      <c r="AJ1098" s="87"/>
      <c r="AK1098" s="87"/>
      <c r="AL1098" s="87"/>
      <c r="AM1098" s="87"/>
      <c r="AN1098" s="87"/>
      <c r="AO1098" s="87"/>
      <c r="AP1098" s="87"/>
      <c r="AQ1098" s="87"/>
      <c r="AR1098" s="87"/>
      <c r="AS1098" s="87"/>
      <c r="AT1098" s="87"/>
      <c r="AU1098" s="87"/>
      <c r="AV1098" s="87"/>
      <c r="AW1098" s="87"/>
      <c r="AX1098" s="87"/>
      <c r="AY1098" s="87"/>
      <c r="AZ1098" s="87"/>
      <c r="BA1098" s="87"/>
      <c r="BB1098" s="87"/>
      <c r="BC1098" s="87"/>
      <c r="BD1098" s="87"/>
      <c r="BE1098" s="87"/>
      <c r="BF1098" s="87"/>
      <c r="BG1098" s="87"/>
      <c r="BH1098" s="87"/>
      <c r="BI1098" s="87"/>
      <c r="BJ1098" s="87"/>
      <c r="BK1098" s="87"/>
      <c r="BL1098" s="87"/>
      <c r="BM1098" s="87"/>
      <c r="BN1098" s="87"/>
      <c r="BO1098" s="87"/>
      <c r="BP1098" s="87"/>
      <c r="BQ1098" s="87"/>
      <c r="BR1098" s="87"/>
      <c r="BS1098" s="87"/>
      <c r="BT1098" s="87"/>
      <c r="BU1098" s="87"/>
      <c r="BV1098" s="87"/>
      <c r="BW1098" s="87"/>
      <c r="BX1098" s="87"/>
      <c r="BY1098" s="87"/>
    </row>
    <row r="1099" spans="3:77" x14ac:dyDescent="0.3">
      <c r="C1099" s="90"/>
      <c r="D1099" s="87"/>
      <c r="E1099" s="91"/>
      <c r="F1099" s="92"/>
      <c r="G1099" s="93"/>
      <c r="H1099" s="93"/>
      <c r="I1099" s="93"/>
      <c r="J1099" s="93"/>
      <c r="K1099" s="93"/>
      <c r="L1099" s="93"/>
      <c r="M1099" s="93"/>
      <c r="N1099" s="93"/>
      <c r="O1099" s="93"/>
      <c r="P1099" s="93"/>
      <c r="Q1099" s="93"/>
      <c r="R1099" s="87"/>
      <c r="S1099" s="87"/>
      <c r="T1099" s="87"/>
      <c r="U1099" s="19"/>
      <c r="V1099" s="87"/>
      <c r="W1099" s="87"/>
      <c r="X1099" s="87"/>
      <c r="Y1099" s="87"/>
      <c r="Z1099" s="87"/>
      <c r="AA1099" s="87"/>
      <c r="AB1099" s="87"/>
      <c r="AC1099" s="87"/>
      <c r="AD1099" s="87"/>
      <c r="AE1099" s="87"/>
      <c r="AF1099" s="87"/>
      <c r="AG1099" s="87"/>
      <c r="AH1099" s="87"/>
      <c r="AI1099" s="87"/>
      <c r="AJ1099" s="87"/>
      <c r="AK1099" s="87"/>
      <c r="AL1099" s="87"/>
      <c r="AM1099" s="87"/>
      <c r="AN1099" s="87"/>
      <c r="AO1099" s="87"/>
      <c r="AP1099" s="87"/>
      <c r="AQ1099" s="87"/>
      <c r="AR1099" s="87"/>
      <c r="AS1099" s="87"/>
      <c r="AT1099" s="87"/>
      <c r="AU1099" s="87"/>
      <c r="AV1099" s="87"/>
      <c r="AW1099" s="87"/>
      <c r="AX1099" s="87"/>
      <c r="AY1099" s="87"/>
      <c r="AZ1099" s="87"/>
      <c r="BA1099" s="87"/>
      <c r="BB1099" s="87"/>
      <c r="BC1099" s="87"/>
      <c r="BD1099" s="87"/>
      <c r="BE1099" s="87"/>
      <c r="BF1099" s="87"/>
      <c r="BG1099" s="87"/>
      <c r="BH1099" s="87"/>
      <c r="BI1099" s="87"/>
      <c r="BJ1099" s="87"/>
      <c r="BK1099" s="87"/>
      <c r="BL1099" s="87"/>
      <c r="BM1099" s="87"/>
      <c r="BN1099" s="87"/>
      <c r="BO1099" s="87"/>
      <c r="BP1099" s="87"/>
      <c r="BQ1099" s="87"/>
      <c r="BR1099" s="87"/>
      <c r="BS1099" s="87"/>
      <c r="BT1099" s="87"/>
      <c r="BU1099" s="87"/>
      <c r="BV1099" s="87"/>
      <c r="BW1099" s="87"/>
      <c r="BX1099" s="87"/>
      <c r="BY1099" s="87"/>
    </row>
    <row r="1100" spans="3:77" x14ac:dyDescent="0.3">
      <c r="C1100" s="90"/>
      <c r="D1100" s="87"/>
      <c r="E1100" s="91"/>
      <c r="F1100" s="92"/>
      <c r="G1100" s="93"/>
      <c r="H1100" s="93"/>
      <c r="I1100" s="93"/>
      <c r="J1100" s="93"/>
      <c r="K1100" s="93"/>
      <c r="L1100" s="93"/>
      <c r="M1100" s="93"/>
      <c r="N1100" s="93"/>
      <c r="O1100" s="93"/>
      <c r="P1100" s="93"/>
      <c r="Q1100" s="93"/>
      <c r="R1100" s="87"/>
      <c r="S1100" s="87"/>
      <c r="T1100" s="87"/>
      <c r="U1100" s="19"/>
      <c r="V1100" s="87"/>
      <c r="W1100" s="87"/>
      <c r="X1100" s="87"/>
      <c r="Y1100" s="87"/>
      <c r="Z1100" s="87"/>
      <c r="AA1100" s="87"/>
      <c r="AB1100" s="87"/>
      <c r="AC1100" s="87"/>
      <c r="AD1100" s="87"/>
      <c r="AE1100" s="87"/>
      <c r="AF1100" s="87"/>
      <c r="AG1100" s="87"/>
      <c r="AH1100" s="87"/>
      <c r="AI1100" s="87"/>
      <c r="AJ1100" s="87"/>
      <c r="AK1100" s="87"/>
      <c r="AL1100" s="87"/>
      <c r="AM1100" s="87"/>
      <c r="AN1100" s="87"/>
      <c r="AO1100" s="87"/>
      <c r="AP1100" s="87"/>
      <c r="AQ1100" s="87"/>
      <c r="AR1100" s="87"/>
      <c r="AS1100" s="87"/>
      <c r="AT1100" s="87"/>
      <c r="AU1100" s="87"/>
      <c r="AV1100" s="87"/>
      <c r="AW1100" s="87"/>
      <c r="AX1100" s="87"/>
      <c r="AY1100" s="87"/>
      <c r="AZ1100" s="87"/>
      <c r="BA1100" s="87"/>
      <c r="BB1100" s="87"/>
      <c r="BC1100" s="87"/>
      <c r="BD1100" s="87"/>
      <c r="BE1100" s="87"/>
      <c r="BF1100" s="87"/>
      <c r="BG1100" s="87"/>
      <c r="BH1100" s="87"/>
      <c r="BI1100" s="87"/>
      <c r="BJ1100" s="87"/>
      <c r="BK1100" s="87"/>
      <c r="BL1100" s="87"/>
      <c r="BM1100" s="87"/>
      <c r="BN1100" s="87"/>
      <c r="BO1100" s="87"/>
      <c r="BP1100" s="87"/>
      <c r="BQ1100" s="87"/>
      <c r="BR1100" s="87"/>
      <c r="BS1100" s="87"/>
      <c r="BT1100" s="87"/>
      <c r="BU1100" s="87"/>
      <c r="BV1100" s="87"/>
      <c r="BW1100" s="87"/>
      <c r="BX1100" s="87"/>
      <c r="BY1100" s="87"/>
    </row>
    <row r="1101" spans="3:77" x14ac:dyDescent="0.3">
      <c r="C1101" s="90"/>
      <c r="D1101" s="87"/>
      <c r="E1101" s="91"/>
      <c r="F1101" s="92"/>
      <c r="G1101" s="93"/>
      <c r="H1101" s="93"/>
      <c r="I1101" s="93"/>
      <c r="J1101" s="93"/>
      <c r="K1101" s="93"/>
      <c r="L1101" s="93"/>
      <c r="M1101" s="93"/>
      <c r="N1101" s="93"/>
      <c r="O1101" s="93"/>
      <c r="P1101" s="93"/>
      <c r="Q1101" s="93"/>
      <c r="R1101" s="87"/>
      <c r="S1101" s="87"/>
      <c r="T1101" s="87"/>
      <c r="U1101" s="19"/>
      <c r="V1101" s="87"/>
      <c r="W1101" s="87"/>
      <c r="X1101" s="87"/>
      <c r="Y1101" s="87"/>
      <c r="Z1101" s="87"/>
      <c r="AA1101" s="87"/>
      <c r="AB1101" s="87"/>
      <c r="AC1101" s="87"/>
      <c r="AD1101" s="87"/>
      <c r="AE1101" s="87"/>
      <c r="AF1101" s="87"/>
      <c r="AG1101" s="87"/>
      <c r="AH1101" s="87"/>
      <c r="AI1101" s="87"/>
      <c r="AJ1101" s="87"/>
      <c r="AK1101" s="87"/>
      <c r="AL1101" s="87"/>
      <c r="AM1101" s="87"/>
      <c r="AN1101" s="87"/>
      <c r="AO1101" s="87"/>
      <c r="AP1101" s="87"/>
      <c r="AQ1101" s="87"/>
      <c r="AR1101" s="87"/>
      <c r="AS1101" s="87"/>
      <c r="AT1101" s="87"/>
      <c r="AU1101" s="87"/>
      <c r="AV1101" s="87"/>
      <c r="AW1101" s="87"/>
      <c r="AX1101" s="87"/>
      <c r="AY1101" s="87"/>
      <c r="AZ1101" s="87"/>
      <c r="BA1101" s="87"/>
      <c r="BB1101" s="87"/>
      <c r="BC1101" s="87"/>
      <c r="BD1101" s="87"/>
      <c r="BE1101" s="87"/>
      <c r="BF1101" s="87"/>
      <c r="BG1101" s="87"/>
      <c r="BH1101" s="87"/>
      <c r="BI1101" s="87"/>
      <c r="BJ1101" s="87"/>
      <c r="BK1101" s="87"/>
      <c r="BL1101" s="87"/>
      <c r="BM1101" s="87"/>
      <c r="BN1101" s="87"/>
      <c r="BO1101" s="87"/>
      <c r="BP1101" s="87"/>
      <c r="BQ1101" s="87"/>
      <c r="BR1101" s="87"/>
      <c r="BS1101" s="87"/>
      <c r="BT1101" s="87"/>
      <c r="BU1101" s="87"/>
      <c r="BV1101" s="87"/>
      <c r="BW1101" s="87"/>
      <c r="BX1101" s="87"/>
      <c r="BY1101" s="87"/>
    </row>
    <row r="1102" spans="3:77" x14ac:dyDescent="0.3">
      <c r="C1102" s="90"/>
      <c r="D1102" s="87"/>
      <c r="E1102" s="91"/>
      <c r="F1102" s="92"/>
      <c r="G1102" s="93"/>
      <c r="H1102" s="93"/>
      <c r="I1102" s="93"/>
      <c r="J1102" s="93"/>
      <c r="K1102" s="93"/>
      <c r="L1102" s="93"/>
      <c r="M1102" s="93"/>
      <c r="N1102" s="93"/>
      <c r="O1102" s="93"/>
      <c r="P1102" s="93"/>
      <c r="Q1102" s="93"/>
      <c r="R1102" s="87"/>
      <c r="S1102" s="87"/>
      <c r="T1102" s="87"/>
      <c r="U1102" s="19"/>
      <c r="V1102" s="87"/>
      <c r="W1102" s="87"/>
      <c r="X1102" s="87"/>
      <c r="Y1102" s="87"/>
      <c r="Z1102" s="87"/>
      <c r="AA1102" s="87"/>
      <c r="AB1102" s="87"/>
      <c r="AC1102" s="87"/>
      <c r="AD1102" s="87"/>
      <c r="AE1102" s="87"/>
      <c r="AF1102" s="87"/>
      <c r="AG1102" s="87"/>
      <c r="AH1102" s="87"/>
      <c r="AI1102" s="87"/>
      <c r="AJ1102" s="87"/>
      <c r="AK1102" s="87"/>
      <c r="AL1102" s="87"/>
      <c r="AM1102" s="87"/>
      <c r="AN1102" s="87"/>
      <c r="AO1102" s="87"/>
      <c r="AP1102" s="87"/>
      <c r="AQ1102" s="87"/>
      <c r="AR1102" s="87"/>
      <c r="AS1102" s="87"/>
      <c r="AT1102" s="87"/>
      <c r="AU1102" s="87"/>
      <c r="AV1102" s="87"/>
      <c r="AW1102" s="87"/>
      <c r="AX1102" s="87"/>
      <c r="AY1102" s="87"/>
      <c r="AZ1102" s="87"/>
      <c r="BA1102" s="87"/>
      <c r="BB1102" s="87"/>
      <c r="BC1102" s="87"/>
      <c r="BD1102" s="87"/>
      <c r="BE1102" s="87"/>
      <c r="BF1102" s="87"/>
      <c r="BG1102" s="87"/>
      <c r="BH1102" s="87"/>
      <c r="BI1102" s="87"/>
      <c r="BJ1102" s="87"/>
      <c r="BK1102" s="87"/>
      <c r="BL1102" s="87"/>
      <c r="BM1102" s="87"/>
      <c r="BN1102" s="87"/>
      <c r="BO1102" s="87"/>
      <c r="BP1102" s="87"/>
      <c r="BQ1102" s="87"/>
      <c r="BR1102" s="87"/>
      <c r="BS1102" s="87"/>
      <c r="BT1102" s="87"/>
      <c r="BU1102" s="87"/>
      <c r="BV1102" s="87"/>
      <c r="BW1102" s="87"/>
      <c r="BX1102" s="87"/>
      <c r="BY1102" s="87"/>
    </row>
    <row r="1103" spans="3:77" x14ac:dyDescent="0.3">
      <c r="C1103" s="90"/>
      <c r="D1103" s="87"/>
      <c r="E1103" s="91"/>
      <c r="F1103" s="92"/>
      <c r="G1103" s="93"/>
      <c r="H1103" s="93"/>
      <c r="I1103" s="93"/>
      <c r="J1103" s="93"/>
      <c r="K1103" s="93"/>
      <c r="L1103" s="93"/>
      <c r="M1103" s="93"/>
      <c r="N1103" s="93"/>
      <c r="O1103" s="93"/>
      <c r="P1103" s="93"/>
      <c r="Q1103" s="93"/>
      <c r="R1103" s="87"/>
      <c r="S1103" s="87"/>
      <c r="T1103" s="87"/>
      <c r="U1103" s="19"/>
      <c r="V1103" s="87"/>
      <c r="W1103" s="87"/>
      <c r="X1103" s="87"/>
      <c r="Y1103" s="87"/>
      <c r="Z1103" s="87"/>
      <c r="AA1103" s="87"/>
      <c r="AB1103" s="87"/>
      <c r="AC1103" s="87"/>
      <c r="AD1103" s="87"/>
      <c r="AE1103" s="87"/>
      <c r="AF1103" s="87"/>
      <c r="AG1103" s="87"/>
      <c r="AH1103" s="87"/>
      <c r="AI1103" s="87"/>
      <c r="AJ1103" s="87"/>
      <c r="AK1103" s="87"/>
      <c r="AL1103" s="87"/>
      <c r="AM1103" s="87"/>
      <c r="AN1103" s="87"/>
      <c r="AO1103" s="87"/>
      <c r="AP1103" s="87"/>
      <c r="AQ1103" s="87"/>
      <c r="AR1103" s="87"/>
      <c r="AS1103" s="87"/>
      <c r="AT1103" s="87"/>
      <c r="AU1103" s="87"/>
      <c r="AV1103" s="87"/>
      <c r="AW1103" s="87"/>
      <c r="AX1103" s="87"/>
      <c r="AY1103" s="87"/>
      <c r="AZ1103" s="87"/>
      <c r="BA1103" s="87"/>
      <c r="BB1103" s="87"/>
      <c r="BC1103" s="87"/>
      <c r="BD1103" s="87"/>
      <c r="BE1103" s="87"/>
      <c r="BF1103" s="87"/>
      <c r="BG1103" s="87"/>
      <c r="BH1103" s="87"/>
      <c r="BI1103" s="87"/>
      <c r="BJ1103" s="87"/>
      <c r="BK1103" s="87"/>
      <c r="BL1103" s="87"/>
      <c r="BM1103" s="87"/>
      <c r="BN1103" s="87"/>
      <c r="BO1103" s="87"/>
      <c r="BP1103" s="87"/>
      <c r="BQ1103" s="87"/>
      <c r="BR1103" s="87"/>
      <c r="BS1103" s="87"/>
      <c r="BT1103" s="87"/>
      <c r="BU1103" s="87"/>
      <c r="BV1103" s="87"/>
      <c r="BW1103" s="87"/>
      <c r="BX1103" s="87"/>
      <c r="BY1103" s="87"/>
    </row>
    <row r="1104" spans="3:77" x14ac:dyDescent="0.3">
      <c r="C1104" s="90"/>
      <c r="D1104" s="87"/>
      <c r="E1104" s="91"/>
      <c r="F1104" s="92"/>
      <c r="G1104" s="93"/>
      <c r="H1104" s="93"/>
      <c r="I1104" s="93"/>
      <c r="J1104" s="93"/>
      <c r="K1104" s="93"/>
      <c r="L1104" s="93"/>
      <c r="M1104" s="93"/>
      <c r="N1104" s="93"/>
      <c r="O1104" s="93"/>
      <c r="P1104" s="93"/>
      <c r="Q1104" s="93"/>
      <c r="R1104" s="87"/>
      <c r="S1104" s="87"/>
      <c r="T1104" s="87"/>
      <c r="U1104" s="19"/>
      <c r="V1104" s="87"/>
      <c r="W1104" s="87"/>
      <c r="X1104" s="87"/>
      <c r="Y1104" s="87"/>
      <c r="Z1104" s="87"/>
      <c r="AA1104" s="87"/>
      <c r="AB1104" s="87"/>
      <c r="AC1104" s="87"/>
      <c r="AD1104" s="87"/>
      <c r="AE1104" s="87"/>
      <c r="AF1104" s="87"/>
      <c r="AG1104" s="87"/>
      <c r="AH1104" s="87"/>
      <c r="AI1104" s="87"/>
      <c r="AJ1104" s="87"/>
      <c r="AK1104" s="87"/>
      <c r="AL1104" s="87"/>
      <c r="AM1104" s="87"/>
      <c r="AN1104" s="87"/>
      <c r="AO1104" s="87"/>
      <c r="AP1104" s="87"/>
      <c r="AQ1104" s="87"/>
      <c r="AR1104" s="87"/>
      <c r="AS1104" s="87"/>
      <c r="AT1104" s="87"/>
      <c r="AU1104" s="87"/>
      <c r="AV1104" s="87"/>
      <c r="AW1104" s="87"/>
      <c r="AX1104" s="87"/>
      <c r="AY1104" s="87"/>
      <c r="AZ1104" s="87"/>
      <c r="BA1104" s="87"/>
      <c r="BB1104" s="87"/>
      <c r="BC1104" s="87"/>
      <c r="BD1104" s="87"/>
      <c r="BE1104" s="87"/>
      <c r="BF1104" s="87"/>
      <c r="BG1104" s="87"/>
      <c r="BH1104" s="87"/>
      <c r="BI1104" s="87"/>
      <c r="BJ1104" s="87"/>
      <c r="BK1104" s="87"/>
      <c r="BL1104" s="87"/>
      <c r="BM1104" s="87"/>
      <c r="BN1104" s="87"/>
      <c r="BO1104" s="87"/>
      <c r="BP1104" s="87"/>
      <c r="BQ1104" s="87"/>
      <c r="BR1104" s="87"/>
      <c r="BS1104" s="87"/>
      <c r="BT1104" s="87"/>
      <c r="BU1104" s="87"/>
      <c r="BV1104" s="87"/>
      <c r="BW1104" s="87"/>
      <c r="BX1104" s="87"/>
      <c r="BY1104" s="87"/>
    </row>
    <row r="1105" spans="3:77" x14ac:dyDescent="0.3">
      <c r="C1105" s="90"/>
      <c r="D1105" s="87"/>
      <c r="E1105" s="91"/>
      <c r="F1105" s="92"/>
      <c r="G1105" s="93"/>
      <c r="H1105" s="93"/>
      <c r="I1105" s="93"/>
      <c r="J1105" s="93"/>
      <c r="K1105" s="93"/>
      <c r="L1105" s="93"/>
      <c r="M1105" s="93"/>
      <c r="N1105" s="93"/>
      <c r="O1105" s="93"/>
      <c r="P1105" s="93"/>
      <c r="Q1105" s="93"/>
      <c r="R1105" s="87"/>
      <c r="S1105" s="87"/>
      <c r="T1105" s="87"/>
      <c r="U1105" s="19"/>
      <c r="V1105" s="87"/>
      <c r="W1105" s="87"/>
      <c r="X1105" s="87"/>
      <c r="Y1105" s="87"/>
      <c r="Z1105" s="87"/>
      <c r="AA1105" s="87"/>
      <c r="AB1105" s="87"/>
      <c r="AC1105" s="87"/>
      <c r="AD1105" s="87"/>
      <c r="AE1105" s="87"/>
      <c r="AF1105" s="87"/>
      <c r="AG1105" s="87"/>
      <c r="AH1105" s="87"/>
      <c r="AI1105" s="87"/>
      <c r="AJ1105" s="87"/>
      <c r="AK1105" s="87"/>
      <c r="AL1105" s="87"/>
      <c r="AM1105" s="87"/>
      <c r="AN1105" s="87"/>
      <c r="AO1105" s="87"/>
      <c r="AP1105" s="87"/>
      <c r="AQ1105" s="87"/>
      <c r="AR1105" s="87"/>
      <c r="AS1105" s="87"/>
      <c r="AT1105" s="87"/>
      <c r="AU1105" s="87"/>
      <c r="AV1105" s="87"/>
      <c r="AW1105" s="87"/>
      <c r="AX1105" s="87"/>
      <c r="AY1105" s="87"/>
      <c r="AZ1105" s="87"/>
      <c r="BA1105" s="87"/>
      <c r="BB1105" s="87"/>
      <c r="BC1105" s="87"/>
      <c r="BD1105" s="87"/>
      <c r="BE1105" s="87"/>
      <c r="BF1105" s="87"/>
      <c r="BG1105" s="87"/>
      <c r="BH1105" s="87"/>
      <c r="BI1105" s="87"/>
      <c r="BJ1105" s="87"/>
      <c r="BK1105" s="87"/>
      <c r="BL1105" s="87"/>
      <c r="BM1105" s="87"/>
      <c r="BN1105" s="87"/>
      <c r="BO1105" s="87"/>
      <c r="BP1105" s="87"/>
      <c r="BQ1105" s="87"/>
      <c r="BR1105" s="87"/>
      <c r="BS1105" s="87"/>
      <c r="BT1105" s="87"/>
      <c r="BU1105" s="87"/>
      <c r="BV1105" s="87"/>
      <c r="BW1105" s="87"/>
      <c r="BX1105" s="87"/>
      <c r="BY1105" s="87"/>
    </row>
    <row r="1106" spans="3:77" x14ac:dyDescent="0.3">
      <c r="C1106" s="90"/>
      <c r="D1106" s="87"/>
      <c r="E1106" s="91"/>
      <c r="F1106" s="92"/>
      <c r="G1106" s="93"/>
      <c r="H1106" s="93"/>
      <c r="I1106" s="93"/>
      <c r="J1106" s="93"/>
      <c r="K1106" s="93"/>
      <c r="L1106" s="93"/>
      <c r="M1106" s="93"/>
      <c r="N1106" s="93"/>
      <c r="O1106" s="93"/>
      <c r="P1106" s="93"/>
      <c r="Q1106" s="93"/>
      <c r="R1106" s="87"/>
      <c r="S1106" s="87"/>
      <c r="T1106" s="87"/>
      <c r="U1106" s="19"/>
      <c r="V1106" s="87"/>
      <c r="W1106" s="87"/>
      <c r="X1106" s="87"/>
      <c r="Y1106" s="87"/>
      <c r="Z1106" s="87"/>
      <c r="AA1106" s="87"/>
      <c r="AB1106" s="87"/>
      <c r="AC1106" s="87"/>
      <c r="AD1106" s="87"/>
      <c r="AE1106" s="87"/>
      <c r="AF1106" s="87"/>
      <c r="AG1106" s="87"/>
      <c r="AH1106" s="87"/>
      <c r="AI1106" s="87"/>
      <c r="AJ1106" s="87"/>
      <c r="AK1106" s="87"/>
      <c r="AL1106" s="87"/>
      <c r="AM1106" s="87"/>
      <c r="AN1106" s="87"/>
      <c r="AO1106" s="87"/>
      <c r="AP1106" s="87"/>
      <c r="AQ1106" s="87"/>
      <c r="AR1106" s="87"/>
      <c r="AS1106" s="87"/>
      <c r="AT1106" s="87"/>
      <c r="AU1106" s="87"/>
      <c r="AV1106" s="87"/>
      <c r="AW1106" s="87"/>
      <c r="AX1106" s="87"/>
      <c r="AY1106" s="87"/>
      <c r="AZ1106" s="87"/>
      <c r="BA1106" s="87"/>
      <c r="BB1106" s="87"/>
      <c r="BC1106" s="87"/>
      <c r="BD1106" s="87"/>
      <c r="BE1106" s="87"/>
      <c r="BF1106" s="87"/>
      <c r="BG1106" s="87"/>
      <c r="BH1106" s="87"/>
      <c r="BI1106" s="87"/>
      <c r="BJ1106" s="87"/>
      <c r="BK1106" s="87"/>
      <c r="BL1106" s="87"/>
      <c r="BM1106" s="87"/>
      <c r="BN1106" s="87"/>
      <c r="BO1106" s="87"/>
      <c r="BP1106" s="87"/>
      <c r="BQ1106" s="87"/>
      <c r="BR1106" s="87"/>
      <c r="BS1106" s="87"/>
      <c r="BT1106" s="87"/>
      <c r="BU1106" s="87"/>
      <c r="BV1106" s="87"/>
      <c r="BW1106" s="87"/>
      <c r="BX1106" s="87"/>
      <c r="BY1106" s="87"/>
    </row>
    <row r="1107" spans="3:77" x14ac:dyDescent="0.3">
      <c r="C1107" s="90"/>
      <c r="D1107" s="87"/>
      <c r="E1107" s="91"/>
      <c r="F1107" s="92"/>
      <c r="G1107" s="93"/>
      <c r="H1107" s="93"/>
      <c r="I1107" s="93"/>
      <c r="J1107" s="93"/>
      <c r="K1107" s="93"/>
      <c r="L1107" s="93"/>
      <c r="M1107" s="93"/>
      <c r="N1107" s="93"/>
      <c r="O1107" s="93"/>
      <c r="P1107" s="93"/>
      <c r="Q1107" s="93"/>
      <c r="R1107" s="87"/>
      <c r="S1107" s="87"/>
      <c r="T1107" s="87"/>
      <c r="U1107" s="19"/>
      <c r="V1107" s="87"/>
      <c r="W1107" s="87"/>
      <c r="X1107" s="87"/>
      <c r="Y1107" s="87"/>
      <c r="Z1107" s="87"/>
      <c r="AA1107" s="87"/>
      <c r="AB1107" s="87"/>
      <c r="AC1107" s="87"/>
      <c r="AD1107" s="87"/>
      <c r="AE1107" s="87"/>
      <c r="AF1107" s="87"/>
      <c r="AG1107" s="87"/>
      <c r="AH1107" s="87"/>
      <c r="AI1107" s="87"/>
      <c r="AJ1107" s="87"/>
      <c r="AK1107" s="87"/>
      <c r="AL1107" s="87"/>
      <c r="AM1107" s="87"/>
      <c r="AN1107" s="87"/>
      <c r="AO1107" s="87"/>
      <c r="AP1107" s="87"/>
      <c r="AQ1107" s="87"/>
      <c r="AR1107" s="87"/>
      <c r="AS1107" s="87"/>
      <c r="AT1107" s="87"/>
      <c r="AU1107" s="87"/>
      <c r="AV1107" s="87"/>
      <c r="AW1107" s="87"/>
      <c r="AX1107" s="87"/>
      <c r="AY1107" s="87"/>
      <c r="AZ1107" s="87"/>
      <c r="BA1107" s="87"/>
      <c r="BB1107" s="87"/>
      <c r="BC1107" s="87"/>
      <c r="BD1107" s="87"/>
      <c r="BE1107" s="87"/>
      <c r="BF1107" s="87"/>
      <c r="BG1107" s="87"/>
      <c r="BH1107" s="87"/>
      <c r="BI1107" s="87"/>
      <c r="BJ1107" s="87"/>
      <c r="BK1107" s="87"/>
      <c r="BL1107" s="87"/>
      <c r="BM1107" s="87"/>
      <c r="BN1107" s="87"/>
      <c r="BO1107" s="87"/>
      <c r="BP1107" s="87"/>
      <c r="BQ1107" s="87"/>
      <c r="BR1107" s="87"/>
      <c r="BS1107" s="87"/>
      <c r="BT1107" s="87"/>
      <c r="BU1107" s="87"/>
      <c r="BV1107" s="87"/>
      <c r="BW1107" s="87"/>
      <c r="BX1107" s="87"/>
      <c r="BY1107" s="87"/>
    </row>
    <row r="1108" spans="3:77" x14ac:dyDescent="0.3">
      <c r="C1108" s="90"/>
      <c r="D1108" s="87"/>
      <c r="E1108" s="91"/>
      <c r="F1108" s="92"/>
      <c r="G1108" s="93"/>
      <c r="H1108" s="93"/>
      <c r="I1108" s="93"/>
      <c r="J1108" s="93"/>
      <c r="K1108" s="93"/>
      <c r="L1108" s="93"/>
      <c r="M1108" s="93"/>
      <c r="N1108" s="93"/>
      <c r="O1108" s="93"/>
      <c r="P1108" s="93"/>
      <c r="Q1108" s="93"/>
      <c r="R1108" s="87"/>
      <c r="S1108" s="87"/>
      <c r="T1108" s="87"/>
      <c r="U1108" s="19"/>
      <c r="V1108" s="87"/>
      <c r="W1108" s="87"/>
      <c r="X1108" s="87"/>
      <c r="Y1108" s="87"/>
      <c r="Z1108" s="87"/>
      <c r="AA1108" s="87"/>
      <c r="AB1108" s="87"/>
      <c r="AC1108" s="87"/>
      <c r="AD1108" s="87"/>
      <c r="AE1108" s="87"/>
      <c r="AF1108" s="87"/>
      <c r="AG1108" s="87"/>
      <c r="AH1108" s="87"/>
      <c r="AI1108" s="87"/>
      <c r="AJ1108" s="87"/>
      <c r="AK1108" s="87"/>
      <c r="AL1108" s="87"/>
      <c r="AM1108" s="87"/>
      <c r="AN1108" s="87"/>
      <c r="AO1108" s="87"/>
      <c r="AP1108" s="87"/>
      <c r="AQ1108" s="87"/>
      <c r="AR1108" s="87"/>
      <c r="AS1108" s="87"/>
      <c r="AT1108" s="87"/>
      <c r="AU1108" s="87"/>
      <c r="AV1108" s="87"/>
      <c r="AW1108" s="87"/>
      <c r="AX1108" s="87"/>
      <c r="AY1108" s="87"/>
      <c r="AZ1108" s="87"/>
      <c r="BA1108" s="87"/>
      <c r="BB1108" s="87"/>
      <c r="BC1108" s="87"/>
      <c r="BD1108" s="87"/>
      <c r="BE1108" s="87"/>
      <c r="BF1108" s="87"/>
      <c r="BG1108" s="87"/>
      <c r="BH1108" s="87"/>
      <c r="BI1108" s="87"/>
      <c r="BJ1108" s="87"/>
      <c r="BK1108" s="87"/>
      <c r="BL1108" s="87"/>
      <c r="BM1108" s="87"/>
      <c r="BN1108" s="87"/>
      <c r="BO1108" s="87"/>
      <c r="BP1108" s="87"/>
      <c r="BQ1108" s="87"/>
      <c r="BR1108" s="87"/>
      <c r="BS1108" s="87"/>
      <c r="BT1108" s="87"/>
      <c r="BU1108" s="87"/>
      <c r="BV1108" s="87"/>
      <c r="BW1108" s="87"/>
      <c r="BX1108" s="87"/>
      <c r="BY1108" s="87"/>
    </row>
    <row r="1109" spans="3:77" x14ac:dyDescent="0.3">
      <c r="C1109" s="90"/>
      <c r="D1109" s="87"/>
      <c r="E1109" s="91"/>
      <c r="F1109" s="92"/>
      <c r="G1109" s="93"/>
      <c r="H1109" s="93"/>
      <c r="I1109" s="93"/>
      <c r="J1109" s="93"/>
      <c r="K1109" s="93"/>
      <c r="L1109" s="93"/>
      <c r="M1109" s="93"/>
      <c r="N1109" s="93"/>
      <c r="O1109" s="93"/>
      <c r="P1109" s="93"/>
      <c r="Q1109" s="93"/>
      <c r="R1109" s="87"/>
      <c r="S1109" s="87"/>
      <c r="T1109" s="87"/>
      <c r="U1109" s="19"/>
      <c r="V1109" s="87"/>
      <c r="W1109" s="87"/>
      <c r="X1109" s="87"/>
      <c r="Y1109" s="87"/>
      <c r="Z1109" s="87"/>
      <c r="AA1109" s="87"/>
      <c r="AB1109" s="87"/>
      <c r="AC1109" s="87"/>
      <c r="AD1109" s="87"/>
      <c r="AE1109" s="87"/>
      <c r="AF1109" s="87"/>
      <c r="AG1109" s="87"/>
      <c r="AH1109" s="87"/>
      <c r="AI1109" s="87"/>
      <c r="AJ1109" s="87"/>
      <c r="AK1109" s="87"/>
      <c r="AL1109" s="87"/>
      <c r="AM1109" s="87"/>
      <c r="AN1109" s="87"/>
      <c r="AO1109" s="87"/>
      <c r="AP1109" s="87"/>
      <c r="AQ1109" s="87"/>
      <c r="AR1109" s="87"/>
      <c r="AS1109" s="87"/>
      <c r="AT1109" s="87"/>
      <c r="AU1109" s="87"/>
      <c r="AV1109" s="87"/>
      <c r="AW1109" s="87"/>
      <c r="AX1109" s="87"/>
      <c r="AY1109" s="87"/>
      <c r="AZ1109" s="87"/>
      <c r="BA1109" s="87"/>
      <c r="BB1109" s="87"/>
      <c r="BC1109" s="87"/>
      <c r="BD1109" s="87"/>
      <c r="BE1109" s="87"/>
      <c r="BF1109" s="87"/>
      <c r="BG1109" s="87"/>
      <c r="BH1109" s="87"/>
      <c r="BI1109" s="87"/>
      <c r="BJ1109" s="87"/>
      <c r="BK1109" s="87"/>
      <c r="BL1109" s="87"/>
      <c r="BM1109" s="87"/>
      <c r="BN1109" s="87"/>
      <c r="BO1109" s="87"/>
      <c r="BP1109" s="87"/>
      <c r="BQ1109" s="87"/>
      <c r="BR1109" s="87"/>
      <c r="BS1109" s="87"/>
      <c r="BT1109" s="87"/>
      <c r="BU1109" s="87"/>
      <c r="BV1109" s="87"/>
      <c r="BW1109" s="87"/>
      <c r="BX1109" s="87"/>
      <c r="BY1109" s="87"/>
    </row>
    <row r="1110" spans="3:77" x14ac:dyDescent="0.3">
      <c r="C1110" s="90"/>
      <c r="D1110" s="87"/>
      <c r="E1110" s="91"/>
      <c r="F1110" s="92"/>
      <c r="G1110" s="93"/>
      <c r="H1110" s="93"/>
      <c r="I1110" s="93"/>
      <c r="J1110" s="93"/>
      <c r="K1110" s="93"/>
      <c r="L1110" s="93"/>
      <c r="M1110" s="93"/>
      <c r="N1110" s="93"/>
      <c r="O1110" s="93"/>
      <c r="P1110" s="93"/>
      <c r="Q1110" s="93"/>
      <c r="R1110" s="87"/>
      <c r="S1110" s="87"/>
      <c r="T1110" s="87"/>
      <c r="U1110" s="19"/>
      <c r="V1110" s="87"/>
      <c r="W1110" s="87"/>
      <c r="X1110" s="87"/>
      <c r="Y1110" s="87"/>
      <c r="Z1110" s="87"/>
      <c r="AA1110" s="87"/>
      <c r="AB1110" s="87"/>
      <c r="AC1110" s="87"/>
      <c r="AD1110" s="87"/>
      <c r="AE1110" s="87"/>
      <c r="AF1110" s="87"/>
      <c r="AG1110" s="87"/>
      <c r="AH1110" s="87"/>
      <c r="AI1110" s="87"/>
      <c r="AJ1110" s="87"/>
      <c r="AK1110" s="87"/>
      <c r="AL1110" s="87"/>
      <c r="AM1110" s="87"/>
      <c r="AN1110" s="87"/>
      <c r="AO1110" s="87"/>
      <c r="AP1110" s="87"/>
      <c r="AQ1110" s="87"/>
      <c r="AR1110" s="87"/>
      <c r="AS1110" s="87"/>
      <c r="AT1110" s="87"/>
      <c r="AU1110" s="87"/>
      <c r="AV1110" s="87"/>
      <c r="AW1110" s="87"/>
      <c r="AX1110" s="87"/>
      <c r="AY1110" s="87"/>
      <c r="AZ1110" s="87"/>
      <c r="BA1110" s="87"/>
      <c r="BB1110" s="87"/>
      <c r="BC1110" s="87"/>
      <c r="BD1110" s="87"/>
      <c r="BE1110" s="87"/>
      <c r="BF1110" s="87"/>
      <c r="BG1110" s="87"/>
      <c r="BH1110" s="87"/>
      <c r="BI1110" s="87"/>
      <c r="BJ1110" s="87"/>
      <c r="BK1110" s="87"/>
      <c r="BL1110" s="87"/>
      <c r="BM1110" s="87"/>
      <c r="BN1110" s="87"/>
      <c r="BO1110" s="87"/>
      <c r="BP1110" s="87"/>
      <c r="BQ1110" s="87"/>
      <c r="BR1110" s="87"/>
      <c r="BS1110" s="87"/>
      <c r="BT1110" s="87"/>
      <c r="BU1110" s="87"/>
      <c r="BV1110" s="87"/>
      <c r="BW1110" s="87"/>
      <c r="BX1110" s="87"/>
      <c r="BY1110" s="87"/>
    </row>
    <row r="1111" spans="3:77" x14ac:dyDescent="0.3">
      <c r="C1111" s="90"/>
      <c r="D1111" s="87"/>
      <c r="E1111" s="91"/>
      <c r="F1111" s="92"/>
      <c r="G1111" s="93"/>
      <c r="H1111" s="93"/>
      <c r="I1111" s="93"/>
      <c r="J1111" s="93"/>
      <c r="K1111" s="93"/>
      <c r="L1111" s="93"/>
      <c r="M1111" s="93"/>
      <c r="N1111" s="93"/>
      <c r="O1111" s="93"/>
      <c r="P1111" s="93"/>
      <c r="Q1111" s="93"/>
      <c r="R1111" s="87"/>
      <c r="S1111" s="87"/>
      <c r="T1111" s="87"/>
      <c r="U1111" s="19"/>
      <c r="V1111" s="87"/>
      <c r="W1111" s="87"/>
      <c r="X1111" s="87"/>
      <c r="Y1111" s="87"/>
      <c r="Z1111" s="87"/>
      <c r="AA1111" s="87"/>
      <c r="AB1111" s="87"/>
      <c r="AC1111" s="87"/>
      <c r="AD1111" s="87"/>
      <c r="AE1111" s="87"/>
      <c r="AF1111" s="87"/>
      <c r="AG1111" s="87"/>
      <c r="AH1111" s="87"/>
      <c r="AI1111" s="87"/>
      <c r="AJ1111" s="87"/>
      <c r="AK1111" s="87"/>
      <c r="AL1111" s="87"/>
      <c r="AM1111" s="87"/>
      <c r="AN1111" s="87"/>
      <c r="AO1111" s="87"/>
      <c r="AP1111" s="87"/>
      <c r="AQ1111" s="87"/>
      <c r="AR1111" s="87"/>
      <c r="AS1111" s="87"/>
      <c r="AT1111" s="87"/>
      <c r="AU1111" s="87"/>
      <c r="AV1111" s="87"/>
      <c r="AW1111" s="87"/>
      <c r="AX1111" s="87"/>
      <c r="AY1111" s="87"/>
      <c r="AZ1111" s="87"/>
      <c r="BA1111" s="87"/>
      <c r="BB1111" s="87"/>
      <c r="BC1111" s="87"/>
      <c r="BD1111" s="87"/>
      <c r="BE1111" s="87"/>
      <c r="BF1111" s="87"/>
      <c r="BG1111" s="87"/>
      <c r="BH1111" s="87"/>
      <c r="BI1111" s="87"/>
      <c r="BJ1111" s="87"/>
      <c r="BK1111" s="87"/>
      <c r="BL1111" s="87"/>
      <c r="BM1111" s="87"/>
      <c r="BN1111" s="87"/>
      <c r="BO1111" s="87"/>
      <c r="BP1111" s="87"/>
      <c r="BQ1111" s="87"/>
      <c r="BR1111" s="87"/>
      <c r="BS1111" s="87"/>
      <c r="BT1111" s="87"/>
      <c r="BU1111" s="87"/>
      <c r="BV1111" s="87"/>
      <c r="BW1111" s="87"/>
      <c r="BX1111" s="87"/>
      <c r="BY1111" s="87"/>
    </row>
    <row r="1112" spans="3:77" x14ac:dyDescent="0.3">
      <c r="C1112" s="90"/>
      <c r="D1112" s="87"/>
      <c r="E1112" s="91"/>
      <c r="F1112" s="92"/>
      <c r="G1112" s="93"/>
      <c r="H1112" s="93"/>
      <c r="I1112" s="93"/>
      <c r="J1112" s="93"/>
      <c r="K1112" s="93"/>
      <c r="L1112" s="93"/>
      <c r="M1112" s="93"/>
      <c r="N1112" s="93"/>
      <c r="O1112" s="93"/>
      <c r="P1112" s="93"/>
      <c r="Q1112" s="93"/>
      <c r="R1112" s="87"/>
      <c r="S1112" s="87"/>
      <c r="T1112" s="87"/>
      <c r="U1112" s="19"/>
      <c r="V1112" s="87"/>
      <c r="W1112" s="87"/>
      <c r="X1112" s="87"/>
      <c r="Y1112" s="87"/>
      <c r="Z1112" s="87"/>
      <c r="AA1112" s="87"/>
      <c r="AB1112" s="87"/>
      <c r="AC1112" s="87"/>
      <c r="AD1112" s="87"/>
      <c r="AE1112" s="87"/>
      <c r="AF1112" s="87"/>
      <c r="AG1112" s="87"/>
      <c r="AH1112" s="87"/>
      <c r="AI1112" s="87"/>
      <c r="AJ1112" s="87"/>
      <c r="AK1112" s="87"/>
      <c r="AL1112" s="87"/>
      <c r="AM1112" s="87"/>
      <c r="AN1112" s="87"/>
      <c r="AO1112" s="87"/>
      <c r="AP1112" s="87"/>
      <c r="AQ1112" s="87"/>
      <c r="AR1112" s="87"/>
      <c r="AS1112" s="87"/>
      <c r="AT1112" s="87"/>
      <c r="AU1112" s="87"/>
      <c r="AV1112" s="87"/>
      <c r="AW1112" s="87"/>
      <c r="AX1112" s="87"/>
      <c r="AY1112" s="87"/>
      <c r="AZ1112" s="87"/>
      <c r="BA1112" s="87"/>
      <c r="BB1112" s="87"/>
      <c r="BC1112" s="87"/>
      <c r="BD1112" s="87"/>
      <c r="BE1112" s="87"/>
      <c r="BF1112" s="87"/>
      <c r="BG1112" s="87"/>
      <c r="BH1112" s="87"/>
      <c r="BI1112" s="87"/>
      <c r="BJ1112" s="87"/>
      <c r="BK1112" s="87"/>
      <c r="BL1112" s="87"/>
      <c r="BM1112" s="87"/>
      <c r="BN1112" s="87"/>
      <c r="BO1112" s="87"/>
      <c r="BP1112" s="87"/>
      <c r="BQ1112" s="87"/>
      <c r="BR1112" s="87"/>
      <c r="BS1112" s="87"/>
      <c r="BT1112" s="87"/>
      <c r="BU1112" s="87"/>
      <c r="BV1112" s="87"/>
      <c r="BW1112" s="87"/>
      <c r="BX1112" s="87"/>
      <c r="BY1112" s="87"/>
    </row>
    <row r="1113" spans="3:77" x14ac:dyDescent="0.3">
      <c r="C1113" s="90"/>
      <c r="D1113" s="87"/>
      <c r="E1113" s="91"/>
      <c r="F1113" s="92"/>
      <c r="G1113" s="93"/>
      <c r="H1113" s="93"/>
      <c r="I1113" s="93"/>
      <c r="J1113" s="93"/>
      <c r="K1113" s="93"/>
      <c r="L1113" s="93"/>
      <c r="M1113" s="93"/>
      <c r="N1113" s="93"/>
      <c r="O1113" s="93"/>
      <c r="P1113" s="93"/>
      <c r="Q1113" s="93"/>
      <c r="R1113" s="87"/>
      <c r="S1113" s="87"/>
      <c r="T1113" s="87"/>
      <c r="U1113" s="19"/>
      <c r="V1113" s="87"/>
      <c r="W1113" s="87"/>
      <c r="X1113" s="87"/>
      <c r="Y1113" s="87"/>
      <c r="Z1113" s="87"/>
      <c r="AA1113" s="87"/>
      <c r="AB1113" s="87"/>
      <c r="AC1113" s="87"/>
      <c r="AD1113" s="87"/>
      <c r="AE1113" s="87"/>
      <c r="AF1113" s="87"/>
      <c r="AG1113" s="87"/>
      <c r="AH1113" s="87"/>
      <c r="AI1113" s="87"/>
      <c r="AJ1113" s="87"/>
      <c r="AK1113" s="87"/>
      <c r="AL1113" s="87"/>
      <c r="AM1113" s="87"/>
      <c r="AN1113" s="87"/>
      <c r="AO1113" s="87"/>
      <c r="AP1113" s="87"/>
      <c r="AQ1113" s="87"/>
      <c r="AR1113" s="87"/>
      <c r="AS1113" s="87"/>
      <c r="AT1113" s="87"/>
      <c r="AU1113" s="87"/>
      <c r="AV1113" s="87"/>
      <c r="AW1113" s="87"/>
      <c r="AX1113" s="87"/>
      <c r="AY1113" s="87"/>
      <c r="AZ1113" s="87"/>
      <c r="BA1113" s="87"/>
      <c r="BB1113" s="87"/>
      <c r="BC1113" s="87"/>
      <c r="BD1113" s="87"/>
      <c r="BE1113" s="87"/>
      <c r="BF1113" s="87"/>
      <c r="BG1113" s="87"/>
      <c r="BH1113" s="87"/>
      <c r="BI1113" s="87"/>
      <c r="BJ1113" s="87"/>
      <c r="BK1113" s="87"/>
      <c r="BL1113" s="87"/>
      <c r="BM1113" s="87"/>
      <c r="BN1113" s="87"/>
      <c r="BO1113" s="87"/>
      <c r="BP1113" s="87"/>
      <c r="BQ1113" s="87"/>
      <c r="BR1113" s="87"/>
      <c r="BS1113" s="87"/>
      <c r="BT1113" s="87"/>
      <c r="BU1113" s="87"/>
      <c r="BV1113" s="87"/>
      <c r="BW1113" s="87"/>
      <c r="BX1113" s="87"/>
      <c r="BY1113" s="87"/>
    </row>
    <row r="1114" spans="3:77" x14ac:dyDescent="0.3">
      <c r="C1114" s="90"/>
      <c r="D1114" s="87"/>
      <c r="E1114" s="91"/>
      <c r="F1114" s="92"/>
      <c r="G1114" s="93"/>
      <c r="H1114" s="93"/>
      <c r="I1114" s="93"/>
      <c r="J1114" s="93"/>
      <c r="K1114" s="93"/>
      <c r="L1114" s="93"/>
      <c r="M1114" s="93"/>
      <c r="N1114" s="93"/>
      <c r="O1114" s="93"/>
      <c r="P1114" s="93"/>
      <c r="Q1114" s="93"/>
      <c r="R1114" s="87"/>
      <c r="S1114" s="87"/>
      <c r="T1114" s="87"/>
      <c r="U1114" s="19"/>
      <c r="V1114" s="87"/>
      <c r="W1114" s="87"/>
      <c r="X1114" s="87"/>
      <c r="Y1114" s="87"/>
      <c r="Z1114" s="87"/>
      <c r="AA1114" s="87"/>
      <c r="AB1114" s="87"/>
      <c r="AC1114" s="87"/>
      <c r="AD1114" s="87"/>
      <c r="AE1114" s="87"/>
      <c r="AF1114" s="87"/>
      <c r="AG1114" s="87"/>
      <c r="AH1114" s="87"/>
      <c r="AI1114" s="87"/>
      <c r="AJ1114" s="87"/>
      <c r="AK1114" s="87"/>
      <c r="AL1114" s="87"/>
      <c r="AM1114" s="87"/>
      <c r="AN1114" s="87"/>
      <c r="AO1114" s="87"/>
      <c r="AP1114" s="87"/>
      <c r="AQ1114" s="87"/>
      <c r="AR1114" s="87"/>
      <c r="AS1114" s="87"/>
      <c r="AT1114" s="87"/>
      <c r="AU1114" s="87"/>
      <c r="AV1114" s="87"/>
      <c r="AW1114" s="87"/>
      <c r="AX1114" s="87"/>
      <c r="AY1114" s="87"/>
      <c r="AZ1114" s="87"/>
      <c r="BA1114" s="87"/>
      <c r="BB1114" s="87"/>
      <c r="BC1114" s="87"/>
      <c r="BD1114" s="87"/>
      <c r="BE1114" s="87"/>
      <c r="BF1114" s="87"/>
      <c r="BG1114" s="87"/>
      <c r="BH1114" s="87"/>
      <c r="BI1114" s="87"/>
      <c r="BJ1114" s="87"/>
      <c r="BK1114" s="87"/>
      <c r="BL1114" s="87"/>
      <c r="BM1114" s="87"/>
      <c r="BN1114" s="87"/>
      <c r="BO1114" s="87"/>
      <c r="BP1114" s="87"/>
      <c r="BQ1114" s="87"/>
      <c r="BR1114" s="87"/>
      <c r="BS1114" s="87"/>
      <c r="BT1114" s="87"/>
      <c r="BU1114" s="87"/>
      <c r="BV1114" s="87"/>
      <c r="BW1114" s="87"/>
      <c r="BX1114" s="87"/>
      <c r="BY1114" s="87"/>
    </row>
    <row r="1115" spans="3:77" x14ac:dyDescent="0.3">
      <c r="C1115" s="90"/>
      <c r="D1115" s="87"/>
      <c r="E1115" s="91"/>
      <c r="F1115" s="92"/>
      <c r="G1115" s="93"/>
      <c r="H1115" s="93"/>
      <c r="I1115" s="93"/>
      <c r="J1115" s="93"/>
      <c r="K1115" s="93"/>
      <c r="L1115" s="93"/>
      <c r="M1115" s="93"/>
      <c r="N1115" s="93"/>
      <c r="O1115" s="93"/>
      <c r="P1115" s="93"/>
      <c r="Q1115" s="93"/>
      <c r="R1115" s="87"/>
      <c r="S1115" s="87"/>
      <c r="T1115" s="87"/>
      <c r="U1115" s="19"/>
      <c r="V1115" s="87"/>
      <c r="W1115" s="87"/>
      <c r="X1115" s="87"/>
      <c r="Y1115" s="87"/>
      <c r="Z1115" s="87"/>
      <c r="AA1115" s="87"/>
      <c r="AB1115" s="87"/>
      <c r="AC1115" s="87"/>
      <c r="AD1115" s="87"/>
      <c r="AE1115" s="87"/>
      <c r="AF1115" s="87"/>
      <c r="AG1115" s="87"/>
      <c r="AH1115" s="87"/>
      <c r="AI1115" s="87"/>
      <c r="AJ1115" s="87"/>
      <c r="AK1115" s="87"/>
      <c r="AL1115" s="87"/>
      <c r="AM1115" s="87"/>
      <c r="AN1115" s="87"/>
      <c r="AO1115" s="87"/>
      <c r="AP1115" s="87"/>
      <c r="AQ1115" s="87"/>
      <c r="AR1115" s="87"/>
      <c r="AS1115" s="87"/>
      <c r="AT1115" s="87"/>
      <c r="AU1115" s="87"/>
      <c r="AV1115" s="87"/>
      <c r="AW1115" s="87"/>
      <c r="AX1115" s="87"/>
      <c r="AY1115" s="87"/>
      <c r="AZ1115" s="87"/>
      <c r="BA1115" s="87"/>
      <c r="BB1115" s="87"/>
      <c r="BC1115" s="87"/>
      <c r="BD1115" s="87"/>
      <c r="BE1115" s="87"/>
      <c r="BF1115" s="87"/>
      <c r="BG1115" s="87"/>
      <c r="BH1115" s="87"/>
      <c r="BI1115" s="87"/>
      <c r="BJ1115" s="87"/>
      <c r="BK1115" s="87"/>
      <c r="BL1115" s="87"/>
      <c r="BM1115" s="87"/>
      <c r="BN1115" s="87"/>
      <c r="BO1115" s="87"/>
      <c r="BP1115" s="87"/>
      <c r="BQ1115" s="87"/>
      <c r="BR1115" s="87"/>
      <c r="BS1115" s="87"/>
      <c r="BT1115" s="87"/>
      <c r="BU1115" s="87"/>
      <c r="BV1115" s="87"/>
      <c r="BW1115" s="87"/>
      <c r="BX1115" s="87"/>
      <c r="BY1115" s="87"/>
    </row>
    <row r="1116" spans="3:77" x14ac:dyDescent="0.3">
      <c r="C1116" s="90"/>
      <c r="D1116" s="87"/>
      <c r="E1116" s="91"/>
      <c r="F1116" s="92"/>
      <c r="G1116" s="93"/>
      <c r="H1116" s="93"/>
      <c r="I1116" s="93"/>
      <c r="J1116" s="93"/>
      <c r="K1116" s="93"/>
      <c r="L1116" s="93"/>
      <c r="M1116" s="93"/>
      <c r="N1116" s="93"/>
      <c r="O1116" s="93"/>
      <c r="P1116" s="93"/>
      <c r="Q1116" s="93"/>
      <c r="R1116" s="87"/>
      <c r="S1116" s="87"/>
      <c r="T1116" s="87"/>
      <c r="U1116" s="19"/>
      <c r="V1116" s="87"/>
      <c r="W1116" s="87"/>
      <c r="X1116" s="87"/>
      <c r="Y1116" s="87"/>
      <c r="Z1116" s="87"/>
      <c r="AA1116" s="87"/>
      <c r="AB1116" s="87"/>
      <c r="AC1116" s="87"/>
      <c r="AD1116" s="87"/>
      <c r="AE1116" s="87"/>
      <c r="AF1116" s="87"/>
      <c r="AG1116" s="87"/>
      <c r="AH1116" s="87"/>
      <c r="AI1116" s="87"/>
      <c r="AJ1116" s="87"/>
      <c r="AK1116" s="87"/>
      <c r="AL1116" s="87"/>
      <c r="AM1116" s="87"/>
      <c r="AN1116" s="87"/>
      <c r="AO1116" s="87"/>
      <c r="AP1116" s="87"/>
      <c r="AQ1116" s="87"/>
      <c r="AR1116" s="87"/>
      <c r="AS1116" s="87"/>
      <c r="AT1116" s="87"/>
      <c r="AU1116" s="87"/>
      <c r="AV1116" s="87"/>
      <c r="AW1116" s="87"/>
      <c r="AX1116" s="87"/>
      <c r="AY1116" s="87"/>
      <c r="AZ1116" s="87"/>
      <c r="BA1116" s="87"/>
      <c r="BB1116" s="87"/>
      <c r="BC1116" s="87"/>
      <c r="BD1116" s="87"/>
      <c r="BE1116" s="87"/>
      <c r="BF1116" s="87"/>
      <c r="BG1116" s="87"/>
      <c r="BH1116" s="87"/>
      <c r="BI1116" s="87"/>
      <c r="BJ1116" s="87"/>
      <c r="BK1116" s="87"/>
      <c r="BL1116" s="87"/>
      <c r="BM1116" s="87"/>
      <c r="BN1116" s="87"/>
      <c r="BO1116" s="87"/>
      <c r="BP1116" s="87"/>
      <c r="BQ1116" s="87"/>
      <c r="BR1116" s="87"/>
      <c r="BS1116" s="87"/>
      <c r="BT1116" s="87"/>
      <c r="BU1116" s="87"/>
      <c r="BV1116" s="87"/>
      <c r="BW1116" s="87"/>
      <c r="BX1116" s="87"/>
      <c r="BY1116" s="87"/>
    </row>
    <row r="1117" spans="3:77" x14ac:dyDescent="0.3">
      <c r="C1117" s="90"/>
      <c r="D1117" s="87"/>
      <c r="E1117" s="91"/>
      <c r="F1117" s="92"/>
      <c r="G1117" s="93"/>
      <c r="H1117" s="93"/>
      <c r="I1117" s="93"/>
      <c r="J1117" s="93"/>
      <c r="K1117" s="93"/>
      <c r="L1117" s="93"/>
      <c r="M1117" s="93"/>
      <c r="N1117" s="93"/>
      <c r="O1117" s="93"/>
      <c r="P1117" s="93"/>
      <c r="Q1117" s="93"/>
      <c r="R1117" s="87"/>
      <c r="S1117" s="87"/>
      <c r="T1117" s="87"/>
      <c r="U1117" s="19"/>
      <c r="V1117" s="87"/>
      <c r="W1117" s="87"/>
      <c r="X1117" s="87"/>
      <c r="Y1117" s="87"/>
      <c r="Z1117" s="87"/>
      <c r="AA1117" s="87"/>
      <c r="AB1117" s="87"/>
      <c r="AC1117" s="87"/>
      <c r="AD1117" s="87"/>
      <c r="AE1117" s="87"/>
      <c r="AF1117" s="87"/>
      <c r="AG1117" s="87"/>
      <c r="AH1117" s="87"/>
      <c r="AI1117" s="87"/>
      <c r="AJ1117" s="87"/>
      <c r="AK1117" s="87"/>
      <c r="AL1117" s="87"/>
      <c r="AM1117" s="87"/>
      <c r="AN1117" s="87"/>
      <c r="AO1117" s="87"/>
      <c r="AP1117" s="87"/>
      <c r="AQ1117" s="87"/>
      <c r="AR1117" s="87"/>
      <c r="AS1117" s="87"/>
      <c r="AT1117" s="87"/>
      <c r="AU1117" s="87"/>
      <c r="AV1117" s="87"/>
      <c r="AW1117" s="87"/>
      <c r="AX1117" s="87"/>
      <c r="AY1117" s="87"/>
      <c r="AZ1117" s="87"/>
      <c r="BA1117" s="87"/>
      <c r="BB1117" s="87"/>
      <c r="BC1117" s="87"/>
      <c r="BD1117" s="87"/>
      <c r="BE1117" s="87"/>
      <c r="BF1117" s="87"/>
      <c r="BG1117" s="87"/>
      <c r="BH1117" s="87"/>
      <c r="BI1117" s="87"/>
      <c r="BJ1117" s="87"/>
      <c r="BK1117" s="87"/>
      <c r="BL1117" s="87"/>
      <c r="BM1117" s="87"/>
      <c r="BN1117" s="87"/>
      <c r="BO1117" s="87"/>
      <c r="BP1117" s="87"/>
      <c r="BQ1117" s="87"/>
      <c r="BR1117" s="87"/>
      <c r="BS1117" s="87"/>
      <c r="BT1117" s="87"/>
      <c r="BU1117" s="87"/>
      <c r="BV1117" s="87"/>
      <c r="BW1117" s="87"/>
      <c r="BX1117" s="87"/>
      <c r="BY1117" s="87"/>
    </row>
    <row r="1118" spans="3:77" x14ac:dyDescent="0.3">
      <c r="C1118" s="90"/>
      <c r="D1118" s="87"/>
      <c r="E1118" s="91"/>
      <c r="F1118" s="92"/>
      <c r="G1118" s="93"/>
      <c r="H1118" s="93"/>
      <c r="I1118" s="93"/>
      <c r="J1118" s="93"/>
      <c r="K1118" s="93"/>
      <c r="L1118" s="93"/>
      <c r="M1118" s="93"/>
      <c r="N1118" s="93"/>
      <c r="O1118" s="93"/>
      <c r="P1118" s="93"/>
      <c r="Q1118" s="93"/>
      <c r="R1118" s="87"/>
      <c r="S1118" s="87"/>
      <c r="T1118" s="87"/>
      <c r="U1118" s="19"/>
      <c r="V1118" s="87"/>
      <c r="W1118" s="87"/>
      <c r="X1118" s="87"/>
      <c r="Y1118" s="87"/>
      <c r="Z1118" s="87"/>
      <c r="AA1118" s="87"/>
      <c r="AB1118" s="87"/>
      <c r="AC1118" s="87"/>
      <c r="AD1118" s="87"/>
      <c r="AE1118" s="87"/>
      <c r="AF1118" s="87"/>
      <c r="AG1118" s="87"/>
      <c r="AH1118" s="87"/>
      <c r="AI1118" s="87"/>
      <c r="AJ1118" s="87"/>
      <c r="AK1118" s="87"/>
      <c r="AL1118" s="87"/>
      <c r="AM1118" s="87"/>
      <c r="AN1118" s="87"/>
      <c r="AO1118" s="87"/>
      <c r="AP1118" s="87"/>
      <c r="AQ1118" s="87"/>
      <c r="AR1118" s="87"/>
      <c r="AS1118" s="87"/>
      <c r="AT1118" s="87"/>
      <c r="AU1118" s="87"/>
      <c r="AV1118" s="87"/>
      <c r="AW1118" s="87"/>
      <c r="AX1118" s="87"/>
      <c r="AY1118" s="87"/>
      <c r="AZ1118" s="87"/>
      <c r="BA1118" s="87"/>
      <c r="BB1118" s="87"/>
      <c r="BC1118" s="87"/>
      <c r="BD1118" s="87"/>
      <c r="BE1118" s="87"/>
      <c r="BF1118" s="87"/>
      <c r="BG1118" s="87"/>
      <c r="BH1118" s="87"/>
      <c r="BI1118" s="87"/>
      <c r="BJ1118" s="87"/>
      <c r="BK1118" s="87"/>
      <c r="BL1118" s="87"/>
      <c r="BM1118" s="87"/>
      <c r="BN1118" s="87"/>
      <c r="BO1118" s="87"/>
      <c r="BP1118" s="87"/>
      <c r="BQ1118" s="87"/>
      <c r="BR1118" s="87"/>
      <c r="BS1118" s="87"/>
      <c r="BT1118" s="87"/>
      <c r="BU1118" s="87"/>
      <c r="BV1118" s="87"/>
      <c r="BW1118" s="87"/>
      <c r="BX1118" s="87"/>
      <c r="BY1118" s="87"/>
    </row>
    <row r="1119" spans="3:77" x14ac:dyDescent="0.3">
      <c r="C1119" s="90"/>
      <c r="D1119" s="87"/>
      <c r="E1119" s="91"/>
      <c r="F1119" s="92"/>
      <c r="G1119" s="93"/>
      <c r="H1119" s="93"/>
      <c r="I1119" s="93"/>
      <c r="J1119" s="93"/>
      <c r="K1119" s="93"/>
      <c r="L1119" s="93"/>
      <c r="M1119" s="93"/>
      <c r="N1119" s="93"/>
      <c r="O1119" s="93"/>
      <c r="P1119" s="93"/>
      <c r="Q1119" s="93"/>
      <c r="R1119" s="87"/>
      <c r="S1119" s="87"/>
      <c r="T1119" s="87"/>
      <c r="U1119" s="19"/>
      <c r="V1119" s="87"/>
      <c r="W1119" s="87"/>
      <c r="X1119" s="87"/>
      <c r="Y1119" s="87"/>
      <c r="Z1119" s="87"/>
      <c r="AA1119" s="87"/>
      <c r="AB1119" s="87"/>
      <c r="AC1119" s="87"/>
      <c r="AD1119" s="87"/>
      <c r="AE1119" s="87"/>
      <c r="AF1119" s="87"/>
      <c r="AG1119" s="87"/>
      <c r="AH1119" s="87"/>
      <c r="AI1119" s="87"/>
      <c r="AJ1119" s="87"/>
      <c r="AK1119" s="87"/>
      <c r="AL1119" s="87"/>
      <c r="AM1119" s="87"/>
      <c r="AN1119" s="87"/>
      <c r="AO1119" s="87"/>
      <c r="AP1119" s="87"/>
      <c r="AQ1119" s="87"/>
      <c r="AR1119" s="87"/>
      <c r="AS1119" s="87"/>
      <c r="AT1119" s="87"/>
      <c r="AU1119" s="87"/>
      <c r="AV1119" s="87"/>
      <c r="AW1119" s="87"/>
      <c r="AX1119" s="87"/>
      <c r="AY1119" s="87"/>
      <c r="AZ1119" s="87"/>
      <c r="BA1119" s="87"/>
      <c r="BB1119" s="87"/>
      <c r="BC1119" s="87"/>
      <c r="BD1119" s="87"/>
      <c r="BE1119" s="87"/>
      <c r="BF1119" s="87"/>
      <c r="BG1119" s="87"/>
      <c r="BH1119" s="87"/>
      <c r="BI1119" s="87"/>
      <c r="BJ1119" s="87"/>
      <c r="BK1119" s="87"/>
      <c r="BL1119" s="87"/>
      <c r="BM1119" s="87"/>
      <c r="BN1119" s="87"/>
      <c r="BO1119" s="87"/>
      <c r="BP1119" s="87"/>
      <c r="BQ1119" s="87"/>
      <c r="BR1119" s="87"/>
      <c r="BS1119" s="87"/>
      <c r="BT1119" s="87"/>
      <c r="BU1119" s="87"/>
      <c r="BV1119" s="87"/>
      <c r="BW1119" s="87"/>
      <c r="BX1119" s="87"/>
      <c r="BY1119" s="87"/>
    </row>
    <row r="1120" spans="3:77" x14ac:dyDescent="0.3">
      <c r="C1120" s="90"/>
      <c r="D1120" s="87"/>
      <c r="E1120" s="91"/>
      <c r="F1120" s="92"/>
      <c r="G1120" s="93"/>
      <c r="H1120" s="93"/>
      <c r="I1120" s="93"/>
      <c r="J1120" s="93"/>
      <c r="K1120" s="93"/>
      <c r="L1120" s="93"/>
      <c r="M1120" s="93"/>
      <c r="N1120" s="93"/>
      <c r="O1120" s="93"/>
      <c r="P1120" s="93"/>
      <c r="Q1120" s="93"/>
      <c r="R1120" s="87"/>
      <c r="S1120" s="87"/>
      <c r="T1120" s="87"/>
      <c r="U1120" s="19"/>
      <c r="V1120" s="87"/>
      <c r="W1120" s="87"/>
      <c r="X1120" s="87"/>
      <c r="Y1120" s="87"/>
      <c r="Z1120" s="87"/>
      <c r="AA1120" s="87"/>
      <c r="AB1120" s="87"/>
      <c r="AC1120" s="87"/>
      <c r="AD1120" s="87"/>
      <c r="AE1120" s="87"/>
      <c r="AF1120" s="87"/>
      <c r="AG1120" s="87"/>
      <c r="AH1120" s="87"/>
      <c r="AI1120" s="87"/>
      <c r="AJ1120" s="87"/>
      <c r="AK1120" s="87"/>
      <c r="AL1120" s="87"/>
      <c r="AM1120" s="87"/>
      <c r="AN1120" s="87"/>
      <c r="AO1120" s="87"/>
      <c r="AP1120" s="87"/>
      <c r="AQ1120" s="87"/>
      <c r="AR1120" s="87"/>
      <c r="AS1120" s="87"/>
      <c r="AT1120" s="87"/>
      <c r="AU1120" s="87"/>
      <c r="AV1120" s="87"/>
      <c r="AW1120" s="87"/>
      <c r="AX1120" s="87"/>
      <c r="AY1120" s="87"/>
      <c r="AZ1120" s="87"/>
      <c r="BA1120" s="87"/>
      <c r="BB1120" s="87"/>
      <c r="BC1120" s="87"/>
      <c r="BD1120" s="87"/>
      <c r="BE1120" s="87"/>
      <c r="BF1120" s="87"/>
      <c r="BG1120" s="87"/>
      <c r="BH1120" s="87"/>
      <c r="BI1120" s="87"/>
      <c r="BJ1120" s="87"/>
      <c r="BK1120" s="87"/>
      <c r="BL1120" s="87"/>
      <c r="BM1120" s="87"/>
      <c r="BN1120" s="87"/>
      <c r="BO1120" s="87"/>
      <c r="BP1120" s="87"/>
      <c r="BQ1120" s="87"/>
      <c r="BR1120" s="87"/>
      <c r="BS1120" s="87"/>
      <c r="BT1120" s="87"/>
      <c r="BU1120" s="87"/>
      <c r="BV1120" s="87"/>
      <c r="BW1120" s="87"/>
      <c r="BX1120" s="87"/>
      <c r="BY1120" s="87"/>
    </row>
    <row r="1121" spans="3:77" x14ac:dyDescent="0.3">
      <c r="C1121" s="90"/>
      <c r="D1121" s="87"/>
      <c r="E1121" s="91"/>
      <c r="F1121" s="92"/>
      <c r="G1121" s="93"/>
      <c r="H1121" s="93"/>
      <c r="I1121" s="93"/>
      <c r="J1121" s="93"/>
      <c r="K1121" s="93"/>
      <c r="L1121" s="93"/>
      <c r="M1121" s="93"/>
      <c r="N1121" s="93"/>
      <c r="O1121" s="93"/>
      <c r="P1121" s="93"/>
      <c r="Q1121" s="93"/>
      <c r="R1121" s="87"/>
      <c r="S1121" s="87"/>
      <c r="T1121" s="87"/>
      <c r="U1121" s="19"/>
      <c r="V1121" s="87"/>
      <c r="W1121" s="87"/>
      <c r="X1121" s="87"/>
      <c r="Y1121" s="87"/>
      <c r="Z1121" s="87"/>
      <c r="AA1121" s="87"/>
      <c r="AB1121" s="87"/>
      <c r="AC1121" s="87"/>
      <c r="AD1121" s="87"/>
      <c r="AE1121" s="87"/>
      <c r="AF1121" s="87"/>
      <c r="AG1121" s="87"/>
      <c r="AH1121" s="87"/>
      <c r="AI1121" s="87"/>
      <c r="AJ1121" s="87"/>
      <c r="AK1121" s="87"/>
      <c r="AL1121" s="87"/>
      <c r="AM1121" s="87"/>
      <c r="AN1121" s="87"/>
      <c r="AO1121" s="87"/>
      <c r="AP1121" s="87"/>
      <c r="AQ1121" s="87"/>
      <c r="AR1121" s="87"/>
      <c r="AS1121" s="87"/>
      <c r="AT1121" s="87"/>
      <c r="AU1121" s="87"/>
      <c r="AV1121" s="87"/>
      <c r="AW1121" s="87"/>
      <c r="AX1121" s="87"/>
      <c r="AY1121" s="87"/>
      <c r="AZ1121" s="87"/>
      <c r="BA1121" s="87"/>
      <c r="BB1121" s="87"/>
      <c r="BC1121" s="87"/>
      <c r="BD1121" s="87"/>
      <c r="BE1121" s="87"/>
      <c r="BF1121" s="87"/>
      <c r="BG1121" s="87"/>
      <c r="BH1121" s="87"/>
      <c r="BI1121" s="87"/>
      <c r="BJ1121" s="87"/>
      <c r="BK1121" s="87"/>
      <c r="BL1121" s="87"/>
      <c r="BM1121" s="87"/>
      <c r="BN1121" s="87"/>
      <c r="BO1121" s="87"/>
      <c r="BP1121" s="87"/>
      <c r="BQ1121" s="87"/>
      <c r="BR1121" s="87"/>
      <c r="BS1121" s="87"/>
      <c r="BT1121" s="87"/>
      <c r="BU1121" s="87"/>
      <c r="BV1121" s="87"/>
      <c r="BW1121" s="87"/>
      <c r="BX1121" s="87"/>
      <c r="BY1121" s="87"/>
    </row>
    <row r="1122" spans="3:77" x14ac:dyDescent="0.3">
      <c r="C1122" s="90"/>
      <c r="D1122" s="87"/>
      <c r="E1122" s="91"/>
      <c r="F1122" s="92"/>
      <c r="G1122" s="93"/>
      <c r="H1122" s="93"/>
      <c r="I1122" s="93"/>
      <c r="J1122" s="93"/>
      <c r="K1122" s="93"/>
      <c r="L1122" s="93"/>
      <c r="M1122" s="93"/>
      <c r="N1122" s="93"/>
      <c r="O1122" s="93"/>
      <c r="P1122" s="93"/>
      <c r="Q1122" s="93"/>
      <c r="R1122" s="87"/>
      <c r="S1122" s="87"/>
      <c r="T1122" s="87"/>
      <c r="U1122" s="19"/>
      <c r="V1122" s="87"/>
      <c r="W1122" s="87"/>
      <c r="X1122" s="87"/>
      <c r="Y1122" s="87"/>
      <c r="Z1122" s="87"/>
      <c r="AA1122" s="87"/>
      <c r="AB1122" s="87"/>
      <c r="AC1122" s="87"/>
      <c r="AD1122" s="87"/>
      <c r="AE1122" s="87"/>
      <c r="AF1122" s="87"/>
      <c r="AG1122" s="87"/>
      <c r="AH1122" s="87"/>
      <c r="AI1122" s="87"/>
      <c r="AJ1122" s="87"/>
      <c r="AK1122" s="87"/>
      <c r="AL1122" s="87"/>
      <c r="AM1122" s="87"/>
      <c r="AN1122" s="87"/>
      <c r="AO1122" s="87"/>
      <c r="AP1122" s="87"/>
      <c r="AQ1122" s="87"/>
      <c r="AR1122" s="87"/>
      <c r="AS1122" s="87"/>
      <c r="AT1122" s="87"/>
      <c r="AU1122" s="87"/>
      <c r="AV1122" s="87"/>
      <c r="AW1122" s="87"/>
      <c r="AX1122" s="87"/>
      <c r="AY1122" s="87"/>
      <c r="AZ1122" s="87"/>
      <c r="BA1122" s="87"/>
      <c r="BB1122" s="87"/>
      <c r="BC1122" s="87"/>
      <c r="BD1122" s="87"/>
      <c r="BE1122" s="87"/>
      <c r="BF1122" s="87"/>
      <c r="BG1122" s="87"/>
      <c r="BH1122" s="87"/>
      <c r="BI1122" s="87"/>
      <c r="BJ1122" s="87"/>
      <c r="BK1122" s="87"/>
      <c r="BL1122" s="87"/>
      <c r="BM1122" s="87"/>
      <c r="BN1122" s="87"/>
      <c r="BO1122" s="87"/>
      <c r="BP1122" s="87"/>
      <c r="BQ1122" s="87"/>
      <c r="BR1122" s="87"/>
      <c r="BS1122" s="87"/>
      <c r="BT1122" s="87"/>
      <c r="BU1122" s="87"/>
      <c r="BV1122" s="87"/>
      <c r="BW1122" s="87"/>
      <c r="BX1122" s="87"/>
      <c r="BY1122" s="87"/>
    </row>
    <row r="1123" spans="3:77" x14ac:dyDescent="0.3">
      <c r="C1123" s="90"/>
      <c r="D1123" s="87"/>
      <c r="E1123" s="91"/>
      <c r="F1123" s="92"/>
      <c r="G1123" s="93"/>
      <c r="H1123" s="93"/>
      <c r="I1123" s="93"/>
      <c r="J1123" s="93"/>
      <c r="K1123" s="93"/>
      <c r="L1123" s="93"/>
      <c r="M1123" s="93"/>
      <c r="N1123" s="93"/>
      <c r="O1123" s="93"/>
      <c r="P1123" s="93"/>
      <c r="Q1123" s="93"/>
      <c r="R1123" s="87"/>
      <c r="S1123" s="87"/>
      <c r="T1123" s="87"/>
      <c r="U1123" s="19"/>
      <c r="V1123" s="87"/>
      <c r="W1123" s="87"/>
      <c r="X1123" s="87"/>
      <c r="Y1123" s="87"/>
      <c r="Z1123" s="87"/>
      <c r="AA1123" s="87"/>
      <c r="AB1123" s="87"/>
      <c r="AC1123" s="87"/>
      <c r="AD1123" s="87"/>
      <c r="AE1123" s="87"/>
      <c r="AF1123" s="87"/>
      <c r="AG1123" s="87"/>
      <c r="AH1123" s="87"/>
      <c r="AI1123" s="87"/>
      <c r="AJ1123" s="87"/>
      <c r="AK1123" s="87"/>
      <c r="AL1123" s="87"/>
      <c r="AM1123" s="87"/>
      <c r="AN1123" s="87"/>
      <c r="AO1123" s="87"/>
      <c r="AP1123" s="87"/>
      <c r="AQ1123" s="87"/>
      <c r="AR1123" s="87"/>
      <c r="AS1123" s="87"/>
      <c r="AT1123" s="87"/>
      <c r="AU1123" s="87"/>
      <c r="AV1123" s="87"/>
      <c r="AW1123" s="87"/>
      <c r="AX1123" s="87"/>
      <c r="AY1123" s="87"/>
      <c r="AZ1123" s="87"/>
      <c r="BA1123" s="87"/>
      <c r="BB1123" s="87"/>
      <c r="BC1123" s="87"/>
      <c r="BD1123" s="87"/>
      <c r="BE1123" s="87"/>
      <c r="BF1123" s="87"/>
      <c r="BG1123" s="87"/>
      <c r="BH1123" s="87"/>
      <c r="BI1123" s="87"/>
      <c r="BJ1123" s="87"/>
      <c r="BK1123" s="87"/>
      <c r="BL1123" s="87"/>
      <c r="BM1123" s="87"/>
      <c r="BN1123" s="87"/>
      <c r="BO1123" s="87"/>
      <c r="BP1123" s="87"/>
      <c r="BQ1123" s="87"/>
      <c r="BR1123" s="87"/>
      <c r="BS1123" s="87"/>
      <c r="BT1123" s="87"/>
      <c r="BU1123" s="87"/>
      <c r="BV1123" s="87"/>
      <c r="BW1123" s="87"/>
      <c r="BX1123" s="87"/>
      <c r="BY1123" s="87"/>
    </row>
    <row r="1124" spans="3:77" x14ac:dyDescent="0.3">
      <c r="C1124" s="90"/>
      <c r="D1124" s="87"/>
      <c r="E1124" s="91"/>
      <c r="F1124" s="92"/>
      <c r="G1124" s="93"/>
      <c r="H1124" s="93"/>
      <c r="I1124" s="93"/>
      <c r="J1124" s="93"/>
      <c r="K1124" s="93"/>
      <c r="L1124" s="93"/>
      <c r="M1124" s="93"/>
      <c r="N1124" s="93"/>
      <c r="O1124" s="93"/>
      <c r="P1124" s="93"/>
      <c r="Q1124" s="93"/>
      <c r="R1124" s="87"/>
      <c r="S1124" s="87"/>
      <c r="T1124" s="87"/>
      <c r="U1124" s="19"/>
      <c r="V1124" s="87"/>
      <c r="W1124" s="87"/>
      <c r="X1124" s="87"/>
      <c r="Y1124" s="87"/>
      <c r="Z1124" s="87"/>
      <c r="AA1124" s="87"/>
      <c r="AB1124" s="87"/>
      <c r="AC1124" s="87"/>
      <c r="AD1124" s="87"/>
      <c r="AE1124" s="87"/>
      <c r="AF1124" s="87"/>
      <c r="AG1124" s="87"/>
      <c r="AH1124" s="87"/>
      <c r="AI1124" s="87"/>
      <c r="AJ1124" s="87"/>
      <c r="AK1124" s="87"/>
      <c r="AL1124" s="87"/>
      <c r="AM1124" s="87"/>
      <c r="AN1124" s="87"/>
      <c r="AO1124" s="87"/>
      <c r="AP1124" s="87"/>
      <c r="AQ1124" s="87"/>
      <c r="AR1124" s="87"/>
      <c r="AS1124" s="87"/>
      <c r="AT1124" s="87"/>
      <c r="AU1124" s="87"/>
      <c r="AV1124" s="87"/>
      <c r="AW1124" s="87"/>
      <c r="AX1124" s="87"/>
      <c r="AY1124" s="87"/>
      <c r="AZ1124" s="87"/>
      <c r="BA1124" s="87"/>
      <c r="BB1124" s="87"/>
      <c r="BC1124" s="87"/>
      <c r="BD1124" s="87"/>
      <c r="BE1124" s="87"/>
      <c r="BF1124" s="87"/>
      <c r="BG1124" s="87"/>
      <c r="BH1124" s="87"/>
      <c r="BI1124" s="87"/>
      <c r="BJ1124" s="87"/>
      <c r="BK1124" s="87"/>
      <c r="BL1124" s="87"/>
      <c r="BM1124" s="87"/>
      <c r="BN1124" s="87"/>
      <c r="BO1124" s="87"/>
      <c r="BP1124" s="87"/>
      <c r="BQ1124" s="87"/>
      <c r="BR1124" s="87"/>
      <c r="BS1124" s="87"/>
      <c r="BT1124" s="87"/>
      <c r="BU1124" s="87"/>
      <c r="BV1124" s="87"/>
      <c r="BW1124" s="87"/>
      <c r="BX1124" s="87"/>
      <c r="BY1124" s="87"/>
    </row>
    <row r="1125" spans="3:77" x14ac:dyDescent="0.3">
      <c r="C1125" s="90"/>
      <c r="D1125" s="87"/>
      <c r="E1125" s="91"/>
      <c r="F1125" s="92"/>
      <c r="G1125" s="93"/>
      <c r="H1125" s="93"/>
      <c r="I1125" s="93"/>
      <c r="J1125" s="93"/>
      <c r="K1125" s="93"/>
      <c r="L1125" s="93"/>
      <c r="M1125" s="93"/>
      <c r="N1125" s="93"/>
      <c r="O1125" s="93"/>
      <c r="P1125" s="93"/>
      <c r="Q1125" s="93"/>
      <c r="R1125" s="87"/>
      <c r="S1125" s="87"/>
      <c r="T1125" s="87"/>
      <c r="U1125" s="19"/>
      <c r="V1125" s="87"/>
      <c r="W1125" s="87"/>
      <c r="X1125" s="87"/>
      <c r="Y1125" s="87"/>
      <c r="Z1125" s="87"/>
      <c r="AA1125" s="87"/>
      <c r="AB1125" s="87"/>
      <c r="AC1125" s="87"/>
      <c r="AD1125" s="87"/>
      <c r="AE1125" s="87"/>
      <c r="AF1125" s="87"/>
      <c r="AG1125" s="87"/>
      <c r="AH1125" s="87"/>
      <c r="AI1125" s="87"/>
      <c r="AJ1125" s="87"/>
      <c r="AK1125" s="87"/>
      <c r="AL1125" s="87"/>
      <c r="AM1125" s="87"/>
      <c r="AN1125" s="87"/>
      <c r="AO1125" s="87"/>
      <c r="AP1125" s="87"/>
      <c r="AQ1125" s="87"/>
      <c r="AR1125" s="87"/>
      <c r="AS1125" s="87"/>
      <c r="AT1125" s="87"/>
      <c r="AU1125" s="87"/>
      <c r="AV1125" s="87"/>
      <c r="AW1125" s="87"/>
      <c r="AX1125" s="87"/>
      <c r="AY1125" s="87"/>
      <c r="AZ1125" s="87"/>
      <c r="BA1125" s="87"/>
      <c r="BB1125" s="87"/>
      <c r="BC1125" s="87"/>
      <c r="BD1125" s="87"/>
      <c r="BE1125" s="87"/>
      <c r="BF1125" s="87"/>
      <c r="BG1125" s="87"/>
      <c r="BH1125" s="87"/>
      <c r="BI1125" s="87"/>
      <c r="BJ1125" s="87"/>
      <c r="BK1125" s="87"/>
      <c r="BL1125" s="87"/>
      <c r="BM1125" s="87"/>
      <c r="BN1125" s="87"/>
      <c r="BO1125" s="87"/>
      <c r="BP1125" s="87"/>
      <c r="BQ1125" s="87"/>
      <c r="BR1125" s="87"/>
      <c r="BS1125" s="87"/>
      <c r="BT1125" s="87"/>
      <c r="BU1125" s="87"/>
      <c r="BV1125" s="87"/>
      <c r="BW1125" s="87"/>
      <c r="BX1125" s="87"/>
      <c r="BY1125" s="87"/>
    </row>
    <row r="1126" spans="3:77" x14ac:dyDescent="0.3">
      <c r="C1126" s="90"/>
      <c r="D1126" s="87"/>
      <c r="E1126" s="91"/>
      <c r="F1126" s="92"/>
      <c r="G1126" s="93"/>
      <c r="H1126" s="93"/>
      <c r="I1126" s="93"/>
      <c r="J1126" s="93"/>
      <c r="K1126" s="93"/>
      <c r="L1126" s="93"/>
      <c r="M1126" s="93"/>
      <c r="N1126" s="93"/>
      <c r="O1126" s="93"/>
      <c r="P1126" s="93"/>
      <c r="Q1126" s="93"/>
      <c r="R1126" s="87"/>
      <c r="S1126" s="87"/>
      <c r="T1126" s="87"/>
      <c r="U1126" s="19"/>
      <c r="V1126" s="87"/>
      <c r="W1126" s="87"/>
      <c r="X1126" s="87"/>
      <c r="Y1126" s="87"/>
      <c r="Z1126" s="87"/>
      <c r="AA1126" s="87"/>
      <c r="AB1126" s="87"/>
      <c r="AC1126" s="87"/>
      <c r="AD1126" s="87"/>
      <c r="AE1126" s="87"/>
      <c r="AF1126" s="87"/>
      <c r="AG1126" s="87"/>
      <c r="AH1126" s="87"/>
      <c r="AI1126" s="87"/>
      <c r="AJ1126" s="87"/>
      <c r="AK1126" s="87"/>
      <c r="AL1126" s="87"/>
      <c r="AM1126" s="87"/>
      <c r="AN1126" s="87"/>
      <c r="AO1126" s="87"/>
      <c r="AP1126" s="87"/>
      <c r="AQ1126" s="87"/>
      <c r="AR1126" s="87"/>
      <c r="AS1126" s="87"/>
      <c r="AT1126" s="87"/>
      <c r="AU1126" s="87"/>
      <c r="AV1126" s="87"/>
      <c r="AW1126" s="87"/>
      <c r="AX1126" s="87"/>
      <c r="AY1126" s="87"/>
      <c r="AZ1126" s="87"/>
      <c r="BA1126" s="87"/>
      <c r="BB1126" s="87"/>
      <c r="BC1126" s="87"/>
      <c r="BD1126" s="87"/>
      <c r="BE1126" s="87"/>
      <c r="BF1126" s="87"/>
      <c r="BG1126" s="87"/>
      <c r="BH1126" s="87"/>
      <c r="BI1126" s="87"/>
      <c r="BJ1126" s="87"/>
      <c r="BK1126" s="87"/>
      <c r="BL1126" s="87"/>
      <c r="BM1126" s="87"/>
      <c r="BN1126" s="87"/>
      <c r="BO1126" s="87"/>
      <c r="BP1126" s="87"/>
      <c r="BQ1126" s="87"/>
      <c r="BR1126" s="87"/>
      <c r="BS1126" s="87"/>
      <c r="BT1126" s="87"/>
      <c r="BU1126" s="87"/>
      <c r="BV1126" s="87"/>
      <c r="BW1126" s="87"/>
      <c r="BX1126" s="87"/>
      <c r="BY1126" s="87"/>
    </row>
    <row r="1127" spans="3:77" x14ac:dyDescent="0.3">
      <c r="C1127" s="90"/>
      <c r="D1127" s="87"/>
      <c r="E1127" s="91"/>
      <c r="F1127" s="92"/>
      <c r="G1127" s="93"/>
      <c r="H1127" s="93"/>
      <c r="I1127" s="93"/>
      <c r="J1127" s="93"/>
      <c r="K1127" s="93"/>
      <c r="L1127" s="93"/>
      <c r="M1127" s="93"/>
      <c r="N1127" s="93"/>
      <c r="O1127" s="93"/>
      <c r="P1127" s="93"/>
      <c r="Q1127" s="93"/>
      <c r="R1127" s="87"/>
      <c r="S1127" s="87"/>
      <c r="T1127" s="87"/>
      <c r="U1127" s="19"/>
      <c r="V1127" s="87"/>
      <c r="W1127" s="87"/>
      <c r="X1127" s="87"/>
      <c r="Y1127" s="87"/>
      <c r="Z1127" s="87"/>
      <c r="AA1127" s="87"/>
      <c r="AB1127" s="87"/>
      <c r="AC1127" s="87"/>
      <c r="AD1127" s="87"/>
      <c r="AE1127" s="87"/>
      <c r="AF1127" s="87"/>
      <c r="AG1127" s="87"/>
      <c r="AH1127" s="87"/>
      <c r="AI1127" s="87"/>
      <c r="AJ1127" s="87"/>
      <c r="AK1127" s="87"/>
      <c r="AL1127" s="87"/>
      <c r="AM1127" s="87"/>
      <c r="AN1127" s="87"/>
      <c r="AO1127" s="87"/>
      <c r="AP1127" s="87"/>
      <c r="AQ1127" s="87"/>
      <c r="AR1127" s="87"/>
      <c r="AS1127" s="87"/>
      <c r="AT1127" s="87"/>
      <c r="AU1127" s="87"/>
      <c r="AV1127" s="87"/>
      <c r="AW1127" s="87"/>
      <c r="AX1127" s="87"/>
      <c r="AY1127" s="87"/>
      <c r="AZ1127" s="87"/>
      <c r="BA1127" s="87"/>
      <c r="BB1127" s="87"/>
      <c r="BC1127" s="87"/>
      <c r="BD1127" s="87"/>
      <c r="BE1127" s="87"/>
      <c r="BF1127" s="87"/>
      <c r="BG1127" s="87"/>
      <c r="BH1127" s="87"/>
      <c r="BI1127" s="87"/>
      <c r="BJ1127" s="87"/>
      <c r="BK1127" s="87"/>
      <c r="BL1127" s="87"/>
      <c r="BM1127" s="87"/>
      <c r="BN1127" s="87"/>
      <c r="BO1127" s="87"/>
      <c r="BP1127" s="87"/>
      <c r="BQ1127" s="87"/>
      <c r="BR1127" s="87"/>
      <c r="BS1127" s="87"/>
      <c r="BT1127" s="87"/>
      <c r="BU1127" s="87"/>
      <c r="BV1127" s="87"/>
      <c r="BW1127" s="87"/>
      <c r="BX1127" s="87"/>
      <c r="BY1127" s="87"/>
    </row>
    <row r="1128" spans="3:77" x14ac:dyDescent="0.3">
      <c r="C1128" s="90"/>
      <c r="D1128" s="87"/>
      <c r="E1128" s="91"/>
      <c r="F1128" s="92"/>
      <c r="G1128" s="93"/>
      <c r="H1128" s="93"/>
      <c r="I1128" s="93"/>
      <c r="J1128" s="93"/>
      <c r="K1128" s="93"/>
      <c r="L1128" s="93"/>
      <c r="M1128" s="93"/>
      <c r="N1128" s="93"/>
      <c r="O1128" s="93"/>
      <c r="P1128" s="93"/>
      <c r="Q1128" s="93"/>
      <c r="R1128" s="87"/>
      <c r="S1128" s="87"/>
      <c r="T1128" s="87"/>
      <c r="U1128" s="19"/>
      <c r="V1128" s="87"/>
      <c r="W1128" s="87"/>
      <c r="X1128" s="87"/>
      <c r="Y1128" s="87"/>
      <c r="Z1128" s="87"/>
      <c r="AA1128" s="87"/>
      <c r="AB1128" s="87"/>
      <c r="AC1128" s="87"/>
      <c r="AD1128" s="87"/>
      <c r="AE1128" s="87"/>
      <c r="AF1128" s="87"/>
      <c r="AG1128" s="87"/>
      <c r="AH1128" s="87"/>
      <c r="AI1128" s="87"/>
      <c r="AJ1128" s="87"/>
      <c r="AK1128" s="87"/>
      <c r="AL1128" s="87"/>
      <c r="AM1128" s="87"/>
      <c r="AN1128" s="87"/>
      <c r="AO1128" s="87"/>
      <c r="AP1128" s="87"/>
      <c r="AQ1128" s="87"/>
      <c r="AR1128" s="87"/>
      <c r="AS1128" s="87"/>
      <c r="AT1128" s="87"/>
      <c r="AU1128" s="87"/>
      <c r="AV1128" s="87"/>
      <c r="AW1128" s="87"/>
      <c r="AX1128" s="87"/>
      <c r="AY1128" s="87"/>
      <c r="AZ1128" s="87"/>
      <c r="BA1128" s="87"/>
      <c r="BB1128" s="87"/>
      <c r="BC1128" s="87"/>
      <c r="BD1128" s="87"/>
      <c r="BE1128" s="87"/>
      <c r="BF1128" s="87"/>
      <c r="BG1128" s="87"/>
      <c r="BH1128" s="87"/>
      <c r="BI1128" s="87"/>
      <c r="BJ1128" s="87"/>
      <c r="BK1128" s="87"/>
      <c r="BL1128" s="87"/>
      <c r="BM1128" s="87"/>
      <c r="BN1128" s="87"/>
      <c r="BO1128" s="87"/>
      <c r="BP1128" s="87"/>
      <c r="BQ1128" s="87"/>
      <c r="BR1128" s="87"/>
      <c r="BS1128" s="87"/>
      <c r="BT1128" s="87"/>
      <c r="BU1128" s="87"/>
      <c r="BV1128" s="87"/>
      <c r="BW1128" s="87"/>
      <c r="BX1128" s="87"/>
      <c r="BY1128" s="87"/>
    </row>
    <row r="1129" spans="3:77" x14ac:dyDescent="0.3">
      <c r="C1129" s="90"/>
      <c r="D1129" s="87"/>
      <c r="E1129" s="91"/>
      <c r="F1129" s="92"/>
      <c r="G1129" s="93"/>
      <c r="H1129" s="93"/>
      <c r="I1129" s="93"/>
      <c r="J1129" s="93"/>
      <c r="K1129" s="93"/>
      <c r="L1129" s="93"/>
      <c r="M1129" s="93"/>
      <c r="N1129" s="93"/>
      <c r="O1129" s="93"/>
      <c r="P1129" s="93"/>
      <c r="Q1129" s="93"/>
      <c r="R1129" s="87"/>
      <c r="S1129" s="87"/>
      <c r="T1129" s="87"/>
      <c r="U1129" s="19"/>
      <c r="V1129" s="87"/>
      <c r="W1129" s="87"/>
      <c r="X1129" s="87"/>
      <c r="Y1129" s="87"/>
      <c r="Z1129" s="87"/>
      <c r="AA1129" s="87"/>
      <c r="AB1129" s="87"/>
      <c r="AC1129" s="87"/>
      <c r="AD1129" s="87"/>
      <c r="AE1129" s="87"/>
      <c r="AF1129" s="87"/>
      <c r="AG1129" s="87"/>
      <c r="AH1129" s="87"/>
      <c r="AI1129" s="87"/>
      <c r="AJ1129" s="87"/>
      <c r="AK1129" s="87"/>
      <c r="AL1129" s="87"/>
      <c r="AM1129" s="87"/>
      <c r="AN1129" s="87"/>
      <c r="AO1129" s="87"/>
      <c r="AP1129" s="87"/>
      <c r="AQ1129" s="87"/>
      <c r="AR1129" s="87"/>
      <c r="AS1129" s="87"/>
      <c r="AT1129" s="87"/>
      <c r="AU1129" s="87"/>
      <c r="AV1129" s="87"/>
      <c r="AW1129" s="87"/>
      <c r="AX1129" s="87"/>
      <c r="AY1129" s="87"/>
      <c r="AZ1129" s="87"/>
      <c r="BA1129" s="87"/>
      <c r="BB1129" s="87"/>
      <c r="BC1129" s="87"/>
      <c r="BD1129" s="87"/>
      <c r="BE1129" s="87"/>
      <c r="BF1129" s="87"/>
      <c r="BG1129" s="87"/>
      <c r="BH1129" s="87"/>
      <c r="BI1129" s="87"/>
      <c r="BJ1129" s="87"/>
      <c r="BK1129" s="87"/>
      <c r="BL1129" s="87"/>
      <c r="BM1129" s="87"/>
      <c r="BN1129" s="87"/>
      <c r="BO1129" s="87"/>
      <c r="BP1129" s="87"/>
      <c r="BQ1129" s="87"/>
      <c r="BR1129" s="87"/>
      <c r="BS1129" s="87"/>
      <c r="BT1129" s="87"/>
      <c r="BU1129" s="87"/>
      <c r="BV1129" s="87"/>
      <c r="BW1129" s="87"/>
      <c r="BX1129" s="87"/>
      <c r="BY1129" s="87"/>
    </row>
    <row r="1130" spans="3:77" x14ac:dyDescent="0.3">
      <c r="C1130" s="90"/>
      <c r="D1130" s="87"/>
      <c r="E1130" s="91"/>
      <c r="F1130" s="92"/>
      <c r="G1130" s="93"/>
      <c r="H1130" s="93"/>
      <c r="I1130" s="93"/>
      <c r="J1130" s="93"/>
      <c r="K1130" s="93"/>
      <c r="L1130" s="93"/>
      <c r="M1130" s="93"/>
      <c r="N1130" s="93"/>
      <c r="O1130" s="93"/>
      <c r="P1130" s="93"/>
      <c r="Q1130" s="93"/>
      <c r="R1130" s="87"/>
      <c r="S1130" s="87"/>
      <c r="T1130" s="87"/>
      <c r="U1130" s="19"/>
      <c r="V1130" s="87"/>
      <c r="W1130" s="87"/>
      <c r="X1130" s="87"/>
      <c r="Y1130" s="87"/>
      <c r="Z1130" s="87"/>
      <c r="AA1130" s="87"/>
      <c r="AB1130" s="87"/>
      <c r="AC1130" s="87"/>
      <c r="AD1130" s="87"/>
      <c r="AE1130" s="87"/>
      <c r="AF1130" s="87"/>
      <c r="AG1130" s="87"/>
      <c r="AH1130" s="87"/>
      <c r="AI1130" s="87"/>
      <c r="AJ1130" s="87"/>
      <c r="AK1130" s="87"/>
      <c r="AL1130" s="87"/>
      <c r="AM1130" s="87"/>
      <c r="AN1130" s="87"/>
      <c r="AO1130" s="87"/>
      <c r="AP1130" s="87"/>
      <c r="AQ1130" s="87"/>
      <c r="AR1130" s="87"/>
      <c r="AS1130" s="87"/>
      <c r="AT1130" s="87"/>
      <c r="AU1130" s="87"/>
      <c r="AV1130" s="87"/>
      <c r="AW1130" s="87"/>
      <c r="AX1130" s="87"/>
      <c r="AY1130" s="87"/>
      <c r="AZ1130" s="87"/>
      <c r="BA1130" s="87"/>
      <c r="BB1130" s="87"/>
      <c r="BC1130" s="87"/>
      <c r="BD1130" s="87"/>
      <c r="BE1130" s="87"/>
      <c r="BF1130" s="87"/>
      <c r="BG1130" s="87"/>
      <c r="BH1130" s="87"/>
      <c r="BI1130" s="87"/>
      <c r="BJ1130" s="87"/>
      <c r="BK1130" s="87"/>
      <c r="BL1130" s="87"/>
      <c r="BM1130" s="87"/>
      <c r="BN1130" s="87"/>
      <c r="BO1130" s="87"/>
      <c r="BP1130" s="87"/>
      <c r="BQ1130" s="87"/>
      <c r="BR1130" s="87"/>
      <c r="BS1130" s="87"/>
      <c r="BT1130" s="87"/>
      <c r="BU1130" s="87"/>
      <c r="BV1130" s="87"/>
      <c r="BW1130" s="87"/>
      <c r="BX1130" s="87"/>
      <c r="BY1130" s="87"/>
    </row>
    <row r="1131" spans="3:77" x14ac:dyDescent="0.3">
      <c r="C1131" s="90"/>
      <c r="D1131" s="87"/>
      <c r="E1131" s="91"/>
      <c r="F1131" s="92"/>
      <c r="G1131" s="93"/>
      <c r="H1131" s="93"/>
      <c r="I1131" s="93"/>
      <c r="J1131" s="93"/>
      <c r="K1131" s="93"/>
      <c r="L1131" s="93"/>
      <c r="M1131" s="93"/>
      <c r="N1131" s="93"/>
      <c r="O1131" s="93"/>
      <c r="P1131" s="93"/>
      <c r="Q1131" s="93"/>
      <c r="R1131" s="87"/>
      <c r="S1131" s="87"/>
      <c r="T1131" s="87"/>
      <c r="U1131" s="19"/>
      <c r="V1131" s="87"/>
      <c r="W1131" s="87"/>
      <c r="X1131" s="87"/>
      <c r="Y1131" s="87"/>
      <c r="Z1131" s="87"/>
      <c r="AA1131" s="87"/>
      <c r="AB1131" s="87"/>
      <c r="AC1131" s="87"/>
      <c r="AD1131" s="87"/>
      <c r="AE1131" s="87"/>
      <c r="AF1131" s="87"/>
      <c r="AG1131" s="87"/>
      <c r="AH1131" s="87"/>
      <c r="AI1131" s="87"/>
      <c r="AJ1131" s="87"/>
      <c r="AK1131" s="87"/>
      <c r="AL1131" s="87"/>
      <c r="AM1131" s="87"/>
      <c r="AN1131" s="87"/>
      <c r="AO1131" s="87"/>
      <c r="AP1131" s="87"/>
      <c r="AQ1131" s="87"/>
      <c r="AR1131" s="87"/>
      <c r="AS1131" s="87"/>
      <c r="AT1131" s="87"/>
      <c r="AU1131" s="87"/>
      <c r="AV1131" s="87"/>
      <c r="AW1131" s="87"/>
      <c r="AX1131" s="87"/>
      <c r="AY1131" s="87"/>
      <c r="AZ1131" s="87"/>
      <c r="BA1131" s="87"/>
      <c r="BB1131" s="87"/>
      <c r="BC1131" s="87"/>
      <c r="BD1131" s="87"/>
      <c r="BE1131" s="87"/>
      <c r="BF1131" s="87"/>
      <c r="BG1131" s="87"/>
      <c r="BH1131" s="87"/>
      <c r="BI1131" s="87"/>
      <c r="BJ1131" s="87"/>
      <c r="BK1131" s="87"/>
      <c r="BL1131" s="87"/>
      <c r="BM1131" s="87"/>
      <c r="BN1131" s="87"/>
      <c r="BO1131" s="87"/>
      <c r="BP1131" s="87"/>
      <c r="BQ1131" s="87"/>
      <c r="BR1131" s="87"/>
      <c r="BS1131" s="87"/>
      <c r="BT1131" s="87"/>
      <c r="BU1131" s="87"/>
      <c r="BV1131" s="87"/>
      <c r="BW1131" s="87"/>
      <c r="BX1131" s="87"/>
      <c r="BY1131" s="87"/>
    </row>
    <row r="1132" spans="3:77" x14ac:dyDescent="0.3">
      <c r="C1132" s="90"/>
      <c r="D1132" s="87"/>
      <c r="E1132" s="91"/>
      <c r="F1132" s="92"/>
      <c r="G1132" s="93"/>
      <c r="H1132" s="93"/>
      <c r="I1132" s="93"/>
      <c r="J1132" s="93"/>
      <c r="K1132" s="93"/>
      <c r="L1132" s="93"/>
      <c r="M1132" s="93"/>
      <c r="N1132" s="93"/>
      <c r="O1132" s="93"/>
      <c r="P1132" s="93"/>
      <c r="Q1132" s="93"/>
      <c r="R1132" s="87"/>
      <c r="S1132" s="87"/>
      <c r="T1132" s="87"/>
      <c r="U1132" s="19"/>
      <c r="V1132" s="87"/>
      <c r="W1132" s="87"/>
      <c r="X1132" s="87"/>
      <c r="Y1132" s="87"/>
      <c r="Z1132" s="87"/>
      <c r="AA1132" s="87"/>
      <c r="AB1132" s="87"/>
      <c r="AC1132" s="87"/>
      <c r="AD1132" s="87"/>
      <c r="AE1132" s="87"/>
      <c r="AF1132" s="87"/>
      <c r="AG1132" s="87"/>
      <c r="AH1132" s="87"/>
      <c r="AI1132" s="87"/>
      <c r="AJ1132" s="87"/>
      <c r="AK1132" s="87"/>
      <c r="AL1132" s="87"/>
      <c r="AM1132" s="87"/>
      <c r="AN1132" s="87"/>
      <c r="AO1132" s="87"/>
      <c r="AP1132" s="87"/>
      <c r="AQ1132" s="87"/>
      <c r="AR1132" s="87"/>
      <c r="AS1132" s="87"/>
      <c r="AT1132" s="87"/>
      <c r="AU1132" s="87"/>
      <c r="AV1132" s="87"/>
      <c r="AW1132" s="87"/>
      <c r="AX1132" s="87"/>
      <c r="AY1132" s="87"/>
      <c r="AZ1132" s="87"/>
      <c r="BA1132" s="87"/>
      <c r="BB1132" s="87"/>
      <c r="BC1132" s="87"/>
      <c r="BD1132" s="87"/>
      <c r="BE1132" s="87"/>
      <c r="BF1132" s="87"/>
      <c r="BG1132" s="87"/>
      <c r="BH1132" s="87"/>
      <c r="BI1132" s="87"/>
      <c r="BJ1132" s="87"/>
      <c r="BK1132" s="87"/>
      <c r="BL1132" s="87"/>
      <c r="BM1132" s="87"/>
      <c r="BN1132" s="87"/>
      <c r="BO1132" s="87"/>
      <c r="BP1132" s="87"/>
      <c r="BQ1132" s="87"/>
      <c r="BR1132" s="87"/>
      <c r="BS1132" s="87"/>
      <c r="BT1132" s="87"/>
      <c r="BU1132" s="87"/>
      <c r="BV1132" s="87"/>
      <c r="BW1132" s="87"/>
      <c r="BX1132" s="87"/>
      <c r="BY1132" s="87"/>
    </row>
    <row r="1133" spans="3:77" x14ac:dyDescent="0.3">
      <c r="C1133" s="90"/>
      <c r="D1133" s="87"/>
      <c r="E1133" s="91"/>
      <c r="F1133" s="92"/>
      <c r="G1133" s="93"/>
      <c r="H1133" s="93"/>
      <c r="I1133" s="93"/>
      <c r="J1133" s="93"/>
      <c r="K1133" s="93"/>
      <c r="L1133" s="93"/>
      <c r="M1133" s="93"/>
      <c r="N1133" s="93"/>
      <c r="O1133" s="93"/>
      <c r="P1133" s="93"/>
      <c r="Q1133" s="93"/>
      <c r="R1133" s="87"/>
      <c r="S1133" s="87"/>
      <c r="T1133" s="87"/>
      <c r="U1133" s="19"/>
      <c r="V1133" s="87"/>
      <c r="W1133" s="87"/>
      <c r="X1133" s="87"/>
      <c r="Y1133" s="87"/>
      <c r="Z1133" s="87"/>
      <c r="AA1133" s="87"/>
      <c r="AB1133" s="87"/>
      <c r="AC1133" s="87"/>
      <c r="AD1133" s="87"/>
      <c r="AE1133" s="87"/>
      <c r="AF1133" s="87"/>
      <c r="AG1133" s="87"/>
      <c r="AH1133" s="87"/>
      <c r="AI1133" s="87"/>
      <c r="AJ1133" s="87"/>
      <c r="AK1133" s="87"/>
      <c r="AL1133" s="87"/>
      <c r="AM1133" s="87"/>
      <c r="AN1133" s="87"/>
      <c r="AO1133" s="87"/>
      <c r="AP1133" s="87"/>
      <c r="AQ1133" s="87"/>
      <c r="AR1133" s="87"/>
      <c r="AS1133" s="87"/>
      <c r="AT1133" s="87"/>
      <c r="AU1133" s="87"/>
      <c r="AV1133" s="87"/>
      <c r="AW1133" s="87"/>
      <c r="AX1133" s="87"/>
      <c r="AY1133" s="87"/>
      <c r="AZ1133" s="87"/>
      <c r="BA1133" s="87"/>
      <c r="BB1133" s="87"/>
      <c r="BC1133" s="87"/>
      <c r="BD1133" s="87"/>
      <c r="BE1133" s="87"/>
      <c r="BF1133" s="87"/>
      <c r="BG1133" s="87"/>
      <c r="BH1133" s="87"/>
      <c r="BI1133" s="87"/>
      <c r="BJ1133" s="87"/>
      <c r="BK1133" s="87"/>
      <c r="BL1133" s="87"/>
      <c r="BM1133" s="87"/>
      <c r="BN1133" s="87"/>
      <c r="BO1133" s="87"/>
      <c r="BP1133" s="87"/>
      <c r="BQ1133" s="87"/>
      <c r="BR1133" s="87"/>
      <c r="BS1133" s="87"/>
      <c r="BT1133" s="87"/>
      <c r="BU1133" s="87"/>
      <c r="BV1133" s="87"/>
      <c r="BW1133" s="87"/>
      <c r="BX1133" s="87"/>
      <c r="BY1133" s="87"/>
    </row>
    <row r="1134" spans="3:77" x14ac:dyDescent="0.3">
      <c r="C1134" s="90"/>
      <c r="D1134" s="87"/>
      <c r="E1134" s="91"/>
      <c r="F1134" s="92"/>
      <c r="G1134" s="93"/>
      <c r="H1134" s="93"/>
      <c r="I1134" s="93"/>
      <c r="J1134" s="93"/>
      <c r="K1134" s="93"/>
      <c r="L1134" s="93"/>
      <c r="M1134" s="93"/>
      <c r="N1134" s="93"/>
      <c r="O1134" s="93"/>
      <c r="P1134" s="93"/>
      <c r="Q1134" s="93"/>
      <c r="R1134" s="87"/>
      <c r="S1134" s="87"/>
      <c r="T1134" s="87"/>
      <c r="U1134" s="19"/>
      <c r="V1134" s="87"/>
      <c r="W1134" s="87"/>
      <c r="X1134" s="87"/>
      <c r="Y1134" s="87"/>
      <c r="Z1134" s="87"/>
      <c r="AA1134" s="87"/>
      <c r="AB1134" s="87"/>
      <c r="AC1134" s="87"/>
      <c r="AD1134" s="87"/>
      <c r="AE1134" s="87"/>
      <c r="AF1134" s="87"/>
      <c r="AG1134" s="87"/>
      <c r="AH1134" s="87"/>
      <c r="AI1134" s="87"/>
      <c r="AJ1134" s="87"/>
      <c r="AK1134" s="87"/>
      <c r="AL1134" s="87"/>
      <c r="AM1134" s="87"/>
      <c r="AN1134" s="87"/>
      <c r="AO1134" s="87"/>
      <c r="AP1134" s="87"/>
      <c r="AQ1134" s="87"/>
      <c r="AR1134" s="87"/>
      <c r="AS1134" s="87"/>
      <c r="AT1134" s="87"/>
      <c r="AU1134" s="87"/>
      <c r="AV1134" s="87"/>
      <c r="AW1134" s="87"/>
      <c r="AX1134" s="87"/>
      <c r="AY1134" s="87"/>
      <c r="AZ1134" s="87"/>
      <c r="BA1134" s="87"/>
      <c r="BB1134" s="87"/>
      <c r="BC1134" s="87"/>
      <c r="BD1134" s="87"/>
      <c r="BE1134" s="87"/>
      <c r="BF1134" s="87"/>
      <c r="BG1134" s="87"/>
      <c r="BH1134" s="87"/>
      <c r="BI1134" s="87"/>
      <c r="BJ1134" s="87"/>
      <c r="BK1134" s="87"/>
      <c r="BL1134" s="87"/>
      <c r="BM1134" s="87"/>
      <c r="BN1134" s="87"/>
      <c r="BO1134" s="87"/>
      <c r="BP1134" s="87"/>
      <c r="BQ1134" s="87"/>
      <c r="BR1134" s="87"/>
      <c r="BS1134" s="87"/>
      <c r="BT1134" s="87"/>
      <c r="BU1134" s="87"/>
      <c r="BV1134" s="87"/>
      <c r="BW1134" s="87"/>
      <c r="BX1134" s="87"/>
      <c r="BY1134" s="87"/>
    </row>
    <row r="1135" spans="3:77" x14ac:dyDescent="0.3">
      <c r="C1135" s="90"/>
      <c r="D1135" s="87"/>
      <c r="E1135" s="91"/>
      <c r="F1135" s="92"/>
      <c r="G1135" s="93"/>
      <c r="H1135" s="93"/>
      <c r="I1135" s="93"/>
      <c r="J1135" s="93"/>
      <c r="K1135" s="93"/>
      <c r="L1135" s="93"/>
      <c r="M1135" s="93"/>
      <c r="N1135" s="93"/>
      <c r="O1135" s="93"/>
      <c r="P1135" s="93"/>
      <c r="Q1135" s="93"/>
      <c r="R1135" s="87"/>
      <c r="S1135" s="87"/>
      <c r="T1135" s="87"/>
      <c r="U1135" s="19"/>
      <c r="V1135" s="87"/>
      <c r="W1135" s="87"/>
      <c r="X1135" s="87"/>
      <c r="Y1135" s="87"/>
      <c r="Z1135" s="87"/>
      <c r="AA1135" s="87"/>
      <c r="AB1135" s="87"/>
      <c r="AC1135" s="87"/>
      <c r="AD1135" s="87"/>
      <c r="AE1135" s="87"/>
      <c r="AF1135" s="87"/>
      <c r="AG1135" s="87"/>
      <c r="AH1135" s="87"/>
      <c r="AI1135" s="87"/>
      <c r="AJ1135" s="87"/>
      <c r="AK1135" s="87"/>
      <c r="AL1135" s="87"/>
      <c r="AM1135" s="87"/>
      <c r="AN1135" s="87"/>
      <c r="AO1135" s="87"/>
      <c r="AP1135" s="87"/>
      <c r="AQ1135" s="87"/>
      <c r="AR1135" s="87"/>
      <c r="AS1135" s="87"/>
      <c r="AT1135" s="87"/>
      <c r="AU1135" s="87"/>
      <c r="AV1135" s="87"/>
      <c r="AW1135" s="87"/>
      <c r="AX1135" s="87"/>
      <c r="AY1135" s="87"/>
      <c r="AZ1135" s="87"/>
      <c r="BA1135" s="87"/>
      <c r="BB1135" s="87"/>
      <c r="BC1135" s="87"/>
      <c r="BD1135" s="87"/>
      <c r="BE1135" s="87"/>
      <c r="BF1135" s="87"/>
      <c r="BG1135" s="87"/>
      <c r="BH1135" s="87"/>
      <c r="BI1135" s="87"/>
      <c r="BJ1135" s="87"/>
      <c r="BK1135" s="87"/>
      <c r="BL1135" s="87"/>
      <c r="BM1135" s="87"/>
      <c r="BN1135" s="87"/>
      <c r="BO1135" s="87"/>
      <c r="BP1135" s="87"/>
      <c r="BQ1135" s="87"/>
      <c r="BR1135" s="87"/>
      <c r="BS1135" s="87"/>
      <c r="BT1135" s="87"/>
      <c r="BU1135" s="87"/>
      <c r="BV1135" s="87"/>
      <c r="BW1135" s="87"/>
      <c r="BX1135" s="87"/>
      <c r="BY1135" s="87"/>
    </row>
    <row r="1136" spans="3:77" x14ac:dyDescent="0.3">
      <c r="C1136" s="90"/>
      <c r="D1136" s="87"/>
      <c r="E1136" s="91"/>
      <c r="F1136" s="92"/>
      <c r="G1136" s="93"/>
      <c r="H1136" s="93"/>
      <c r="I1136" s="93"/>
      <c r="J1136" s="93"/>
      <c r="K1136" s="93"/>
      <c r="L1136" s="93"/>
      <c r="M1136" s="93"/>
      <c r="N1136" s="93"/>
      <c r="O1136" s="93"/>
      <c r="P1136" s="93"/>
      <c r="Q1136" s="93"/>
      <c r="R1136" s="87"/>
      <c r="S1136" s="87"/>
      <c r="T1136" s="87"/>
      <c r="U1136" s="19"/>
      <c r="V1136" s="87"/>
      <c r="W1136" s="87"/>
      <c r="X1136" s="87"/>
      <c r="Y1136" s="87"/>
      <c r="Z1136" s="87"/>
      <c r="AA1136" s="87"/>
      <c r="AB1136" s="87"/>
      <c r="AC1136" s="87"/>
      <c r="AD1136" s="87"/>
      <c r="AE1136" s="87"/>
      <c r="AF1136" s="87"/>
      <c r="AG1136" s="87"/>
      <c r="AH1136" s="87"/>
      <c r="AI1136" s="87"/>
      <c r="AJ1136" s="87"/>
      <c r="AK1136" s="87"/>
      <c r="AL1136" s="87"/>
      <c r="AM1136" s="87"/>
      <c r="AN1136" s="87"/>
      <c r="AO1136" s="87"/>
      <c r="AP1136" s="87"/>
      <c r="AQ1136" s="87"/>
      <c r="AR1136" s="87"/>
      <c r="AS1136" s="87"/>
      <c r="AT1136" s="87"/>
      <c r="AU1136" s="87"/>
      <c r="AV1136" s="87"/>
      <c r="AW1136" s="87"/>
      <c r="AX1136" s="87"/>
      <c r="AY1136" s="87"/>
      <c r="AZ1136" s="87"/>
      <c r="BA1136" s="87"/>
      <c r="BB1136" s="87"/>
      <c r="BC1136" s="87"/>
      <c r="BD1136" s="87"/>
      <c r="BE1136" s="87"/>
      <c r="BF1136" s="87"/>
      <c r="BG1136" s="87"/>
      <c r="BH1136" s="87"/>
      <c r="BI1136" s="87"/>
      <c r="BJ1136" s="87"/>
      <c r="BK1136" s="87"/>
      <c r="BL1136" s="87"/>
      <c r="BM1136" s="87"/>
      <c r="BN1136" s="87"/>
      <c r="BO1136" s="87"/>
      <c r="BP1136" s="87"/>
      <c r="BQ1136" s="87"/>
      <c r="BR1136" s="87"/>
      <c r="BS1136" s="87"/>
      <c r="BT1136" s="87"/>
      <c r="BU1136" s="87"/>
      <c r="BV1136" s="87"/>
      <c r="BW1136" s="87"/>
      <c r="BX1136" s="87"/>
      <c r="BY1136" s="87"/>
    </row>
    <row r="1137" spans="3:77" x14ac:dyDescent="0.3">
      <c r="C1137" s="90"/>
      <c r="D1137" s="87"/>
      <c r="E1137" s="91"/>
      <c r="F1137" s="92"/>
      <c r="G1137" s="93"/>
      <c r="H1137" s="93"/>
      <c r="I1137" s="93"/>
      <c r="J1137" s="93"/>
      <c r="K1137" s="93"/>
      <c r="L1137" s="93"/>
      <c r="M1137" s="93"/>
      <c r="N1137" s="93"/>
      <c r="O1137" s="93"/>
      <c r="P1137" s="93"/>
      <c r="Q1137" s="93"/>
      <c r="R1137" s="87"/>
      <c r="S1137" s="87"/>
      <c r="T1137" s="87"/>
      <c r="U1137" s="19"/>
      <c r="V1137" s="87"/>
      <c r="W1137" s="87"/>
      <c r="X1137" s="87"/>
      <c r="Y1137" s="87"/>
      <c r="Z1137" s="87"/>
      <c r="AA1137" s="87"/>
      <c r="AB1137" s="87"/>
      <c r="AC1137" s="87"/>
      <c r="AD1137" s="87"/>
      <c r="AE1137" s="87"/>
      <c r="AF1137" s="87"/>
      <c r="AG1137" s="87"/>
      <c r="AH1137" s="87"/>
      <c r="AI1137" s="87"/>
      <c r="AJ1137" s="87"/>
      <c r="AK1137" s="87"/>
      <c r="AL1137" s="87"/>
      <c r="AM1137" s="87"/>
      <c r="AN1137" s="87"/>
      <c r="AO1137" s="87"/>
      <c r="AP1137" s="87"/>
      <c r="AQ1137" s="87"/>
      <c r="AR1137" s="87"/>
      <c r="AS1137" s="87"/>
      <c r="AT1137" s="87"/>
      <c r="AU1137" s="87"/>
      <c r="AV1137" s="87"/>
      <c r="AW1137" s="87"/>
      <c r="AX1137" s="87"/>
      <c r="AY1137" s="87"/>
      <c r="AZ1137" s="87"/>
      <c r="BA1137" s="87"/>
      <c r="BB1137" s="87"/>
      <c r="BC1137" s="87"/>
      <c r="BD1137" s="87"/>
      <c r="BE1137" s="87"/>
      <c r="BF1137" s="87"/>
      <c r="BG1137" s="87"/>
      <c r="BH1137" s="87"/>
      <c r="BI1137" s="87"/>
      <c r="BJ1137" s="87"/>
      <c r="BK1137" s="87"/>
      <c r="BL1137" s="87"/>
      <c r="BM1137" s="87"/>
      <c r="BN1137" s="87"/>
      <c r="BO1137" s="87"/>
      <c r="BP1137" s="87"/>
      <c r="BQ1137" s="87"/>
      <c r="BR1137" s="87"/>
      <c r="BS1137" s="87"/>
      <c r="BT1137" s="87"/>
      <c r="BU1137" s="87"/>
      <c r="BV1137" s="87"/>
      <c r="BW1137" s="87"/>
      <c r="BX1137" s="87"/>
      <c r="BY1137" s="87"/>
    </row>
    <row r="1138" spans="3:77" x14ac:dyDescent="0.3">
      <c r="C1138" s="90"/>
      <c r="D1138" s="87"/>
      <c r="E1138" s="91"/>
      <c r="F1138" s="92"/>
      <c r="G1138" s="93"/>
      <c r="H1138" s="93"/>
      <c r="I1138" s="93"/>
      <c r="J1138" s="93"/>
      <c r="K1138" s="93"/>
      <c r="L1138" s="93"/>
      <c r="M1138" s="93"/>
      <c r="N1138" s="93"/>
      <c r="O1138" s="93"/>
      <c r="P1138" s="93"/>
      <c r="Q1138" s="93"/>
      <c r="R1138" s="87"/>
      <c r="S1138" s="87"/>
      <c r="T1138" s="87"/>
      <c r="U1138" s="19"/>
      <c r="V1138" s="87"/>
      <c r="W1138" s="87"/>
      <c r="X1138" s="87"/>
      <c r="Y1138" s="87"/>
      <c r="Z1138" s="87"/>
      <c r="AA1138" s="87"/>
      <c r="AB1138" s="87"/>
      <c r="AC1138" s="87"/>
      <c r="AD1138" s="87"/>
      <c r="AE1138" s="87"/>
      <c r="AF1138" s="87"/>
      <c r="AG1138" s="87"/>
      <c r="AH1138" s="87"/>
      <c r="AI1138" s="87"/>
      <c r="AJ1138" s="87"/>
      <c r="AK1138" s="87"/>
      <c r="AL1138" s="87"/>
      <c r="AM1138" s="87"/>
      <c r="AN1138" s="87"/>
      <c r="AO1138" s="87"/>
      <c r="AP1138" s="87"/>
      <c r="AQ1138" s="87"/>
      <c r="AR1138" s="87"/>
      <c r="AS1138" s="87"/>
      <c r="AT1138" s="87"/>
      <c r="AU1138" s="87"/>
      <c r="AV1138" s="87"/>
      <c r="AW1138" s="87"/>
      <c r="AX1138" s="87"/>
      <c r="AY1138" s="87"/>
      <c r="AZ1138" s="87"/>
      <c r="BA1138" s="87"/>
      <c r="BB1138" s="87"/>
      <c r="BC1138" s="87"/>
      <c r="BD1138" s="87"/>
      <c r="BE1138" s="87"/>
      <c r="BF1138" s="87"/>
      <c r="BG1138" s="87"/>
      <c r="BH1138" s="87"/>
      <c r="BI1138" s="87"/>
      <c r="BJ1138" s="87"/>
      <c r="BK1138" s="87"/>
      <c r="BL1138" s="87"/>
      <c r="BM1138" s="87"/>
      <c r="BN1138" s="87"/>
      <c r="BO1138" s="87"/>
      <c r="BP1138" s="87"/>
      <c r="BQ1138" s="87"/>
      <c r="BR1138" s="87"/>
      <c r="BS1138" s="87"/>
      <c r="BT1138" s="87"/>
      <c r="BU1138" s="87"/>
      <c r="BV1138" s="87"/>
      <c r="BW1138" s="87"/>
      <c r="BX1138" s="87"/>
      <c r="BY1138" s="87"/>
    </row>
    <row r="1139" spans="3:77" x14ac:dyDescent="0.3">
      <c r="C1139" s="90"/>
      <c r="D1139" s="87"/>
      <c r="E1139" s="91"/>
      <c r="F1139" s="92"/>
      <c r="G1139" s="93"/>
      <c r="H1139" s="93"/>
      <c r="I1139" s="93"/>
      <c r="J1139" s="93"/>
      <c r="K1139" s="93"/>
      <c r="L1139" s="93"/>
      <c r="M1139" s="93"/>
      <c r="N1139" s="93"/>
      <c r="O1139" s="93"/>
      <c r="P1139" s="93"/>
      <c r="Q1139" s="93"/>
      <c r="R1139" s="87"/>
      <c r="S1139" s="87"/>
      <c r="T1139" s="87"/>
      <c r="U1139" s="19"/>
      <c r="V1139" s="87"/>
      <c r="W1139" s="87"/>
      <c r="X1139" s="87"/>
      <c r="Y1139" s="87"/>
      <c r="Z1139" s="87"/>
      <c r="AA1139" s="87"/>
      <c r="AB1139" s="87"/>
      <c r="AC1139" s="87"/>
      <c r="AD1139" s="87"/>
      <c r="AE1139" s="87"/>
      <c r="AF1139" s="87"/>
      <c r="AG1139" s="87"/>
      <c r="AH1139" s="87"/>
      <c r="AI1139" s="87"/>
      <c r="AJ1139" s="87"/>
      <c r="AK1139" s="87"/>
      <c r="AL1139" s="87"/>
      <c r="AM1139" s="87"/>
      <c r="AN1139" s="87"/>
      <c r="AO1139" s="87"/>
      <c r="AP1139" s="87"/>
      <c r="AQ1139" s="87"/>
      <c r="AR1139" s="87"/>
      <c r="AS1139" s="87"/>
      <c r="AT1139" s="87"/>
      <c r="AU1139" s="87"/>
      <c r="AV1139" s="87"/>
      <c r="AW1139" s="87"/>
      <c r="AX1139" s="87"/>
      <c r="AY1139" s="87"/>
      <c r="AZ1139" s="87"/>
      <c r="BA1139" s="87"/>
      <c r="BB1139" s="87"/>
      <c r="BC1139" s="87"/>
      <c r="BD1139" s="87"/>
      <c r="BE1139" s="87"/>
      <c r="BF1139" s="87"/>
      <c r="BG1139" s="87"/>
      <c r="BH1139" s="87"/>
      <c r="BI1139" s="87"/>
      <c r="BJ1139" s="87"/>
      <c r="BK1139" s="87"/>
      <c r="BL1139" s="87"/>
      <c r="BM1139" s="87"/>
      <c r="BN1139" s="87"/>
      <c r="BO1139" s="87"/>
      <c r="BP1139" s="87"/>
      <c r="BQ1139" s="87"/>
      <c r="BR1139" s="87"/>
      <c r="BS1139" s="87"/>
      <c r="BT1139" s="87"/>
      <c r="BU1139" s="87"/>
      <c r="BV1139" s="87"/>
      <c r="BW1139" s="87"/>
      <c r="BX1139" s="87"/>
      <c r="BY1139" s="87"/>
    </row>
    <row r="1140" spans="3:77" x14ac:dyDescent="0.3">
      <c r="C1140" s="90"/>
      <c r="D1140" s="87"/>
      <c r="E1140" s="91"/>
      <c r="F1140" s="92"/>
      <c r="G1140" s="93"/>
      <c r="H1140" s="93"/>
      <c r="I1140" s="93"/>
      <c r="J1140" s="93"/>
      <c r="K1140" s="93"/>
      <c r="L1140" s="93"/>
      <c r="M1140" s="93"/>
      <c r="N1140" s="93"/>
      <c r="O1140" s="93"/>
      <c r="P1140" s="93"/>
      <c r="Q1140" s="93"/>
      <c r="R1140" s="87"/>
      <c r="S1140" s="87"/>
      <c r="T1140" s="87"/>
      <c r="U1140" s="19"/>
      <c r="V1140" s="87"/>
      <c r="W1140" s="87"/>
      <c r="X1140" s="87"/>
      <c r="Y1140" s="87"/>
      <c r="Z1140" s="87"/>
      <c r="AA1140" s="87"/>
      <c r="AB1140" s="87"/>
      <c r="AC1140" s="87"/>
      <c r="AD1140" s="87"/>
      <c r="AE1140" s="87"/>
      <c r="AF1140" s="87"/>
      <c r="AG1140" s="87"/>
      <c r="AH1140" s="87"/>
      <c r="AI1140" s="87"/>
      <c r="AJ1140" s="87"/>
      <c r="AK1140" s="87"/>
      <c r="AL1140" s="87"/>
      <c r="AM1140" s="87"/>
      <c r="AN1140" s="87"/>
      <c r="AO1140" s="87"/>
      <c r="AP1140" s="87"/>
      <c r="AQ1140" s="87"/>
      <c r="AR1140" s="87"/>
      <c r="AS1140" s="87"/>
      <c r="AT1140" s="87"/>
      <c r="AU1140" s="87"/>
      <c r="AV1140" s="87"/>
      <c r="AW1140" s="87"/>
      <c r="AX1140" s="87"/>
      <c r="AY1140" s="87"/>
      <c r="AZ1140" s="87"/>
      <c r="BA1140" s="87"/>
      <c r="BB1140" s="87"/>
      <c r="BC1140" s="87"/>
      <c r="BD1140" s="87"/>
      <c r="BE1140" s="87"/>
      <c r="BF1140" s="87"/>
      <c r="BG1140" s="87"/>
      <c r="BH1140" s="87"/>
      <c r="BI1140" s="87"/>
      <c r="BJ1140" s="87"/>
      <c r="BK1140" s="87"/>
      <c r="BL1140" s="87"/>
      <c r="BM1140" s="87"/>
      <c r="BN1140" s="87"/>
      <c r="BO1140" s="87"/>
      <c r="BP1140" s="87"/>
      <c r="BQ1140" s="87"/>
      <c r="BR1140" s="87"/>
      <c r="BS1140" s="87"/>
      <c r="BT1140" s="87"/>
      <c r="BU1140" s="87"/>
      <c r="BV1140" s="87"/>
      <c r="BW1140" s="87"/>
      <c r="BX1140" s="87"/>
      <c r="BY1140" s="87"/>
    </row>
    <row r="1141" spans="3:77" x14ac:dyDescent="0.3">
      <c r="C1141" s="90"/>
      <c r="D1141" s="87"/>
      <c r="E1141" s="91"/>
      <c r="F1141" s="92"/>
      <c r="G1141" s="93"/>
      <c r="H1141" s="93"/>
      <c r="I1141" s="93"/>
      <c r="J1141" s="93"/>
      <c r="K1141" s="93"/>
      <c r="L1141" s="93"/>
      <c r="M1141" s="93"/>
      <c r="N1141" s="93"/>
      <c r="O1141" s="93"/>
      <c r="P1141" s="93"/>
      <c r="Q1141" s="93"/>
      <c r="R1141" s="87"/>
      <c r="S1141" s="87"/>
      <c r="T1141" s="87"/>
      <c r="U1141" s="19"/>
      <c r="V1141" s="87"/>
      <c r="W1141" s="87"/>
      <c r="X1141" s="87"/>
      <c r="Y1141" s="87"/>
      <c r="Z1141" s="87"/>
      <c r="AA1141" s="87"/>
      <c r="AB1141" s="87"/>
      <c r="AC1141" s="87"/>
      <c r="AD1141" s="87"/>
      <c r="AE1141" s="87"/>
      <c r="AF1141" s="87"/>
      <c r="AG1141" s="87"/>
      <c r="AH1141" s="87"/>
      <c r="AI1141" s="87"/>
      <c r="AJ1141" s="87"/>
      <c r="AK1141" s="87"/>
      <c r="AL1141" s="87"/>
      <c r="AM1141" s="87"/>
      <c r="AN1141" s="87"/>
      <c r="AO1141" s="87"/>
      <c r="AP1141" s="87"/>
      <c r="AQ1141" s="87"/>
      <c r="AR1141" s="87"/>
      <c r="AS1141" s="87"/>
      <c r="AT1141" s="87"/>
      <c r="AU1141" s="87"/>
      <c r="AV1141" s="87"/>
      <c r="AW1141" s="87"/>
      <c r="AX1141" s="87"/>
      <c r="AY1141" s="87"/>
      <c r="AZ1141" s="87"/>
      <c r="BA1141" s="87"/>
      <c r="BB1141" s="87"/>
      <c r="BC1141" s="87"/>
      <c r="BD1141" s="87"/>
      <c r="BE1141" s="87"/>
      <c r="BF1141" s="87"/>
      <c r="BG1141" s="87"/>
      <c r="BH1141" s="87"/>
      <c r="BI1141" s="87"/>
      <c r="BJ1141" s="87"/>
      <c r="BK1141" s="87"/>
      <c r="BL1141" s="87"/>
      <c r="BM1141" s="87"/>
      <c r="BN1141" s="87"/>
      <c r="BO1141" s="87"/>
      <c r="BP1141" s="87"/>
      <c r="BQ1141" s="87"/>
      <c r="BR1141" s="87"/>
      <c r="BS1141" s="87"/>
      <c r="BT1141" s="87"/>
      <c r="BU1141" s="87"/>
      <c r="BV1141" s="87"/>
      <c r="BW1141" s="87"/>
      <c r="BX1141" s="87"/>
      <c r="BY1141" s="87"/>
    </row>
    <row r="1142" spans="3:77" x14ac:dyDescent="0.3">
      <c r="C1142" s="90"/>
      <c r="D1142" s="87"/>
      <c r="E1142" s="91"/>
      <c r="F1142" s="92"/>
      <c r="G1142" s="93"/>
      <c r="H1142" s="93"/>
      <c r="I1142" s="93"/>
      <c r="J1142" s="93"/>
      <c r="K1142" s="93"/>
      <c r="L1142" s="93"/>
      <c r="M1142" s="93"/>
      <c r="N1142" s="93"/>
      <c r="O1142" s="93"/>
      <c r="P1142" s="93"/>
      <c r="Q1142" s="93"/>
      <c r="R1142" s="87"/>
      <c r="S1142" s="87"/>
      <c r="T1142" s="87"/>
      <c r="U1142" s="19"/>
      <c r="V1142" s="87"/>
      <c r="W1142" s="87"/>
      <c r="X1142" s="87"/>
      <c r="Y1142" s="87"/>
      <c r="Z1142" s="87"/>
      <c r="AA1142" s="87"/>
      <c r="AB1142" s="87"/>
      <c r="AC1142" s="87"/>
      <c r="AD1142" s="87"/>
      <c r="AE1142" s="87"/>
      <c r="AF1142" s="87"/>
      <c r="AG1142" s="87"/>
      <c r="AH1142" s="87"/>
      <c r="AI1142" s="87"/>
      <c r="AJ1142" s="87"/>
      <c r="AK1142" s="87"/>
      <c r="AL1142" s="87"/>
      <c r="AM1142" s="87"/>
      <c r="AN1142" s="87"/>
      <c r="AO1142" s="87"/>
      <c r="AP1142" s="87"/>
      <c r="AQ1142" s="87"/>
      <c r="AR1142" s="87"/>
      <c r="AS1142" s="87"/>
      <c r="AT1142" s="87"/>
      <c r="AU1142" s="87"/>
      <c r="AV1142" s="87"/>
      <c r="AW1142" s="87"/>
      <c r="AX1142" s="87"/>
      <c r="AY1142" s="87"/>
      <c r="AZ1142" s="87"/>
      <c r="BA1142" s="87"/>
      <c r="BB1142" s="87"/>
      <c r="BC1142" s="87"/>
      <c r="BD1142" s="87"/>
      <c r="BE1142" s="87"/>
      <c r="BF1142" s="87"/>
      <c r="BG1142" s="87"/>
      <c r="BH1142" s="87"/>
      <c r="BI1142" s="87"/>
      <c r="BJ1142" s="87"/>
      <c r="BK1142" s="87"/>
      <c r="BL1142" s="87"/>
      <c r="BM1142" s="87"/>
      <c r="BN1142" s="87"/>
      <c r="BO1142" s="87"/>
      <c r="BP1142" s="87"/>
      <c r="BQ1142" s="87"/>
      <c r="BR1142" s="87"/>
      <c r="BS1142" s="87"/>
      <c r="BT1142" s="87"/>
      <c r="BU1142" s="87"/>
      <c r="BV1142" s="87"/>
      <c r="BW1142" s="87"/>
      <c r="BX1142" s="87"/>
      <c r="BY1142" s="87"/>
    </row>
    <row r="1143" spans="3:77" x14ac:dyDescent="0.3">
      <c r="C1143" s="90"/>
      <c r="D1143" s="87"/>
      <c r="E1143" s="91"/>
      <c r="F1143" s="92"/>
      <c r="G1143" s="93"/>
      <c r="H1143" s="93"/>
      <c r="I1143" s="93"/>
      <c r="J1143" s="93"/>
      <c r="K1143" s="93"/>
      <c r="L1143" s="93"/>
      <c r="M1143" s="93"/>
      <c r="N1143" s="93"/>
      <c r="O1143" s="93"/>
      <c r="P1143" s="93"/>
      <c r="Q1143" s="93"/>
      <c r="R1143" s="87"/>
      <c r="S1143" s="87"/>
      <c r="T1143" s="87"/>
      <c r="U1143" s="19"/>
      <c r="V1143" s="87"/>
      <c r="W1143" s="87"/>
      <c r="X1143" s="87"/>
      <c r="Y1143" s="87"/>
      <c r="Z1143" s="87"/>
      <c r="AA1143" s="87"/>
      <c r="AB1143" s="87"/>
      <c r="AC1143" s="87"/>
      <c r="AD1143" s="87"/>
      <c r="AE1143" s="87"/>
      <c r="AF1143" s="87"/>
      <c r="AG1143" s="87"/>
      <c r="AH1143" s="87"/>
      <c r="AI1143" s="87"/>
      <c r="AJ1143" s="87"/>
      <c r="AK1143" s="87"/>
      <c r="AL1143" s="87"/>
      <c r="AM1143" s="87"/>
      <c r="AN1143" s="87"/>
      <c r="AO1143" s="87"/>
      <c r="AP1143" s="87"/>
      <c r="AQ1143" s="87"/>
      <c r="AR1143" s="87"/>
      <c r="AS1143" s="87"/>
      <c r="AT1143" s="87"/>
      <c r="AU1143" s="87"/>
      <c r="AV1143" s="87"/>
      <c r="AW1143" s="87"/>
      <c r="AX1143" s="87"/>
      <c r="AY1143" s="87"/>
      <c r="AZ1143" s="87"/>
      <c r="BA1143" s="87"/>
      <c r="BB1143" s="87"/>
      <c r="BC1143" s="87"/>
      <c r="BD1143" s="87"/>
      <c r="BE1143" s="87"/>
      <c r="BF1143" s="87"/>
      <c r="BG1143" s="87"/>
      <c r="BH1143" s="87"/>
      <c r="BI1143" s="87"/>
      <c r="BJ1143" s="87"/>
      <c r="BK1143" s="87"/>
      <c r="BL1143" s="87"/>
      <c r="BM1143" s="87"/>
      <c r="BN1143" s="87"/>
      <c r="BO1143" s="87"/>
      <c r="BP1143" s="87"/>
      <c r="BQ1143" s="87"/>
      <c r="BR1143" s="87"/>
      <c r="BS1143" s="87"/>
      <c r="BT1143" s="87"/>
      <c r="BU1143" s="87"/>
      <c r="BV1143" s="87"/>
      <c r="BW1143" s="87"/>
      <c r="BX1143" s="87"/>
      <c r="BY1143" s="87"/>
    </row>
    <row r="1144" spans="3:77" x14ac:dyDescent="0.3">
      <c r="C1144" s="90"/>
      <c r="D1144" s="87"/>
      <c r="E1144" s="91"/>
      <c r="F1144" s="92"/>
      <c r="G1144" s="93"/>
      <c r="H1144" s="93"/>
      <c r="I1144" s="93"/>
      <c r="J1144" s="93"/>
      <c r="K1144" s="93"/>
      <c r="L1144" s="93"/>
      <c r="M1144" s="93"/>
      <c r="N1144" s="93"/>
      <c r="O1144" s="93"/>
      <c r="P1144" s="93"/>
      <c r="Q1144" s="93"/>
      <c r="R1144" s="87"/>
      <c r="S1144" s="87"/>
      <c r="T1144" s="87"/>
      <c r="U1144" s="19"/>
      <c r="V1144" s="87"/>
      <c r="W1144" s="87"/>
      <c r="X1144" s="87"/>
      <c r="Y1144" s="87"/>
      <c r="Z1144" s="87"/>
      <c r="AA1144" s="87"/>
      <c r="AB1144" s="87"/>
      <c r="AC1144" s="87"/>
      <c r="AD1144" s="87"/>
      <c r="AE1144" s="87"/>
      <c r="AF1144" s="87"/>
      <c r="AG1144" s="87"/>
      <c r="AH1144" s="87"/>
      <c r="AI1144" s="87"/>
      <c r="AJ1144" s="87"/>
      <c r="AK1144" s="87"/>
      <c r="AL1144" s="87"/>
      <c r="AM1144" s="87"/>
      <c r="AN1144" s="87"/>
      <c r="AO1144" s="87"/>
      <c r="AP1144" s="87"/>
      <c r="AQ1144" s="87"/>
      <c r="AR1144" s="87"/>
      <c r="AS1144" s="87"/>
      <c r="AT1144" s="87"/>
      <c r="AU1144" s="87"/>
      <c r="AV1144" s="87"/>
      <c r="AW1144" s="87"/>
      <c r="AX1144" s="87"/>
      <c r="AY1144" s="87"/>
      <c r="AZ1144" s="87"/>
      <c r="BA1144" s="87"/>
      <c r="BB1144" s="87"/>
      <c r="BC1144" s="87"/>
      <c r="BD1144" s="87"/>
      <c r="BE1144" s="87"/>
      <c r="BF1144" s="87"/>
      <c r="BG1144" s="87"/>
      <c r="BH1144" s="87"/>
      <c r="BI1144" s="87"/>
      <c r="BJ1144" s="87"/>
      <c r="BK1144" s="87"/>
      <c r="BL1144" s="87"/>
      <c r="BM1144" s="87"/>
      <c r="BN1144" s="87"/>
      <c r="BO1144" s="87"/>
      <c r="BP1144" s="87"/>
      <c r="BQ1144" s="87"/>
      <c r="BR1144" s="87"/>
      <c r="BS1144" s="87"/>
      <c r="BT1144" s="87"/>
      <c r="BU1144" s="87"/>
      <c r="BV1144" s="87"/>
      <c r="BW1144" s="87"/>
      <c r="BX1144" s="87"/>
      <c r="BY1144" s="87"/>
    </row>
    <row r="1145" spans="3:77" x14ac:dyDescent="0.3">
      <c r="C1145" s="90"/>
      <c r="D1145" s="87"/>
      <c r="E1145" s="91"/>
      <c r="F1145" s="92"/>
      <c r="G1145" s="93"/>
      <c r="H1145" s="93"/>
      <c r="I1145" s="93"/>
      <c r="J1145" s="93"/>
      <c r="K1145" s="93"/>
      <c r="L1145" s="93"/>
      <c r="M1145" s="93"/>
      <c r="N1145" s="93"/>
      <c r="O1145" s="93"/>
      <c r="P1145" s="93"/>
      <c r="Q1145" s="93"/>
      <c r="R1145" s="87"/>
      <c r="S1145" s="87"/>
      <c r="T1145" s="87"/>
      <c r="U1145" s="19"/>
      <c r="V1145" s="87"/>
      <c r="W1145" s="87"/>
      <c r="X1145" s="87"/>
      <c r="Y1145" s="87"/>
      <c r="Z1145" s="87"/>
      <c r="AA1145" s="87"/>
      <c r="AB1145" s="87"/>
      <c r="AC1145" s="87"/>
      <c r="AD1145" s="87"/>
      <c r="AE1145" s="87"/>
      <c r="AF1145" s="87"/>
      <c r="AG1145" s="87"/>
      <c r="AH1145" s="87"/>
      <c r="AI1145" s="87"/>
      <c r="AJ1145" s="87"/>
      <c r="AK1145" s="87"/>
      <c r="AL1145" s="87"/>
      <c r="AM1145" s="87"/>
      <c r="AN1145" s="87"/>
      <c r="AO1145" s="87"/>
      <c r="AP1145" s="87"/>
      <c r="AQ1145" s="87"/>
      <c r="AR1145" s="87"/>
      <c r="AS1145" s="87"/>
      <c r="AT1145" s="87"/>
      <c r="AU1145" s="87"/>
      <c r="AV1145" s="87"/>
      <c r="AW1145" s="87"/>
      <c r="AX1145" s="87"/>
      <c r="AY1145" s="87"/>
      <c r="AZ1145" s="87"/>
      <c r="BA1145" s="87"/>
      <c r="BB1145" s="87"/>
      <c r="BC1145" s="87"/>
      <c r="BD1145" s="87"/>
      <c r="BE1145" s="87"/>
      <c r="BF1145" s="87"/>
      <c r="BG1145" s="87"/>
      <c r="BH1145" s="87"/>
      <c r="BI1145" s="87"/>
      <c r="BJ1145" s="87"/>
      <c r="BK1145" s="87"/>
      <c r="BL1145" s="87"/>
      <c r="BM1145" s="87"/>
      <c r="BN1145" s="87"/>
      <c r="BO1145" s="87"/>
      <c r="BP1145" s="87"/>
      <c r="BQ1145" s="87"/>
      <c r="BR1145" s="87"/>
      <c r="BS1145" s="87"/>
      <c r="BT1145" s="87"/>
      <c r="BU1145" s="87"/>
      <c r="BV1145" s="87"/>
      <c r="BW1145" s="87"/>
      <c r="BX1145" s="87"/>
      <c r="BY1145" s="87"/>
    </row>
    <row r="1146" spans="3:77" x14ac:dyDescent="0.3">
      <c r="C1146" s="90"/>
      <c r="D1146" s="87"/>
      <c r="E1146" s="91"/>
      <c r="F1146" s="92"/>
      <c r="G1146" s="93"/>
      <c r="H1146" s="93"/>
      <c r="I1146" s="93"/>
      <c r="J1146" s="93"/>
      <c r="K1146" s="93"/>
      <c r="L1146" s="93"/>
      <c r="M1146" s="93"/>
      <c r="N1146" s="93"/>
      <c r="O1146" s="93"/>
      <c r="P1146" s="93"/>
      <c r="Q1146" s="93"/>
      <c r="R1146" s="87"/>
      <c r="S1146" s="87"/>
      <c r="T1146" s="87"/>
      <c r="U1146" s="19"/>
      <c r="V1146" s="87"/>
      <c r="W1146" s="87"/>
      <c r="X1146" s="87"/>
      <c r="Y1146" s="87"/>
      <c r="Z1146" s="87"/>
      <c r="AA1146" s="87"/>
      <c r="AB1146" s="87"/>
      <c r="AC1146" s="87"/>
      <c r="AD1146" s="87"/>
      <c r="AE1146" s="87"/>
      <c r="AF1146" s="87"/>
      <c r="AG1146" s="87"/>
      <c r="AH1146" s="87"/>
      <c r="AI1146" s="87"/>
      <c r="AJ1146" s="87"/>
      <c r="AK1146" s="87"/>
      <c r="AL1146" s="87"/>
      <c r="AM1146" s="87"/>
      <c r="AN1146" s="87"/>
      <c r="AO1146" s="87"/>
      <c r="AP1146" s="87"/>
      <c r="AQ1146" s="87"/>
      <c r="AR1146" s="87"/>
      <c r="AS1146" s="87"/>
      <c r="AT1146" s="87"/>
      <c r="AU1146" s="87"/>
      <c r="AV1146" s="87"/>
      <c r="AW1146" s="87"/>
      <c r="AX1146" s="87"/>
      <c r="AY1146" s="87"/>
      <c r="AZ1146" s="87"/>
      <c r="BA1146" s="87"/>
      <c r="BB1146" s="87"/>
      <c r="BC1146" s="87"/>
      <c r="BD1146" s="87"/>
      <c r="BE1146" s="87"/>
      <c r="BF1146" s="87"/>
      <c r="BG1146" s="87"/>
      <c r="BH1146" s="87"/>
      <c r="BI1146" s="87"/>
      <c r="BJ1146" s="87"/>
      <c r="BK1146" s="87"/>
      <c r="BL1146" s="87"/>
      <c r="BM1146" s="87"/>
      <c r="BN1146" s="87"/>
      <c r="BO1146" s="87"/>
      <c r="BP1146" s="87"/>
      <c r="BQ1146" s="87"/>
      <c r="BR1146" s="87"/>
      <c r="BS1146" s="87"/>
      <c r="BT1146" s="87"/>
      <c r="BU1146" s="87"/>
      <c r="BV1146" s="87"/>
      <c r="BW1146" s="87"/>
      <c r="BX1146" s="87"/>
      <c r="BY1146" s="87"/>
    </row>
    <row r="1147" spans="3:77" x14ac:dyDescent="0.3">
      <c r="C1147" s="90"/>
      <c r="D1147" s="87"/>
      <c r="E1147" s="91"/>
      <c r="F1147" s="92"/>
      <c r="G1147" s="93"/>
      <c r="H1147" s="93"/>
      <c r="I1147" s="93"/>
      <c r="J1147" s="93"/>
      <c r="K1147" s="93"/>
      <c r="L1147" s="93"/>
      <c r="M1147" s="93"/>
      <c r="N1147" s="93"/>
      <c r="O1147" s="93"/>
      <c r="P1147" s="93"/>
      <c r="Q1147" s="93"/>
      <c r="R1147" s="87"/>
      <c r="S1147" s="87"/>
      <c r="T1147" s="87"/>
      <c r="U1147" s="19"/>
      <c r="V1147" s="87"/>
      <c r="W1147" s="87"/>
      <c r="X1147" s="87"/>
      <c r="Y1147" s="87"/>
      <c r="Z1147" s="87"/>
      <c r="AA1147" s="87"/>
      <c r="AB1147" s="87"/>
      <c r="AC1147" s="87"/>
      <c r="AD1147" s="87"/>
      <c r="AE1147" s="87"/>
      <c r="AF1147" s="87"/>
      <c r="AG1147" s="87"/>
      <c r="AH1147" s="87"/>
      <c r="AI1147" s="87"/>
      <c r="AJ1147" s="87"/>
      <c r="AK1147" s="87"/>
      <c r="AL1147" s="87"/>
      <c r="AM1147" s="87"/>
      <c r="AN1147" s="87"/>
      <c r="AO1147" s="87"/>
      <c r="AP1147" s="87"/>
      <c r="AQ1147" s="87"/>
      <c r="AR1147" s="87"/>
      <c r="AS1147" s="87"/>
      <c r="AT1147" s="87"/>
      <c r="AU1147" s="87"/>
      <c r="AV1147" s="87"/>
      <c r="AW1147" s="87"/>
      <c r="AX1147" s="87"/>
      <c r="AY1147" s="87"/>
      <c r="AZ1147" s="87"/>
      <c r="BA1147" s="87"/>
      <c r="BB1147" s="87"/>
      <c r="BC1147" s="87"/>
      <c r="BD1147" s="87"/>
      <c r="BE1147" s="87"/>
      <c r="BF1147" s="87"/>
      <c r="BG1147" s="87"/>
      <c r="BH1147" s="87"/>
      <c r="BI1147" s="87"/>
      <c r="BJ1147" s="87"/>
      <c r="BK1147" s="87"/>
      <c r="BL1147" s="87"/>
      <c r="BM1147" s="87"/>
      <c r="BN1147" s="87"/>
      <c r="BO1147" s="87"/>
      <c r="BP1147" s="87"/>
      <c r="BQ1147" s="87"/>
      <c r="BR1147" s="87"/>
      <c r="BS1147" s="87"/>
      <c r="BT1147" s="87"/>
      <c r="BU1147" s="87"/>
      <c r="BV1147" s="87"/>
      <c r="BW1147" s="87"/>
      <c r="BX1147" s="87"/>
      <c r="BY1147" s="87"/>
    </row>
    <row r="1148" spans="3:77" x14ac:dyDescent="0.3">
      <c r="C1148" s="90"/>
      <c r="D1148" s="87"/>
      <c r="E1148" s="91"/>
      <c r="F1148" s="92"/>
      <c r="G1148" s="93"/>
      <c r="H1148" s="93"/>
      <c r="I1148" s="93"/>
      <c r="J1148" s="93"/>
      <c r="K1148" s="93"/>
      <c r="L1148" s="93"/>
      <c r="M1148" s="93"/>
      <c r="N1148" s="93"/>
      <c r="O1148" s="93"/>
      <c r="P1148" s="93"/>
      <c r="Q1148" s="93"/>
      <c r="R1148" s="87"/>
      <c r="S1148" s="87"/>
      <c r="T1148" s="87"/>
      <c r="U1148" s="19"/>
      <c r="V1148" s="87"/>
      <c r="W1148" s="87"/>
      <c r="X1148" s="87"/>
      <c r="Y1148" s="87"/>
      <c r="Z1148" s="87"/>
      <c r="AA1148" s="87"/>
      <c r="AB1148" s="87"/>
      <c r="AC1148" s="87"/>
      <c r="AD1148" s="87"/>
      <c r="AE1148" s="87"/>
      <c r="AF1148" s="87"/>
      <c r="AG1148" s="87"/>
      <c r="AH1148" s="87"/>
      <c r="AI1148" s="87"/>
      <c r="AJ1148" s="87"/>
      <c r="AK1148" s="87"/>
      <c r="AL1148" s="87"/>
      <c r="AM1148" s="87"/>
      <c r="AN1148" s="87"/>
      <c r="AO1148" s="87"/>
      <c r="AP1148" s="87"/>
      <c r="AQ1148" s="87"/>
      <c r="AR1148" s="87"/>
      <c r="AS1148" s="87"/>
      <c r="AT1148" s="87"/>
      <c r="AU1148" s="87"/>
      <c r="AV1148" s="87"/>
      <c r="AW1148" s="87"/>
      <c r="AX1148" s="87"/>
      <c r="AY1148" s="87"/>
      <c r="AZ1148" s="87"/>
      <c r="BA1148" s="87"/>
      <c r="BB1148" s="87"/>
      <c r="BC1148" s="87"/>
      <c r="BD1148" s="87"/>
      <c r="BE1148" s="87"/>
      <c r="BF1148" s="87"/>
      <c r="BG1148" s="87"/>
      <c r="BH1148" s="87"/>
      <c r="BI1148" s="87"/>
      <c r="BJ1148" s="87"/>
      <c r="BK1148" s="87"/>
      <c r="BL1148" s="87"/>
      <c r="BM1148" s="87"/>
      <c r="BN1148" s="87"/>
      <c r="BO1148" s="87"/>
      <c r="BP1148" s="87"/>
      <c r="BQ1148" s="87"/>
      <c r="BR1148" s="87"/>
      <c r="BS1148" s="87"/>
      <c r="BT1148" s="87"/>
      <c r="BU1148" s="87"/>
      <c r="BV1148" s="87"/>
      <c r="BW1148" s="87"/>
      <c r="BX1148" s="87"/>
      <c r="BY1148" s="87"/>
    </row>
    <row r="1149" spans="3:77" x14ac:dyDescent="0.3">
      <c r="C1149" s="90"/>
      <c r="D1149" s="87"/>
      <c r="E1149" s="91"/>
      <c r="F1149" s="92"/>
      <c r="G1149" s="93"/>
      <c r="H1149" s="93"/>
      <c r="I1149" s="93"/>
      <c r="J1149" s="93"/>
      <c r="K1149" s="93"/>
      <c r="L1149" s="93"/>
      <c r="M1149" s="93"/>
      <c r="N1149" s="93"/>
      <c r="O1149" s="93"/>
      <c r="P1149" s="93"/>
      <c r="Q1149" s="93"/>
      <c r="R1149" s="87"/>
      <c r="S1149" s="87"/>
      <c r="T1149" s="87"/>
      <c r="U1149" s="19"/>
      <c r="V1149" s="87"/>
      <c r="W1149" s="87"/>
      <c r="X1149" s="87"/>
      <c r="Y1149" s="87"/>
      <c r="Z1149" s="87"/>
      <c r="AA1149" s="87"/>
      <c r="AB1149" s="87"/>
      <c r="AC1149" s="87"/>
      <c r="AD1149" s="87"/>
      <c r="AE1149" s="87"/>
      <c r="AF1149" s="87"/>
      <c r="AG1149" s="87"/>
      <c r="AH1149" s="87"/>
      <c r="AI1149" s="87"/>
      <c r="AJ1149" s="87"/>
      <c r="AK1149" s="87"/>
      <c r="AL1149" s="87"/>
      <c r="AM1149" s="87"/>
      <c r="AN1149" s="87"/>
      <c r="AO1149" s="87"/>
      <c r="AP1149" s="87"/>
      <c r="AQ1149" s="87"/>
      <c r="AR1149" s="87"/>
      <c r="AS1149" s="87"/>
      <c r="AT1149" s="87"/>
      <c r="AU1149" s="87"/>
      <c r="AV1149" s="87"/>
      <c r="AW1149" s="87"/>
      <c r="AX1149" s="87"/>
      <c r="AY1149" s="87"/>
      <c r="AZ1149" s="87"/>
      <c r="BA1149" s="87"/>
      <c r="BB1149" s="87"/>
      <c r="BC1149" s="87"/>
      <c r="BD1149" s="87"/>
      <c r="BE1149" s="87"/>
      <c r="BF1149" s="87"/>
      <c r="BG1149" s="87"/>
      <c r="BH1149" s="87"/>
      <c r="BI1149" s="87"/>
      <c r="BJ1149" s="87"/>
      <c r="BK1149" s="87"/>
      <c r="BL1149" s="87"/>
      <c r="BM1149" s="87"/>
      <c r="BN1149" s="87"/>
      <c r="BO1149" s="87"/>
      <c r="BP1149" s="87"/>
      <c r="BQ1149" s="87"/>
      <c r="BR1149" s="87"/>
      <c r="BS1149" s="87"/>
      <c r="BT1149" s="87"/>
      <c r="BU1149" s="87"/>
      <c r="BV1149" s="87"/>
      <c r="BW1149" s="87"/>
      <c r="BX1149" s="87"/>
      <c r="BY1149" s="87"/>
    </row>
    <row r="1150" spans="3:77" x14ac:dyDescent="0.3">
      <c r="C1150" s="90"/>
      <c r="D1150" s="87"/>
      <c r="E1150" s="91"/>
      <c r="F1150" s="92"/>
      <c r="G1150" s="93"/>
      <c r="H1150" s="93"/>
      <c r="I1150" s="93"/>
      <c r="J1150" s="93"/>
      <c r="K1150" s="93"/>
      <c r="L1150" s="93"/>
      <c r="M1150" s="93"/>
      <c r="N1150" s="93"/>
      <c r="O1150" s="93"/>
      <c r="P1150" s="93"/>
      <c r="Q1150" s="93"/>
      <c r="R1150" s="87"/>
      <c r="S1150" s="87"/>
      <c r="T1150" s="87"/>
      <c r="U1150" s="19"/>
      <c r="V1150" s="87"/>
      <c r="W1150" s="87"/>
      <c r="X1150" s="87"/>
      <c r="Y1150" s="87"/>
      <c r="Z1150" s="87"/>
      <c r="AA1150" s="87"/>
      <c r="AB1150" s="87"/>
      <c r="AC1150" s="87"/>
      <c r="AD1150" s="87"/>
      <c r="AE1150" s="87"/>
      <c r="AF1150" s="87"/>
      <c r="AG1150" s="87"/>
      <c r="AH1150" s="87"/>
      <c r="AI1150" s="87"/>
      <c r="AJ1150" s="87"/>
      <c r="AK1150" s="87"/>
      <c r="AL1150" s="87"/>
      <c r="AM1150" s="87"/>
      <c r="AN1150" s="87"/>
      <c r="AO1150" s="87"/>
      <c r="AP1150" s="87"/>
      <c r="AQ1150" s="87"/>
      <c r="AR1150" s="87"/>
      <c r="AS1150" s="87"/>
      <c r="AT1150" s="87"/>
      <c r="AU1150" s="87"/>
      <c r="AV1150" s="87"/>
      <c r="AW1150" s="87"/>
      <c r="AX1150" s="87"/>
      <c r="AY1150" s="87"/>
      <c r="AZ1150" s="87"/>
      <c r="BA1150" s="87"/>
      <c r="BB1150" s="87"/>
      <c r="BC1150" s="87"/>
      <c r="BD1150" s="87"/>
      <c r="BE1150" s="87"/>
      <c r="BF1150" s="87"/>
      <c r="BG1150" s="87"/>
      <c r="BH1150" s="87"/>
      <c r="BI1150" s="87"/>
      <c r="BJ1150" s="87"/>
      <c r="BK1150" s="87"/>
      <c r="BL1150" s="87"/>
      <c r="BM1150" s="87"/>
      <c r="BN1150" s="87"/>
      <c r="BO1150" s="87"/>
      <c r="BP1150" s="87"/>
      <c r="BQ1150" s="87"/>
      <c r="BR1150" s="87"/>
      <c r="BS1150" s="87"/>
      <c r="BT1150" s="87"/>
      <c r="BU1150" s="87"/>
      <c r="BV1150" s="87"/>
      <c r="BW1150" s="87"/>
      <c r="BX1150" s="87"/>
      <c r="BY1150" s="87"/>
    </row>
    <row r="1151" spans="3:77" x14ac:dyDescent="0.3">
      <c r="C1151" s="90"/>
      <c r="D1151" s="87"/>
      <c r="E1151" s="91"/>
      <c r="F1151" s="92"/>
      <c r="G1151" s="93"/>
      <c r="H1151" s="93"/>
      <c r="I1151" s="93"/>
      <c r="J1151" s="93"/>
      <c r="K1151" s="93"/>
      <c r="L1151" s="93"/>
      <c r="M1151" s="93"/>
      <c r="N1151" s="93"/>
      <c r="O1151" s="93"/>
      <c r="P1151" s="93"/>
      <c r="Q1151" s="93"/>
      <c r="R1151" s="87"/>
      <c r="S1151" s="87"/>
      <c r="T1151" s="87"/>
      <c r="U1151" s="19"/>
      <c r="V1151" s="87"/>
      <c r="W1151" s="87"/>
      <c r="X1151" s="87"/>
      <c r="Y1151" s="87"/>
      <c r="Z1151" s="87"/>
      <c r="AA1151" s="87"/>
      <c r="AB1151" s="87"/>
      <c r="AC1151" s="87"/>
      <c r="AD1151" s="87"/>
      <c r="AE1151" s="87"/>
      <c r="AF1151" s="87"/>
      <c r="AG1151" s="87"/>
      <c r="AH1151" s="87"/>
      <c r="AI1151" s="87"/>
      <c r="AJ1151" s="87"/>
      <c r="AK1151" s="87"/>
      <c r="AL1151" s="87"/>
      <c r="AM1151" s="87"/>
      <c r="AN1151" s="87"/>
      <c r="AO1151" s="87"/>
      <c r="AP1151" s="87"/>
      <c r="AQ1151" s="87"/>
      <c r="AR1151" s="87"/>
      <c r="AS1151" s="87"/>
      <c r="AT1151" s="87"/>
      <c r="AU1151" s="87"/>
      <c r="AV1151" s="87"/>
      <c r="AW1151" s="87"/>
      <c r="AX1151" s="87"/>
      <c r="AY1151" s="87"/>
      <c r="AZ1151" s="87"/>
      <c r="BA1151" s="87"/>
      <c r="BB1151" s="87"/>
      <c r="BC1151" s="87"/>
      <c r="BD1151" s="87"/>
      <c r="BE1151" s="87"/>
      <c r="BF1151" s="87"/>
      <c r="BG1151" s="87"/>
      <c r="BH1151" s="87"/>
      <c r="BI1151" s="87"/>
      <c r="BJ1151" s="87"/>
      <c r="BK1151" s="87"/>
      <c r="BL1151" s="87"/>
      <c r="BM1151" s="87"/>
      <c r="BN1151" s="87"/>
      <c r="BO1151" s="87"/>
      <c r="BP1151" s="87"/>
      <c r="BQ1151" s="87"/>
      <c r="BR1151" s="87"/>
      <c r="BS1151" s="87"/>
      <c r="BT1151" s="87"/>
      <c r="BU1151" s="87"/>
      <c r="BV1151" s="87"/>
      <c r="BW1151" s="87"/>
      <c r="BX1151" s="87"/>
      <c r="BY1151" s="87"/>
    </row>
    <row r="1152" spans="3:77" x14ac:dyDescent="0.3">
      <c r="C1152" s="90"/>
      <c r="D1152" s="87"/>
      <c r="E1152" s="91"/>
      <c r="F1152" s="92"/>
      <c r="G1152" s="93"/>
      <c r="H1152" s="93"/>
      <c r="I1152" s="93"/>
      <c r="J1152" s="93"/>
      <c r="K1152" s="93"/>
      <c r="L1152" s="93"/>
      <c r="M1152" s="93"/>
      <c r="N1152" s="93"/>
      <c r="O1152" s="93"/>
      <c r="P1152" s="93"/>
      <c r="Q1152" s="93"/>
      <c r="R1152" s="87"/>
      <c r="S1152" s="87"/>
      <c r="T1152" s="87"/>
      <c r="U1152" s="19"/>
      <c r="V1152" s="87"/>
      <c r="W1152" s="87"/>
      <c r="X1152" s="87"/>
      <c r="Y1152" s="87"/>
      <c r="Z1152" s="87"/>
      <c r="AA1152" s="87"/>
      <c r="AB1152" s="87"/>
      <c r="AC1152" s="87"/>
      <c r="AD1152" s="87"/>
      <c r="AE1152" s="87"/>
      <c r="AF1152" s="87"/>
      <c r="AG1152" s="87"/>
      <c r="AH1152" s="87"/>
      <c r="AI1152" s="87"/>
      <c r="AJ1152" s="87"/>
      <c r="AK1152" s="87"/>
      <c r="AL1152" s="87"/>
      <c r="AM1152" s="87"/>
      <c r="AN1152" s="87"/>
      <c r="AO1152" s="87"/>
      <c r="AP1152" s="87"/>
      <c r="AQ1152" s="87"/>
      <c r="AR1152" s="87"/>
      <c r="AS1152" s="87"/>
      <c r="AT1152" s="87"/>
      <c r="AU1152" s="87"/>
      <c r="AV1152" s="87"/>
      <c r="AW1152" s="87"/>
      <c r="AX1152" s="87"/>
      <c r="AY1152" s="87"/>
      <c r="AZ1152" s="87"/>
      <c r="BA1152" s="87"/>
      <c r="BB1152" s="87"/>
      <c r="BC1152" s="87"/>
      <c r="BD1152" s="87"/>
      <c r="BE1152" s="87"/>
      <c r="BF1152" s="87"/>
      <c r="BG1152" s="87"/>
      <c r="BH1152" s="87"/>
      <c r="BI1152" s="87"/>
      <c r="BJ1152" s="87"/>
      <c r="BK1152" s="87"/>
      <c r="BL1152" s="87"/>
      <c r="BM1152" s="87"/>
      <c r="BN1152" s="87"/>
      <c r="BO1152" s="87"/>
      <c r="BP1152" s="87"/>
      <c r="BQ1152" s="87"/>
      <c r="BR1152" s="87"/>
      <c r="BS1152" s="87"/>
      <c r="BT1152" s="87"/>
      <c r="BU1152" s="87"/>
      <c r="BV1152" s="87"/>
      <c r="BW1152" s="87"/>
      <c r="BX1152" s="87"/>
      <c r="BY1152" s="87"/>
    </row>
    <row r="1153" spans="3:77" x14ac:dyDescent="0.3">
      <c r="C1153" s="90"/>
      <c r="D1153" s="87"/>
      <c r="E1153" s="91"/>
      <c r="F1153" s="92"/>
      <c r="G1153" s="93"/>
      <c r="H1153" s="93"/>
      <c r="I1153" s="93"/>
      <c r="J1153" s="93"/>
      <c r="K1153" s="93"/>
      <c r="L1153" s="93"/>
      <c r="M1153" s="93"/>
      <c r="N1153" s="93"/>
      <c r="O1153" s="93"/>
      <c r="P1153" s="93"/>
      <c r="Q1153" s="93"/>
      <c r="R1153" s="87"/>
      <c r="S1153" s="87"/>
      <c r="T1153" s="87"/>
      <c r="U1153" s="19"/>
      <c r="V1153" s="87"/>
      <c r="W1153" s="87"/>
      <c r="X1153" s="87"/>
      <c r="Y1153" s="87"/>
      <c r="Z1153" s="87"/>
      <c r="AA1153" s="87"/>
      <c r="AB1153" s="87"/>
      <c r="AC1153" s="87"/>
      <c r="AD1153" s="87"/>
      <c r="AE1153" s="87"/>
      <c r="AF1153" s="87"/>
      <c r="AG1153" s="87"/>
      <c r="AH1153" s="87"/>
      <c r="AI1153" s="87"/>
      <c r="AJ1153" s="87"/>
      <c r="AK1153" s="87"/>
      <c r="AL1153" s="87"/>
      <c r="AM1153" s="87"/>
      <c r="AN1153" s="87"/>
      <c r="AO1153" s="87"/>
      <c r="AP1153" s="87"/>
      <c r="AQ1153" s="87"/>
      <c r="AR1153" s="87"/>
      <c r="AS1153" s="87"/>
      <c r="AT1153" s="87"/>
      <c r="AU1153" s="87"/>
      <c r="AV1153" s="87"/>
      <c r="AW1153" s="87"/>
      <c r="AX1153" s="87"/>
      <c r="AY1153" s="87"/>
      <c r="AZ1153" s="87"/>
      <c r="BA1153" s="87"/>
      <c r="BB1153" s="87"/>
      <c r="BC1153" s="87"/>
      <c r="BD1153" s="87"/>
      <c r="BE1153" s="87"/>
      <c r="BF1153" s="87"/>
      <c r="BG1153" s="87"/>
      <c r="BH1153" s="87"/>
      <c r="BI1153" s="87"/>
      <c r="BJ1153" s="87"/>
      <c r="BK1153" s="87"/>
      <c r="BL1153" s="87"/>
      <c r="BM1153" s="87"/>
      <c r="BN1153" s="87"/>
      <c r="BO1153" s="87"/>
      <c r="BP1153" s="87"/>
      <c r="BQ1153" s="87"/>
      <c r="BR1153" s="87"/>
      <c r="BS1153" s="87"/>
      <c r="BT1153" s="87"/>
      <c r="BU1153" s="87"/>
      <c r="BV1153" s="87"/>
      <c r="BW1153" s="87"/>
      <c r="BX1153" s="87"/>
      <c r="BY1153" s="87"/>
    </row>
    <row r="1154" spans="3:77" x14ac:dyDescent="0.3">
      <c r="C1154" s="90"/>
      <c r="D1154" s="87"/>
      <c r="E1154" s="91"/>
      <c r="F1154" s="92"/>
      <c r="G1154" s="93"/>
      <c r="H1154" s="93"/>
      <c r="I1154" s="93"/>
      <c r="J1154" s="93"/>
      <c r="K1154" s="93"/>
      <c r="L1154" s="93"/>
      <c r="M1154" s="93"/>
      <c r="N1154" s="93"/>
      <c r="O1154" s="93"/>
      <c r="P1154" s="93"/>
      <c r="Q1154" s="93"/>
      <c r="R1154" s="87"/>
      <c r="S1154" s="87"/>
      <c r="T1154" s="87"/>
      <c r="U1154" s="19"/>
      <c r="V1154" s="87"/>
      <c r="W1154" s="87"/>
      <c r="X1154" s="87"/>
      <c r="Y1154" s="87"/>
      <c r="Z1154" s="87"/>
      <c r="AA1154" s="87"/>
      <c r="AB1154" s="87"/>
      <c r="AC1154" s="87"/>
      <c r="AD1154" s="87"/>
      <c r="AE1154" s="87"/>
      <c r="AF1154" s="87"/>
      <c r="AG1154" s="87"/>
      <c r="AH1154" s="87"/>
      <c r="AI1154" s="87"/>
      <c r="AJ1154" s="87"/>
      <c r="AK1154" s="87"/>
      <c r="AL1154" s="87"/>
      <c r="AM1154" s="87"/>
      <c r="AN1154" s="87"/>
      <c r="AO1154" s="87"/>
      <c r="AP1154" s="87"/>
      <c r="AQ1154" s="87"/>
      <c r="AR1154" s="87"/>
      <c r="AS1154" s="87"/>
      <c r="AT1154" s="87"/>
      <c r="AU1154" s="87"/>
      <c r="AV1154" s="87"/>
      <c r="AW1154" s="87"/>
      <c r="AX1154" s="87"/>
      <c r="AY1154" s="87"/>
      <c r="AZ1154" s="87"/>
      <c r="BA1154" s="87"/>
      <c r="BB1154" s="87"/>
      <c r="BC1154" s="87"/>
      <c r="BD1154" s="87"/>
      <c r="BE1154" s="87"/>
      <c r="BF1154" s="87"/>
      <c r="BG1154" s="87"/>
      <c r="BH1154" s="87"/>
      <c r="BI1154" s="87"/>
      <c r="BJ1154" s="87"/>
      <c r="BK1154" s="87"/>
      <c r="BL1154" s="87"/>
      <c r="BM1154" s="87"/>
      <c r="BN1154" s="87"/>
      <c r="BO1154" s="87"/>
      <c r="BP1154" s="87"/>
      <c r="BQ1154" s="87"/>
      <c r="BR1154" s="87"/>
      <c r="BS1154" s="87"/>
      <c r="BT1154" s="87"/>
      <c r="BU1154" s="87"/>
      <c r="BV1154" s="87"/>
      <c r="BW1154" s="87"/>
      <c r="BX1154" s="87"/>
      <c r="BY1154" s="87"/>
    </row>
    <row r="1155" spans="3:77" x14ac:dyDescent="0.3">
      <c r="C1155" s="90"/>
      <c r="D1155" s="87"/>
      <c r="E1155" s="91"/>
      <c r="F1155" s="92"/>
      <c r="G1155" s="93"/>
      <c r="H1155" s="93"/>
      <c r="I1155" s="93"/>
      <c r="J1155" s="93"/>
      <c r="K1155" s="93"/>
      <c r="L1155" s="93"/>
      <c r="M1155" s="93"/>
      <c r="N1155" s="93"/>
      <c r="O1155" s="93"/>
      <c r="P1155" s="93"/>
      <c r="Q1155" s="93"/>
      <c r="R1155" s="87"/>
      <c r="S1155" s="87"/>
      <c r="T1155" s="87"/>
      <c r="U1155" s="19"/>
      <c r="V1155" s="87"/>
      <c r="W1155" s="87"/>
      <c r="X1155" s="87"/>
      <c r="Y1155" s="87"/>
      <c r="Z1155" s="87"/>
      <c r="AA1155" s="87"/>
      <c r="AB1155" s="87"/>
      <c r="AC1155" s="87"/>
      <c r="AD1155" s="87"/>
      <c r="AE1155" s="87"/>
      <c r="AF1155" s="87"/>
      <c r="AG1155" s="87"/>
      <c r="AH1155" s="87"/>
      <c r="AI1155" s="87"/>
      <c r="AJ1155" s="87"/>
      <c r="AK1155" s="87"/>
      <c r="AL1155" s="87"/>
      <c r="AM1155" s="87"/>
      <c r="AN1155" s="87"/>
      <c r="AO1155" s="87"/>
      <c r="AP1155" s="87"/>
      <c r="AQ1155" s="87"/>
      <c r="AR1155" s="87"/>
      <c r="AS1155" s="87"/>
      <c r="AT1155" s="87"/>
      <c r="AU1155" s="87"/>
      <c r="AV1155" s="87"/>
      <c r="AW1155" s="87"/>
      <c r="AX1155" s="87"/>
      <c r="AY1155" s="87"/>
      <c r="AZ1155" s="87"/>
      <c r="BA1155" s="87"/>
      <c r="BB1155" s="87"/>
      <c r="BC1155" s="87"/>
      <c r="BD1155" s="87"/>
      <c r="BE1155" s="87"/>
      <c r="BF1155" s="87"/>
      <c r="BG1155" s="87"/>
      <c r="BH1155" s="87"/>
      <c r="BI1155" s="87"/>
      <c r="BJ1155" s="87"/>
      <c r="BK1155" s="87"/>
      <c r="BL1155" s="87"/>
      <c r="BM1155" s="87"/>
      <c r="BN1155" s="87"/>
      <c r="BO1155" s="87"/>
      <c r="BP1155" s="87"/>
      <c r="BQ1155" s="87"/>
      <c r="BR1155" s="87"/>
      <c r="BS1155" s="87"/>
      <c r="BT1155" s="87"/>
      <c r="BU1155" s="87"/>
      <c r="BV1155" s="87"/>
      <c r="BW1155" s="87"/>
      <c r="BX1155" s="87"/>
      <c r="BY1155" s="87"/>
    </row>
    <row r="1156" spans="3:77" x14ac:dyDescent="0.3">
      <c r="C1156" s="90"/>
      <c r="D1156" s="87"/>
      <c r="E1156" s="91"/>
      <c r="F1156" s="92"/>
      <c r="G1156" s="93"/>
      <c r="H1156" s="93"/>
      <c r="I1156" s="93"/>
      <c r="J1156" s="93"/>
      <c r="K1156" s="93"/>
      <c r="L1156" s="93"/>
      <c r="M1156" s="93"/>
      <c r="N1156" s="93"/>
      <c r="O1156" s="93"/>
      <c r="P1156" s="93"/>
      <c r="Q1156" s="93"/>
      <c r="R1156" s="87"/>
      <c r="S1156" s="87"/>
      <c r="T1156" s="87"/>
      <c r="U1156" s="19"/>
      <c r="V1156" s="87"/>
      <c r="W1156" s="87"/>
      <c r="X1156" s="87"/>
      <c r="Y1156" s="87"/>
      <c r="Z1156" s="87"/>
      <c r="AA1156" s="87"/>
      <c r="AB1156" s="87"/>
      <c r="AC1156" s="87"/>
      <c r="AD1156" s="87"/>
      <c r="AE1156" s="87"/>
      <c r="AF1156" s="87"/>
      <c r="AG1156" s="87"/>
      <c r="AH1156" s="87"/>
      <c r="AI1156" s="87"/>
      <c r="AJ1156" s="87"/>
      <c r="AK1156" s="87"/>
      <c r="AL1156" s="87"/>
      <c r="AM1156" s="87"/>
      <c r="AN1156" s="87"/>
      <c r="AO1156" s="87"/>
      <c r="AP1156" s="87"/>
      <c r="AQ1156" s="87"/>
      <c r="AR1156" s="87"/>
      <c r="AS1156" s="87"/>
      <c r="AT1156" s="87"/>
      <c r="AU1156" s="87"/>
      <c r="AV1156" s="87"/>
      <c r="AW1156" s="87"/>
      <c r="AX1156" s="87"/>
      <c r="AY1156" s="87"/>
      <c r="AZ1156" s="87"/>
      <c r="BA1156" s="87"/>
      <c r="BB1156" s="87"/>
      <c r="BC1156" s="87"/>
      <c r="BD1156" s="87"/>
      <c r="BE1156" s="87"/>
      <c r="BF1156" s="87"/>
      <c r="BG1156" s="87"/>
      <c r="BH1156" s="87"/>
      <c r="BI1156" s="87"/>
      <c r="BJ1156" s="87"/>
      <c r="BK1156" s="87"/>
      <c r="BL1156" s="87"/>
      <c r="BM1156" s="87"/>
      <c r="BN1156" s="87"/>
      <c r="BO1156" s="87"/>
      <c r="BP1156" s="87"/>
      <c r="BQ1156" s="87"/>
      <c r="BR1156" s="87"/>
      <c r="BS1156" s="87"/>
      <c r="BT1156" s="87"/>
      <c r="BU1156" s="87"/>
      <c r="BV1156" s="87"/>
      <c r="BW1156" s="87"/>
      <c r="BX1156" s="87"/>
      <c r="BY1156" s="87"/>
    </row>
    <row r="1157" spans="3:77" x14ac:dyDescent="0.3">
      <c r="C1157" s="90"/>
      <c r="D1157" s="87"/>
      <c r="E1157" s="91"/>
      <c r="F1157" s="92"/>
      <c r="G1157" s="93"/>
      <c r="H1157" s="93"/>
      <c r="I1157" s="93"/>
      <c r="J1157" s="93"/>
      <c r="K1157" s="93"/>
      <c r="L1157" s="93"/>
      <c r="M1157" s="93"/>
      <c r="N1157" s="93"/>
      <c r="O1157" s="93"/>
      <c r="P1157" s="93"/>
      <c r="Q1157" s="93"/>
      <c r="R1157" s="87"/>
      <c r="S1157" s="87"/>
      <c r="T1157" s="87"/>
      <c r="U1157" s="19"/>
      <c r="V1157" s="87"/>
      <c r="W1157" s="87"/>
      <c r="X1157" s="87"/>
      <c r="Y1157" s="87"/>
      <c r="Z1157" s="87"/>
      <c r="AA1157" s="87"/>
      <c r="AB1157" s="87"/>
      <c r="AC1157" s="87"/>
      <c r="AD1157" s="87"/>
      <c r="AE1157" s="87"/>
      <c r="AF1157" s="87"/>
      <c r="AG1157" s="87"/>
      <c r="AH1157" s="87"/>
      <c r="AI1157" s="87"/>
      <c r="AJ1157" s="87"/>
      <c r="AK1157" s="87"/>
      <c r="AL1157" s="87"/>
      <c r="AM1157" s="87"/>
      <c r="AN1157" s="87"/>
      <c r="AO1157" s="87"/>
      <c r="AP1157" s="87"/>
      <c r="AQ1157" s="87"/>
      <c r="AR1157" s="87"/>
      <c r="AS1157" s="87"/>
      <c r="AT1157" s="87"/>
      <c r="AU1157" s="87"/>
      <c r="AV1157" s="87"/>
      <c r="AW1157" s="87"/>
      <c r="AX1157" s="87"/>
      <c r="AY1157" s="87"/>
      <c r="AZ1157" s="87"/>
      <c r="BA1157" s="87"/>
      <c r="BB1157" s="87"/>
      <c r="BC1157" s="87"/>
      <c r="BD1157" s="87"/>
      <c r="BE1157" s="87"/>
      <c r="BF1157" s="87"/>
      <c r="BG1157" s="87"/>
      <c r="BH1157" s="87"/>
      <c r="BI1157" s="87"/>
      <c r="BJ1157" s="87"/>
      <c r="BK1157" s="87"/>
      <c r="BL1157" s="87"/>
      <c r="BM1157" s="87"/>
      <c r="BN1157" s="87"/>
      <c r="BO1157" s="87"/>
      <c r="BP1157" s="87"/>
      <c r="BQ1157" s="87"/>
      <c r="BR1157" s="87"/>
      <c r="BS1157" s="87"/>
      <c r="BT1157" s="87"/>
      <c r="BU1157" s="87"/>
      <c r="BV1157" s="87"/>
      <c r="BW1157" s="87"/>
      <c r="BX1157" s="87"/>
      <c r="BY1157" s="87"/>
    </row>
    <row r="1158" spans="3:77" x14ac:dyDescent="0.3">
      <c r="C1158" s="90"/>
      <c r="D1158" s="87"/>
      <c r="E1158" s="91"/>
      <c r="F1158" s="92"/>
      <c r="G1158" s="93"/>
      <c r="H1158" s="93"/>
      <c r="I1158" s="93"/>
      <c r="J1158" s="93"/>
      <c r="K1158" s="93"/>
      <c r="L1158" s="93"/>
      <c r="M1158" s="93"/>
      <c r="N1158" s="93"/>
      <c r="O1158" s="93"/>
      <c r="P1158" s="93"/>
      <c r="Q1158" s="93"/>
      <c r="R1158" s="87"/>
      <c r="S1158" s="87"/>
      <c r="T1158" s="87"/>
      <c r="U1158" s="19"/>
      <c r="V1158" s="87"/>
      <c r="W1158" s="87"/>
      <c r="X1158" s="87"/>
      <c r="Y1158" s="87"/>
      <c r="Z1158" s="87"/>
      <c r="AA1158" s="87"/>
      <c r="AB1158" s="87"/>
      <c r="AC1158" s="87"/>
      <c r="AD1158" s="87"/>
      <c r="AE1158" s="87"/>
      <c r="AF1158" s="87"/>
      <c r="AG1158" s="87"/>
      <c r="AH1158" s="87"/>
      <c r="AI1158" s="87"/>
      <c r="AJ1158" s="87"/>
      <c r="AK1158" s="87"/>
      <c r="AL1158" s="87"/>
      <c r="AM1158" s="87"/>
      <c r="AN1158" s="87"/>
      <c r="AO1158" s="87"/>
      <c r="AP1158" s="87"/>
      <c r="AQ1158" s="87"/>
      <c r="AR1158" s="87"/>
      <c r="AS1158" s="87"/>
      <c r="AT1158" s="87"/>
      <c r="AU1158" s="87"/>
      <c r="AV1158" s="87"/>
      <c r="AW1158" s="87"/>
      <c r="AX1158" s="87"/>
      <c r="AY1158" s="87"/>
      <c r="AZ1158" s="87"/>
      <c r="BA1158" s="87"/>
      <c r="BB1158" s="87"/>
      <c r="BC1158" s="87"/>
      <c r="BD1158" s="87"/>
      <c r="BE1158" s="87"/>
      <c r="BF1158" s="87"/>
      <c r="BG1158" s="87"/>
      <c r="BH1158" s="87"/>
      <c r="BI1158" s="87"/>
      <c r="BJ1158" s="87"/>
      <c r="BK1158" s="87"/>
      <c r="BL1158" s="87"/>
      <c r="BM1158" s="87"/>
      <c r="BN1158" s="87"/>
      <c r="BO1158" s="87"/>
      <c r="BP1158" s="87"/>
      <c r="BQ1158" s="87"/>
      <c r="BR1158" s="87"/>
      <c r="BS1158" s="87"/>
      <c r="BT1158" s="87"/>
      <c r="BU1158" s="87"/>
      <c r="BV1158" s="87"/>
      <c r="BW1158" s="87"/>
      <c r="BX1158" s="87"/>
      <c r="BY1158" s="87"/>
    </row>
    <row r="1159" spans="3:77" x14ac:dyDescent="0.3">
      <c r="C1159" s="90"/>
      <c r="D1159" s="87"/>
      <c r="E1159" s="91"/>
      <c r="F1159" s="92"/>
      <c r="G1159" s="93"/>
      <c r="H1159" s="93"/>
      <c r="I1159" s="93"/>
      <c r="J1159" s="93"/>
      <c r="K1159" s="93"/>
      <c r="L1159" s="93"/>
      <c r="M1159" s="93"/>
      <c r="N1159" s="93"/>
      <c r="O1159" s="93"/>
      <c r="P1159" s="93"/>
      <c r="Q1159" s="93"/>
      <c r="R1159" s="87"/>
      <c r="S1159" s="87"/>
      <c r="T1159" s="87"/>
      <c r="U1159" s="19"/>
      <c r="V1159" s="87"/>
      <c r="W1159" s="87"/>
      <c r="X1159" s="87"/>
      <c r="Y1159" s="87"/>
      <c r="Z1159" s="87"/>
      <c r="AA1159" s="87"/>
      <c r="AB1159" s="87"/>
      <c r="AC1159" s="87"/>
      <c r="AD1159" s="87"/>
      <c r="AE1159" s="87"/>
      <c r="AF1159" s="87"/>
      <c r="AG1159" s="87"/>
      <c r="AH1159" s="87"/>
      <c r="AI1159" s="87"/>
      <c r="AJ1159" s="87"/>
      <c r="AK1159" s="87"/>
      <c r="AL1159" s="87"/>
      <c r="AM1159" s="87"/>
      <c r="AN1159" s="87"/>
      <c r="AO1159" s="87"/>
      <c r="AP1159" s="87"/>
      <c r="AQ1159" s="87"/>
      <c r="AR1159" s="87"/>
      <c r="AS1159" s="87"/>
      <c r="AT1159" s="87"/>
      <c r="AU1159" s="87"/>
      <c r="AV1159" s="87"/>
      <c r="AW1159" s="87"/>
      <c r="AX1159" s="87"/>
      <c r="AY1159" s="87"/>
      <c r="AZ1159" s="87"/>
      <c r="BA1159" s="87"/>
      <c r="BB1159" s="87"/>
      <c r="BC1159" s="87"/>
      <c r="BD1159" s="87"/>
      <c r="BE1159" s="87"/>
      <c r="BF1159" s="87"/>
      <c r="BG1159" s="87"/>
      <c r="BH1159" s="87"/>
      <c r="BI1159" s="87"/>
      <c r="BJ1159" s="87"/>
      <c r="BK1159" s="87"/>
      <c r="BL1159" s="87"/>
      <c r="BM1159" s="87"/>
      <c r="BN1159" s="87"/>
      <c r="BO1159" s="87"/>
      <c r="BP1159" s="87"/>
      <c r="BQ1159" s="87"/>
      <c r="BR1159" s="87"/>
      <c r="BS1159" s="87"/>
      <c r="BT1159" s="87"/>
      <c r="BU1159" s="87"/>
      <c r="BV1159" s="87"/>
      <c r="BW1159" s="87"/>
      <c r="BX1159" s="87"/>
      <c r="BY1159" s="87"/>
    </row>
    <row r="1160" spans="3:77" x14ac:dyDescent="0.3">
      <c r="C1160" s="90"/>
      <c r="D1160" s="87"/>
      <c r="E1160" s="91"/>
      <c r="F1160" s="92"/>
      <c r="G1160" s="93"/>
      <c r="H1160" s="93"/>
      <c r="I1160" s="93"/>
      <c r="J1160" s="93"/>
      <c r="K1160" s="93"/>
      <c r="L1160" s="93"/>
      <c r="M1160" s="93"/>
      <c r="N1160" s="93"/>
      <c r="O1160" s="93"/>
      <c r="P1160" s="93"/>
      <c r="Q1160" s="93"/>
      <c r="R1160" s="87"/>
      <c r="S1160" s="87"/>
      <c r="T1160" s="87"/>
      <c r="U1160" s="19"/>
      <c r="V1160" s="87"/>
      <c r="W1160" s="87"/>
      <c r="X1160" s="87"/>
      <c r="Y1160" s="87"/>
      <c r="Z1160" s="87"/>
      <c r="AA1160" s="87"/>
      <c r="AB1160" s="87"/>
      <c r="AC1160" s="87"/>
      <c r="AD1160" s="87"/>
      <c r="AE1160" s="87"/>
      <c r="AF1160" s="87"/>
      <c r="AG1160" s="87"/>
      <c r="AH1160" s="87"/>
      <c r="AI1160" s="87"/>
      <c r="AJ1160" s="87"/>
      <c r="AK1160" s="87"/>
      <c r="AL1160" s="87"/>
      <c r="AM1160" s="87"/>
      <c r="AN1160" s="87"/>
      <c r="AO1160" s="87"/>
      <c r="AP1160" s="87"/>
      <c r="AQ1160" s="87"/>
      <c r="AR1160" s="87"/>
      <c r="AS1160" s="87"/>
      <c r="AT1160" s="87"/>
      <c r="AU1160" s="87"/>
      <c r="AV1160" s="87"/>
      <c r="AW1160" s="87"/>
      <c r="AX1160" s="87"/>
      <c r="AY1160" s="87"/>
      <c r="AZ1160" s="87"/>
      <c r="BA1160" s="87"/>
      <c r="BB1160" s="87"/>
      <c r="BC1160" s="87"/>
      <c r="BD1160" s="87"/>
      <c r="BE1160" s="87"/>
      <c r="BF1160" s="87"/>
      <c r="BG1160" s="87"/>
      <c r="BH1160" s="87"/>
      <c r="BI1160" s="87"/>
      <c r="BJ1160" s="87"/>
      <c r="BK1160" s="87"/>
      <c r="BL1160" s="87"/>
      <c r="BM1160" s="87"/>
      <c r="BN1160" s="87"/>
      <c r="BO1160" s="87"/>
      <c r="BP1160" s="87"/>
      <c r="BQ1160" s="87"/>
      <c r="BR1160" s="87"/>
      <c r="BS1160" s="87"/>
      <c r="BT1160" s="87"/>
      <c r="BU1160" s="87"/>
      <c r="BV1160" s="87"/>
      <c r="BW1160" s="87"/>
      <c r="BX1160" s="87"/>
      <c r="BY1160" s="87"/>
    </row>
    <row r="1161" spans="3:77" x14ac:dyDescent="0.3">
      <c r="C1161" s="90"/>
      <c r="D1161" s="87"/>
      <c r="E1161" s="91"/>
      <c r="F1161" s="92"/>
      <c r="G1161" s="93"/>
      <c r="H1161" s="93"/>
      <c r="I1161" s="93"/>
      <c r="J1161" s="93"/>
      <c r="K1161" s="93"/>
      <c r="L1161" s="93"/>
      <c r="M1161" s="93"/>
      <c r="N1161" s="93"/>
      <c r="O1161" s="93"/>
      <c r="P1161" s="93"/>
      <c r="Q1161" s="93"/>
      <c r="R1161" s="87"/>
      <c r="S1161" s="87"/>
      <c r="T1161" s="87"/>
      <c r="U1161" s="19"/>
      <c r="V1161" s="87"/>
      <c r="W1161" s="87"/>
      <c r="X1161" s="87"/>
      <c r="Y1161" s="87"/>
      <c r="Z1161" s="87"/>
      <c r="AA1161" s="87"/>
      <c r="AB1161" s="87"/>
      <c r="AC1161" s="87"/>
      <c r="AD1161" s="87"/>
      <c r="AE1161" s="87"/>
      <c r="AF1161" s="87"/>
      <c r="AG1161" s="87"/>
      <c r="AH1161" s="87"/>
      <c r="AI1161" s="87"/>
      <c r="AJ1161" s="87"/>
      <c r="AK1161" s="87"/>
      <c r="AL1161" s="87"/>
      <c r="AM1161" s="87"/>
      <c r="AN1161" s="87"/>
      <c r="AO1161" s="87"/>
      <c r="AP1161" s="87"/>
      <c r="AQ1161" s="87"/>
      <c r="AR1161" s="87"/>
      <c r="AS1161" s="87"/>
      <c r="AT1161" s="87"/>
      <c r="AU1161" s="87"/>
      <c r="AV1161" s="87"/>
      <c r="AW1161" s="87"/>
      <c r="AX1161" s="87"/>
      <c r="AY1161" s="87"/>
      <c r="AZ1161" s="87"/>
      <c r="BA1161" s="87"/>
      <c r="BB1161" s="87"/>
      <c r="BC1161" s="87"/>
      <c r="BD1161" s="87"/>
      <c r="BE1161" s="87"/>
      <c r="BF1161" s="87"/>
      <c r="BG1161" s="87"/>
      <c r="BH1161" s="87"/>
      <c r="BI1161" s="87"/>
      <c r="BJ1161" s="87"/>
      <c r="BK1161" s="87"/>
      <c r="BL1161" s="87"/>
      <c r="BM1161" s="87"/>
      <c r="BN1161" s="87"/>
      <c r="BO1161" s="87"/>
      <c r="BP1161" s="87"/>
      <c r="BQ1161" s="87"/>
      <c r="BR1161" s="87"/>
      <c r="BS1161" s="87"/>
      <c r="BT1161" s="87"/>
      <c r="BU1161" s="87"/>
      <c r="BV1161" s="87"/>
      <c r="BW1161" s="87"/>
      <c r="BX1161" s="87"/>
      <c r="BY1161" s="87"/>
    </row>
    <row r="1162" spans="3:77" x14ac:dyDescent="0.3">
      <c r="C1162" s="90"/>
      <c r="D1162" s="87"/>
      <c r="E1162" s="91"/>
      <c r="F1162" s="92"/>
      <c r="G1162" s="93"/>
      <c r="H1162" s="93"/>
      <c r="I1162" s="93"/>
      <c r="J1162" s="93"/>
      <c r="K1162" s="93"/>
      <c r="L1162" s="93"/>
      <c r="M1162" s="93"/>
      <c r="N1162" s="93"/>
      <c r="O1162" s="93"/>
      <c r="P1162" s="93"/>
      <c r="Q1162" s="93"/>
      <c r="R1162" s="87"/>
      <c r="S1162" s="87"/>
      <c r="T1162" s="87"/>
      <c r="U1162" s="19"/>
      <c r="V1162" s="87"/>
      <c r="W1162" s="87"/>
      <c r="X1162" s="87"/>
      <c r="Y1162" s="87"/>
      <c r="Z1162" s="87"/>
      <c r="AA1162" s="87"/>
      <c r="AB1162" s="87"/>
      <c r="AC1162" s="87"/>
      <c r="AD1162" s="87"/>
      <c r="AE1162" s="87"/>
      <c r="AF1162" s="87"/>
      <c r="AG1162" s="87"/>
      <c r="AH1162" s="87"/>
      <c r="AI1162" s="87"/>
      <c r="AJ1162" s="87"/>
      <c r="AK1162" s="87"/>
      <c r="AL1162" s="87"/>
      <c r="AM1162" s="87"/>
      <c r="AN1162" s="87"/>
      <c r="AO1162" s="87"/>
      <c r="AP1162" s="87"/>
      <c r="AQ1162" s="87"/>
      <c r="AR1162" s="87"/>
      <c r="AS1162" s="87"/>
      <c r="AT1162" s="87"/>
      <c r="AU1162" s="87"/>
      <c r="AV1162" s="87"/>
      <c r="AW1162" s="87"/>
      <c r="AX1162" s="87"/>
      <c r="AY1162" s="87"/>
      <c r="AZ1162" s="87"/>
      <c r="BA1162" s="87"/>
      <c r="BB1162" s="87"/>
      <c r="BC1162" s="87"/>
      <c r="BD1162" s="87"/>
      <c r="BE1162" s="87"/>
      <c r="BF1162" s="87"/>
      <c r="BG1162" s="87"/>
      <c r="BH1162" s="87"/>
      <c r="BI1162" s="87"/>
      <c r="BJ1162" s="87"/>
      <c r="BK1162" s="87"/>
      <c r="BL1162" s="87"/>
      <c r="BM1162" s="87"/>
      <c r="BN1162" s="87"/>
      <c r="BO1162" s="87"/>
      <c r="BP1162" s="87"/>
      <c r="BQ1162" s="87"/>
      <c r="BR1162" s="87"/>
      <c r="BS1162" s="87"/>
      <c r="BT1162" s="87"/>
      <c r="BU1162" s="87"/>
      <c r="BV1162" s="87"/>
      <c r="BW1162" s="87"/>
      <c r="BX1162" s="87"/>
      <c r="BY1162" s="87"/>
    </row>
    <row r="1163" spans="3:77" x14ac:dyDescent="0.3">
      <c r="C1163" s="90"/>
      <c r="D1163" s="87"/>
      <c r="E1163" s="91"/>
      <c r="F1163" s="92"/>
      <c r="G1163" s="93"/>
      <c r="H1163" s="93"/>
      <c r="I1163" s="93"/>
      <c r="J1163" s="93"/>
      <c r="K1163" s="93"/>
      <c r="L1163" s="93"/>
      <c r="M1163" s="93"/>
      <c r="N1163" s="93"/>
      <c r="O1163" s="93"/>
      <c r="P1163" s="93"/>
      <c r="Q1163" s="93"/>
      <c r="R1163" s="87"/>
      <c r="S1163" s="87"/>
      <c r="T1163" s="87"/>
      <c r="U1163" s="19"/>
      <c r="V1163" s="87"/>
      <c r="W1163" s="87"/>
      <c r="X1163" s="87"/>
      <c r="Y1163" s="87"/>
      <c r="Z1163" s="87"/>
      <c r="AA1163" s="87"/>
      <c r="AB1163" s="87"/>
      <c r="AC1163" s="87"/>
      <c r="AD1163" s="87"/>
      <c r="AE1163" s="87"/>
      <c r="AF1163" s="87"/>
      <c r="AG1163" s="87"/>
      <c r="AH1163" s="87"/>
      <c r="AI1163" s="87"/>
      <c r="AJ1163" s="87"/>
      <c r="AK1163" s="87"/>
      <c r="AL1163" s="87"/>
      <c r="AM1163" s="87"/>
      <c r="AN1163" s="87"/>
      <c r="AO1163" s="87"/>
      <c r="AP1163" s="87"/>
      <c r="AQ1163" s="87"/>
      <c r="AR1163" s="87"/>
      <c r="AS1163" s="87"/>
      <c r="AT1163" s="87"/>
      <c r="AU1163" s="87"/>
      <c r="AV1163" s="87"/>
      <c r="AW1163" s="87"/>
      <c r="AX1163" s="87"/>
      <c r="AY1163" s="87"/>
      <c r="AZ1163" s="87"/>
      <c r="BA1163" s="87"/>
      <c r="BB1163" s="87"/>
      <c r="BC1163" s="87"/>
      <c r="BD1163" s="87"/>
      <c r="BE1163" s="87"/>
      <c r="BF1163" s="87"/>
      <c r="BG1163" s="87"/>
      <c r="BH1163" s="87"/>
      <c r="BI1163" s="87"/>
      <c r="BJ1163" s="87"/>
      <c r="BK1163" s="87"/>
      <c r="BL1163" s="87"/>
      <c r="BM1163" s="87"/>
      <c r="BN1163" s="87"/>
      <c r="BO1163" s="87"/>
      <c r="BP1163" s="87"/>
      <c r="BQ1163" s="87"/>
      <c r="BR1163" s="87"/>
      <c r="BS1163" s="87"/>
      <c r="BT1163" s="87"/>
      <c r="BU1163" s="87"/>
      <c r="BV1163" s="87"/>
      <c r="BW1163" s="87"/>
      <c r="BX1163" s="87"/>
      <c r="BY1163" s="87"/>
    </row>
    <row r="1164" spans="3:77" x14ac:dyDescent="0.3">
      <c r="C1164" s="90"/>
      <c r="D1164" s="87"/>
      <c r="E1164" s="91"/>
      <c r="F1164" s="92"/>
      <c r="G1164" s="93"/>
      <c r="H1164" s="93"/>
      <c r="I1164" s="93"/>
      <c r="J1164" s="93"/>
      <c r="K1164" s="93"/>
      <c r="L1164" s="93"/>
      <c r="M1164" s="93"/>
      <c r="N1164" s="93"/>
      <c r="O1164" s="93"/>
      <c r="P1164" s="93"/>
      <c r="Q1164" s="93"/>
      <c r="R1164" s="87"/>
      <c r="S1164" s="87"/>
      <c r="T1164" s="87"/>
      <c r="U1164" s="19"/>
      <c r="V1164" s="87"/>
      <c r="W1164" s="87"/>
      <c r="X1164" s="87"/>
      <c r="Y1164" s="87"/>
      <c r="Z1164" s="87"/>
      <c r="AA1164" s="87"/>
      <c r="AB1164" s="87"/>
      <c r="AC1164" s="87"/>
      <c r="AD1164" s="87"/>
      <c r="AE1164" s="87"/>
      <c r="AF1164" s="87"/>
      <c r="AG1164" s="87"/>
      <c r="AH1164" s="87"/>
      <c r="AI1164" s="87"/>
      <c r="AJ1164" s="87"/>
      <c r="AK1164" s="87"/>
      <c r="AL1164" s="87"/>
      <c r="AM1164" s="87"/>
      <c r="AN1164" s="87"/>
      <c r="AO1164" s="87"/>
      <c r="AP1164" s="87"/>
      <c r="AQ1164" s="87"/>
      <c r="AR1164" s="87"/>
      <c r="AS1164" s="87"/>
      <c r="AT1164" s="87"/>
      <c r="AU1164" s="87"/>
      <c r="AV1164" s="87"/>
      <c r="AW1164" s="87"/>
      <c r="AX1164" s="87"/>
      <c r="AY1164" s="87"/>
      <c r="AZ1164" s="87"/>
      <c r="BA1164" s="87"/>
      <c r="BB1164" s="87"/>
      <c r="BC1164" s="87"/>
      <c r="BD1164" s="87"/>
      <c r="BE1164" s="87"/>
      <c r="BF1164" s="87"/>
      <c r="BG1164" s="87"/>
      <c r="BH1164" s="87"/>
      <c r="BI1164" s="87"/>
      <c r="BJ1164" s="87"/>
      <c r="BK1164" s="87"/>
      <c r="BL1164" s="87"/>
      <c r="BM1164" s="87"/>
      <c r="BN1164" s="87"/>
      <c r="BO1164" s="87"/>
      <c r="BP1164" s="87"/>
      <c r="BQ1164" s="87"/>
      <c r="BR1164" s="87"/>
      <c r="BS1164" s="87"/>
      <c r="BT1164" s="87"/>
      <c r="BU1164" s="87"/>
      <c r="BV1164" s="87"/>
      <c r="BW1164" s="87"/>
      <c r="BX1164" s="87"/>
      <c r="BY1164" s="87"/>
    </row>
    <row r="1165" spans="3:77" x14ac:dyDescent="0.3">
      <c r="C1165" s="90"/>
      <c r="D1165" s="87"/>
      <c r="E1165" s="91"/>
      <c r="F1165" s="92"/>
      <c r="G1165" s="93"/>
      <c r="H1165" s="93"/>
      <c r="I1165" s="93"/>
      <c r="J1165" s="93"/>
      <c r="K1165" s="93"/>
      <c r="L1165" s="93"/>
      <c r="M1165" s="93"/>
      <c r="N1165" s="93"/>
      <c r="O1165" s="93"/>
      <c r="P1165" s="93"/>
      <c r="Q1165" s="93"/>
      <c r="R1165" s="87"/>
      <c r="S1165" s="87"/>
      <c r="T1165" s="87"/>
      <c r="U1165" s="19"/>
      <c r="V1165" s="87"/>
      <c r="W1165" s="87"/>
      <c r="X1165" s="87"/>
      <c r="Y1165" s="87"/>
      <c r="Z1165" s="87"/>
      <c r="AA1165" s="87"/>
      <c r="AB1165" s="87"/>
      <c r="AC1165" s="87"/>
      <c r="AD1165" s="87"/>
      <c r="AE1165" s="87"/>
      <c r="AF1165" s="87"/>
      <c r="AG1165" s="87"/>
      <c r="AH1165" s="87"/>
      <c r="AI1165" s="87"/>
      <c r="AJ1165" s="87"/>
      <c r="AK1165" s="87"/>
      <c r="AL1165" s="87"/>
      <c r="AM1165" s="87"/>
      <c r="AN1165" s="87"/>
      <c r="AO1165" s="87"/>
      <c r="AP1165" s="87"/>
      <c r="AQ1165" s="87"/>
      <c r="AR1165" s="87"/>
      <c r="AS1165" s="87"/>
      <c r="AT1165" s="87"/>
      <c r="AU1165" s="87"/>
      <c r="AV1165" s="87"/>
      <c r="AW1165" s="87"/>
      <c r="AX1165" s="87"/>
      <c r="AY1165" s="87"/>
      <c r="AZ1165" s="87"/>
      <c r="BA1165" s="87"/>
      <c r="BB1165" s="87"/>
      <c r="BC1165" s="87"/>
      <c r="BD1165" s="87"/>
      <c r="BE1165" s="87"/>
      <c r="BF1165" s="87"/>
      <c r="BG1165" s="87"/>
      <c r="BH1165" s="87"/>
      <c r="BI1165" s="87"/>
      <c r="BJ1165" s="87"/>
      <c r="BK1165" s="87"/>
      <c r="BL1165" s="87"/>
      <c r="BM1165" s="87"/>
      <c r="BN1165" s="87"/>
      <c r="BO1165" s="87"/>
      <c r="BP1165" s="87"/>
      <c r="BQ1165" s="87"/>
      <c r="BR1165" s="87"/>
      <c r="BS1165" s="87"/>
      <c r="BT1165" s="87"/>
      <c r="BU1165" s="87"/>
      <c r="BV1165" s="87"/>
      <c r="BW1165" s="87"/>
      <c r="BX1165" s="87"/>
      <c r="BY1165" s="87"/>
    </row>
    <row r="1166" spans="3:77" x14ac:dyDescent="0.3">
      <c r="C1166" s="90"/>
      <c r="D1166" s="87"/>
      <c r="E1166" s="91"/>
      <c r="F1166" s="92"/>
      <c r="G1166" s="93"/>
      <c r="H1166" s="93"/>
      <c r="I1166" s="93"/>
      <c r="J1166" s="93"/>
      <c r="K1166" s="93"/>
      <c r="L1166" s="93"/>
      <c r="M1166" s="93"/>
      <c r="N1166" s="93"/>
      <c r="O1166" s="93"/>
      <c r="P1166" s="93"/>
      <c r="Q1166" s="93"/>
      <c r="R1166" s="87"/>
      <c r="S1166" s="87"/>
      <c r="T1166" s="87"/>
      <c r="U1166" s="19"/>
      <c r="V1166" s="87"/>
      <c r="W1166" s="87"/>
      <c r="X1166" s="87"/>
      <c r="Y1166" s="87"/>
      <c r="Z1166" s="87"/>
      <c r="AA1166" s="87"/>
      <c r="AB1166" s="87"/>
      <c r="AC1166" s="87"/>
      <c r="AD1166" s="87"/>
      <c r="AE1166" s="87"/>
      <c r="AF1166" s="87"/>
      <c r="AG1166" s="87"/>
      <c r="AH1166" s="87"/>
      <c r="AI1166" s="87"/>
      <c r="AJ1166" s="87"/>
      <c r="AK1166" s="87"/>
      <c r="AL1166" s="87"/>
      <c r="AM1166" s="87"/>
      <c r="AN1166" s="87"/>
      <c r="AO1166" s="87"/>
      <c r="AP1166" s="87"/>
      <c r="AQ1166" s="87"/>
      <c r="AR1166" s="87"/>
      <c r="AS1166" s="87"/>
      <c r="AT1166" s="87"/>
      <c r="AU1166" s="87"/>
      <c r="AV1166" s="87"/>
      <c r="AW1166" s="87"/>
      <c r="AX1166" s="87"/>
      <c r="AY1166" s="87"/>
      <c r="AZ1166" s="87"/>
      <c r="BA1166" s="87"/>
      <c r="BB1166" s="87"/>
      <c r="BC1166" s="87"/>
      <c r="BD1166" s="87"/>
      <c r="BE1166" s="87"/>
      <c r="BF1166" s="87"/>
      <c r="BG1166" s="87"/>
      <c r="BH1166" s="87"/>
      <c r="BI1166" s="87"/>
      <c r="BJ1166" s="87"/>
      <c r="BK1166" s="87"/>
      <c r="BL1166" s="87"/>
      <c r="BM1166" s="87"/>
      <c r="BN1166" s="87"/>
      <c r="BO1166" s="87"/>
      <c r="BP1166" s="87"/>
      <c r="BQ1166" s="87"/>
      <c r="BR1166" s="87"/>
      <c r="BS1166" s="87"/>
      <c r="BT1166" s="87"/>
      <c r="BU1166" s="87"/>
      <c r="BV1166" s="87"/>
      <c r="BW1166" s="87"/>
      <c r="BX1166" s="87"/>
      <c r="BY1166" s="87"/>
    </row>
    <row r="1167" spans="3:77" x14ac:dyDescent="0.3">
      <c r="C1167" s="90"/>
      <c r="D1167" s="87"/>
      <c r="E1167" s="91"/>
      <c r="F1167" s="92"/>
      <c r="G1167" s="93"/>
      <c r="H1167" s="93"/>
      <c r="I1167" s="93"/>
      <c r="J1167" s="93"/>
      <c r="K1167" s="93"/>
      <c r="L1167" s="93"/>
      <c r="M1167" s="93"/>
      <c r="N1167" s="93"/>
      <c r="O1167" s="93"/>
      <c r="P1167" s="93"/>
      <c r="Q1167" s="93"/>
      <c r="R1167" s="87"/>
      <c r="S1167" s="87"/>
      <c r="T1167" s="87"/>
      <c r="U1167" s="19"/>
      <c r="V1167" s="87"/>
      <c r="W1167" s="87"/>
      <c r="X1167" s="87"/>
      <c r="Y1167" s="87"/>
      <c r="Z1167" s="87"/>
      <c r="AA1167" s="87"/>
      <c r="AB1167" s="87"/>
      <c r="AC1167" s="87"/>
      <c r="AD1167" s="87"/>
      <c r="AE1167" s="87"/>
      <c r="AF1167" s="87"/>
      <c r="AG1167" s="87"/>
      <c r="AH1167" s="87"/>
      <c r="AI1167" s="87"/>
      <c r="AJ1167" s="87"/>
      <c r="AK1167" s="87"/>
      <c r="AL1167" s="87"/>
      <c r="AM1167" s="87"/>
      <c r="AN1167" s="87"/>
      <c r="AO1167" s="87"/>
      <c r="AP1167" s="87"/>
      <c r="AQ1167" s="87"/>
      <c r="AR1167" s="87"/>
      <c r="AS1167" s="87"/>
      <c r="AT1167" s="87"/>
      <c r="AU1167" s="87"/>
      <c r="AV1167" s="87"/>
      <c r="AW1167" s="87"/>
      <c r="AX1167" s="87"/>
      <c r="AY1167" s="87"/>
      <c r="AZ1167" s="87"/>
      <c r="BA1167" s="87"/>
      <c r="BB1167" s="87"/>
      <c r="BC1167" s="87"/>
      <c r="BD1167" s="87"/>
      <c r="BE1167" s="87"/>
      <c r="BF1167" s="87"/>
      <c r="BG1167" s="87"/>
      <c r="BH1167" s="87"/>
      <c r="BI1167" s="87"/>
      <c r="BJ1167" s="87"/>
      <c r="BK1167" s="87"/>
      <c r="BL1167" s="87"/>
      <c r="BM1167" s="87"/>
      <c r="BN1167" s="87"/>
      <c r="BO1167" s="87"/>
      <c r="BP1167" s="87"/>
      <c r="BQ1167" s="87"/>
      <c r="BR1167" s="87"/>
      <c r="BS1167" s="87"/>
      <c r="BT1167" s="87"/>
      <c r="BU1167" s="87"/>
      <c r="BV1167" s="87"/>
      <c r="BW1167" s="87"/>
      <c r="BX1167" s="87"/>
      <c r="BY1167" s="87"/>
    </row>
    <row r="1168" spans="3:77" x14ac:dyDescent="0.3">
      <c r="C1168" s="90"/>
      <c r="D1168" s="87"/>
      <c r="E1168" s="91"/>
      <c r="F1168" s="92"/>
      <c r="G1168" s="93"/>
      <c r="H1168" s="93"/>
      <c r="I1168" s="93"/>
      <c r="J1168" s="93"/>
      <c r="K1168" s="93"/>
      <c r="L1168" s="93"/>
      <c r="M1168" s="93"/>
      <c r="N1168" s="93"/>
      <c r="O1168" s="93"/>
      <c r="P1168" s="93"/>
      <c r="Q1168" s="93"/>
      <c r="R1168" s="87"/>
      <c r="S1168" s="87"/>
      <c r="T1168" s="87"/>
      <c r="U1168" s="19"/>
      <c r="V1168" s="87"/>
      <c r="W1168" s="87"/>
      <c r="X1168" s="87"/>
      <c r="Y1168" s="87"/>
      <c r="Z1168" s="87"/>
      <c r="AA1168" s="87"/>
      <c r="AB1168" s="87"/>
      <c r="AC1168" s="87"/>
      <c r="AD1168" s="87"/>
      <c r="AE1168" s="87"/>
      <c r="AF1168" s="87"/>
      <c r="AG1168" s="87"/>
      <c r="AH1168" s="87"/>
      <c r="AI1168" s="87"/>
      <c r="AJ1168" s="87"/>
      <c r="AK1168" s="87"/>
      <c r="AL1168" s="87"/>
      <c r="AM1168" s="87"/>
      <c r="AN1168" s="87"/>
      <c r="AO1168" s="87"/>
      <c r="AP1168" s="87"/>
      <c r="AQ1168" s="87"/>
      <c r="AR1168" s="87"/>
      <c r="AS1168" s="87"/>
      <c r="AT1168" s="87"/>
      <c r="AU1168" s="87"/>
      <c r="AV1168" s="87"/>
      <c r="AW1168" s="87"/>
      <c r="AX1168" s="87"/>
      <c r="AY1168" s="87"/>
      <c r="AZ1168" s="87"/>
      <c r="BA1168" s="87"/>
      <c r="BB1168" s="87"/>
      <c r="BC1168" s="87"/>
      <c r="BD1168" s="87"/>
      <c r="BE1168" s="87"/>
      <c r="BF1168" s="87"/>
      <c r="BG1168" s="87"/>
      <c r="BH1168" s="87"/>
      <c r="BI1168" s="87"/>
      <c r="BJ1168" s="87"/>
      <c r="BK1168" s="87"/>
      <c r="BL1168" s="87"/>
      <c r="BM1168" s="87"/>
      <c r="BN1168" s="87"/>
      <c r="BO1168" s="87"/>
      <c r="BP1168" s="87"/>
      <c r="BQ1168" s="87"/>
      <c r="BR1168" s="87"/>
      <c r="BS1168" s="87"/>
      <c r="BT1168" s="87"/>
      <c r="BU1168" s="87"/>
      <c r="BV1168" s="87"/>
      <c r="BW1168" s="87"/>
      <c r="BX1168" s="87"/>
      <c r="BY1168" s="87"/>
    </row>
    <row r="1169" spans="3:77" x14ac:dyDescent="0.3">
      <c r="C1169" s="90"/>
      <c r="D1169" s="87"/>
      <c r="E1169" s="91"/>
      <c r="F1169" s="92"/>
      <c r="G1169" s="93"/>
      <c r="H1169" s="93"/>
      <c r="I1169" s="93"/>
      <c r="J1169" s="93"/>
      <c r="K1169" s="93"/>
      <c r="L1169" s="93"/>
      <c r="M1169" s="93"/>
      <c r="N1169" s="93"/>
      <c r="O1169" s="93"/>
      <c r="P1169" s="93"/>
      <c r="Q1169" s="93"/>
      <c r="R1169" s="87"/>
      <c r="S1169" s="87"/>
      <c r="T1169" s="87"/>
      <c r="U1169" s="19"/>
      <c r="V1169" s="87"/>
      <c r="W1169" s="87"/>
      <c r="X1169" s="87"/>
      <c r="Y1169" s="87"/>
      <c r="Z1169" s="87"/>
      <c r="AA1169" s="87"/>
      <c r="AB1169" s="87"/>
      <c r="AC1169" s="87"/>
      <c r="AD1169" s="87"/>
      <c r="AE1169" s="87"/>
      <c r="AF1169" s="87"/>
      <c r="AG1169" s="87"/>
      <c r="AH1169" s="87"/>
      <c r="AI1169" s="87"/>
      <c r="AJ1169" s="87"/>
      <c r="AK1169" s="87"/>
      <c r="AL1169" s="87"/>
      <c r="AM1169" s="87"/>
      <c r="AN1169" s="87"/>
      <c r="AO1169" s="87"/>
      <c r="AP1169" s="87"/>
      <c r="AQ1169" s="87"/>
      <c r="AR1169" s="87"/>
      <c r="AS1169" s="87"/>
      <c r="AT1169" s="87"/>
      <c r="AU1169" s="87"/>
      <c r="AV1169" s="87"/>
      <c r="AW1169" s="87"/>
      <c r="AX1169" s="87"/>
      <c r="AY1169" s="87"/>
      <c r="AZ1169" s="87"/>
      <c r="BA1169" s="87"/>
      <c r="BB1169" s="87"/>
      <c r="BC1169" s="87"/>
      <c r="BD1169" s="87"/>
      <c r="BE1169" s="87"/>
      <c r="BF1169" s="87"/>
      <c r="BG1169" s="87"/>
      <c r="BH1169" s="87"/>
      <c r="BI1169" s="87"/>
      <c r="BJ1169" s="87"/>
      <c r="BK1169" s="87"/>
      <c r="BL1169" s="87"/>
      <c r="BM1169" s="87"/>
      <c r="BN1169" s="87"/>
      <c r="BO1169" s="87"/>
      <c r="BP1169" s="87"/>
      <c r="BQ1169" s="87"/>
      <c r="BR1169" s="87"/>
      <c r="BS1169" s="87"/>
      <c r="BT1169" s="87"/>
      <c r="BU1169" s="87"/>
      <c r="BV1169" s="87"/>
      <c r="BW1169" s="87"/>
      <c r="BX1169" s="87"/>
      <c r="BY1169" s="87"/>
    </row>
    <row r="1170" spans="3:77" x14ac:dyDescent="0.3">
      <c r="C1170" s="90"/>
      <c r="D1170" s="87"/>
      <c r="E1170" s="91"/>
      <c r="F1170" s="92"/>
      <c r="G1170" s="93"/>
      <c r="H1170" s="93"/>
      <c r="I1170" s="93"/>
      <c r="J1170" s="93"/>
      <c r="K1170" s="93"/>
      <c r="L1170" s="93"/>
      <c r="M1170" s="93"/>
      <c r="N1170" s="93"/>
      <c r="O1170" s="93"/>
      <c r="P1170" s="93"/>
      <c r="Q1170" s="93"/>
      <c r="R1170" s="87"/>
      <c r="S1170" s="87"/>
      <c r="T1170" s="87"/>
      <c r="U1170" s="19"/>
      <c r="V1170" s="87"/>
      <c r="W1170" s="87"/>
      <c r="X1170" s="87"/>
      <c r="Y1170" s="87"/>
      <c r="Z1170" s="87"/>
      <c r="AA1170" s="87"/>
      <c r="AB1170" s="87"/>
      <c r="AC1170" s="87"/>
      <c r="AD1170" s="87"/>
      <c r="AE1170" s="87"/>
      <c r="AF1170" s="87"/>
      <c r="AG1170" s="87"/>
      <c r="AH1170" s="87"/>
      <c r="AI1170" s="87"/>
      <c r="AJ1170" s="87"/>
      <c r="AK1170" s="87"/>
      <c r="AL1170" s="87"/>
      <c r="AM1170" s="87"/>
      <c r="AN1170" s="87"/>
      <c r="AO1170" s="87"/>
      <c r="AP1170" s="87"/>
      <c r="AQ1170" s="87"/>
      <c r="AR1170" s="87"/>
      <c r="AS1170" s="87"/>
      <c r="AT1170" s="87"/>
      <c r="AU1170" s="87"/>
      <c r="AV1170" s="87"/>
      <c r="AW1170" s="87"/>
      <c r="AX1170" s="87"/>
      <c r="AY1170" s="87"/>
      <c r="AZ1170" s="87"/>
      <c r="BA1170" s="87"/>
      <c r="BB1170" s="87"/>
      <c r="BC1170" s="87"/>
      <c r="BD1170" s="87"/>
      <c r="BE1170" s="87"/>
      <c r="BF1170" s="87"/>
      <c r="BG1170" s="87"/>
      <c r="BH1170" s="87"/>
      <c r="BI1170" s="87"/>
      <c r="BJ1170" s="87"/>
      <c r="BK1170" s="87"/>
      <c r="BL1170" s="87"/>
      <c r="BM1170" s="87"/>
      <c r="BN1170" s="87"/>
      <c r="BO1170" s="87"/>
      <c r="BP1170" s="87"/>
      <c r="BQ1170" s="87"/>
      <c r="BR1170" s="87"/>
      <c r="BS1170" s="87"/>
      <c r="BT1170" s="87"/>
      <c r="BU1170" s="87"/>
      <c r="BV1170" s="87"/>
      <c r="BW1170" s="87"/>
      <c r="BX1170" s="87"/>
      <c r="BY1170" s="87"/>
    </row>
    <row r="1171" spans="3:77" x14ac:dyDescent="0.3">
      <c r="C1171" s="90"/>
      <c r="D1171" s="87"/>
      <c r="E1171" s="91"/>
      <c r="F1171" s="92"/>
      <c r="G1171" s="93"/>
      <c r="H1171" s="93"/>
      <c r="I1171" s="93"/>
      <c r="J1171" s="93"/>
      <c r="K1171" s="93"/>
      <c r="L1171" s="93"/>
      <c r="M1171" s="93"/>
      <c r="N1171" s="93"/>
      <c r="O1171" s="93"/>
      <c r="P1171" s="93"/>
      <c r="Q1171" s="93"/>
      <c r="R1171" s="87"/>
      <c r="S1171" s="87"/>
      <c r="T1171" s="87"/>
      <c r="U1171" s="19"/>
      <c r="V1171" s="87"/>
      <c r="W1171" s="87"/>
      <c r="X1171" s="87"/>
      <c r="Y1171" s="87"/>
      <c r="Z1171" s="87"/>
      <c r="AA1171" s="87"/>
      <c r="AB1171" s="87"/>
      <c r="AC1171" s="87"/>
      <c r="AD1171" s="87"/>
      <c r="AE1171" s="87"/>
      <c r="AF1171" s="87"/>
      <c r="AG1171" s="87"/>
      <c r="AH1171" s="87"/>
      <c r="AI1171" s="87"/>
      <c r="AJ1171" s="87"/>
      <c r="AK1171" s="87"/>
      <c r="AL1171" s="87"/>
      <c r="AM1171" s="87"/>
      <c r="AN1171" s="87"/>
      <c r="AO1171" s="87"/>
      <c r="AP1171" s="87"/>
      <c r="AQ1171" s="87"/>
      <c r="AR1171" s="87"/>
      <c r="AS1171" s="87"/>
      <c r="AT1171" s="87"/>
      <c r="AU1171" s="87"/>
      <c r="AV1171" s="87"/>
      <c r="AW1171" s="87"/>
      <c r="AX1171" s="87"/>
      <c r="AY1171" s="87"/>
      <c r="AZ1171" s="87"/>
      <c r="BA1171" s="87"/>
      <c r="BB1171" s="87"/>
      <c r="BC1171" s="87"/>
      <c r="BD1171" s="87"/>
      <c r="BE1171" s="87"/>
      <c r="BF1171" s="87"/>
      <c r="BG1171" s="87"/>
      <c r="BH1171" s="87"/>
      <c r="BI1171" s="87"/>
      <c r="BJ1171" s="87"/>
      <c r="BK1171" s="87"/>
      <c r="BL1171" s="87"/>
      <c r="BM1171" s="87"/>
      <c r="BN1171" s="87"/>
      <c r="BO1171" s="87"/>
      <c r="BP1171" s="87"/>
      <c r="BQ1171" s="87"/>
      <c r="BR1171" s="87"/>
      <c r="BS1171" s="87"/>
      <c r="BT1171" s="87"/>
      <c r="BU1171" s="87"/>
      <c r="BV1171" s="87"/>
      <c r="BW1171" s="87"/>
      <c r="BX1171" s="87"/>
      <c r="BY1171" s="87"/>
    </row>
    <row r="1172" spans="3:77" x14ac:dyDescent="0.3">
      <c r="C1172" s="90"/>
      <c r="D1172" s="87"/>
      <c r="E1172" s="91"/>
      <c r="F1172" s="92"/>
      <c r="G1172" s="93"/>
      <c r="H1172" s="93"/>
      <c r="I1172" s="93"/>
      <c r="J1172" s="93"/>
      <c r="K1172" s="93"/>
      <c r="L1172" s="93"/>
      <c r="M1172" s="93"/>
      <c r="N1172" s="93"/>
      <c r="O1172" s="93"/>
      <c r="P1172" s="93"/>
      <c r="Q1172" s="93"/>
      <c r="R1172" s="87"/>
      <c r="S1172" s="87"/>
      <c r="T1172" s="87"/>
      <c r="U1172" s="19"/>
      <c r="V1172" s="87"/>
      <c r="W1172" s="87"/>
      <c r="X1172" s="87"/>
      <c r="Y1172" s="87"/>
      <c r="Z1172" s="87"/>
      <c r="AA1172" s="87"/>
      <c r="AB1172" s="87"/>
      <c r="AC1172" s="87"/>
      <c r="AD1172" s="87"/>
      <c r="AE1172" s="87"/>
      <c r="AF1172" s="87"/>
      <c r="AG1172" s="87"/>
      <c r="AH1172" s="87"/>
      <c r="AI1172" s="87"/>
      <c r="AJ1172" s="87"/>
      <c r="AK1172" s="87"/>
      <c r="AL1172" s="87"/>
      <c r="AM1172" s="87"/>
      <c r="AN1172" s="87"/>
      <c r="AO1172" s="87"/>
      <c r="AP1172" s="87"/>
      <c r="AQ1172" s="87"/>
      <c r="AR1172" s="87"/>
      <c r="AS1172" s="87"/>
      <c r="AT1172" s="87"/>
      <c r="AU1172" s="87"/>
      <c r="AV1172" s="87"/>
      <c r="AW1172" s="87"/>
      <c r="AX1172" s="87"/>
      <c r="AY1172" s="87"/>
      <c r="AZ1172" s="87"/>
      <c r="BA1172" s="87"/>
      <c r="BB1172" s="87"/>
      <c r="BC1172" s="87"/>
      <c r="BD1172" s="87"/>
      <c r="BE1172" s="87"/>
      <c r="BF1172" s="87"/>
      <c r="BG1172" s="87"/>
      <c r="BH1172" s="87"/>
      <c r="BI1172" s="87"/>
      <c r="BJ1172" s="87"/>
      <c r="BK1172" s="87"/>
      <c r="BL1172" s="87"/>
      <c r="BM1172" s="87"/>
      <c r="BN1172" s="87"/>
      <c r="BO1172" s="87"/>
      <c r="BP1172" s="87"/>
      <c r="BQ1172" s="87"/>
      <c r="BR1172" s="87"/>
      <c r="BS1172" s="87"/>
      <c r="BT1172" s="87"/>
      <c r="BU1172" s="87"/>
      <c r="BV1172" s="87"/>
      <c r="BW1172" s="87"/>
      <c r="BX1172" s="87"/>
      <c r="BY1172" s="87"/>
    </row>
    <row r="1173" spans="3:77" x14ac:dyDescent="0.3">
      <c r="C1173" s="90"/>
      <c r="D1173" s="87"/>
      <c r="E1173" s="91"/>
      <c r="F1173" s="92"/>
      <c r="G1173" s="93"/>
      <c r="H1173" s="93"/>
      <c r="I1173" s="93"/>
      <c r="J1173" s="93"/>
      <c r="K1173" s="93"/>
      <c r="L1173" s="93"/>
      <c r="M1173" s="93"/>
      <c r="N1173" s="93"/>
      <c r="O1173" s="93"/>
      <c r="P1173" s="93"/>
      <c r="Q1173" s="93"/>
      <c r="R1173" s="87"/>
      <c r="S1173" s="87"/>
      <c r="T1173" s="87"/>
      <c r="U1173" s="19"/>
      <c r="V1173" s="87"/>
      <c r="W1173" s="87"/>
      <c r="X1173" s="87"/>
      <c r="Y1173" s="87"/>
      <c r="Z1173" s="87"/>
      <c r="AA1173" s="87"/>
      <c r="AB1173" s="87"/>
      <c r="AC1173" s="87"/>
      <c r="AD1173" s="87"/>
      <c r="AE1173" s="87"/>
      <c r="AF1173" s="87"/>
      <c r="AG1173" s="87"/>
      <c r="AH1173" s="87"/>
      <c r="AI1173" s="87"/>
      <c r="AJ1173" s="87"/>
      <c r="AK1173" s="87"/>
      <c r="AL1173" s="87"/>
      <c r="AM1173" s="87"/>
      <c r="AN1173" s="87"/>
      <c r="AO1173" s="87"/>
      <c r="AP1173" s="87"/>
      <c r="AQ1173" s="87"/>
      <c r="AR1173" s="87"/>
      <c r="AS1173" s="87"/>
      <c r="AT1173" s="87"/>
      <c r="AU1173" s="87"/>
      <c r="AV1173" s="87"/>
      <c r="AW1173" s="87"/>
      <c r="AX1173" s="87"/>
      <c r="AY1173" s="87"/>
      <c r="AZ1173" s="87"/>
      <c r="BA1173" s="87"/>
      <c r="BB1173" s="87"/>
      <c r="BC1173" s="87"/>
      <c r="BD1173" s="87"/>
      <c r="BE1173" s="87"/>
      <c r="BF1173" s="87"/>
      <c r="BG1173" s="87"/>
      <c r="BH1173" s="87"/>
      <c r="BI1173" s="87"/>
      <c r="BJ1173" s="87"/>
      <c r="BK1173" s="87"/>
      <c r="BL1173" s="87"/>
      <c r="BM1173" s="87"/>
      <c r="BN1173" s="87"/>
      <c r="BO1173" s="87"/>
      <c r="BP1173" s="87"/>
      <c r="BQ1173" s="87"/>
      <c r="BR1173" s="87"/>
      <c r="BS1173" s="87"/>
      <c r="BT1173" s="87"/>
      <c r="BU1173" s="87"/>
      <c r="BV1173" s="87"/>
      <c r="BW1173" s="87"/>
      <c r="BX1173" s="87"/>
      <c r="BY1173" s="87"/>
    </row>
    <row r="1174" spans="3:77" x14ac:dyDescent="0.3">
      <c r="C1174" s="90"/>
      <c r="D1174" s="87"/>
      <c r="E1174" s="91"/>
      <c r="F1174" s="92"/>
      <c r="G1174" s="93"/>
      <c r="H1174" s="93"/>
      <c r="I1174" s="93"/>
      <c r="J1174" s="93"/>
      <c r="K1174" s="93"/>
      <c r="L1174" s="93"/>
      <c r="M1174" s="93"/>
      <c r="N1174" s="93"/>
      <c r="O1174" s="93"/>
      <c r="P1174" s="93"/>
      <c r="Q1174" s="93"/>
      <c r="R1174" s="87"/>
      <c r="S1174" s="87"/>
      <c r="T1174" s="87"/>
      <c r="U1174" s="19"/>
      <c r="V1174" s="87"/>
      <c r="W1174" s="87"/>
      <c r="X1174" s="87"/>
      <c r="Y1174" s="87"/>
      <c r="Z1174" s="87"/>
      <c r="AA1174" s="87"/>
      <c r="AB1174" s="87"/>
      <c r="AC1174" s="87"/>
      <c r="AD1174" s="87"/>
      <c r="AE1174" s="87"/>
      <c r="AF1174" s="87"/>
      <c r="AG1174" s="87"/>
      <c r="AH1174" s="87"/>
      <c r="AI1174" s="87"/>
      <c r="AJ1174" s="87"/>
      <c r="AK1174" s="87"/>
      <c r="AL1174" s="87"/>
      <c r="AM1174" s="87"/>
      <c r="AN1174" s="87"/>
      <c r="AO1174" s="87"/>
      <c r="AP1174" s="87"/>
      <c r="AQ1174" s="87"/>
      <c r="AR1174" s="87"/>
      <c r="AS1174" s="87"/>
      <c r="AT1174" s="87"/>
      <c r="AU1174" s="87"/>
      <c r="AV1174" s="87"/>
      <c r="AW1174" s="87"/>
      <c r="AX1174" s="87"/>
      <c r="AY1174" s="87"/>
      <c r="AZ1174" s="87"/>
      <c r="BA1174" s="87"/>
      <c r="BB1174" s="87"/>
      <c r="BC1174" s="87"/>
      <c r="BD1174" s="87"/>
      <c r="BE1174" s="87"/>
      <c r="BF1174" s="87"/>
      <c r="BG1174" s="87"/>
      <c r="BH1174" s="87"/>
      <c r="BI1174" s="87"/>
      <c r="BJ1174" s="87"/>
      <c r="BK1174" s="87"/>
      <c r="BL1174" s="87"/>
      <c r="BM1174" s="87"/>
      <c r="BN1174" s="87"/>
      <c r="BO1174" s="87"/>
      <c r="BP1174" s="87"/>
      <c r="BQ1174" s="87"/>
      <c r="BR1174" s="87"/>
      <c r="BS1174" s="87"/>
      <c r="BT1174" s="87"/>
      <c r="BU1174" s="87"/>
      <c r="BV1174" s="87"/>
      <c r="BW1174" s="87"/>
      <c r="BX1174" s="87"/>
      <c r="BY1174" s="87"/>
    </row>
    <row r="1175" spans="3:77" x14ac:dyDescent="0.3">
      <c r="C1175" s="90"/>
      <c r="D1175" s="87"/>
      <c r="E1175" s="91"/>
      <c r="F1175" s="92"/>
      <c r="G1175" s="93"/>
      <c r="H1175" s="93"/>
      <c r="I1175" s="93"/>
      <c r="J1175" s="93"/>
      <c r="K1175" s="93"/>
      <c r="L1175" s="93"/>
      <c r="M1175" s="93"/>
      <c r="N1175" s="93"/>
      <c r="O1175" s="93"/>
      <c r="P1175" s="93"/>
      <c r="Q1175" s="93"/>
      <c r="R1175" s="87"/>
      <c r="S1175" s="87"/>
      <c r="T1175" s="87"/>
      <c r="U1175" s="19"/>
      <c r="V1175" s="87"/>
      <c r="W1175" s="87"/>
      <c r="X1175" s="87"/>
      <c r="Y1175" s="87"/>
      <c r="Z1175" s="87"/>
      <c r="AA1175" s="87"/>
      <c r="AB1175" s="87"/>
      <c r="AC1175" s="87"/>
      <c r="AD1175" s="87"/>
      <c r="AE1175" s="87"/>
      <c r="AF1175" s="87"/>
      <c r="AG1175" s="87"/>
      <c r="AH1175" s="87"/>
      <c r="AI1175" s="87"/>
      <c r="AJ1175" s="87"/>
      <c r="AK1175" s="87"/>
      <c r="AL1175" s="87"/>
      <c r="AM1175" s="87"/>
      <c r="AN1175" s="87"/>
      <c r="AO1175" s="87"/>
      <c r="AP1175" s="87"/>
      <c r="AQ1175" s="87"/>
      <c r="AR1175" s="87"/>
      <c r="AS1175" s="87"/>
      <c r="AT1175" s="87"/>
      <c r="AU1175" s="87"/>
      <c r="AV1175" s="87"/>
      <c r="AW1175" s="87"/>
      <c r="AX1175" s="87"/>
      <c r="AY1175" s="87"/>
      <c r="AZ1175" s="87"/>
      <c r="BA1175" s="87"/>
      <c r="BB1175" s="87"/>
      <c r="BC1175" s="87"/>
      <c r="BD1175" s="87"/>
      <c r="BE1175" s="87"/>
      <c r="BF1175" s="87"/>
      <c r="BG1175" s="87"/>
      <c r="BH1175" s="87"/>
      <c r="BI1175" s="87"/>
      <c r="BJ1175" s="87"/>
      <c r="BK1175" s="87"/>
      <c r="BL1175" s="87"/>
      <c r="BM1175" s="87"/>
      <c r="BN1175" s="87"/>
      <c r="BO1175" s="87"/>
      <c r="BP1175" s="87"/>
      <c r="BQ1175" s="87"/>
      <c r="BR1175" s="87"/>
      <c r="BS1175" s="87"/>
      <c r="BT1175" s="87"/>
      <c r="BU1175" s="87"/>
      <c r="BV1175" s="87"/>
      <c r="BW1175" s="87"/>
      <c r="BX1175" s="87"/>
      <c r="BY1175" s="87"/>
    </row>
    <row r="1176" spans="3:77" x14ac:dyDescent="0.3">
      <c r="C1176" s="90"/>
      <c r="D1176" s="87"/>
      <c r="E1176" s="91"/>
      <c r="F1176" s="92"/>
      <c r="G1176" s="93"/>
      <c r="H1176" s="93"/>
      <c r="I1176" s="93"/>
      <c r="J1176" s="93"/>
      <c r="K1176" s="93"/>
      <c r="L1176" s="93"/>
      <c r="M1176" s="93"/>
      <c r="N1176" s="93"/>
      <c r="O1176" s="93"/>
      <c r="P1176" s="93"/>
      <c r="Q1176" s="93"/>
      <c r="R1176" s="87"/>
      <c r="S1176" s="87"/>
      <c r="T1176" s="87"/>
      <c r="U1176" s="19"/>
      <c r="V1176" s="87"/>
      <c r="W1176" s="87"/>
      <c r="X1176" s="87"/>
      <c r="Y1176" s="87"/>
      <c r="Z1176" s="87"/>
      <c r="AA1176" s="87"/>
      <c r="AB1176" s="87"/>
      <c r="AC1176" s="87"/>
      <c r="AD1176" s="87"/>
      <c r="AE1176" s="87"/>
      <c r="AF1176" s="87"/>
      <c r="AG1176" s="87"/>
      <c r="AH1176" s="87"/>
      <c r="AI1176" s="87"/>
      <c r="AJ1176" s="87"/>
      <c r="AK1176" s="87"/>
      <c r="AL1176" s="87"/>
      <c r="AM1176" s="87"/>
      <c r="AN1176" s="87"/>
      <c r="AO1176" s="87"/>
      <c r="AP1176" s="87"/>
      <c r="AQ1176" s="87"/>
      <c r="AR1176" s="87"/>
      <c r="AS1176" s="87"/>
      <c r="AT1176" s="87"/>
      <c r="AU1176" s="87"/>
      <c r="AV1176" s="87"/>
      <c r="AW1176" s="87"/>
      <c r="AX1176" s="87"/>
      <c r="AY1176" s="87"/>
      <c r="AZ1176" s="87"/>
      <c r="BA1176" s="87"/>
      <c r="BB1176" s="87"/>
      <c r="BC1176" s="87"/>
      <c r="BD1176" s="87"/>
      <c r="BE1176" s="87"/>
      <c r="BF1176" s="87"/>
      <c r="BG1176" s="87"/>
      <c r="BH1176" s="87"/>
      <c r="BI1176" s="87"/>
      <c r="BJ1176" s="87"/>
      <c r="BK1176" s="87"/>
      <c r="BL1176" s="87"/>
      <c r="BM1176" s="87"/>
      <c r="BN1176" s="87"/>
      <c r="BO1176" s="87"/>
      <c r="BP1176" s="87"/>
      <c r="BQ1176" s="87"/>
      <c r="BR1176" s="87"/>
      <c r="BS1176" s="87"/>
      <c r="BT1176" s="87"/>
      <c r="BU1176" s="87"/>
      <c r="BV1176" s="87"/>
      <c r="BW1176" s="87"/>
      <c r="BX1176" s="87"/>
      <c r="BY1176" s="87"/>
    </row>
    <row r="1177" spans="3:77" x14ac:dyDescent="0.3">
      <c r="C1177" s="90"/>
      <c r="D1177" s="87"/>
      <c r="E1177" s="91"/>
      <c r="F1177" s="92"/>
      <c r="G1177" s="93"/>
      <c r="H1177" s="93"/>
      <c r="I1177" s="93"/>
      <c r="J1177" s="93"/>
      <c r="K1177" s="93"/>
      <c r="L1177" s="93"/>
      <c r="M1177" s="93"/>
      <c r="N1177" s="93"/>
      <c r="O1177" s="93"/>
      <c r="P1177" s="93"/>
      <c r="Q1177" s="93"/>
      <c r="R1177" s="87"/>
      <c r="S1177" s="87"/>
      <c r="T1177" s="87"/>
      <c r="U1177" s="19"/>
      <c r="V1177" s="87"/>
      <c r="W1177" s="87"/>
      <c r="X1177" s="87"/>
      <c r="Y1177" s="87"/>
      <c r="Z1177" s="87"/>
      <c r="AA1177" s="87"/>
      <c r="AB1177" s="87"/>
      <c r="AC1177" s="87"/>
      <c r="AD1177" s="87"/>
      <c r="AE1177" s="87"/>
      <c r="AF1177" s="87"/>
      <c r="AG1177" s="87"/>
      <c r="AH1177" s="87"/>
      <c r="AI1177" s="87"/>
      <c r="AJ1177" s="87"/>
      <c r="AK1177" s="87"/>
      <c r="AL1177" s="87"/>
      <c r="AM1177" s="87"/>
      <c r="AN1177" s="87"/>
      <c r="AO1177" s="87"/>
      <c r="AP1177" s="87"/>
      <c r="AQ1177" s="87"/>
      <c r="AR1177" s="87"/>
      <c r="AS1177" s="87"/>
      <c r="AT1177" s="87"/>
      <c r="AU1177" s="87"/>
      <c r="AV1177" s="87"/>
      <c r="AW1177" s="87"/>
      <c r="AX1177" s="87"/>
      <c r="AY1177" s="87"/>
      <c r="AZ1177" s="87"/>
      <c r="BA1177" s="87"/>
      <c r="BB1177" s="87"/>
      <c r="BC1177" s="87"/>
      <c r="BD1177" s="87"/>
      <c r="BE1177" s="87"/>
      <c r="BF1177" s="87"/>
      <c r="BG1177" s="87"/>
      <c r="BH1177" s="87"/>
      <c r="BI1177" s="87"/>
      <c r="BJ1177" s="87"/>
      <c r="BK1177" s="87"/>
      <c r="BL1177" s="87"/>
      <c r="BM1177" s="87"/>
      <c r="BN1177" s="87"/>
      <c r="BO1177" s="87"/>
      <c r="BP1177" s="87"/>
      <c r="BQ1177" s="87"/>
      <c r="BR1177" s="87"/>
      <c r="BS1177" s="87"/>
      <c r="BT1177" s="87"/>
      <c r="BU1177" s="87"/>
      <c r="BV1177" s="87"/>
      <c r="BW1177" s="87"/>
      <c r="BX1177" s="87"/>
      <c r="BY1177" s="87"/>
    </row>
    <row r="1178" spans="3:77" x14ac:dyDescent="0.3">
      <c r="C1178" s="90"/>
      <c r="D1178" s="87"/>
      <c r="E1178" s="91"/>
      <c r="F1178" s="92"/>
      <c r="G1178" s="93"/>
      <c r="H1178" s="93"/>
      <c r="I1178" s="93"/>
      <c r="J1178" s="93"/>
      <c r="K1178" s="93"/>
      <c r="L1178" s="93"/>
      <c r="M1178" s="93"/>
      <c r="N1178" s="93"/>
      <c r="O1178" s="93"/>
      <c r="P1178" s="93"/>
      <c r="Q1178" s="93"/>
      <c r="R1178" s="87"/>
      <c r="S1178" s="87"/>
      <c r="T1178" s="87"/>
      <c r="U1178" s="19"/>
      <c r="V1178" s="87"/>
      <c r="W1178" s="87"/>
      <c r="X1178" s="87"/>
      <c r="Y1178" s="87"/>
      <c r="Z1178" s="87"/>
      <c r="AA1178" s="87"/>
      <c r="AB1178" s="87"/>
      <c r="AC1178" s="87"/>
      <c r="AD1178" s="87"/>
      <c r="AE1178" s="87"/>
      <c r="AF1178" s="87"/>
      <c r="AG1178" s="87"/>
      <c r="AH1178" s="87"/>
      <c r="AI1178" s="87"/>
      <c r="AJ1178" s="87"/>
      <c r="AK1178" s="87"/>
      <c r="AL1178" s="87"/>
      <c r="AM1178" s="87"/>
      <c r="AN1178" s="87"/>
      <c r="AO1178" s="87"/>
      <c r="AP1178" s="87"/>
      <c r="AQ1178" s="87"/>
      <c r="AR1178" s="87"/>
      <c r="AS1178" s="87"/>
      <c r="AT1178" s="87"/>
      <c r="AU1178" s="87"/>
      <c r="AV1178" s="87"/>
      <c r="AW1178" s="87"/>
      <c r="AX1178" s="87"/>
      <c r="AY1178" s="87"/>
      <c r="AZ1178" s="87"/>
      <c r="BA1178" s="87"/>
      <c r="BB1178" s="87"/>
      <c r="BC1178" s="87"/>
      <c r="BD1178" s="87"/>
      <c r="BE1178" s="87"/>
      <c r="BF1178" s="87"/>
      <c r="BG1178" s="87"/>
      <c r="BH1178" s="87"/>
      <c r="BI1178" s="87"/>
      <c r="BJ1178" s="87"/>
      <c r="BK1178" s="87"/>
      <c r="BL1178" s="87"/>
      <c r="BM1178" s="87"/>
      <c r="BN1178" s="87"/>
      <c r="BO1178" s="87"/>
      <c r="BP1178" s="87"/>
      <c r="BQ1178" s="87"/>
      <c r="BR1178" s="87"/>
      <c r="BS1178" s="87"/>
      <c r="BT1178" s="87"/>
      <c r="BU1178" s="87"/>
      <c r="BV1178" s="87"/>
      <c r="BW1178" s="87"/>
      <c r="BX1178" s="87"/>
      <c r="BY1178" s="87"/>
    </row>
    <row r="1179" spans="3:77" x14ac:dyDescent="0.3">
      <c r="C1179" s="90"/>
      <c r="D1179" s="87"/>
      <c r="E1179" s="91"/>
      <c r="F1179" s="92"/>
      <c r="G1179" s="93"/>
      <c r="H1179" s="93"/>
      <c r="I1179" s="93"/>
      <c r="J1179" s="93"/>
      <c r="K1179" s="93"/>
      <c r="L1179" s="93"/>
      <c r="M1179" s="93"/>
      <c r="N1179" s="93"/>
      <c r="O1179" s="93"/>
      <c r="P1179" s="93"/>
      <c r="Q1179" s="93"/>
      <c r="R1179" s="87"/>
      <c r="S1179" s="87"/>
      <c r="T1179" s="87"/>
      <c r="U1179" s="19"/>
      <c r="V1179" s="87"/>
      <c r="W1179" s="87"/>
      <c r="X1179" s="87"/>
      <c r="Y1179" s="87"/>
      <c r="Z1179" s="87"/>
      <c r="AA1179" s="87"/>
      <c r="AB1179" s="87"/>
      <c r="AC1179" s="87"/>
      <c r="AD1179" s="87"/>
      <c r="AE1179" s="87"/>
      <c r="AF1179" s="87"/>
      <c r="AG1179" s="87"/>
      <c r="AH1179" s="87"/>
      <c r="AI1179" s="87"/>
      <c r="AJ1179" s="87"/>
      <c r="AK1179" s="87"/>
      <c r="AL1179" s="87"/>
      <c r="AM1179" s="87"/>
      <c r="AN1179" s="87"/>
      <c r="AO1179" s="87"/>
      <c r="AP1179" s="87"/>
      <c r="AQ1179" s="87"/>
      <c r="AR1179" s="87"/>
      <c r="AS1179" s="87"/>
      <c r="AT1179" s="87"/>
      <c r="AU1179" s="87"/>
      <c r="AV1179" s="87"/>
      <c r="AW1179" s="87"/>
      <c r="AX1179" s="87"/>
      <c r="AY1179" s="87"/>
      <c r="AZ1179" s="87"/>
      <c r="BA1179" s="87"/>
      <c r="BB1179" s="87"/>
      <c r="BC1179" s="87"/>
      <c r="BD1179" s="87"/>
      <c r="BE1179" s="87"/>
      <c r="BF1179" s="87"/>
      <c r="BG1179" s="87"/>
      <c r="BH1179" s="87"/>
      <c r="BI1179" s="87"/>
      <c r="BJ1179" s="87"/>
      <c r="BK1179" s="87"/>
      <c r="BL1179" s="87"/>
      <c r="BM1179" s="87"/>
      <c r="BN1179" s="87"/>
      <c r="BO1179" s="87"/>
      <c r="BP1179" s="87"/>
      <c r="BQ1179" s="87"/>
      <c r="BR1179" s="87"/>
      <c r="BS1179" s="87"/>
      <c r="BT1179" s="87"/>
      <c r="BU1179" s="87"/>
      <c r="BV1179" s="87"/>
      <c r="BW1179" s="87"/>
      <c r="BX1179" s="87"/>
      <c r="BY1179" s="87"/>
    </row>
    <row r="1180" spans="3:77" x14ac:dyDescent="0.3">
      <c r="C1180" s="90"/>
      <c r="D1180" s="87"/>
      <c r="E1180" s="91"/>
      <c r="F1180" s="92"/>
      <c r="G1180" s="93"/>
      <c r="H1180" s="93"/>
      <c r="I1180" s="93"/>
      <c r="J1180" s="93"/>
      <c r="K1180" s="93"/>
      <c r="L1180" s="93"/>
      <c r="M1180" s="93"/>
      <c r="N1180" s="93"/>
      <c r="O1180" s="93"/>
      <c r="P1180" s="93"/>
      <c r="Q1180" s="93"/>
      <c r="R1180" s="87"/>
      <c r="S1180" s="87"/>
      <c r="T1180" s="87"/>
      <c r="U1180" s="19"/>
      <c r="V1180" s="87"/>
      <c r="W1180" s="87"/>
      <c r="X1180" s="87"/>
      <c r="Y1180" s="87"/>
      <c r="Z1180" s="87"/>
      <c r="AA1180" s="87"/>
      <c r="AB1180" s="87"/>
      <c r="AC1180" s="87"/>
      <c r="AD1180" s="87"/>
      <c r="AE1180" s="87"/>
      <c r="AF1180" s="87"/>
      <c r="AG1180" s="87"/>
      <c r="AH1180" s="87"/>
      <c r="AI1180" s="87"/>
      <c r="AJ1180" s="87"/>
      <c r="AK1180" s="87"/>
      <c r="AL1180" s="87"/>
      <c r="AM1180" s="87"/>
      <c r="AN1180" s="87"/>
      <c r="AO1180" s="87"/>
      <c r="AP1180" s="87"/>
      <c r="AQ1180" s="87"/>
      <c r="AR1180" s="87"/>
      <c r="AS1180" s="87"/>
      <c r="AT1180" s="87"/>
      <c r="AU1180" s="87"/>
      <c r="AV1180" s="87"/>
      <c r="AW1180" s="87"/>
      <c r="AX1180" s="87"/>
      <c r="AY1180" s="87"/>
      <c r="AZ1180" s="87"/>
      <c r="BA1180" s="87"/>
      <c r="BB1180" s="87"/>
      <c r="BC1180" s="87"/>
      <c r="BD1180" s="87"/>
      <c r="BE1180" s="87"/>
      <c r="BF1180" s="87"/>
      <c r="BG1180" s="87"/>
      <c r="BH1180" s="87"/>
      <c r="BI1180" s="87"/>
      <c r="BJ1180" s="87"/>
      <c r="BK1180" s="87"/>
      <c r="BL1180" s="87"/>
      <c r="BM1180" s="87"/>
      <c r="BN1180" s="87"/>
      <c r="BO1180" s="87"/>
      <c r="BP1180" s="87"/>
      <c r="BQ1180" s="87"/>
      <c r="BR1180" s="87"/>
      <c r="BS1180" s="87"/>
      <c r="BT1180" s="87"/>
      <c r="BU1180" s="87"/>
      <c r="BV1180" s="87"/>
      <c r="BW1180" s="87"/>
      <c r="BX1180" s="87"/>
      <c r="BY1180" s="87"/>
    </row>
    <row r="1181" spans="3:77" x14ac:dyDescent="0.3">
      <c r="C1181" s="90"/>
      <c r="D1181" s="87"/>
      <c r="E1181" s="91"/>
      <c r="F1181" s="92"/>
      <c r="G1181" s="93"/>
      <c r="H1181" s="93"/>
      <c r="I1181" s="93"/>
      <c r="J1181" s="93"/>
      <c r="K1181" s="93"/>
      <c r="L1181" s="93"/>
      <c r="M1181" s="93"/>
      <c r="N1181" s="93"/>
      <c r="O1181" s="93"/>
      <c r="P1181" s="93"/>
      <c r="Q1181" s="93"/>
      <c r="R1181" s="87"/>
      <c r="S1181" s="87"/>
      <c r="T1181" s="87"/>
      <c r="U1181" s="19"/>
      <c r="V1181" s="87"/>
      <c r="W1181" s="87"/>
      <c r="X1181" s="87"/>
      <c r="Y1181" s="87"/>
      <c r="Z1181" s="87"/>
      <c r="AA1181" s="87"/>
      <c r="AB1181" s="87"/>
      <c r="AC1181" s="87"/>
      <c r="AD1181" s="87"/>
      <c r="AE1181" s="87"/>
      <c r="AF1181" s="87"/>
      <c r="AG1181" s="87"/>
      <c r="AH1181" s="87"/>
      <c r="AI1181" s="87"/>
      <c r="AJ1181" s="87"/>
      <c r="AK1181" s="87"/>
      <c r="AL1181" s="87"/>
      <c r="AM1181" s="87"/>
      <c r="AN1181" s="87"/>
      <c r="AO1181" s="87"/>
      <c r="AP1181" s="87"/>
      <c r="AQ1181" s="87"/>
      <c r="AR1181" s="87"/>
      <c r="AS1181" s="87"/>
      <c r="AT1181" s="87"/>
      <c r="AU1181" s="87"/>
      <c r="AV1181" s="87"/>
      <c r="AW1181" s="87"/>
      <c r="AX1181" s="87"/>
      <c r="AY1181" s="87"/>
      <c r="AZ1181" s="87"/>
      <c r="BA1181" s="87"/>
      <c r="BB1181" s="87"/>
      <c r="BC1181" s="87"/>
      <c r="BD1181" s="87"/>
      <c r="BE1181" s="87"/>
      <c r="BF1181" s="87"/>
      <c r="BG1181" s="87"/>
      <c r="BH1181" s="87"/>
      <c r="BI1181" s="87"/>
      <c r="BJ1181" s="87"/>
      <c r="BK1181" s="87"/>
      <c r="BL1181" s="87"/>
      <c r="BM1181" s="87"/>
      <c r="BN1181" s="87"/>
      <c r="BO1181" s="87"/>
      <c r="BP1181" s="87"/>
      <c r="BQ1181" s="87"/>
      <c r="BR1181" s="87"/>
      <c r="BS1181" s="87"/>
      <c r="BT1181" s="87"/>
      <c r="BU1181" s="87"/>
      <c r="BV1181" s="87"/>
      <c r="BW1181" s="87"/>
      <c r="BX1181" s="87"/>
      <c r="BY1181" s="87"/>
    </row>
    <row r="1182" spans="3:77" x14ac:dyDescent="0.3">
      <c r="C1182" s="90"/>
      <c r="D1182" s="87"/>
      <c r="E1182" s="91"/>
      <c r="F1182" s="92"/>
      <c r="G1182" s="93"/>
      <c r="H1182" s="93"/>
      <c r="I1182" s="93"/>
      <c r="J1182" s="93"/>
      <c r="K1182" s="93"/>
      <c r="L1182" s="93"/>
      <c r="M1182" s="93"/>
      <c r="N1182" s="93"/>
      <c r="O1182" s="93"/>
      <c r="P1182" s="93"/>
      <c r="Q1182" s="93"/>
      <c r="R1182" s="87"/>
      <c r="S1182" s="87"/>
      <c r="T1182" s="87"/>
      <c r="U1182" s="19"/>
      <c r="V1182" s="87"/>
      <c r="W1182" s="87"/>
      <c r="X1182" s="87"/>
      <c r="Y1182" s="87"/>
      <c r="Z1182" s="87"/>
      <c r="AA1182" s="87"/>
      <c r="AB1182" s="87"/>
      <c r="AC1182" s="87"/>
      <c r="AD1182" s="87"/>
      <c r="AE1182" s="87"/>
      <c r="AF1182" s="87"/>
      <c r="AG1182" s="87"/>
      <c r="AH1182" s="87"/>
      <c r="AI1182" s="87"/>
      <c r="AJ1182" s="87"/>
      <c r="AK1182" s="87"/>
      <c r="AL1182" s="87"/>
      <c r="AM1182" s="87"/>
      <c r="AN1182" s="87"/>
      <c r="AO1182" s="87"/>
      <c r="AP1182" s="87"/>
      <c r="AQ1182" s="87"/>
      <c r="AR1182" s="87"/>
      <c r="AS1182" s="87"/>
      <c r="AT1182" s="87"/>
      <c r="AU1182" s="87"/>
      <c r="AV1182" s="87"/>
      <c r="AW1182" s="87"/>
      <c r="AX1182" s="87"/>
      <c r="AY1182" s="87"/>
      <c r="AZ1182" s="87"/>
      <c r="BA1182" s="87"/>
      <c r="BB1182" s="87"/>
      <c r="BC1182" s="87"/>
      <c r="BD1182" s="87"/>
      <c r="BE1182" s="87"/>
      <c r="BF1182" s="87"/>
      <c r="BG1182" s="87"/>
      <c r="BH1182" s="87"/>
      <c r="BI1182" s="87"/>
      <c r="BJ1182" s="87"/>
      <c r="BK1182" s="87"/>
      <c r="BL1182" s="87"/>
      <c r="BM1182" s="87"/>
      <c r="BN1182" s="87"/>
      <c r="BO1182" s="87"/>
      <c r="BP1182" s="87"/>
      <c r="BQ1182" s="87"/>
      <c r="BR1182" s="87"/>
      <c r="BS1182" s="87"/>
      <c r="BT1182" s="87"/>
      <c r="BU1182" s="87"/>
      <c r="BV1182" s="87"/>
      <c r="BW1182" s="87"/>
      <c r="BX1182" s="87"/>
      <c r="BY1182" s="87"/>
    </row>
    <row r="1183" spans="3:77" x14ac:dyDescent="0.3">
      <c r="C1183" s="90"/>
      <c r="D1183" s="87"/>
      <c r="E1183" s="91"/>
      <c r="F1183" s="92"/>
      <c r="G1183" s="93"/>
      <c r="H1183" s="93"/>
      <c r="I1183" s="93"/>
      <c r="J1183" s="93"/>
      <c r="K1183" s="93"/>
      <c r="L1183" s="93"/>
      <c r="M1183" s="93"/>
      <c r="N1183" s="93"/>
      <c r="O1183" s="93"/>
      <c r="P1183" s="93"/>
      <c r="Q1183" s="93"/>
      <c r="R1183" s="87"/>
      <c r="S1183" s="87"/>
      <c r="T1183" s="87"/>
      <c r="U1183" s="19"/>
      <c r="V1183" s="87"/>
      <c r="W1183" s="87"/>
      <c r="X1183" s="87"/>
      <c r="Y1183" s="87"/>
      <c r="Z1183" s="87"/>
      <c r="AA1183" s="87"/>
      <c r="AB1183" s="87"/>
      <c r="AC1183" s="87"/>
      <c r="AD1183" s="87"/>
      <c r="AE1183" s="87"/>
      <c r="AF1183" s="87"/>
      <c r="AG1183" s="87"/>
      <c r="AH1183" s="87"/>
      <c r="AI1183" s="87"/>
      <c r="AJ1183" s="87"/>
      <c r="AK1183" s="87"/>
      <c r="AL1183" s="87"/>
      <c r="AM1183" s="87"/>
      <c r="AN1183" s="87"/>
      <c r="AO1183" s="87"/>
      <c r="AP1183" s="87"/>
      <c r="AQ1183" s="87"/>
      <c r="AR1183" s="87"/>
      <c r="AS1183" s="87"/>
      <c r="AT1183" s="87"/>
      <c r="AU1183" s="87"/>
      <c r="AV1183" s="87"/>
      <c r="AW1183" s="87"/>
      <c r="AX1183" s="87"/>
      <c r="AY1183" s="87"/>
      <c r="AZ1183" s="87"/>
      <c r="BA1183" s="87"/>
      <c r="BB1183" s="87"/>
      <c r="BC1183" s="87"/>
      <c r="BD1183" s="87"/>
      <c r="BE1183" s="87"/>
      <c r="BF1183" s="87"/>
      <c r="BG1183" s="87"/>
      <c r="BH1183" s="87"/>
      <c r="BI1183" s="87"/>
      <c r="BJ1183" s="87"/>
      <c r="BK1183" s="87"/>
      <c r="BL1183" s="87"/>
      <c r="BM1183" s="87"/>
      <c r="BN1183" s="87"/>
      <c r="BO1183" s="87"/>
      <c r="BP1183" s="87"/>
      <c r="BQ1183" s="87"/>
      <c r="BR1183" s="87"/>
      <c r="BS1183" s="87"/>
      <c r="BT1183" s="87"/>
      <c r="BU1183" s="87"/>
      <c r="BV1183" s="87"/>
      <c r="BW1183" s="87"/>
      <c r="BX1183" s="87"/>
      <c r="BY1183" s="87"/>
    </row>
    <row r="1184" spans="3:77" x14ac:dyDescent="0.3">
      <c r="C1184" s="90"/>
      <c r="D1184" s="87"/>
      <c r="E1184" s="91"/>
      <c r="F1184" s="92"/>
      <c r="G1184" s="93"/>
      <c r="H1184" s="93"/>
      <c r="I1184" s="93"/>
      <c r="J1184" s="93"/>
      <c r="K1184" s="93"/>
      <c r="L1184" s="93"/>
      <c r="M1184" s="93"/>
      <c r="N1184" s="93"/>
      <c r="O1184" s="93"/>
      <c r="P1184" s="93"/>
      <c r="Q1184" s="93"/>
      <c r="R1184" s="87"/>
      <c r="S1184" s="87"/>
      <c r="T1184" s="87"/>
      <c r="U1184" s="19"/>
      <c r="V1184" s="87"/>
      <c r="W1184" s="87"/>
      <c r="X1184" s="87"/>
      <c r="Y1184" s="87"/>
      <c r="Z1184" s="87"/>
      <c r="AA1184" s="87"/>
      <c r="AB1184" s="87"/>
      <c r="AC1184" s="87"/>
      <c r="AD1184" s="87"/>
      <c r="AE1184" s="87"/>
      <c r="AF1184" s="87"/>
      <c r="AG1184" s="87"/>
      <c r="AH1184" s="87"/>
      <c r="AI1184" s="87"/>
      <c r="AJ1184" s="87"/>
      <c r="AK1184" s="87"/>
      <c r="AL1184" s="87"/>
      <c r="AM1184" s="87"/>
      <c r="AN1184" s="87"/>
      <c r="AO1184" s="87"/>
      <c r="AP1184" s="87"/>
      <c r="AQ1184" s="87"/>
      <c r="AR1184" s="87"/>
      <c r="AS1184" s="87"/>
      <c r="AT1184" s="87"/>
      <c r="AU1184" s="87"/>
      <c r="AV1184" s="87"/>
      <c r="AW1184" s="87"/>
      <c r="AX1184" s="87"/>
      <c r="AY1184" s="87"/>
      <c r="AZ1184" s="87"/>
      <c r="BA1184" s="87"/>
      <c r="BB1184" s="87"/>
      <c r="BC1184" s="87"/>
      <c r="BD1184" s="87"/>
      <c r="BE1184" s="87"/>
      <c r="BF1184" s="87"/>
      <c r="BG1184" s="87"/>
      <c r="BH1184" s="87"/>
      <c r="BI1184" s="87"/>
      <c r="BJ1184" s="87"/>
      <c r="BK1184" s="87"/>
      <c r="BL1184" s="87"/>
      <c r="BM1184" s="87"/>
      <c r="BN1184" s="87"/>
      <c r="BO1184" s="87"/>
      <c r="BP1184" s="87"/>
      <c r="BQ1184" s="87"/>
      <c r="BR1184" s="87"/>
      <c r="BS1184" s="87"/>
      <c r="BT1184" s="87"/>
      <c r="BU1184" s="87"/>
      <c r="BV1184" s="87"/>
      <c r="BW1184" s="87"/>
      <c r="BX1184" s="87"/>
      <c r="BY1184" s="87"/>
    </row>
    <row r="1185" spans="3:77" x14ac:dyDescent="0.3">
      <c r="C1185" s="90"/>
      <c r="D1185" s="87"/>
      <c r="E1185" s="91"/>
      <c r="F1185" s="92"/>
      <c r="G1185" s="93"/>
      <c r="H1185" s="93"/>
      <c r="I1185" s="93"/>
      <c r="J1185" s="93"/>
      <c r="K1185" s="93"/>
      <c r="L1185" s="93"/>
      <c r="M1185" s="93"/>
      <c r="N1185" s="93"/>
      <c r="O1185" s="93"/>
      <c r="P1185" s="93"/>
      <c r="Q1185" s="93"/>
      <c r="R1185" s="87"/>
      <c r="S1185" s="87"/>
      <c r="T1185" s="87"/>
      <c r="U1185" s="19"/>
      <c r="V1185" s="87"/>
      <c r="W1185" s="87"/>
      <c r="X1185" s="87"/>
      <c r="Y1185" s="87"/>
      <c r="Z1185" s="87"/>
      <c r="AA1185" s="87"/>
      <c r="AB1185" s="87"/>
      <c r="AC1185" s="87"/>
      <c r="AD1185" s="87"/>
      <c r="AE1185" s="87"/>
      <c r="AF1185" s="87"/>
      <c r="AG1185" s="87"/>
      <c r="AH1185" s="87"/>
      <c r="AI1185" s="87"/>
      <c r="AJ1185" s="87"/>
      <c r="AK1185" s="87"/>
      <c r="AL1185" s="87"/>
      <c r="AM1185" s="87"/>
      <c r="AN1185" s="87"/>
      <c r="AO1185" s="87"/>
      <c r="AP1185" s="87"/>
      <c r="AQ1185" s="87"/>
      <c r="AR1185" s="87"/>
      <c r="AS1185" s="87"/>
      <c r="AT1185" s="87"/>
      <c r="AU1185" s="87"/>
      <c r="AV1185" s="87"/>
      <c r="AW1185" s="87"/>
      <c r="AX1185" s="87"/>
      <c r="AY1185" s="87"/>
      <c r="AZ1185" s="87"/>
      <c r="BA1185" s="87"/>
      <c r="BB1185" s="87"/>
      <c r="BC1185" s="87"/>
      <c r="BD1185" s="87"/>
      <c r="BE1185" s="87"/>
      <c r="BF1185" s="87"/>
      <c r="BG1185" s="87"/>
      <c r="BH1185" s="87"/>
      <c r="BI1185" s="87"/>
      <c r="BJ1185" s="87"/>
      <c r="BK1185" s="87"/>
      <c r="BL1185" s="87"/>
      <c r="BM1185" s="87"/>
      <c r="BN1185" s="87"/>
      <c r="BO1185" s="87"/>
      <c r="BP1185" s="87"/>
      <c r="BQ1185" s="87"/>
      <c r="BR1185" s="87"/>
      <c r="BS1185" s="87"/>
      <c r="BT1185" s="87"/>
      <c r="BU1185" s="87"/>
      <c r="BV1185" s="87"/>
      <c r="BW1185" s="87"/>
      <c r="BX1185" s="87"/>
      <c r="BY1185" s="87"/>
    </row>
    <row r="1186" spans="3:77" x14ac:dyDescent="0.3">
      <c r="C1186" s="90"/>
      <c r="D1186" s="87"/>
      <c r="E1186" s="91"/>
      <c r="F1186" s="92"/>
      <c r="G1186" s="93"/>
      <c r="H1186" s="93"/>
      <c r="I1186" s="93"/>
      <c r="J1186" s="93"/>
      <c r="K1186" s="93"/>
      <c r="L1186" s="93"/>
      <c r="M1186" s="93"/>
      <c r="N1186" s="93"/>
      <c r="O1186" s="93"/>
      <c r="P1186" s="93"/>
      <c r="Q1186" s="93"/>
      <c r="R1186" s="87"/>
      <c r="S1186" s="87"/>
      <c r="T1186" s="87"/>
      <c r="U1186" s="19"/>
      <c r="V1186" s="87"/>
      <c r="W1186" s="87"/>
      <c r="X1186" s="87"/>
      <c r="Y1186" s="87"/>
      <c r="Z1186" s="87"/>
      <c r="AA1186" s="87"/>
      <c r="AB1186" s="87"/>
      <c r="AC1186" s="87"/>
      <c r="AD1186" s="87"/>
      <c r="AE1186" s="87"/>
      <c r="AF1186" s="87"/>
      <c r="AG1186" s="87"/>
      <c r="AH1186" s="87"/>
      <c r="AI1186" s="87"/>
      <c r="AJ1186" s="87"/>
      <c r="AK1186" s="87"/>
      <c r="AL1186" s="87"/>
      <c r="AM1186" s="87"/>
      <c r="AN1186" s="87"/>
      <c r="AO1186" s="87"/>
      <c r="AP1186" s="87"/>
      <c r="AQ1186" s="87"/>
      <c r="AR1186" s="87"/>
      <c r="AS1186" s="87"/>
      <c r="AT1186" s="87"/>
      <c r="AU1186" s="87"/>
      <c r="AV1186" s="87"/>
      <c r="AW1186" s="87"/>
      <c r="AX1186" s="87"/>
      <c r="AY1186" s="87"/>
      <c r="AZ1186" s="87"/>
      <c r="BA1186" s="87"/>
      <c r="BB1186" s="87"/>
      <c r="BC1186" s="87"/>
      <c r="BD1186" s="87"/>
      <c r="BE1186" s="87"/>
      <c r="BF1186" s="87"/>
      <c r="BG1186" s="87"/>
      <c r="BH1186" s="87"/>
      <c r="BI1186" s="87"/>
      <c r="BJ1186" s="87"/>
      <c r="BK1186" s="87"/>
      <c r="BL1186" s="87"/>
      <c r="BM1186" s="87"/>
      <c r="BN1186" s="87"/>
      <c r="BO1186" s="87"/>
      <c r="BP1186" s="87"/>
      <c r="BQ1186" s="87"/>
      <c r="BR1186" s="87"/>
      <c r="BS1186" s="87"/>
      <c r="BT1186" s="87"/>
      <c r="BU1186" s="87"/>
      <c r="BV1186" s="87"/>
      <c r="BW1186" s="87"/>
      <c r="BX1186" s="87"/>
      <c r="BY1186" s="87"/>
    </row>
    <row r="1187" spans="3:77" x14ac:dyDescent="0.3">
      <c r="C1187" s="90"/>
      <c r="D1187" s="87"/>
      <c r="E1187" s="91"/>
      <c r="F1187" s="92"/>
      <c r="G1187" s="93"/>
      <c r="H1187" s="93"/>
      <c r="I1187" s="93"/>
      <c r="J1187" s="93"/>
      <c r="K1187" s="93"/>
      <c r="L1187" s="93"/>
      <c r="M1187" s="93"/>
      <c r="N1187" s="93"/>
      <c r="O1187" s="93"/>
      <c r="P1187" s="93"/>
      <c r="Q1187" s="93"/>
      <c r="R1187" s="87"/>
      <c r="S1187" s="87"/>
      <c r="T1187" s="87"/>
      <c r="U1187" s="19"/>
      <c r="V1187" s="87"/>
      <c r="W1187" s="87"/>
      <c r="X1187" s="87"/>
      <c r="Y1187" s="87"/>
      <c r="Z1187" s="87"/>
      <c r="AA1187" s="87"/>
      <c r="AB1187" s="87"/>
      <c r="AC1187" s="87"/>
      <c r="AD1187" s="87"/>
      <c r="AE1187" s="87"/>
      <c r="AF1187" s="87"/>
      <c r="AG1187" s="87"/>
      <c r="AH1187" s="87"/>
      <c r="AI1187" s="87"/>
      <c r="AJ1187" s="87"/>
      <c r="AK1187" s="87"/>
      <c r="AL1187" s="87"/>
      <c r="AM1187" s="87"/>
      <c r="AN1187" s="87"/>
      <c r="AO1187" s="87"/>
      <c r="AP1187" s="87"/>
      <c r="AQ1187" s="87"/>
      <c r="AR1187" s="87"/>
      <c r="AS1187" s="87"/>
      <c r="AT1187" s="87"/>
      <c r="AU1187" s="87"/>
      <c r="AV1187" s="87"/>
      <c r="AW1187" s="87"/>
      <c r="AX1187" s="87"/>
      <c r="AY1187" s="87"/>
      <c r="AZ1187" s="87"/>
      <c r="BA1187" s="87"/>
      <c r="BB1187" s="87"/>
      <c r="BC1187" s="87"/>
      <c r="BD1187" s="87"/>
      <c r="BE1187" s="87"/>
      <c r="BF1187" s="87"/>
      <c r="BG1187" s="87"/>
      <c r="BH1187" s="87"/>
      <c r="BI1187" s="87"/>
      <c r="BJ1187" s="87"/>
      <c r="BK1187" s="87"/>
      <c r="BL1187" s="87"/>
      <c r="BM1187" s="87"/>
      <c r="BN1187" s="87"/>
      <c r="BO1187" s="87"/>
      <c r="BP1187" s="87"/>
      <c r="BQ1187" s="87"/>
      <c r="BR1187" s="87"/>
      <c r="BS1187" s="87"/>
      <c r="BT1187" s="87"/>
      <c r="BU1187" s="87"/>
      <c r="BV1187" s="87"/>
      <c r="BW1187" s="87"/>
      <c r="BX1187" s="87"/>
      <c r="BY1187" s="87"/>
    </row>
    <row r="1188" spans="3:77" x14ac:dyDescent="0.3">
      <c r="C1188" s="90"/>
      <c r="D1188" s="87"/>
      <c r="E1188" s="91"/>
      <c r="F1188" s="92"/>
      <c r="G1188" s="93"/>
      <c r="H1188" s="93"/>
      <c r="I1188" s="93"/>
      <c r="J1188" s="93"/>
      <c r="K1188" s="93"/>
      <c r="L1188" s="93"/>
      <c r="M1188" s="93"/>
      <c r="N1188" s="93"/>
      <c r="O1188" s="93"/>
      <c r="P1188" s="93"/>
      <c r="Q1188" s="93"/>
      <c r="R1188" s="87"/>
      <c r="S1188" s="87"/>
      <c r="T1188" s="87"/>
      <c r="U1188" s="19"/>
      <c r="V1188" s="87"/>
      <c r="W1188" s="87"/>
      <c r="X1188" s="87"/>
      <c r="Y1188" s="87"/>
      <c r="Z1188" s="87"/>
      <c r="AA1188" s="87"/>
      <c r="AB1188" s="87"/>
      <c r="AC1188" s="87"/>
      <c r="AD1188" s="87"/>
      <c r="AE1188" s="87"/>
      <c r="AF1188" s="87"/>
      <c r="AG1188" s="87"/>
      <c r="AH1188" s="87"/>
      <c r="AI1188" s="87"/>
      <c r="AJ1188" s="87"/>
      <c r="AK1188" s="87"/>
      <c r="AL1188" s="87"/>
      <c r="AM1188" s="87"/>
      <c r="AN1188" s="87"/>
      <c r="AO1188" s="87"/>
      <c r="AP1188" s="87"/>
      <c r="AQ1188" s="87"/>
      <c r="AR1188" s="87"/>
      <c r="AS1188" s="87"/>
      <c r="AT1188" s="87"/>
      <c r="AU1188" s="87"/>
      <c r="AV1188" s="87"/>
      <c r="AW1188" s="87"/>
      <c r="AX1188" s="87"/>
      <c r="AY1188" s="87"/>
      <c r="AZ1188" s="87"/>
      <c r="BA1188" s="87"/>
      <c r="BB1188" s="87"/>
      <c r="BC1188" s="87"/>
      <c r="BD1188" s="87"/>
      <c r="BE1188" s="87"/>
      <c r="BF1188" s="87"/>
      <c r="BG1188" s="87"/>
      <c r="BH1188" s="87"/>
      <c r="BI1188" s="87"/>
      <c r="BJ1188" s="87"/>
      <c r="BK1188" s="87"/>
      <c r="BL1188" s="87"/>
      <c r="BM1188" s="87"/>
      <c r="BN1188" s="87"/>
      <c r="BO1188" s="87"/>
      <c r="BP1188" s="87"/>
      <c r="BQ1188" s="87"/>
      <c r="BR1188" s="87"/>
      <c r="BS1188" s="87"/>
      <c r="BT1188" s="87"/>
      <c r="BU1188" s="87"/>
      <c r="BV1188" s="87"/>
      <c r="BW1188" s="87"/>
      <c r="BX1188" s="87"/>
      <c r="BY1188" s="87"/>
    </row>
    <row r="1189" spans="3:77" x14ac:dyDescent="0.3">
      <c r="C1189" s="90"/>
      <c r="D1189" s="87"/>
      <c r="E1189" s="91"/>
      <c r="F1189" s="92"/>
      <c r="G1189" s="93"/>
      <c r="H1189" s="93"/>
      <c r="I1189" s="93"/>
      <c r="J1189" s="93"/>
      <c r="K1189" s="93"/>
      <c r="L1189" s="93"/>
      <c r="M1189" s="93"/>
      <c r="N1189" s="93"/>
      <c r="O1189" s="93"/>
      <c r="P1189" s="93"/>
      <c r="Q1189" s="93"/>
      <c r="R1189" s="87"/>
      <c r="S1189" s="87"/>
      <c r="T1189" s="87"/>
      <c r="U1189" s="19"/>
      <c r="V1189" s="87"/>
      <c r="W1189" s="87"/>
      <c r="X1189" s="87"/>
      <c r="Y1189" s="87"/>
      <c r="Z1189" s="87"/>
      <c r="AA1189" s="87"/>
      <c r="AB1189" s="87"/>
      <c r="AC1189" s="87"/>
      <c r="AD1189" s="87"/>
      <c r="AE1189" s="87"/>
      <c r="AF1189" s="87"/>
      <c r="AG1189" s="87"/>
      <c r="AH1189" s="87"/>
      <c r="AI1189" s="87"/>
      <c r="AJ1189" s="87"/>
      <c r="AK1189" s="87"/>
      <c r="AL1189" s="87"/>
      <c r="AM1189" s="87"/>
      <c r="AN1189" s="87"/>
      <c r="AO1189" s="87"/>
      <c r="AP1189" s="87"/>
      <c r="AQ1189" s="87"/>
      <c r="AR1189" s="87"/>
      <c r="AS1189" s="87"/>
      <c r="AT1189" s="87"/>
      <c r="AU1189" s="87"/>
      <c r="AV1189" s="87"/>
      <c r="AW1189" s="87"/>
      <c r="AX1189" s="87"/>
      <c r="AY1189" s="87"/>
      <c r="AZ1189" s="87"/>
      <c r="BA1189" s="87"/>
      <c r="BB1189" s="87"/>
      <c r="BC1189" s="87"/>
      <c r="BD1189" s="87"/>
      <c r="BE1189" s="87"/>
      <c r="BF1189" s="87"/>
      <c r="BG1189" s="87"/>
      <c r="BH1189" s="87"/>
      <c r="BI1189" s="87"/>
      <c r="BJ1189" s="87"/>
      <c r="BK1189" s="87"/>
      <c r="BL1189" s="87"/>
      <c r="BM1189" s="87"/>
      <c r="BN1189" s="87"/>
      <c r="BO1189" s="87"/>
      <c r="BP1189" s="87"/>
      <c r="BQ1189" s="87"/>
      <c r="BR1189" s="87"/>
      <c r="BS1189" s="87"/>
      <c r="BT1189" s="87"/>
      <c r="BU1189" s="87"/>
      <c r="BV1189" s="87"/>
      <c r="BW1189" s="87"/>
      <c r="BX1189" s="87"/>
      <c r="BY1189" s="87"/>
    </row>
    <row r="1190" spans="3:77" x14ac:dyDescent="0.3">
      <c r="C1190" s="90"/>
      <c r="D1190" s="87"/>
      <c r="E1190" s="91"/>
      <c r="F1190" s="92"/>
      <c r="G1190" s="93"/>
      <c r="H1190" s="93"/>
      <c r="I1190" s="93"/>
      <c r="J1190" s="93"/>
      <c r="K1190" s="93"/>
      <c r="L1190" s="93"/>
      <c r="M1190" s="93"/>
      <c r="N1190" s="93"/>
      <c r="O1190" s="93"/>
      <c r="P1190" s="93"/>
      <c r="Q1190" s="93"/>
      <c r="R1190" s="87"/>
      <c r="S1190" s="87"/>
      <c r="T1190" s="87"/>
      <c r="U1190" s="19"/>
      <c r="V1190" s="87"/>
      <c r="W1190" s="87"/>
      <c r="X1190" s="87"/>
      <c r="Y1190" s="87"/>
      <c r="Z1190" s="87"/>
      <c r="AA1190" s="87"/>
      <c r="AB1190" s="87"/>
      <c r="AC1190" s="87"/>
      <c r="AD1190" s="87"/>
      <c r="AE1190" s="87"/>
      <c r="AF1190" s="87"/>
      <c r="AG1190" s="87"/>
      <c r="AH1190" s="87"/>
      <c r="AI1190" s="87"/>
      <c r="AJ1190" s="87"/>
      <c r="AK1190" s="87"/>
      <c r="AL1190" s="87"/>
      <c r="AM1190" s="87"/>
      <c r="AN1190" s="87"/>
      <c r="AO1190" s="87"/>
      <c r="AP1190" s="87"/>
      <c r="AQ1190" s="87"/>
      <c r="AR1190" s="87"/>
      <c r="AS1190" s="87"/>
      <c r="AT1190" s="87"/>
      <c r="AU1190" s="87"/>
      <c r="AV1190" s="87"/>
      <c r="AW1190" s="87"/>
      <c r="AX1190" s="87"/>
      <c r="AY1190" s="87"/>
      <c r="AZ1190" s="87"/>
      <c r="BA1190" s="87"/>
      <c r="BB1190" s="87"/>
      <c r="BC1190" s="87"/>
      <c r="BD1190" s="87"/>
      <c r="BE1190" s="87"/>
      <c r="BF1190" s="87"/>
      <c r="BG1190" s="87"/>
      <c r="BH1190" s="87"/>
      <c r="BI1190" s="87"/>
      <c r="BJ1190" s="87"/>
      <c r="BK1190" s="87"/>
      <c r="BL1190" s="87"/>
      <c r="BM1190" s="87"/>
      <c r="BN1190" s="87"/>
      <c r="BO1190" s="87"/>
      <c r="BP1190" s="87"/>
      <c r="BQ1190" s="87"/>
      <c r="BR1190" s="87"/>
      <c r="BS1190" s="87"/>
      <c r="BT1190" s="87"/>
      <c r="BU1190" s="87"/>
      <c r="BV1190" s="87"/>
      <c r="BW1190" s="87"/>
      <c r="BX1190" s="87"/>
      <c r="BY1190" s="87"/>
    </row>
    <row r="1191" spans="3:77" x14ac:dyDescent="0.3">
      <c r="C1191" s="90"/>
      <c r="D1191" s="87"/>
      <c r="E1191" s="91"/>
      <c r="F1191" s="92"/>
      <c r="G1191" s="93"/>
      <c r="H1191" s="93"/>
      <c r="I1191" s="93"/>
      <c r="J1191" s="93"/>
      <c r="K1191" s="93"/>
      <c r="L1191" s="93"/>
      <c r="M1191" s="93"/>
      <c r="N1191" s="93"/>
      <c r="O1191" s="93"/>
      <c r="P1191" s="93"/>
      <c r="Q1191" s="93"/>
      <c r="R1191" s="87"/>
      <c r="S1191" s="87"/>
      <c r="T1191" s="87"/>
      <c r="U1191" s="19"/>
      <c r="V1191" s="87"/>
      <c r="W1191" s="87"/>
      <c r="X1191" s="87"/>
      <c r="Y1191" s="87"/>
      <c r="Z1191" s="87"/>
      <c r="AA1191" s="87"/>
      <c r="AB1191" s="87"/>
      <c r="AC1191" s="87"/>
      <c r="AD1191" s="87"/>
      <c r="AE1191" s="87"/>
      <c r="AF1191" s="87"/>
      <c r="AG1191" s="87"/>
      <c r="AH1191" s="87"/>
      <c r="AI1191" s="87"/>
      <c r="AJ1191" s="87"/>
      <c r="AK1191" s="87"/>
      <c r="AL1191" s="87"/>
      <c r="AM1191" s="87"/>
      <c r="AN1191" s="87"/>
      <c r="AO1191" s="87"/>
      <c r="AP1191" s="87"/>
      <c r="AQ1191" s="87"/>
      <c r="AR1191" s="87"/>
      <c r="AS1191" s="87"/>
      <c r="AT1191" s="87"/>
      <c r="AU1191" s="87"/>
      <c r="AV1191" s="87"/>
      <c r="AW1191" s="87"/>
      <c r="AX1191" s="87"/>
      <c r="AY1191" s="87"/>
      <c r="AZ1191" s="87"/>
      <c r="BA1191" s="87"/>
      <c r="BB1191" s="87"/>
      <c r="BC1191" s="87"/>
      <c r="BD1191" s="87"/>
      <c r="BE1191" s="87"/>
      <c r="BF1191" s="87"/>
      <c r="BG1191" s="87"/>
      <c r="BH1191" s="87"/>
      <c r="BI1191" s="87"/>
      <c r="BJ1191" s="87"/>
      <c r="BK1191" s="87"/>
      <c r="BL1191" s="87"/>
      <c r="BM1191" s="87"/>
      <c r="BN1191" s="87"/>
      <c r="BO1191" s="87"/>
      <c r="BP1191" s="87"/>
      <c r="BQ1191" s="87"/>
      <c r="BR1191" s="87"/>
      <c r="BS1191" s="87"/>
      <c r="BT1191" s="87"/>
      <c r="BU1191" s="87"/>
      <c r="BV1191" s="87"/>
      <c r="BW1191" s="87"/>
      <c r="BX1191" s="87"/>
      <c r="BY1191" s="87"/>
    </row>
    <row r="1192" spans="3:77" x14ac:dyDescent="0.3">
      <c r="C1192" s="87"/>
      <c r="D1192" s="87"/>
      <c r="E1192" s="87"/>
      <c r="F1192" s="87"/>
      <c r="G1192" s="87"/>
      <c r="H1192" s="87"/>
      <c r="I1192" s="87"/>
      <c r="J1192" s="87"/>
      <c r="K1192" s="87"/>
      <c r="L1192" s="87"/>
      <c r="M1192" s="87"/>
      <c r="N1192" s="87"/>
      <c r="O1192" s="87"/>
      <c r="P1192" s="87"/>
      <c r="Q1192" s="87"/>
      <c r="R1192" s="87"/>
      <c r="S1192" s="87"/>
      <c r="T1192" s="87"/>
      <c r="U1192" s="19"/>
      <c r="V1192" s="87"/>
      <c r="W1192" s="87"/>
      <c r="X1192" s="87"/>
      <c r="Y1192" s="87"/>
      <c r="Z1192" s="87"/>
      <c r="AA1192" s="87"/>
      <c r="AB1192" s="87"/>
      <c r="AC1192" s="87"/>
      <c r="AD1192" s="87"/>
      <c r="AE1192" s="87"/>
      <c r="AF1192" s="87"/>
      <c r="AG1192" s="87"/>
      <c r="AH1192" s="87"/>
      <c r="AI1192" s="87"/>
      <c r="AJ1192" s="87"/>
      <c r="AK1192" s="87"/>
      <c r="AL1192" s="87"/>
      <c r="AM1192" s="87"/>
      <c r="AN1192" s="87"/>
      <c r="AO1192" s="87"/>
      <c r="AP1192" s="87"/>
      <c r="AQ1192" s="87"/>
      <c r="AR1192" s="87"/>
      <c r="AS1192" s="87"/>
      <c r="AT1192" s="87"/>
      <c r="AU1192" s="87"/>
      <c r="AV1192" s="87"/>
      <c r="AW1192" s="87"/>
      <c r="AX1192" s="87"/>
      <c r="AY1192" s="87"/>
      <c r="AZ1192" s="87"/>
      <c r="BA1192" s="87"/>
      <c r="BB1192" s="87"/>
      <c r="BC1192" s="87"/>
      <c r="BD1192" s="87"/>
      <c r="BE1192" s="87"/>
      <c r="BF1192" s="87"/>
      <c r="BG1192" s="87"/>
      <c r="BH1192" s="87"/>
      <c r="BI1192" s="87"/>
      <c r="BJ1192" s="87"/>
      <c r="BK1192" s="87"/>
      <c r="BL1192" s="87"/>
      <c r="BM1192" s="87"/>
      <c r="BN1192" s="87"/>
      <c r="BO1192" s="87"/>
      <c r="BP1192" s="87"/>
      <c r="BQ1192" s="87"/>
      <c r="BR1192" s="87"/>
      <c r="BS1192" s="87"/>
      <c r="BT1192" s="87"/>
      <c r="BU1192" s="87"/>
      <c r="BV1192" s="87"/>
      <c r="BW1192" s="87"/>
      <c r="BX1192" s="87"/>
      <c r="BY1192" s="87"/>
    </row>
    <row r="1193" spans="3:77" x14ac:dyDescent="0.3">
      <c r="C1193" s="87"/>
      <c r="D1193" s="87"/>
      <c r="E1193" s="87"/>
      <c r="F1193" s="87"/>
      <c r="G1193" s="87"/>
      <c r="H1193" s="87"/>
      <c r="I1193" s="87"/>
      <c r="J1193" s="87"/>
      <c r="K1193" s="87"/>
      <c r="L1193" s="87"/>
      <c r="M1193" s="87"/>
      <c r="N1193" s="87"/>
      <c r="O1193" s="87"/>
      <c r="P1193" s="87"/>
      <c r="Q1193" s="87"/>
      <c r="R1193" s="87"/>
      <c r="S1193" s="87"/>
      <c r="T1193" s="87"/>
      <c r="U1193" s="19"/>
      <c r="V1193" s="87"/>
      <c r="W1193" s="87"/>
      <c r="X1193" s="87"/>
      <c r="Y1193" s="87"/>
      <c r="Z1193" s="87"/>
      <c r="AA1193" s="87"/>
      <c r="AB1193" s="87"/>
      <c r="AC1193" s="87"/>
      <c r="AD1193" s="87"/>
      <c r="AE1193" s="87"/>
      <c r="AF1193" s="87"/>
      <c r="AG1193" s="87"/>
      <c r="AH1193" s="87"/>
      <c r="AI1193" s="87"/>
      <c r="AJ1193" s="87"/>
      <c r="AK1193" s="87"/>
      <c r="AL1193" s="87"/>
      <c r="AM1193" s="87"/>
      <c r="AN1193" s="87"/>
      <c r="AO1193" s="87"/>
      <c r="AP1193" s="87"/>
      <c r="AQ1193" s="87"/>
      <c r="AR1193" s="87"/>
      <c r="AS1193" s="87"/>
      <c r="AT1193" s="87"/>
      <c r="AU1193" s="87"/>
      <c r="AV1193" s="87"/>
      <c r="AW1193" s="87"/>
      <c r="AX1193" s="87"/>
      <c r="AY1193" s="87"/>
      <c r="AZ1193" s="87"/>
      <c r="BA1193" s="87"/>
      <c r="BB1193" s="87"/>
      <c r="BC1193" s="87"/>
      <c r="BD1193" s="87"/>
      <c r="BE1193" s="87"/>
      <c r="BF1193" s="87"/>
      <c r="BG1193" s="87"/>
      <c r="BH1193" s="87"/>
      <c r="BI1193" s="87"/>
      <c r="BJ1193" s="87"/>
      <c r="BK1193" s="87"/>
      <c r="BL1193" s="87"/>
      <c r="BM1193" s="87"/>
      <c r="BN1193" s="87"/>
      <c r="BO1193" s="87"/>
      <c r="BP1193" s="87"/>
      <c r="BQ1193" s="87"/>
      <c r="BR1193" s="87"/>
      <c r="BS1193" s="87"/>
      <c r="BT1193" s="87"/>
      <c r="BU1193" s="87"/>
      <c r="BV1193" s="87"/>
      <c r="BW1193" s="87"/>
      <c r="BX1193" s="87"/>
      <c r="BY1193" s="87"/>
    </row>
    <row r="1194" spans="3:77" x14ac:dyDescent="0.3">
      <c r="C1194" s="87"/>
      <c r="D1194" s="87"/>
      <c r="E1194" s="87"/>
      <c r="F1194" s="87"/>
      <c r="G1194" s="87"/>
      <c r="H1194" s="87"/>
      <c r="I1194" s="87"/>
      <c r="J1194" s="87"/>
      <c r="K1194" s="87"/>
      <c r="L1194" s="87"/>
      <c r="M1194" s="87"/>
      <c r="N1194" s="87"/>
      <c r="O1194" s="87"/>
      <c r="P1194" s="87"/>
      <c r="Q1194" s="87"/>
      <c r="R1194" s="87"/>
      <c r="S1194" s="87"/>
      <c r="T1194" s="87"/>
      <c r="U1194" s="19"/>
      <c r="V1194" s="87"/>
      <c r="W1194" s="87"/>
      <c r="X1194" s="87"/>
      <c r="Y1194" s="87"/>
      <c r="Z1194" s="87"/>
      <c r="AA1194" s="87"/>
      <c r="AB1194" s="87"/>
      <c r="AC1194" s="87"/>
      <c r="AD1194" s="87"/>
      <c r="AE1194" s="87"/>
      <c r="AF1194" s="87"/>
      <c r="AG1194" s="87"/>
      <c r="AH1194" s="87"/>
      <c r="AI1194" s="87"/>
      <c r="AJ1194" s="87"/>
      <c r="AK1194" s="87"/>
      <c r="AL1194" s="87"/>
      <c r="AM1194" s="87"/>
      <c r="AN1194" s="87"/>
      <c r="AO1194" s="87"/>
      <c r="AP1194" s="87"/>
      <c r="AQ1194" s="87"/>
      <c r="AR1194" s="87"/>
      <c r="AS1194" s="87"/>
      <c r="AT1194" s="87"/>
      <c r="AU1194" s="87"/>
      <c r="AV1194" s="87"/>
      <c r="AW1194" s="87"/>
      <c r="AX1194" s="87"/>
      <c r="AY1194" s="87"/>
      <c r="AZ1194" s="87"/>
      <c r="BA1194" s="87"/>
      <c r="BB1194" s="87"/>
      <c r="BC1194" s="87"/>
      <c r="BD1194" s="87"/>
      <c r="BE1194" s="87"/>
      <c r="BF1194" s="87"/>
      <c r="BG1194" s="87"/>
      <c r="BH1194" s="87"/>
      <c r="BI1194" s="87"/>
      <c r="BJ1194" s="87"/>
      <c r="BK1194" s="87"/>
      <c r="BL1194" s="87"/>
      <c r="BM1194" s="87"/>
      <c r="BN1194" s="87"/>
      <c r="BO1194" s="87"/>
      <c r="BP1194" s="87"/>
      <c r="BQ1194" s="87"/>
      <c r="BR1194" s="87"/>
      <c r="BS1194" s="87"/>
      <c r="BT1194" s="87"/>
      <c r="BU1194" s="87"/>
      <c r="BV1194" s="87"/>
      <c r="BW1194" s="87"/>
      <c r="BX1194" s="87"/>
      <c r="BY1194" s="87"/>
    </row>
    <row r="1195" spans="3:77" x14ac:dyDescent="0.3">
      <c r="C1195" s="87"/>
      <c r="D1195" s="87"/>
      <c r="E1195" s="87"/>
      <c r="F1195" s="87"/>
      <c r="G1195" s="87"/>
      <c r="H1195" s="87"/>
      <c r="I1195" s="87"/>
      <c r="J1195" s="87"/>
      <c r="K1195" s="87"/>
      <c r="L1195" s="87"/>
      <c r="M1195" s="87"/>
      <c r="N1195" s="87"/>
      <c r="O1195" s="87"/>
      <c r="P1195" s="87"/>
      <c r="Q1195" s="87"/>
      <c r="R1195" s="87"/>
      <c r="S1195" s="87"/>
      <c r="T1195" s="87"/>
      <c r="U1195" s="19"/>
      <c r="V1195" s="87"/>
      <c r="W1195" s="87"/>
      <c r="X1195" s="87"/>
      <c r="Y1195" s="87"/>
      <c r="Z1195" s="87"/>
      <c r="AA1195" s="87"/>
      <c r="AB1195" s="87"/>
      <c r="AC1195" s="87"/>
      <c r="AD1195" s="87"/>
      <c r="AE1195" s="87"/>
      <c r="AF1195" s="87"/>
      <c r="AG1195" s="87"/>
      <c r="AH1195" s="87"/>
      <c r="AI1195" s="87"/>
      <c r="AJ1195" s="87"/>
      <c r="AK1195" s="87"/>
      <c r="AL1195" s="87"/>
      <c r="AM1195" s="87"/>
      <c r="AN1195" s="87"/>
      <c r="AO1195" s="87"/>
      <c r="AP1195" s="87"/>
      <c r="AQ1195" s="87"/>
      <c r="AR1195" s="87"/>
      <c r="AS1195" s="87"/>
      <c r="AT1195" s="87"/>
      <c r="AU1195" s="87"/>
      <c r="AV1195" s="87"/>
      <c r="AW1195" s="87"/>
      <c r="AX1195" s="87"/>
      <c r="AY1195" s="87"/>
      <c r="AZ1195" s="87"/>
      <c r="BA1195" s="87"/>
      <c r="BB1195" s="87"/>
      <c r="BC1195" s="87"/>
      <c r="BD1195" s="87"/>
      <c r="BE1195" s="87"/>
      <c r="BF1195" s="87"/>
      <c r="BG1195" s="87"/>
      <c r="BH1195" s="87"/>
      <c r="BI1195" s="87"/>
      <c r="BJ1195" s="87"/>
      <c r="BK1195" s="87"/>
      <c r="BL1195" s="87"/>
      <c r="BM1195" s="87"/>
      <c r="BN1195" s="87"/>
      <c r="BO1195" s="87"/>
      <c r="BP1195" s="87"/>
      <c r="BQ1195" s="87"/>
      <c r="BR1195" s="87"/>
      <c r="BS1195" s="87"/>
      <c r="BT1195" s="87"/>
      <c r="BU1195" s="87"/>
      <c r="BV1195" s="87"/>
      <c r="BW1195" s="87"/>
      <c r="BX1195" s="87"/>
      <c r="BY1195" s="87"/>
    </row>
    <row r="1196" spans="3:77" x14ac:dyDescent="0.3">
      <c r="C1196" s="87"/>
      <c r="D1196" s="87"/>
      <c r="E1196" s="87"/>
      <c r="F1196" s="87"/>
      <c r="G1196" s="87"/>
      <c r="H1196" s="87"/>
      <c r="I1196" s="87"/>
      <c r="J1196" s="87"/>
      <c r="K1196" s="87"/>
      <c r="L1196" s="87"/>
      <c r="M1196" s="87"/>
      <c r="N1196" s="87"/>
      <c r="O1196" s="87"/>
      <c r="P1196" s="87"/>
      <c r="Q1196" s="87"/>
      <c r="R1196" s="87"/>
      <c r="S1196" s="87"/>
      <c r="T1196" s="87"/>
      <c r="U1196" s="19"/>
      <c r="V1196" s="87"/>
      <c r="W1196" s="87"/>
      <c r="X1196" s="87"/>
      <c r="Y1196" s="87"/>
      <c r="Z1196" s="87"/>
      <c r="AA1196" s="87"/>
      <c r="AB1196" s="87"/>
      <c r="AC1196" s="87"/>
      <c r="AD1196" s="87"/>
      <c r="AE1196" s="87"/>
      <c r="AF1196" s="87"/>
      <c r="AG1196" s="87"/>
      <c r="AH1196" s="87"/>
      <c r="AI1196" s="87"/>
      <c r="AJ1196" s="87"/>
      <c r="AK1196" s="87"/>
      <c r="AL1196" s="87"/>
      <c r="AM1196" s="87"/>
      <c r="AN1196" s="87"/>
      <c r="AO1196" s="87"/>
      <c r="AP1196" s="87"/>
      <c r="AQ1196" s="87"/>
      <c r="AR1196" s="87"/>
      <c r="AS1196" s="87"/>
      <c r="AT1196" s="87"/>
      <c r="AU1196" s="87"/>
      <c r="AV1196" s="87"/>
      <c r="AW1196" s="87"/>
      <c r="AX1196" s="87"/>
      <c r="AY1196" s="87"/>
      <c r="AZ1196" s="87"/>
      <c r="BA1196" s="87"/>
      <c r="BB1196" s="87"/>
      <c r="BC1196" s="87"/>
      <c r="BD1196" s="87"/>
      <c r="BE1196" s="87"/>
      <c r="BF1196" s="87"/>
      <c r="BG1196" s="87"/>
      <c r="BH1196" s="87"/>
      <c r="BI1196" s="87"/>
      <c r="BJ1196" s="87"/>
      <c r="BK1196" s="87"/>
      <c r="BL1196" s="87"/>
      <c r="BM1196" s="87"/>
      <c r="BN1196" s="87"/>
      <c r="BO1196" s="87"/>
      <c r="BP1196" s="87"/>
      <c r="BQ1196" s="87"/>
      <c r="BR1196" s="87"/>
      <c r="BS1196" s="87"/>
      <c r="BT1196" s="87"/>
      <c r="BU1196" s="87"/>
      <c r="BV1196" s="87"/>
      <c r="BW1196" s="87"/>
      <c r="BX1196" s="87"/>
      <c r="BY1196" s="87"/>
    </row>
    <row r="1197" spans="3:77" x14ac:dyDescent="0.3">
      <c r="C1197" s="87"/>
      <c r="D1197" s="87"/>
      <c r="E1197" s="87"/>
      <c r="F1197" s="87"/>
      <c r="G1197" s="87"/>
      <c r="H1197" s="87"/>
      <c r="I1197" s="87"/>
      <c r="J1197" s="87"/>
      <c r="K1197" s="87"/>
      <c r="L1197" s="87"/>
      <c r="M1197" s="87"/>
      <c r="N1197" s="87"/>
      <c r="O1197" s="87"/>
      <c r="P1197" s="87"/>
      <c r="Q1197" s="87"/>
      <c r="R1197" s="87"/>
      <c r="S1197" s="87"/>
      <c r="T1197" s="87"/>
      <c r="U1197" s="19"/>
      <c r="V1197" s="87"/>
      <c r="W1197" s="87"/>
      <c r="X1197" s="87"/>
      <c r="Y1197" s="87"/>
      <c r="Z1197" s="87"/>
      <c r="AA1197" s="87"/>
      <c r="AB1197" s="87"/>
      <c r="AC1197" s="87"/>
      <c r="AD1197" s="87"/>
      <c r="AE1197" s="87"/>
      <c r="AF1197" s="87"/>
      <c r="AG1197" s="87"/>
      <c r="AH1197" s="87"/>
      <c r="AI1197" s="87"/>
      <c r="AJ1197" s="87"/>
      <c r="AK1197" s="87"/>
      <c r="AL1197" s="87"/>
      <c r="AM1197" s="87"/>
      <c r="AN1197" s="87"/>
      <c r="AO1197" s="87"/>
      <c r="AP1197" s="87"/>
      <c r="AQ1197" s="87"/>
      <c r="AR1197" s="87"/>
      <c r="AS1197" s="87"/>
      <c r="AT1197" s="87"/>
      <c r="AU1197" s="87"/>
      <c r="AV1197" s="87"/>
      <c r="AW1197" s="87"/>
      <c r="AX1197" s="87"/>
      <c r="AY1197" s="87"/>
      <c r="AZ1197" s="87"/>
      <c r="BA1197" s="87"/>
      <c r="BB1197" s="87"/>
      <c r="BC1197" s="87"/>
      <c r="BD1197" s="87"/>
      <c r="BE1197" s="87"/>
      <c r="BF1197" s="87"/>
      <c r="BG1197" s="87"/>
      <c r="BH1197" s="87"/>
      <c r="BI1197" s="87"/>
      <c r="BJ1197" s="87"/>
      <c r="BK1197" s="87"/>
      <c r="BL1197" s="87"/>
      <c r="BM1197" s="87"/>
      <c r="BN1197" s="87"/>
      <c r="BO1197" s="87"/>
      <c r="BP1197" s="87"/>
      <c r="BQ1197" s="87"/>
      <c r="BR1197" s="87"/>
      <c r="BS1197" s="87"/>
      <c r="BT1197" s="87"/>
      <c r="BU1197" s="87"/>
      <c r="BV1197" s="87"/>
      <c r="BW1197" s="87"/>
      <c r="BX1197" s="87"/>
      <c r="BY1197" s="87"/>
    </row>
    <row r="1198" spans="3:77" x14ac:dyDescent="0.3">
      <c r="C1198" s="87"/>
      <c r="D1198" s="87"/>
      <c r="E1198" s="87"/>
      <c r="F1198" s="87"/>
      <c r="G1198" s="87"/>
      <c r="H1198" s="87"/>
      <c r="I1198" s="87"/>
      <c r="J1198" s="87"/>
      <c r="K1198" s="87"/>
      <c r="L1198" s="87"/>
      <c r="M1198" s="87"/>
      <c r="N1198" s="87"/>
      <c r="O1198" s="87"/>
      <c r="P1198" s="87"/>
      <c r="Q1198" s="87"/>
      <c r="R1198" s="87"/>
      <c r="S1198" s="87"/>
      <c r="T1198" s="87"/>
      <c r="U1198" s="19"/>
      <c r="V1198" s="87"/>
      <c r="W1198" s="87"/>
      <c r="X1198" s="87"/>
      <c r="Y1198" s="87"/>
      <c r="Z1198" s="87"/>
      <c r="AA1198" s="87"/>
      <c r="AB1198" s="87"/>
      <c r="AC1198" s="87"/>
      <c r="AD1198" s="87"/>
      <c r="AE1198" s="87"/>
      <c r="AF1198" s="87"/>
      <c r="AG1198" s="87"/>
      <c r="AH1198" s="87"/>
      <c r="AI1198" s="87"/>
      <c r="AJ1198" s="87"/>
      <c r="AK1198" s="87"/>
      <c r="AL1198" s="87"/>
      <c r="AM1198" s="87"/>
      <c r="AN1198" s="87"/>
      <c r="AO1198" s="87"/>
      <c r="AP1198" s="87"/>
      <c r="AQ1198" s="87"/>
      <c r="AR1198" s="87"/>
      <c r="AS1198" s="87"/>
      <c r="AT1198" s="87"/>
      <c r="AU1198" s="87"/>
      <c r="AV1198" s="87"/>
      <c r="AW1198" s="87"/>
      <c r="AX1198" s="87"/>
      <c r="AY1198" s="87"/>
      <c r="AZ1198" s="87"/>
      <c r="BA1198" s="87"/>
      <c r="BB1198" s="87"/>
      <c r="BC1198" s="87"/>
      <c r="BD1198" s="87"/>
      <c r="BE1198" s="87"/>
      <c r="BF1198" s="87"/>
      <c r="BG1198" s="87"/>
      <c r="BH1198" s="87"/>
      <c r="BI1198" s="87"/>
      <c r="BJ1198" s="87"/>
      <c r="BK1198" s="87"/>
      <c r="BL1198" s="87"/>
      <c r="BM1198" s="87"/>
      <c r="BN1198" s="87"/>
      <c r="BO1198" s="87"/>
      <c r="BP1198" s="87"/>
      <c r="BQ1198" s="87"/>
      <c r="BR1198" s="87"/>
      <c r="BS1198" s="87"/>
      <c r="BT1198" s="87"/>
      <c r="BU1198" s="87"/>
      <c r="BV1198" s="87"/>
      <c r="BW1198" s="87"/>
      <c r="BX1198" s="87"/>
      <c r="BY1198" s="87"/>
    </row>
    <row r="1199" spans="3:77" x14ac:dyDescent="0.3">
      <c r="C1199" s="87"/>
      <c r="D1199" s="87"/>
      <c r="E1199" s="87"/>
      <c r="F1199" s="87"/>
      <c r="G1199" s="87"/>
      <c r="H1199" s="87"/>
      <c r="I1199" s="87"/>
      <c r="J1199" s="87"/>
      <c r="K1199" s="87"/>
      <c r="L1199" s="87"/>
      <c r="M1199" s="87"/>
      <c r="N1199" s="87"/>
      <c r="O1199" s="87"/>
      <c r="P1199" s="87"/>
      <c r="Q1199" s="87"/>
      <c r="R1199" s="87"/>
      <c r="S1199" s="87"/>
      <c r="T1199" s="87"/>
      <c r="U1199" s="19"/>
      <c r="V1199" s="87"/>
      <c r="W1199" s="87"/>
      <c r="X1199" s="87"/>
      <c r="Y1199" s="87"/>
      <c r="Z1199" s="87"/>
      <c r="AA1199" s="87"/>
      <c r="AB1199" s="87"/>
      <c r="AC1199" s="87"/>
      <c r="AD1199" s="87"/>
      <c r="AE1199" s="87"/>
      <c r="AF1199" s="87"/>
      <c r="AG1199" s="87"/>
      <c r="AH1199" s="87"/>
      <c r="AI1199" s="87"/>
      <c r="AJ1199" s="87"/>
      <c r="AK1199" s="87"/>
      <c r="AL1199" s="87"/>
      <c r="AM1199" s="87"/>
      <c r="AN1199" s="87"/>
      <c r="AO1199" s="87"/>
      <c r="AP1199" s="87"/>
      <c r="AQ1199" s="87"/>
      <c r="AR1199" s="87"/>
      <c r="AS1199" s="87"/>
      <c r="AT1199" s="87"/>
      <c r="AU1199" s="87"/>
      <c r="AV1199" s="87"/>
      <c r="AW1199" s="87"/>
      <c r="AX1199" s="87"/>
      <c r="AY1199" s="87"/>
      <c r="AZ1199" s="87"/>
      <c r="BA1199" s="87"/>
      <c r="BB1199" s="87"/>
      <c r="BC1199" s="87"/>
      <c r="BD1199" s="87"/>
      <c r="BE1199" s="87"/>
      <c r="BF1199" s="87"/>
      <c r="BG1199" s="87"/>
      <c r="BH1199" s="87"/>
      <c r="BI1199" s="87"/>
      <c r="BJ1199" s="87"/>
      <c r="BK1199" s="87"/>
      <c r="BL1199" s="87"/>
      <c r="BM1199" s="87"/>
      <c r="BN1199" s="87"/>
      <c r="BO1199" s="87"/>
      <c r="BP1199" s="87"/>
      <c r="BQ1199" s="87"/>
      <c r="BR1199" s="87"/>
      <c r="BS1199" s="87"/>
      <c r="BT1199" s="87"/>
      <c r="BU1199" s="87"/>
      <c r="BV1199" s="87"/>
      <c r="BW1199" s="87"/>
      <c r="BX1199" s="87"/>
      <c r="BY1199" s="87"/>
    </row>
    <row r="1200" spans="3:77" x14ac:dyDescent="0.3">
      <c r="C1200" s="87"/>
      <c r="D1200" s="87"/>
      <c r="E1200" s="87"/>
      <c r="F1200" s="87"/>
      <c r="G1200" s="87"/>
      <c r="H1200" s="87"/>
      <c r="I1200" s="87"/>
      <c r="J1200" s="87"/>
      <c r="K1200" s="87"/>
      <c r="L1200" s="87"/>
      <c r="M1200" s="87"/>
      <c r="N1200" s="87"/>
      <c r="O1200" s="87"/>
      <c r="P1200" s="87"/>
      <c r="Q1200" s="87"/>
      <c r="R1200" s="87"/>
      <c r="S1200" s="87"/>
      <c r="T1200" s="87"/>
      <c r="U1200" s="19"/>
      <c r="V1200" s="87"/>
      <c r="W1200" s="87"/>
      <c r="X1200" s="87"/>
      <c r="Y1200" s="87"/>
      <c r="Z1200" s="87"/>
      <c r="AA1200" s="87"/>
      <c r="AB1200" s="87"/>
      <c r="AC1200" s="87"/>
      <c r="AD1200" s="87"/>
      <c r="AE1200" s="87"/>
      <c r="AF1200" s="87"/>
      <c r="AG1200" s="87"/>
      <c r="AH1200" s="87"/>
      <c r="AI1200" s="87"/>
      <c r="AJ1200" s="87"/>
      <c r="AK1200" s="87"/>
      <c r="AL1200" s="87"/>
      <c r="AM1200" s="87"/>
      <c r="AN1200" s="87"/>
      <c r="AO1200" s="87"/>
      <c r="AP1200" s="87"/>
      <c r="AQ1200" s="87"/>
      <c r="AR1200" s="87"/>
      <c r="AS1200" s="87"/>
      <c r="AT1200" s="87"/>
      <c r="AU1200" s="87"/>
      <c r="AV1200" s="87"/>
      <c r="AW1200" s="87"/>
      <c r="AX1200" s="87"/>
      <c r="AY1200" s="87"/>
      <c r="AZ1200" s="87"/>
      <c r="BA1200" s="87"/>
      <c r="BB1200" s="87"/>
      <c r="BC1200" s="87"/>
      <c r="BD1200" s="87"/>
      <c r="BE1200" s="87"/>
      <c r="BF1200" s="87"/>
      <c r="BG1200" s="87"/>
      <c r="BH1200" s="87"/>
      <c r="BI1200" s="87"/>
      <c r="BJ1200" s="87"/>
      <c r="BK1200" s="87"/>
      <c r="BL1200" s="87"/>
      <c r="BM1200" s="87"/>
      <c r="BN1200" s="87"/>
      <c r="BO1200" s="87"/>
      <c r="BP1200" s="87"/>
      <c r="BQ1200" s="87"/>
      <c r="BR1200" s="87"/>
      <c r="BS1200" s="87"/>
      <c r="BT1200" s="87"/>
      <c r="BU1200" s="87"/>
      <c r="BV1200" s="87"/>
      <c r="BW1200" s="87"/>
      <c r="BX1200" s="87"/>
      <c r="BY1200" s="87"/>
    </row>
    <row r="1201" spans="21:77" x14ac:dyDescent="0.3">
      <c r="U1201" s="19"/>
      <c r="V1201" s="87"/>
      <c r="W1201" s="87"/>
      <c r="X1201" s="87"/>
      <c r="Y1201" s="87"/>
      <c r="Z1201" s="87"/>
      <c r="AA1201" s="87"/>
      <c r="AB1201" s="87"/>
      <c r="AC1201" s="87"/>
      <c r="AD1201" s="87"/>
      <c r="AE1201" s="87"/>
      <c r="AF1201" s="87"/>
      <c r="AG1201" s="87"/>
      <c r="AH1201" s="87"/>
      <c r="AI1201" s="87"/>
      <c r="AJ1201" s="87"/>
      <c r="AK1201" s="87"/>
      <c r="AL1201" s="87"/>
      <c r="AM1201" s="87"/>
      <c r="AN1201" s="87"/>
      <c r="AO1201" s="87"/>
      <c r="AP1201" s="87"/>
      <c r="AQ1201" s="87"/>
      <c r="AR1201" s="87"/>
      <c r="AS1201" s="87"/>
      <c r="AT1201" s="87"/>
      <c r="AU1201" s="87"/>
      <c r="AV1201" s="87"/>
      <c r="AW1201" s="87"/>
      <c r="AX1201" s="87"/>
      <c r="AY1201" s="87"/>
      <c r="AZ1201" s="87"/>
      <c r="BA1201" s="87"/>
      <c r="BB1201" s="87"/>
      <c r="BC1201" s="87"/>
      <c r="BD1201" s="87"/>
      <c r="BE1201" s="87"/>
      <c r="BF1201" s="87"/>
      <c r="BG1201" s="87"/>
      <c r="BH1201" s="87"/>
      <c r="BI1201" s="87"/>
      <c r="BJ1201" s="87"/>
      <c r="BK1201" s="87"/>
      <c r="BL1201" s="87"/>
      <c r="BM1201" s="87"/>
      <c r="BN1201" s="87"/>
      <c r="BO1201" s="87"/>
      <c r="BP1201" s="87"/>
      <c r="BQ1201" s="87"/>
      <c r="BR1201" s="87"/>
      <c r="BS1201" s="87"/>
      <c r="BT1201" s="87"/>
      <c r="BU1201" s="87"/>
      <c r="BV1201" s="87"/>
      <c r="BW1201" s="87"/>
      <c r="BX1201" s="87"/>
      <c r="BY1201" s="87"/>
    </row>
    <row r="1202" spans="21:77" x14ac:dyDescent="0.3">
      <c r="U1202" s="19"/>
      <c r="V1202" s="87"/>
      <c r="W1202" s="87"/>
      <c r="X1202" s="87"/>
      <c r="Y1202" s="87"/>
      <c r="Z1202" s="87"/>
      <c r="AA1202" s="87"/>
      <c r="AB1202" s="87"/>
      <c r="AC1202" s="87"/>
      <c r="AD1202" s="87"/>
      <c r="AE1202" s="87"/>
      <c r="AF1202" s="87"/>
      <c r="AG1202" s="87"/>
      <c r="AH1202" s="87"/>
      <c r="AI1202" s="87"/>
      <c r="AJ1202" s="87"/>
      <c r="AK1202" s="87"/>
      <c r="AL1202" s="87"/>
      <c r="AM1202" s="87"/>
      <c r="AN1202" s="87"/>
      <c r="AO1202" s="87"/>
      <c r="AP1202" s="87"/>
      <c r="AQ1202" s="87"/>
      <c r="AR1202" s="87"/>
      <c r="AS1202" s="87"/>
      <c r="AT1202" s="87"/>
      <c r="AU1202" s="87"/>
      <c r="AV1202" s="87"/>
      <c r="AW1202" s="87"/>
      <c r="AX1202" s="87"/>
      <c r="AY1202" s="87"/>
      <c r="AZ1202" s="87"/>
      <c r="BA1202" s="87"/>
      <c r="BB1202" s="87"/>
      <c r="BC1202" s="87"/>
      <c r="BD1202" s="87"/>
      <c r="BE1202" s="87"/>
      <c r="BF1202" s="87"/>
      <c r="BG1202" s="87"/>
      <c r="BH1202" s="87"/>
      <c r="BI1202" s="87"/>
      <c r="BJ1202" s="87"/>
      <c r="BK1202" s="87"/>
      <c r="BL1202" s="87"/>
      <c r="BM1202" s="87"/>
      <c r="BN1202" s="87"/>
      <c r="BO1202" s="87"/>
      <c r="BP1202" s="87"/>
      <c r="BQ1202" s="87"/>
      <c r="BR1202" s="87"/>
      <c r="BS1202" s="87"/>
      <c r="BT1202" s="87"/>
      <c r="BU1202" s="87"/>
      <c r="BV1202" s="87"/>
      <c r="BW1202" s="87"/>
      <c r="BX1202" s="87"/>
      <c r="BY1202" s="87"/>
    </row>
    <row r="1203" spans="21:77" x14ac:dyDescent="0.3">
      <c r="U1203" s="19"/>
      <c r="V1203" s="87"/>
      <c r="W1203" s="87"/>
      <c r="X1203" s="87"/>
      <c r="Y1203" s="87"/>
      <c r="Z1203" s="87"/>
      <c r="AA1203" s="87"/>
      <c r="AB1203" s="87"/>
      <c r="AC1203" s="87"/>
      <c r="AD1203" s="87"/>
      <c r="AE1203" s="87"/>
      <c r="AF1203" s="87"/>
      <c r="AG1203" s="87"/>
      <c r="AH1203" s="87"/>
      <c r="AI1203" s="87"/>
      <c r="AJ1203" s="87"/>
      <c r="AK1203" s="87"/>
      <c r="AL1203" s="87"/>
      <c r="AM1203" s="87"/>
      <c r="AN1203" s="87"/>
      <c r="AO1203" s="87"/>
      <c r="AP1203" s="87"/>
      <c r="AQ1203" s="87"/>
      <c r="AR1203" s="87"/>
      <c r="AS1203" s="87"/>
      <c r="AT1203" s="87"/>
      <c r="AU1203" s="87"/>
      <c r="AV1203" s="87"/>
      <c r="AW1203" s="87"/>
      <c r="AX1203" s="87"/>
      <c r="AY1203" s="87"/>
      <c r="AZ1203" s="87"/>
      <c r="BA1203" s="87"/>
      <c r="BB1203" s="87"/>
      <c r="BC1203" s="87"/>
      <c r="BD1203" s="87"/>
      <c r="BE1203" s="87"/>
      <c r="BF1203" s="87"/>
      <c r="BG1203" s="87"/>
      <c r="BH1203" s="87"/>
      <c r="BI1203" s="87"/>
      <c r="BJ1203" s="87"/>
      <c r="BK1203" s="87"/>
      <c r="BL1203" s="87"/>
      <c r="BM1203" s="87"/>
      <c r="BN1203" s="87"/>
      <c r="BO1203" s="87"/>
      <c r="BP1203" s="87"/>
      <c r="BQ1203" s="87"/>
      <c r="BR1203" s="87"/>
      <c r="BS1203" s="87"/>
      <c r="BT1203" s="87"/>
      <c r="BU1203" s="87"/>
      <c r="BV1203" s="87"/>
      <c r="BW1203" s="87"/>
      <c r="BX1203" s="87"/>
      <c r="BY1203" s="87"/>
    </row>
    <row r="1204" spans="21:77" x14ac:dyDescent="0.3">
      <c r="U1204" s="19"/>
      <c r="V1204" s="87"/>
      <c r="W1204" s="87"/>
      <c r="X1204" s="87"/>
      <c r="Y1204" s="87"/>
      <c r="Z1204" s="87"/>
      <c r="AA1204" s="87"/>
      <c r="AB1204" s="87"/>
      <c r="AC1204" s="87"/>
      <c r="AD1204" s="87"/>
      <c r="AE1204" s="87"/>
      <c r="AF1204" s="87"/>
      <c r="AG1204" s="87"/>
      <c r="AH1204" s="87"/>
      <c r="AI1204" s="87"/>
      <c r="AJ1204" s="87"/>
      <c r="AK1204" s="87"/>
      <c r="AL1204" s="87"/>
      <c r="AM1204" s="87"/>
      <c r="AN1204" s="87"/>
      <c r="AO1204" s="87"/>
      <c r="AP1204" s="87"/>
      <c r="AQ1204" s="87"/>
      <c r="AR1204" s="87"/>
      <c r="AS1204" s="87"/>
      <c r="AT1204" s="87"/>
      <c r="AU1204" s="87"/>
      <c r="AV1204" s="87"/>
      <c r="AW1204" s="87"/>
      <c r="AX1204" s="87"/>
      <c r="AY1204" s="87"/>
      <c r="AZ1204" s="87"/>
      <c r="BA1204" s="87"/>
      <c r="BB1204" s="87"/>
      <c r="BC1204" s="87"/>
      <c r="BD1204" s="87"/>
      <c r="BE1204" s="87"/>
      <c r="BF1204" s="87"/>
      <c r="BG1204" s="87"/>
      <c r="BH1204" s="87"/>
      <c r="BI1204" s="87"/>
      <c r="BJ1204" s="87"/>
      <c r="BK1204" s="87"/>
      <c r="BL1204" s="87"/>
      <c r="BM1204" s="87"/>
      <c r="BN1204" s="87"/>
      <c r="BO1204" s="87"/>
      <c r="BP1204" s="87"/>
      <c r="BQ1204" s="87"/>
      <c r="BR1204" s="87"/>
      <c r="BS1204" s="87"/>
      <c r="BT1204" s="87"/>
      <c r="BU1204" s="87"/>
      <c r="BV1204" s="87"/>
      <c r="BW1204" s="87"/>
      <c r="BX1204" s="87"/>
      <c r="BY1204" s="87"/>
    </row>
    <row r="1205" spans="21:77" x14ac:dyDescent="0.3">
      <c r="U1205" s="19"/>
      <c r="V1205" s="87"/>
      <c r="W1205" s="87"/>
      <c r="X1205" s="87"/>
      <c r="Y1205" s="87"/>
      <c r="Z1205" s="87"/>
      <c r="AA1205" s="87"/>
      <c r="AB1205" s="87"/>
      <c r="AC1205" s="87"/>
      <c r="AD1205" s="87"/>
      <c r="AE1205" s="87"/>
      <c r="AF1205" s="87"/>
      <c r="AG1205" s="87"/>
      <c r="AH1205" s="87"/>
      <c r="AI1205" s="87"/>
      <c r="AJ1205" s="87"/>
      <c r="AK1205" s="87"/>
      <c r="AL1205" s="87"/>
      <c r="AM1205" s="87"/>
      <c r="AN1205" s="87"/>
      <c r="AO1205" s="87"/>
      <c r="AP1205" s="87"/>
      <c r="AQ1205" s="87"/>
      <c r="AR1205" s="87"/>
      <c r="AS1205" s="87"/>
      <c r="AT1205" s="87"/>
      <c r="AU1205" s="87"/>
      <c r="AV1205" s="87"/>
      <c r="AW1205" s="87"/>
      <c r="AX1205" s="87"/>
      <c r="AY1205" s="87"/>
      <c r="AZ1205" s="87"/>
      <c r="BA1205" s="87"/>
      <c r="BB1205" s="87"/>
      <c r="BC1205" s="87"/>
      <c r="BD1205" s="87"/>
      <c r="BE1205" s="87"/>
      <c r="BF1205" s="87"/>
      <c r="BG1205" s="87"/>
      <c r="BH1205" s="87"/>
      <c r="BI1205" s="87"/>
      <c r="BJ1205" s="87"/>
      <c r="BK1205" s="87"/>
      <c r="BL1205" s="87"/>
      <c r="BM1205" s="87"/>
      <c r="BN1205" s="87"/>
      <c r="BO1205" s="87"/>
      <c r="BP1205" s="87"/>
      <c r="BQ1205" s="87"/>
      <c r="BR1205" s="87"/>
      <c r="BS1205" s="87"/>
      <c r="BT1205" s="87"/>
      <c r="BU1205" s="87"/>
      <c r="BV1205" s="87"/>
      <c r="BW1205" s="87"/>
      <c r="BX1205" s="87"/>
      <c r="BY1205" s="87"/>
    </row>
    <row r="1206" spans="21:77" x14ac:dyDescent="0.3">
      <c r="U1206" s="19"/>
      <c r="V1206" s="87"/>
      <c r="W1206" s="87"/>
      <c r="X1206" s="87"/>
      <c r="Y1206" s="87"/>
      <c r="Z1206" s="87"/>
      <c r="AA1206" s="87"/>
      <c r="AB1206" s="87"/>
      <c r="AC1206" s="87"/>
      <c r="AD1206" s="87"/>
      <c r="AE1206" s="87"/>
      <c r="AF1206" s="87"/>
      <c r="AG1206" s="87"/>
      <c r="AH1206" s="87"/>
      <c r="AI1206" s="87"/>
      <c r="AJ1206" s="87"/>
      <c r="AK1206" s="87"/>
      <c r="AL1206" s="87"/>
      <c r="AM1206" s="87"/>
      <c r="AN1206" s="87"/>
      <c r="AO1206" s="87"/>
      <c r="AP1206" s="87"/>
      <c r="AQ1206" s="87"/>
      <c r="AR1206" s="87"/>
      <c r="AS1206" s="87"/>
      <c r="AT1206" s="87"/>
      <c r="AU1206" s="87"/>
      <c r="AV1206" s="87"/>
      <c r="AW1206" s="87"/>
      <c r="AX1206" s="87"/>
      <c r="AY1206" s="87"/>
      <c r="AZ1206" s="87"/>
      <c r="BA1206" s="87"/>
      <c r="BB1206" s="87"/>
      <c r="BC1206" s="87"/>
      <c r="BD1206" s="87"/>
      <c r="BE1206" s="87"/>
      <c r="BF1206" s="87"/>
      <c r="BG1206" s="87"/>
      <c r="BH1206" s="87"/>
      <c r="BI1206" s="87"/>
      <c r="BJ1206" s="87"/>
      <c r="BK1206" s="87"/>
      <c r="BL1206" s="87"/>
      <c r="BM1206" s="87"/>
      <c r="BN1206" s="87"/>
      <c r="BO1206" s="87"/>
      <c r="BP1206" s="87"/>
      <c r="BQ1206" s="87"/>
      <c r="BR1206" s="87"/>
      <c r="BS1206" s="87"/>
      <c r="BT1206" s="87"/>
      <c r="BU1206" s="87"/>
      <c r="BV1206" s="87"/>
      <c r="BW1206" s="87"/>
      <c r="BX1206" s="87"/>
      <c r="BY1206" s="87"/>
    </row>
    <row r="1207" spans="21:77" x14ac:dyDescent="0.3">
      <c r="U1207" s="19"/>
      <c r="V1207" s="87"/>
      <c r="W1207" s="87"/>
      <c r="X1207" s="87"/>
      <c r="Y1207" s="87"/>
      <c r="Z1207" s="87"/>
      <c r="AA1207" s="87"/>
      <c r="AB1207" s="87"/>
      <c r="AC1207" s="87"/>
      <c r="AD1207" s="87"/>
      <c r="AE1207" s="87"/>
      <c r="AF1207" s="87"/>
      <c r="AG1207" s="87"/>
      <c r="AH1207" s="87"/>
      <c r="AI1207" s="87"/>
      <c r="AJ1207" s="87"/>
      <c r="AK1207" s="87"/>
      <c r="AL1207" s="87"/>
      <c r="AM1207" s="87"/>
      <c r="AN1207" s="87"/>
      <c r="AO1207" s="87"/>
      <c r="AP1207" s="87"/>
      <c r="AQ1207" s="87"/>
      <c r="AR1207" s="87"/>
      <c r="AS1207" s="87"/>
      <c r="AT1207" s="87"/>
      <c r="AU1207" s="87"/>
      <c r="AV1207" s="87"/>
      <c r="AW1207" s="87"/>
      <c r="AX1207" s="87"/>
      <c r="AY1207" s="87"/>
      <c r="AZ1207" s="87"/>
      <c r="BA1207" s="87"/>
      <c r="BB1207" s="87"/>
      <c r="BC1207" s="87"/>
      <c r="BD1207" s="87"/>
      <c r="BE1207" s="87"/>
      <c r="BF1207" s="87"/>
      <c r="BG1207" s="87"/>
      <c r="BH1207" s="87"/>
      <c r="BI1207" s="87"/>
      <c r="BJ1207" s="87"/>
      <c r="BK1207" s="87"/>
      <c r="BL1207" s="87"/>
      <c r="BM1207" s="87"/>
      <c r="BN1207" s="87"/>
      <c r="BO1207" s="87"/>
      <c r="BP1207" s="87"/>
      <c r="BQ1207" s="87"/>
      <c r="BR1207" s="87"/>
      <c r="BS1207" s="87"/>
      <c r="BT1207" s="87"/>
      <c r="BU1207" s="87"/>
      <c r="BV1207" s="87"/>
      <c r="BW1207" s="87"/>
      <c r="BX1207" s="87"/>
      <c r="BY1207" s="87"/>
    </row>
    <row r="1208" spans="21:77" x14ac:dyDescent="0.3">
      <c r="U1208" s="19"/>
      <c r="V1208" s="87"/>
      <c r="W1208" s="87"/>
      <c r="X1208" s="87"/>
      <c r="Y1208" s="87"/>
      <c r="Z1208" s="87"/>
      <c r="AA1208" s="87"/>
      <c r="AB1208" s="87"/>
      <c r="AC1208" s="87"/>
      <c r="AD1208" s="87"/>
      <c r="AE1208" s="87"/>
      <c r="AF1208" s="87"/>
      <c r="AG1208" s="87"/>
      <c r="AH1208" s="87"/>
      <c r="AI1208" s="87"/>
      <c r="AJ1208" s="87"/>
      <c r="AK1208" s="87"/>
      <c r="AL1208" s="87"/>
      <c r="AM1208" s="87"/>
      <c r="AN1208" s="87"/>
      <c r="AO1208" s="87"/>
      <c r="AP1208" s="87"/>
      <c r="AQ1208" s="87"/>
      <c r="AR1208" s="87"/>
      <c r="AS1208" s="87"/>
      <c r="AT1208" s="87"/>
      <c r="AU1208" s="87"/>
      <c r="AV1208" s="87"/>
      <c r="AW1208" s="87"/>
      <c r="AX1208" s="87"/>
      <c r="AY1208" s="87"/>
      <c r="AZ1208" s="87"/>
      <c r="BA1208" s="87"/>
      <c r="BB1208" s="87"/>
      <c r="BC1208" s="87"/>
      <c r="BD1208" s="87"/>
      <c r="BE1208" s="87"/>
      <c r="BF1208" s="87"/>
      <c r="BG1208" s="87"/>
      <c r="BH1208" s="87"/>
      <c r="BI1208" s="87"/>
      <c r="BJ1208" s="87"/>
      <c r="BK1208" s="87"/>
      <c r="BL1208" s="87"/>
      <c r="BM1208" s="87"/>
      <c r="BN1208" s="87"/>
      <c r="BO1208" s="87"/>
      <c r="BP1208" s="87"/>
      <c r="BQ1208" s="87"/>
      <c r="BR1208" s="87"/>
      <c r="BS1208" s="87"/>
      <c r="BT1208" s="87"/>
      <c r="BU1208" s="87"/>
      <c r="BV1208" s="87"/>
      <c r="BW1208" s="87"/>
      <c r="BX1208" s="87"/>
      <c r="BY1208" s="87"/>
    </row>
    <row r="1209" spans="21:77" x14ac:dyDescent="0.3">
      <c r="U1209" s="19"/>
      <c r="V1209" s="87"/>
      <c r="W1209" s="87"/>
      <c r="X1209" s="87"/>
      <c r="Y1209" s="87"/>
      <c r="Z1209" s="87"/>
      <c r="AA1209" s="87"/>
      <c r="AB1209" s="87"/>
      <c r="AC1209" s="87"/>
      <c r="AD1209" s="87"/>
      <c r="AE1209" s="87"/>
      <c r="AF1209" s="87"/>
      <c r="AG1209" s="87"/>
      <c r="AH1209" s="87"/>
      <c r="AI1209" s="87"/>
      <c r="AJ1209" s="87"/>
      <c r="AK1209" s="87"/>
      <c r="AL1209" s="87"/>
      <c r="AM1209" s="87"/>
      <c r="AN1209" s="87"/>
      <c r="AO1209" s="87"/>
      <c r="AP1209" s="87"/>
      <c r="AQ1209" s="87"/>
      <c r="AR1209" s="87"/>
      <c r="AS1209" s="87"/>
      <c r="AT1209" s="87"/>
      <c r="AU1209" s="87"/>
      <c r="AV1209" s="87"/>
      <c r="AW1209" s="87"/>
      <c r="AX1209" s="87"/>
      <c r="AY1209" s="87"/>
      <c r="AZ1209" s="87"/>
      <c r="BA1209" s="87"/>
      <c r="BB1209" s="87"/>
      <c r="BC1209" s="87"/>
      <c r="BD1209" s="87"/>
      <c r="BE1209" s="87"/>
      <c r="BF1209" s="87"/>
      <c r="BG1209" s="87"/>
      <c r="BH1209" s="87"/>
      <c r="BI1209" s="87"/>
      <c r="BJ1209" s="87"/>
      <c r="BK1209" s="87"/>
      <c r="BL1209" s="87"/>
      <c r="BM1209" s="87"/>
      <c r="BN1209" s="87"/>
      <c r="BO1209" s="87"/>
      <c r="BP1209" s="87"/>
      <c r="BQ1209" s="87"/>
      <c r="BR1209" s="87"/>
      <c r="BS1209" s="87"/>
      <c r="BT1209" s="87"/>
      <c r="BU1209" s="87"/>
      <c r="BV1209" s="87"/>
      <c r="BW1209" s="87"/>
      <c r="BX1209" s="87"/>
      <c r="BY1209" s="87"/>
    </row>
    <row r="1210" spans="21:77" x14ac:dyDescent="0.3">
      <c r="U1210" s="19"/>
      <c r="V1210" s="87"/>
      <c r="W1210" s="87"/>
      <c r="X1210" s="87"/>
      <c r="Y1210" s="87"/>
      <c r="Z1210" s="87"/>
      <c r="AA1210" s="87"/>
      <c r="AB1210" s="87"/>
      <c r="AC1210" s="87"/>
      <c r="AD1210" s="87"/>
      <c r="AE1210" s="87"/>
      <c r="AF1210" s="87"/>
      <c r="AG1210" s="87"/>
      <c r="AH1210" s="87"/>
      <c r="AI1210" s="87"/>
      <c r="AJ1210" s="87"/>
      <c r="AK1210" s="87"/>
      <c r="AL1210" s="87"/>
      <c r="AM1210" s="87"/>
      <c r="AN1210" s="87"/>
      <c r="AO1210" s="87"/>
      <c r="AP1210" s="87"/>
      <c r="AQ1210" s="87"/>
      <c r="AR1210" s="87"/>
      <c r="AS1210" s="87"/>
      <c r="AT1210" s="87"/>
      <c r="AU1210" s="87"/>
      <c r="AV1210" s="87"/>
      <c r="AW1210" s="87"/>
      <c r="AX1210" s="87"/>
      <c r="AY1210" s="87"/>
      <c r="AZ1210" s="87"/>
      <c r="BA1210" s="87"/>
      <c r="BB1210" s="87"/>
      <c r="BC1210" s="87"/>
      <c r="BD1210" s="87"/>
      <c r="BE1210" s="87"/>
      <c r="BF1210" s="87"/>
      <c r="BG1210" s="87"/>
      <c r="BH1210" s="87"/>
      <c r="BI1210" s="87"/>
      <c r="BJ1210" s="87"/>
      <c r="BK1210" s="87"/>
      <c r="BL1210" s="87"/>
      <c r="BM1210" s="87"/>
      <c r="BN1210" s="87"/>
      <c r="BO1210" s="87"/>
      <c r="BP1210" s="87"/>
      <c r="BQ1210" s="87"/>
      <c r="BR1210" s="87"/>
      <c r="BS1210" s="87"/>
      <c r="BT1210" s="87"/>
      <c r="BU1210" s="87"/>
      <c r="BV1210" s="87"/>
      <c r="BW1210" s="87"/>
      <c r="BX1210" s="87"/>
      <c r="BY1210" s="87"/>
    </row>
    <row r="1211" spans="21:77" x14ac:dyDescent="0.3">
      <c r="U1211" s="19"/>
      <c r="V1211" s="87"/>
      <c r="W1211" s="87"/>
      <c r="X1211" s="87"/>
      <c r="Y1211" s="87"/>
      <c r="Z1211" s="87"/>
      <c r="AA1211" s="87"/>
      <c r="AB1211" s="87"/>
      <c r="AC1211" s="87"/>
      <c r="AD1211" s="87"/>
      <c r="AE1211" s="87"/>
      <c r="AF1211" s="87"/>
      <c r="AG1211" s="87"/>
      <c r="AH1211" s="87"/>
      <c r="AI1211" s="87"/>
      <c r="AJ1211" s="87"/>
      <c r="AK1211" s="87"/>
      <c r="AL1211" s="87"/>
      <c r="AM1211" s="87"/>
      <c r="AN1211" s="87"/>
      <c r="AO1211" s="87"/>
      <c r="AP1211" s="87"/>
      <c r="AQ1211" s="87"/>
      <c r="AR1211" s="87"/>
      <c r="AS1211" s="87"/>
      <c r="AT1211" s="87"/>
      <c r="AU1211" s="87"/>
      <c r="AV1211" s="87"/>
      <c r="AW1211" s="87"/>
      <c r="AX1211" s="87"/>
      <c r="AY1211" s="87"/>
      <c r="AZ1211" s="87"/>
      <c r="BA1211" s="87"/>
      <c r="BB1211" s="87"/>
      <c r="BC1211" s="87"/>
      <c r="BD1211" s="87"/>
      <c r="BE1211" s="87"/>
      <c r="BF1211" s="87"/>
      <c r="BG1211" s="87"/>
      <c r="BH1211" s="87"/>
      <c r="BI1211" s="87"/>
      <c r="BJ1211" s="87"/>
      <c r="BK1211" s="87"/>
      <c r="BL1211" s="87"/>
      <c r="BM1211" s="87"/>
      <c r="BN1211" s="87"/>
      <c r="BO1211" s="87"/>
      <c r="BP1211" s="87"/>
      <c r="BQ1211" s="87"/>
      <c r="BR1211" s="87"/>
      <c r="BS1211" s="87"/>
      <c r="BT1211" s="87"/>
      <c r="BU1211" s="87"/>
      <c r="BV1211" s="87"/>
      <c r="BW1211" s="87"/>
      <c r="BX1211" s="87"/>
      <c r="BY1211" s="87"/>
    </row>
    <row r="1212" spans="21:77" x14ac:dyDescent="0.3">
      <c r="U1212" s="19"/>
      <c r="V1212" s="87"/>
      <c r="W1212" s="87"/>
      <c r="X1212" s="87"/>
      <c r="Y1212" s="87"/>
      <c r="Z1212" s="87"/>
      <c r="AA1212" s="87"/>
      <c r="AB1212" s="87"/>
      <c r="AC1212" s="87"/>
      <c r="AD1212" s="87"/>
      <c r="AE1212" s="87"/>
      <c r="AF1212" s="87"/>
      <c r="AG1212" s="87"/>
      <c r="AH1212" s="87"/>
      <c r="AI1212" s="87"/>
      <c r="AJ1212" s="87"/>
      <c r="AK1212" s="87"/>
      <c r="AL1212" s="87"/>
      <c r="AM1212" s="87"/>
      <c r="AN1212" s="87"/>
      <c r="AO1212" s="87"/>
      <c r="AP1212" s="87"/>
      <c r="AQ1212" s="87"/>
      <c r="AR1212" s="87"/>
      <c r="AS1212" s="87"/>
      <c r="AT1212" s="87"/>
      <c r="AU1212" s="87"/>
      <c r="AV1212" s="87"/>
      <c r="AW1212" s="87"/>
      <c r="AX1212" s="87"/>
      <c r="AY1212" s="87"/>
      <c r="AZ1212" s="87"/>
      <c r="BA1212" s="87"/>
      <c r="BB1212" s="87"/>
      <c r="BC1212" s="87"/>
      <c r="BD1212" s="87"/>
      <c r="BE1212" s="87"/>
      <c r="BF1212" s="87"/>
      <c r="BG1212" s="87"/>
      <c r="BH1212" s="87"/>
      <c r="BI1212" s="87"/>
      <c r="BJ1212" s="87"/>
      <c r="BK1212" s="87"/>
      <c r="BL1212" s="87"/>
      <c r="BM1212" s="87"/>
      <c r="BN1212" s="87"/>
      <c r="BO1212" s="87"/>
      <c r="BP1212" s="87"/>
      <c r="BQ1212" s="87"/>
      <c r="BR1212" s="87"/>
      <c r="BS1212" s="87"/>
      <c r="BT1212" s="87"/>
      <c r="BU1212" s="87"/>
      <c r="BV1212" s="87"/>
      <c r="BW1212" s="87"/>
      <c r="BX1212" s="87"/>
      <c r="BY1212" s="87"/>
    </row>
    <row r="1213" spans="21:77" x14ac:dyDescent="0.3">
      <c r="U1213" s="19"/>
      <c r="V1213" s="87"/>
      <c r="W1213" s="87"/>
      <c r="X1213" s="87"/>
      <c r="Y1213" s="87"/>
      <c r="Z1213" s="87"/>
      <c r="AA1213" s="87"/>
      <c r="AB1213" s="87"/>
      <c r="AC1213" s="87"/>
      <c r="AD1213" s="87"/>
      <c r="AE1213" s="87"/>
      <c r="AF1213" s="87"/>
      <c r="AG1213" s="87"/>
      <c r="AH1213" s="87"/>
      <c r="AI1213" s="87"/>
      <c r="AJ1213" s="87"/>
      <c r="AK1213" s="87"/>
      <c r="AL1213" s="87"/>
      <c r="AM1213" s="87"/>
      <c r="AN1213" s="87"/>
      <c r="AO1213" s="87"/>
      <c r="AP1213" s="87"/>
      <c r="AQ1213" s="87"/>
      <c r="AR1213" s="87"/>
      <c r="AS1213" s="87"/>
      <c r="AT1213" s="87"/>
      <c r="AU1213" s="87"/>
      <c r="AV1213" s="87"/>
      <c r="AW1213" s="87"/>
      <c r="AX1213" s="87"/>
      <c r="AY1213" s="87"/>
      <c r="AZ1213" s="87"/>
      <c r="BA1213" s="87"/>
      <c r="BB1213" s="87"/>
      <c r="BC1213" s="87"/>
      <c r="BD1213" s="87"/>
      <c r="BE1213" s="87"/>
      <c r="BF1213" s="87"/>
      <c r="BG1213" s="87"/>
      <c r="BH1213" s="87"/>
      <c r="BI1213" s="87"/>
      <c r="BJ1213" s="87"/>
      <c r="BK1213" s="87"/>
      <c r="BL1213" s="87"/>
      <c r="BM1213" s="87"/>
      <c r="BN1213" s="87"/>
      <c r="BO1213" s="87"/>
      <c r="BP1213" s="87"/>
      <c r="BQ1213" s="87"/>
      <c r="BR1213" s="87"/>
      <c r="BS1213" s="87"/>
      <c r="BT1213" s="87"/>
      <c r="BU1213" s="87"/>
      <c r="BV1213" s="87"/>
      <c r="BW1213" s="87"/>
      <c r="BX1213" s="87"/>
      <c r="BY1213" s="87"/>
    </row>
    <row r="1214" spans="21:77" x14ac:dyDescent="0.3">
      <c r="U1214" s="19"/>
      <c r="V1214" s="87"/>
      <c r="W1214" s="87"/>
      <c r="X1214" s="87"/>
      <c r="Y1214" s="87"/>
      <c r="Z1214" s="87"/>
      <c r="AA1214" s="87"/>
      <c r="AB1214" s="87"/>
      <c r="AC1214" s="87"/>
      <c r="AD1214" s="87"/>
      <c r="AE1214" s="87"/>
      <c r="AF1214" s="87"/>
      <c r="AG1214" s="87"/>
      <c r="AH1214" s="87"/>
      <c r="AI1214" s="87"/>
      <c r="AJ1214" s="87"/>
      <c r="AK1214" s="87"/>
      <c r="AL1214" s="87"/>
      <c r="AM1214" s="87"/>
      <c r="AN1214" s="87"/>
      <c r="AO1214" s="87"/>
      <c r="AP1214" s="87"/>
      <c r="AQ1214" s="87"/>
      <c r="AR1214" s="87"/>
      <c r="AS1214" s="87"/>
      <c r="AT1214" s="87"/>
      <c r="AU1214" s="87"/>
      <c r="AV1214" s="87"/>
      <c r="AW1214" s="87"/>
      <c r="AX1214" s="87"/>
      <c r="AY1214" s="87"/>
      <c r="AZ1214" s="87"/>
      <c r="BA1214" s="87"/>
      <c r="BB1214" s="87"/>
      <c r="BC1214" s="87"/>
      <c r="BD1214" s="87"/>
      <c r="BE1214" s="87"/>
      <c r="BF1214" s="87"/>
      <c r="BG1214" s="87"/>
      <c r="BH1214" s="87"/>
      <c r="BI1214" s="87"/>
      <c r="BJ1214" s="87"/>
      <c r="BK1214" s="87"/>
      <c r="BL1214" s="87"/>
      <c r="BM1214" s="87"/>
      <c r="BN1214" s="87"/>
      <c r="BO1214" s="87"/>
      <c r="BP1214" s="87"/>
      <c r="BQ1214" s="87"/>
      <c r="BR1214" s="87"/>
      <c r="BS1214" s="87"/>
      <c r="BT1214" s="87"/>
      <c r="BU1214" s="87"/>
      <c r="BV1214" s="87"/>
      <c r="BW1214" s="87"/>
      <c r="BX1214" s="87"/>
      <c r="BY1214" s="87"/>
    </row>
    <row r="1215" spans="21:77" x14ac:dyDescent="0.3">
      <c r="U1215" s="19"/>
      <c r="V1215" s="87"/>
      <c r="W1215" s="87"/>
      <c r="X1215" s="87"/>
      <c r="Y1215" s="87"/>
      <c r="Z1215" s="87"/>
      <c r="AA1215" s="87"/>
      <c r="AB1215" s="87"/>
      <c r="AC1215" s="87"/>
      <c r="AD1215" s="87"/>
      <c r="AE1215" s="87"/>
      <c r="AF1215" s="87"/>
      <c r="AG1215" s="87"/>
      <c r="AH1215" s="87"/>
      <c r="AI1215" s="87"/>
      <c r="AJ1215" s="87"/>
      <c r="AK1215" s="87"/>
      <c r="AL1215" s="87"/>
      <c r="AM1215" s="87"/>
      <c r="AN1215" s="87"/>
      <c r="AO1215" s="87"/>
      <c r="AP1215" s="87"/>
      <c r="AQ1215" s="87"/>
      <c r="AR1215" s="87"/>
      <c r="AS1215" s="87"/>
      <c r="AT1215" s="87"/>
      <c r="AU1215" s="87"/>
      <c r="AV1215" s="87"/>
      <c r="AW1215" s="87"/>
      <c r="AX1215" s="87"/>
      <c r="AY1215" s="87"/>
      <c r="AZ1215" s="87"/>
      <c r="BA1215" s="87"/>
      <c r="BB1215" s="87"/>
      <c r="BC1215" s="87"/>
      <c r="BD1215" s="87"/>
      <c r="BE1215" s="87"/>
      <c r="BF1215" s="87"/>
      <c r="BG1215" s="87"/>
      <c r="BH1215" s="87"/>
      <c r="BI1215" s="87"/>
      <c r="BJ1215" s="87"/>
      <c r="BK1215" s="87"/>
      <c r="BL1215" s="87"/>
      <c r="BM1215" s="87"/>
      <c r="BN1215" s="87"/>
      <c r="BO1215" s="87"/>
      <c r="BP1215" s="87"/>
      <c r="BQ1215" s="87"/>
      <c r="BR1215" s="87"/>
      <c r="BS1215" s="87"/>
      <c r="BT1215" s="87"/>
      <c r="BU1215" s="87"/>
      <c r="BV1215" s="87"/>
      <c r="BW1215" s="87"/>
      <c r="BX1215" s="87"/>
      <c r="BY1215" s="87"/>
    </row>
    <row r="1216" spans="21:77" x14ac:dyDescent="0.3">
      <c r="U1216" s="19"/>
      <c r="V1216" s="87"/>
      <c r="W1216" s="87"/>
      <c r="X1216" s="87"/>
      <c r="Y1216" s="87"/>
      <c r="Z1216" s="87"/>
      <c r="AA1216" s="87"/>
      <c r="AB1216" s="87"/>
      <c r="AC1216" s="87"/>
      <c r="AD1216" s="87"/>
      <c r="AE1216" s="87"/>
      <c r="AF1216" s="87"/>
      <c r="AG1216" s="87"/>
      <c r="AH1216" s="87"/>
      <c r="AI1216" s="87"/>
      <c r="AJ1216" s="87"/>
      <c r="AK1216" s="87"/>
      <c r="AL1216" s="87"/>
      <c r="AM1216" s="87"/>
      <c r="AN1216" s="87"/>
      <c r="AO1216" s="87"/>
      <c r="AP1216" s="87"/>
      <c r="AQ1216" s="87"/>
      <c r="AR1216" s="87"/>
      <c r="AS1216" s="87"/>
      <c r="AT1216" s="87"/>
      <c r="AU1216" s="87"/>
      <c r="AV1216" s="87"/>
      <c r="AW1216" s="87"/>
      <c r="AX1216" s="87"/>
      <c r="AY1216" s="87"/>
      <c r="AZ1216" s="87"/>
      <c r="BA1216" s="87"/>
      <c r="BB1216" s="87"/>
      <c r="BC1216" s="87"/>
      <c r="BD1216" s="87"/>
      <c r="BE1216" s="87"/>
      <c r="BF1216" s="87"/>
      <c r="BG1216" s="87"/>
      <c r="BH1216" s="87"/>
      <c r="BI1216" s="87"/>
      <c r="BJ1216" s="87"/>
      <c r="BK1216" s="87"/>
      <c r="BL1216" s="87"/>
      <c r="BM1216" s="87"/>
      <c r="BN1216" s="87"/>
      <c r="BO1216" s="87"/>
      <c r="BP1216" s="87"/>
      <c r="BQ1216" s="87"/>
      <c r="BR1216" s="87"/>
      <c r="BS1216" s="87"/>
      <c r="BT1216" s="87"/>
      <c r="BU1216" s="87"/>
      <c r="BV1216" s="87"/>
      <c r="BW1216" s="87"/>
      <c r="BX1216" s="87"/>
      <c r="BY1216" s="87"/>
    </row>
    <row r="1217" spans="21:77" x14ac:dyDescent="0.3">
      <c r="U1217" s="19"/>
      <c r="V1217" s="87"/>
      <c r="W1217" s="87"/>
      <c r="X1217" s="87"/>
      <c r="Y1217" s="87"/>
      <c r="Z1217" s="87"/>
      <c r="AA1217" s="87"/>
      <c r="AB1217" s="87"/>
      <c r="AC1217" s="87"/>
      <c r="AD1217" s="87"/>
      <c r="AE1217" s="87"/>
      <c r="AF1217" s="87"/>
      <c r="AG1217" s="87"/>
      <c r="AH1217" s="87"/>
      <c r="AI1217" s="87"/>
      <c r="AJ1217" s="87"/>
      <c r="AK1217" s="87"/>
      <c r="AL1217" s="87"/>
      <c r="AM1217" s="87"/>
      <c r="AN1217" s="87"/>
      <c r="AO1217" s="87"/>
      <c r="AP1217" s="87"/>
      <c r="AQ1217" s="87"/>
      <c r="AR1217" s="87"/>
      <c r="AS1217" s="87"/>
      <c r="AT1217" s="87"/>
      <c r="AU1217" s="87"/>
      <c r="AV1217" s="87"/>
      <c r="AW1217" s="87"/>
      <c r="AX1217" s="87"/>
      <c r="AY1217" s="87"/>
      <c r="AZ1217" s="87"/>
      <c r="BA1217" s="87"/>
      <c r="BB1217" s="87"/>
      <c r="BC1217" s="87"/>
      <c r="BD1217" s="87"/>
      <c r="BE1217" s="87"/>
      <c r="BF1217" s="87"/>
      <c r="BG1217" s="87"/>
      <c r="BH1217" s="87"/>
      <c r="BI1217" s="87"/>
      <c r="BJ1217" s="87"/>
      <c r="BK1217" s="87"/>
      <c r="BL1217" s="87"/>
      <c r="BM1217" s="87"/>
      <c r="BN1217" s="87"/>
      <c r="BO1217" s="87"/>
      <c r="BP1217" s="87"/>
      <c r="BQ1217" s="87"/>
      <c r="BR1217" s="87"/>
      <c r="BS1217" s="87"/>
      <c r="BT1217" s="87"/>
      <c r="BU1217" s="87"/>
      <c r="BV1217" s="87"/>
      <c r="BW1217" s="87"/>
      <c r="BX1217" s="87"/>
      <c r="BY1217" s="87"/>
    </row>
    <row r="1218" spans="21:77" x14ac:dyDescent="0.3">
      <c r="U1218" s="19"/>
      <c r="V1218" s="87"/>
      <c r="W1218" s="87"/>
      <c r="X1218" s="87"/>
      <c r="Y1218" s="87"/>
      <c r="Z1218" s="87"/>
      <c r="AA1218" s="87"/>
      <c r="AB1218" s="87"/>
      <c r="AC1218" s="87"/>
      <c r="AD1218" s="87"/>
      <c r="AE1218" s="87"/>
      <c r="AF1218" s="87"/>
      <c r="AG1218" s="87"/>
      <c r="AH1218" s="87"/>
      <c r="AI1218" s="87"/>
      <c r="AJ1218" s="87"/>
      <c r="AK1218" s="87"/>
      <c r="AL1218" s="87"/>
      <c r="AM1218" s="87"/>
      <c r="AN1218" s="87"/>
      <c r="AO1218" s="87"/>
      <c r="AP1218" s="87"/>
      <c r="AQ1218" s="87"/>
      <c r="AR1218" s="87"/>
      <c r="AS1218" s="87"/>
      <c r="AT1218" s="87"/>
      <c r="AU1218" s="87"/>
      <c r="AV1218" s="87"/>
      <c r="AW1218" s="87"/>
      <c r="AX1218" s="87"/>
      <c r="AY1218" s="87"/>
      <c r="AZ1218" s="87"/>
      <c r="BA1218" s="87"/>
      <c r="BB1218" s="87"/>
      <c r="BC1218" s="87"/>
      <c r="BD1218" s="87"/>
      <c r="BE1218" s="87"/>
      <c r="BF1218" s="87"/>
      <c r="BG1218" s="87"/>
      <c r="BH1218" s="87"/>
      <c r="BI1218" s="87"/>
      <c r="BJ1218" s="87"/>
      <c r="BK1218" s="87"/>
      <c r="BL1218" s="87"/>
      <c r="BM1218" s="87"/>
      <c r="BN1218" s="87"/>
      <c r="BO1218" s="87"/>
      <c r="BP1218" s="87"/>
      <c r="BQ1218" s="87"/>
      <c r="BR1218" s="87"/>
      <c r="BS1218" s="87"/>
      <c r="BT1218" s="87"/>
      <c r="BU1218" s="87"/>
      <c r="BV1218" s="87"/>
      <c r="BW1218" s="87"/>
      <c r="BX1218" s="87"/>
      <c r="BY1218" s="87"/>
    </row>
    <row r="1219" spans="21:77" x14ac:dyDescent="0.3">
      <c r="U1219" s="19"/>
      <c r="V1219" s="87"/>
      <c r="W1219" s="87"/>
      <c r="X1219" s="87"/>
      <c r="Y1219" s="87"/>
      <c r="Z1219" s="87"/>
      <c r="AA1219" s="87"/>
      <c r="AB1219" s="87"/>
      <c r="AC1219" s="87"/>
      <c r="AD1219" s="87"/>
      <c r="AE1219" s="87"/>
      <c r="AF1219" s="87"/>
      <c r="AG1219" s="87"/>
      <c r="AH1219" s="87"/>
      <c r="AI1219" s="87"/>
      <c r="AJ1219" s="87"/>
      <c r="AK1219" s="87"/>
      <c r="AL1219" s="87"/>
      <c r="AM1219" s="87"/>
      <c r="AN1219" s="87"/>
      <c r="AO1219" s="87"/>
      <c r="AP1219" s="87"/>
      <c r="AQ1219" s="87"/>
      <c r="AR1219" s="87"/>
      <c r="AS1219" s="87"/>
      <c r="AT1219" s="87"/>
      <c r="AU1219" s="87"/>
      <c r="AV1219" s="87"/>
      <c r="AW1219" s="87"/>
      <c r="AX1219" s="87"/>
      <c r="AY1219" s="87"/>
      <c r="AZ1219" s="87"/>
      <c r="BA1219" s="87"/>
      <c r="BB1219" s="87"/>
      <c r="BC1219" s="87"/>
      <c r="BD1219" s="87"/>
      <c r="BE1219" s="87"/>
      <c r="BF1219" s="87"/>
      <c r="BG1219" s="87"/>
      <c r="BH1219" s="87"/>
      <c r="BI1219" s="87"/>
      <c r="BJ1219" s="87"/>
      <c r="BK1219" s="87"/>
      <c r="BL1219" s="87"/>
      <c r="BM1219" s="87"/>
      <c r="BN1219" s="87"/>
      <c r="BO1219" s="87"/>
      <c r="BP1219" s="87"/>
      <c r="BQ1219" s="87"/>
      <c r="BR1219" s="87"/>
      <c r="BS1219" s="87"/>
      <c r="BT1219" s="87"/>
      <c r="BU1219" s="87"/>
      <c r="BV1219" s="87"/>
      <c r="BW1219" s="87"/>
      <c r="BX1219" s="87"/>
      <c r="BY1219" s="87"/>
    </row>
    <row r="1220" spans="21:77" x14ac:dyDescent="0.3">
      <c r="U1220" s="19"/>
      <c r="V1220" s="87"/>
      <c r="W1220" s="87"/>
      <c r="X1220" s="87"/>
      <c r="Y1220" s="87"/>
      <c r="Z1220" s="87"/>
      <c r="AA1220" s="87"/>
      <c r="AB1220" s="87"/>
      <c r="AC1220" s="87"/>
      <c r="AD1220" s="87"/>
      <c r="AE1220" s="87"/>
      <c r="AF1220" s="87"/>
      <c r="AG1220" s="87"/>
      <c r="AH1220" s="87"/>
      <c r="AI1220" s="87"/>
      <c r="AJ1220" s="87"/>
      <c r="AK1220" s="87"/>
      <c r="AL1220" s="87"/>
      <c r="AM1220" s="87"/>
      <c r="AN1220" s="87"/>
      <c r="AO1220" s="87"/>
      <c r="AP1220" s="87"/>
      <c r="AQ1220" s="87"/>
      <c r="AR1220" s="87"/>
      <c r="AS1220" s="87"/>
      <c r="AT1220" s="87"/>
      <c r="AU1220" s="87"/>
      <c r="AV1220" s="87"/>
      <c r="AW1220" s="87"/>
      <c r="AX1220" s="87"/>
      <c r="AY1220" s="87"/>
      <c r="AZ1220" s="87"/>
      <c r="BA1220" s="87"/>
      <c r="BB1220" s="87"/>
      <c r="BC1220" s="87"/>
      <c r="BD1220" s="87"/>
      <c r="BE1220" s="87"/>
      <c r="BF1220" s="87"/>
      <c r="BG1220" s="87"/>
      <c r="BH1220" s="87"/>
      <c r="BI1220" s="87"/>
      <c r="BJ1220" s="87"/>
      <c r="BK1220" s="87"/>
      <c r="BL1220" s="87"/>
      <c r="BM1220" s="87"/>
      <c r="BN1220" s="87"/>
      <c r="BO1220" s="87"/>
      <c r="BP1220" s="87"/>
      <c r="BQ1220" s="87"/>
      <c r="BR1220" s="87"/>
      <c r="BS1220" s="87"/>
      <c r="BT1220" s="87"/>
      <c r="BU1220" s="87"/>
      <c r="BV1220" s="87"/>
      <c r="BW1220" s="87"/>
      <c r="BX1220" s="87"/>
      <c r="BY1220" s="87"/>
    </row>
    <row r="1221" spans="21:77" x14ac:dyDescent="0.3">
      <c r="U1221" s="19"/>
      <c r="V1221" s="87"/>
      <c r="W1221" s="87"/>
      <c r="X1221" s="87"/>
      <c r="Y1221" s="87"/>
      <c r="Z1221" s="87"/>
      <c r="AA1221" s="87"/>
      <c r="AB1221" s="87"/>
      <c r="AC1221" s="87"/>
      <c r="AD1221" s="87"/>
      <c r="AE1221" s="87"/>
      <c r="AF1221" s="87"/>
      <c r="AG1221" s="87"/>
      <c r="AH1221" s="87"/>
      <c r="AI1221" s="87"/>
      <c r="AJ1221" s="87"/>
      <c r="AK1221" s="87"/>
      <c r="AL1221" s="87"/>
      <c r="AM1221" s="87"/>
      <c r="AN1221" s="87"/>
      <c r="AO1221" s="87"/>
      <c r="AP1221" s="87"/>
      <c r="AQ1221" s="87"/>
      <c r="AR1221" s="87"/>
      <c r="AS1221" s="87"/>
      <c r="AT1221" s="87"/>
      <c r="AU1221" s="87"/>
      <c r="AV1221" s="87"/>
      <c r="AW1221" s="87"/>
      <c r="AX1221" s="87"/>
      <c r="AY1221" s="87"/>
      <c r="AZ1221" s="87"/>
      <c r="BA1221" s="87"/>
      <c r="BB1221" s="87"/>
      <c r="BC1221" s="87"/>
      <c r="BD1221" s="87"/>
      <c r="BE1221" s="87"/>
      <c r="BF1221" s="87"/>
      <c r="BG1221" s="87"/>
      <c r="BH1221" s="87"/>
      <c r="BI1221" s="87"/>
      <c r="BJ1221" s="87"/>
      <c r="BK1221" s="87"/>
      <c r="BL1221" s="87"/>
      <c r="BM1221" s="87"/>
      <c r="BN1221" s="87"/>
      <c r="BO1221" s="87"/>
      <c r="BP1221" s="87"/>
      <c r="BQ1221" s="87"/>
      <c r="BR1221" s="87"/>
      <c r="BS1221" s="87"/>
      <c r="BT1221" s="87"/>
      <c r="BU1221" s="87"/>
      <c r="BV1221" s="87"/>
      <c r="BW1221" s="87"/>
      <c r="BX1221" s="87"/>
      <c r="BY1221" s="87"/>
    </row>
    <row r="1222" spans="21:77" x14ac:dyDescent="0.3">
      <c r="U1222" s="19"/>
      <c r="V1222" s="87"/>
      <c r="W1222" s="87"/>
      <c r="X1222" s="87"/>
      <c r="Y1222" s="87"/>
      <c r="Z1222" s="87"/>
      <c r="AA1222" s="87"/>
      <c r="AB1222" s="87"/>
      <c r="AC1222" s="87"/>
      <c r="AD1222" s="87"/>
      <c r="AE1222" s="87"/>
      <c r="AF1222" s="87"/>
      <c r="AG1222" s="87"/>
      <c r="AH1222" s="87"/>
      <c r="AI1222" s="87"/>
      <c r="AJ1222" s="87"/>
      <c r="AK1222" s="87"/>
      <c r="AL1222" s="87"/>
      <c r="AM1222" s="87"/>
      <c r="AN1222" s="87"/>
      <c r="AO1222" s="87"/>
      <c r="AP1222" s="87"/>
      <c r="AQ1222" s="87"/>
      <c r="AR1222" s="87"/>
      <c r="AS1222" s="87"/>
      <c r="AT1222" s="87"/>
      <c r="AU1222" s="87"/>
      <c r="AV1222" s="87"/>
      <c r="AW1222" s="87"/>
      <c r="AX1222" s="87"/>
      <c r="AY1222" s="87"/>
      <c r="AZ1222" s="87"/>
      <c r="BA1222" s="87"/>
      <c r="BB1222" s="87"/>
      <c r="BC1222" s="87"/>
      <c r="BD1222" s="87"/>
      <c r="BE1222" s="87"/>
      <c r="BF1222" s="87"/>
      <c r="BG1222" s="87"/>
      <c r="BH1222" s="87"/>
      <c r="BI1222" s="87"/>
      <c r="BJ1222" s="87"/>
      <c r="BK1222" s="87"/>
      <c r="BL1222" s="87"/>
      <c r="BM1222" s="87"/>
      <c r="BN1222" s="87"/>
      <c r="BO1222" s="87"/>
      <c r="BP1222" s="87"/>
      <c r="BQ1222" s="87"/>
      <c r="BR1222" s="87"/>
      <c r="BS1222" s="87"/>
      <c r="BT1222" s="87"/>
      <c r="BU1222" s="87"/>
      <c r="BV1222" s="87"/>
      <c r="BW1222" s="87"/>
      <c r="BX1222" s="87"/>
      <c r="BY1222" s="87"/>
    </row>
    <row r="1223" spans="21:77" x14ac:dyDescent="0.3">
      <c r="U1223" s="19"/>
      <c r="V1223" s="87"/>
      <c r="W1223" s="87"/>
      <c r="X1223" s="87"/>
      <c r="Y1223" s="87"/>
      <c r="Z1223" s="87"/>
      <c r="AA1223" s="87"/>
      <c r="AB1223" s="87"/>
      <c r="AC1223" s="87"/>
      <c r="AD1223" s="87"/>
      <c r="AE1223" s="87"/>
      <c r="AF1223" s="87"/>
      <c r="AG1223" s="87"/>
      <c r="AH1223" s="87"/>
      <c r="AI1223" s="87"/>
      <c r="AJ1223" s="87"/>
      <c r="AK1223" s="87"/>
      <c r="AL1223" s="87"/>
      <c r="AM1223" s="87"/>
      <c r="AN1223" s="87"/>
      <c r="AO1223" s="87"/>
      <c r="AP1223" s="87"/>
      <c r="AQ1223" s="87"/>
      <c r="AR1223" s="87"/>
      <c r="AS1223" s="87"/>
      <c r="AT1223" s="87"/>
      <c r="AU1223" s="87"/>
      <c r="AV1223" s="87"/>
      <c r="AW1223" s="87"/>
      <c r="AX1223" s="87"/>
      <c r="AY1223" s="87"/>
      <c r="AZ1223" s="87"/>
      <c r="BA1223" s="87"/>
      <c r="BB1223" s="87"/>
      <c r="BC1223" s="87"/>
      <c r="BD1223" s="87"/>
      <c r="BE1223" s="87"/>
      <c r="BF1223" s="87"/>
      <c r="BG1223" s="87"/>
      <c r="BH1223" s="87"/>
      <c r="BI1223" s="87"/>
      <c r="BJ1223" s="87"/>
      <c r="BK1223" s="87"/>
      <c r="BL1223" s="87"/>
      <c r="BM1223" s="87"/>
      <c r="BN1223" s="87"/>
      <c r="BO1223" s="87"/>
      <c r="BP1223" s="87"/>
      <c r="BQ1223" s="87"/>
      <c r="BR1223" s="87"/>
      <c r="BS1223" s="87"/>
      <c r="BT1223" s="87"/>
      <c r="BU1223" s="87"/>
      <c r="BV1223" s="87"/>
      <c r="BW1223" s="87"/>
      <c r="BX1223" s="87"/>
      <c r="BY1223" s="87"/>
    </row>
    <row r="1224" spans="21:77" x14ac:dyDescent="0.3">
      <c r="U1224" s="19"/>
      <c r="V1224" s="87"/>
      <c r="W1224" s="87"/>
      <c r="X1224" s="87"/>
      <c r="Y1224" s="87"/>
      <c r="Z1224" s="87"/>
      <c r="AA1224" s="87"/>
      <c r="AB1224" s="87"/>
      <c r="AC1224" s="87"/>
      <c r="AD1224" s="87"/>
      <c r="AE1224" s="87"/>
      <c r="AF1224" s="87"/>
      <c r="AG1224" s="87"/>
      <c r="AH1224" s="87"/>
      <c r="AI1224" s="87"/>
      <c r="AJ1224" s="87"/>
      <c r="AK1224" s="87"/>
      <c r="AL1224" s="87"/>
      <c r="AM1224" s="87"/>
      <c r="AN1224" s="87"/>
      <c r="AO1224" s="87"/>
      <c r="AP1224" s="87"/>
      <c r="AQ1224" s="87"/>
      <c r="AR1224" s="87"/>
      <c r="AS1224" s="87"/>
      <c r="AT1224" s="87"/>
      <c r="AU1224" s="87"/>
      <c r="AV1224" s="87"/>
      <c r="AW1224" s="87"/>
      <c r="AX1224" s="87"/>
      <c r="AY1224" s="87"/>
      <c r="AZ1224" s="87"/>
      <c r="BA1224" s="87"/>
      <c r="BB1224" s="87"/>
      <c r="BC1224" s="87"/>
      <c r="BD1224" s="87"/>
      <c r="BE1224" s="87"/>
      <c r="BF1224" s="87"/>
      <c r="BG1224" s="87"/>
      <c r="BH1224" s="87"/>
      <c r="BI1224" s="87"/>
      <c r="BJ1224" s="87"/>
      <c r="BK1224" s="87"/>
      <c r="BL1224" s="87"/>
      <c r="BM1224" s="87"/>
      <c r="BN1224" s="87"/>
      <c r="BO1224" s="87"/>
      <c r="BP1224" s="87"/>
      <c r="BQ1224" s="87"/>
      <c r="BR1224" s="87"/>
      <c r="BS1224" s="87"/>
      <c r="BT1224" s="87"/>
      <c r="BU1224" s="87"/>
      <c r="BV1224" s="87"/>
      <c r="BW1224" s="87"/>
      <c r="BX1224" s="87"/>
      <c r="BY1224" s="87"/>
    </row>
    <row r="1225" spans="21:77" x14ac:dyDescent="0.3">
      <c r="U1225" s="19"/>
      <c r="V1225" s="87"/>
      <c r="W1225" s="87"/>
      <c r="X1225" s="87"/>
      <c r="Y1225" s="87"/>
      <c r="Z1225" s="87"/>
      <c r="AA1225" s="87"/>
      <c r="AB1225" s="87"/>
      <c r="AC1225" s="87"/>
      <c r="AD1225" s="87"/>
      <c r="AE1225" s="87"/>
      <c r="AF1225" s="87"/>
      <c r="AG1225" s="87"/>
      <c r="AH1225" s="87"/>
      <c r="AI1225" s="87"/>
      <c r="AJ1225" s="87"/>
      <c r="AK1225" s="87"/>
      <c r="AL1225" s="87"/>
      <c r="AM1225" s="87"/>
      <c r="AN1225" s="87"/>
      <c r="AO1225" s="87"/>
      <c r="AP1225" s="87"/>
      <c r="AQ1225" s="87"/>
      <c r="AR1225" s="87"/>
      <c r="AS1225" s="87"/>
      <c r="AT1225" s="87"/>
      <c r="AU1225" s="87"/>
      <c r="AV1225" s="87"/>
      <c r="AW1225" s="87"/>
      <c r="AX1225" s="87"/>
      <c r="AY1225" s="87"/>
      <c r="AZ1225" s="87"/>
      <c r="BA1225" s="87"/>
      <c r="BB1225" s="87"/>
      <c r="BC1225" s="87"/>
      <c r="BD1225" s="87"/>
      <c r="BE1225" s="87"/>
      <c r="BF1225" s="87"/>
      <c r="BG1225" s="87"/>
      <c r="BH1225" s="87"/>
      <c r="BI1225" s="87"/>
      <c r="BJ1225" s="87"/>
      <c r="BK1225" s="87"/>
      <c r="BL1225" s="87"/>
      <c r="BM1225" s="87"/>
      <c r="BN1225" s="87"/>
      <c r="BO1225" s="87"/>
      <c r="BP1225" s="87"/>
      <c r="BQ1225" s="87"/>
      <c r="BR1225" s="87"/>
      <c r="BS1225" s="87"/>
      <c r="BT1225" s="87"/>
      <c r="BU1225" s="87"/>
      <c r="BV1225" s="87"/>
      <c r="BW1225" s="87"/>
      <c r="BX1225" s="87"/>
      <c r="BY1225" s="87"/>
    </row>
    <row r="1226" spans="21:77" x14ac:dyDescent="0.3">
      <c r="U1226" s="19"/>
      <c r="V1226" s="87"/>
      <c r="W1226" s="87"/>
      <c r="X1226" s="87"/>
      <c r="Y1226" s="87"/>
      <c r="Z1226" s="87"/>
      <c r="AA1226" s="87"/>
      <c r="AB1226" s="87"/>
      <c r="AC1226" s="87"/>
      <c r="AD1226" s="87"/>
      <c r="AE1226" s="87"/>
      <c r="AF1226" s="87"/>
      <c r="AG1226" s="87"/>
      <c r="AH1226" s="87"/>
      <c r="AI1226" s="87"/>
      <c r="AJ1226" s="87"/>
      <c r="AK1226" s="87"/>
      <c r="AL1226" s="87"/>
      <c r="AM1226" s="87"/>
      <c r="AN1226" s="87"/>
      <c r="AO1226" s="87"/>
      <c r="AP1226" s="87"/>
      <c r="AQ1226" s="87"/>
      <c r="AR1226" s="87"/>
      <c r="AS1226" s="87"/>
      <c r="AT1226" s="87"/>
      <c r="AU1226" s="87"/>
      <c r="AV1226" s="87"/>
      <c r="AW1226" s="87"/>
      <c r="AX1226" s="87"/>
      <c r="AY1226" s="87"/>
      <c r="AZ1226" s="87"/>
      <c r="BA1226" s="87"/>
      <c r="BB1226" s="87"/>
      <c r="BC1226" s="87"/>
      <c r="BD1226" s="87"/>
      <c r="BE1226" s="87"/>
      <c r="BF1226" s="87"/>
      <c r="BG1226" s="87"/>
      <c r="BH1226" s="87"/>
      <c r="BI1226" s="87"/>
      <c r="BJ1226" s="87"/>
      <c r="BK1226" s="87"/>
      <c r="BL1226" s="87"/>
      <c r="BM1226" s="87"/>
      <c r="BN1226" s="87"/>
      <c r="BO1226" s="87"/>
      <c r="BP1226" s="87"/>
      <c r="BQ1226" s="87"/>
      <c r="BR1226" s="87"/>
      <c r="BS1226" s="87"/>
      <c r="BT1226" s="87"/>
      <c r="BU1226" s="87"/>
      <c r="BV1226" s="87"/>
      <c r="BW1226" s="87"/>
      <c r="BX1226" s="87"/>
      <c r="BY1226" s="87"/>
    </row>
    <row r="1227" spans="21:77" x14ac:dyDescent="0.3">
      <c r="U1227" s="19"/>
      <c r="V1227" s="87"/>
      <c r="W1227" s="87"/>
      <c r="X1227" s="87"/>
      <c r="Y1227" s="87"/>
      <c r="Z1227" s="87"/>
      <c r="AA1227" s="87"/>
      <c r="AB1227" s="87"/>
      <c r="AC1227" s="87"/>
      <c r="AD1227" s="87"/>
      <c r="AE1227" s="87"/>
      <c r="AF1227" s="87"/>
      <c r="AG1227" s="87"/>
      <c r="AH1227" s="87"/>
      <c r="AI1227" s="87"/>
      <c r="AJ1227" s="87"/>
      <c r="AK1227" s="87"/>
      <c r="AL1227" s="87"/>
      <c r="AM1227" s="87"/>
      <c r="AN1227" s="87"/>
      <c r="AO1227" s="87"/>
      <c r="AP1227" s="87"/>
      <c r="AQ1227" s="87"/>
      <c r="AR1227" s="87"/>
      <c r="AS1227" s="87"/>
      <c r="AT1227" s="87"/>
      <c r="AU1227" s="87"/>
      <c r="AV1227" s="87"/>
      <c r="AW1227" s="87"/>
      <c r="AX1227" s="87"/>
      <c r="AY1227" s="87"/>
      <c r="AZ1227" s="87"/>
      <c r="BA1227" s="87"/>
      <c r="BB1227" s="87"/>
      <c r="BC1227" s="87"/>
      <c r="BD1227" s="87"/>
      <c r="BE1227" s="87"/>
      <c r="BF1227" s="87"/>
      <c r="BG1227" s="87"/>
      <c r="BH1227" s="87"/>
      <c r="BI1227" s="87"/>
      <c r="BJ1227" s="87"/>
      <c r="BK1227" s="87"/>
      <c r="BL1227" s="87"/>
      <c r="BM1227" s="87"/>
      <c r="BN1227" s="87"/>
      <c r="BO1227" s="87"/>
      <c r="BP1227" s="87"/>
      <c r="BQ1227" s="87"/>
      <c r="BR1227" s="87"/>
      <c r="BS1227" s="87"/>
      <c r="BT1227" s="87"/>
      <c r="BU1227" s="87"/>
      <c r="BV1227" s="87"/>
      <c r="BW1227" s="87"/>
      <c r="BX1227" s="87"/>
      <c r="BY1227" s="87"/>
    </row>
    <row r="1228" spans="21:77" x14ac:dyDescent="0.3">
      <c r="U1228" s="19"/>
      <c r="V1228" s="87"/>
      <c r="W1228" s="87"/>
      <c r="X1228" s="87"/>
      <c r="Y1228" s="87"/>
      <c r="Z1228" s="87"/>
      <c r="AA1228" s="87"/>
      <c r="AB1228" s="87"/>
      <c r="AC1228" s="87"/>
      <c r="AD1228" s="87"/>
      <c r="AE1228" s="87"/>
      <c r="AF1228" s="87"/>
      <c r="AG1228" s="87"/>
      <c r="AH1228" s="87"/>
      <c r="AI1228" s="87"/>
      <c r="AJ1228" s="87"/>
      <c r="AK1228" s="87"/>
      <c r="AL1228" s="87"/>
      <c r="AM1228" s="87"/>
      <c r="AN1228" s="87"/>
      <c r="AO1228" s="87"/>
      <c r="AP1228" s="87"/>
      <c r="AQ1228" s="87"/>
      <c r="AR1228" s="87"/>
      <c r="AS1228" s="87"/>
      <c r="AT1228" s="87"/>
      <c r="AU1228" s="87"/>
      <c r="AV1228" s="87"/>
      <c r="AW1228" s="87"/>
      <c r="AX1228" s="87"/>
      <c r="AY1228" s="87"/>
      <c r="AZ1228" s="87"/>
      <c r="BA1228" s="87"/>
      <c r="BB1228" s="87"/>
      <c r="BC1228" s="87"/>
      <c r="BD1228" s="87"/>
      <c r="BE1228" s="87"/>
      <c r="BF1228" s="87"/>
      <c r="BG1228" s="87"/>
      <c r="BH1228" s="87"/>
      <c r="BI1228" s="87"/>
      <c r="BJ1228" s="87"/>
      <c r="BK1228" s="87"/>
      <c r="BL1228" s="87"/>
      <c r="BM1228" s="87"/>
      <c r="BN1228" s="87"/>
      <c r="BO1228" s="87"/>
      <c r="BP1228" s="87"/>
      <c r="BQ1228" s="87"/>
      <c r="BR1228" s="87"/>
      <c r="BS1228" s="87"/>
      <c r="BT1228" s="87"/>
      <c r="BU1228" s="87"/>
      <c r="BV1228" s="87"/>
      <c r="BW1228" s="87"/>
      <c r="BX1228" s="87"/>
      <c r="BY1228" s="87"/>
    </row>
    <row r="1229" spans="21:77" x14ac:dyDescent="0.3">
      <c r="U1229" s="19"/>
      <c r="V1229" s="87"/>
      <c r="W1229" s="87"/>
      <c r="X1229" s="87"/>
      <c r="Y1229" s="87"/>
      <c r="Z1229" s="87"/>
      <c r="AA1229" s="87"/>
      <c r="AB1229" s="87"/>
      <c r="AC1229" s="87"/>
      <c r="AD1229" s="87"/>
      <c r="AE1229" s="87"/>
      <c r="AF1229" s="87"/>
      <c r="AG1229" s="87"/>
      <c r="AH1229" s="87"/>
      <c r="AI1229" s="87"/>
      <c r="AJ1229" s="87"/>
      <c r="AK1229" s="87"/>
      <c r="AL1229" s="87"/>
      <c r="AM1229" s="87"/>
      <c r="AN1229" s="87"/>
      <c r="AO1229" s="87"/>
      <c r="AP1229" s="87"/>
      <c r="AQ1229" s="87"/>
      <c r="AR1229" s="87"/>
      <c r="AS1229" s="87"/>
      <c r="AT1229" s="87"/>
      <c r="AU1229" s="87"/>
      <c r="AV1229" s="87"/>
      <c r="AW1229" s="87"/>
      <c r="AX1229" s="87"/>
      <c r="AY1229" s="87"/>
      <c r="AZ1229" s="87"/>
      <c r="BA1229" s="87"/>
      <c r="BB1229" s="87"/>
      <c r="BC1229" s="87"/>
      <c r="BD1229" s="87"/>
      <c r="BE1229" s="87"/>
      <c r="BF1229" s="87"/>
      <c r="BG1229" s="87"/>
      <c r="BH1229" s="87"/>
      <c r="BI1229" s="87"/>
      <c r="BJ1229" s="87"/>
      <c r="BK1229" s="87"/>
      <c r="BL1229" s="87"/>
      <c r="BM1229" s="87"/>
      <c r="BN1229" s="87"/>
      <c r="BO1229" s="87"/>
      <c r="BP1229" s="87"/>
      <c r="BQ1229" s="87"/>
      <c r="BR1229" s="87"/>
      <c r="BS1229" s="87"/>
      <c r="BT1229" s="87"/>
      <c r="BU1229" s="87"/>
      <c r="BV1229" s="87"/>
      <c r="BW1229" s="87"/>
      <c r="BX1229" s="87"/>
      <c r="BY1229" s="87"/>
    </row>
    <row r="1230" spans="21:77" x14ac:dyDescent="0.3">
      <c r="U1230" s="19"/>
      <c r="V1230" s="87"/>
      <c r="W1230" s="87"/>
      <c r="X1230" s="87"/>
      <c r="Y1230" s="87"/>
      <c r="Z1230" s="87"/>
      <c r="AA1230" s="87"/>
      <c r="AB1230" s="87"/>
      <c r="AC1230" s="87"/>
      <c r="AD1230" s="87"/>
      <c r="AE1230" s="87"/>
      <c r="AF1230" s="87"/>
      <c r="AG1230" s="87"/>
      <c r="AH1230" s="87"/>
      <c r="AI1230" s="87"/>
      <c r="AJ1230" s="87"/>
      <c r="AK1230" s="87"/>
      <c r="AL1230" s="87"/>
      <c r="AM1230" s="87"/>
      <c r="AN1230" s="87"/>
      <c r="AO1230" s="87"/>
      <c r="AP1230" s="87"/>
      <c r="AQ1230" s="87"/>
      <c r="AR1230" s="87"/>
      <c r="AS1230" s="87"/>
      <c r="AT1230" s="87"/>
      <c r="AU1230" s="87"/>
      <c r="AV1230" s="87"/>
      <c r="AW1230" s="87"/>
      <c r="AX1230" s="87"/>
      <c r="AY1230" s="87"/>
      <c r="AZ1230" s="87"/>
      <c r="BA1230" s="87"/>
      <c r="BB1230" s="87"/>
      <c r="BC1230" s="87"/>
      <c r="BD1230" s="87"/>
      <c r="BE1230" s="87"/>
      <c r="BF1230" s="87"/>
      <c r="BG1230" s="87"/>
      <c r="BH1230" s="87"/>
      <c r="BI1230" s="87"/>
      <c r="BJ1230" s="87"/>
      <c r="BK1230" s="87"/>
      <c r="BL1230" s="87"/>
      <c r="BM1230" s="87"/>
      <c r="BN1230" s="87"/>
      <c r="BO1230" s="87"/>
      <c r="BP1230" s="87"/>
      <c r="BQ1230" s="87"/>
      <c r="BR1230" s="87"/>
      <c r="BS1230" s="87"/>
      <c r="BT1230" s="87"/>
      <c r="BU1230" s="87"/>
      <c r="BV1230" s="87"/>
      <c r="BW1230" s="87"/>
      <c r="BX1230" s="87"/>
      <c r="BY1230" s="87"/>
    </row>
    <row r="1231" spans="21:77" x14ac:dyDescent="0.3">
      <c r="U1231" s="19"/>
      <c r="V1231" s="87"/>
      <c r="W1231" s="87"/>
      <c r="X1231" s="87"/>
      <c r="Y1231" s="87"/>
      <c r="Z1231" s="87"/>
      <c r="AA1231" s="87"/>
      <c r="AB1231" s="87"/>
      <c r="AC1231" s="87"/>
      <c r="AD1231" s="87"/>
      <c r="AE1231" s="87"/>
      <c r="AF1231" s="87"/>
      <c r="AG1231" s="87"/>
      <c r="AH1231" s="87"/>
      <c r="AI1231" s="87"/>
      <c r="AJ1231" s="87"/>
      <c r="AK1231" s="87"/>
      <c r="AL1231" s="87"/>
      <c r="AM1231" s="87"/>
      <c r="AN1231" s="87"/>
      <c r="AO1231" s="87"/>
      <c r="AP1231" s="87"/>
      <c r="AQ1231" s="87"/>
      <c r="AR1231" s="87"/>
      <c r="AS1231" s="87"/>
      <c r="AT1231" s="87"/>
      <c r="AU1231" s="87"/>
      <c r="AV1231" s="87"/>
      <c r="AW1231" s="87"/>
      <c r="AX1231" s="87"/>
      <c r="AY1231" s="87"/>
      <c r="AZ1231" s="87"/>
      <c r="BA1231" s="87"/>
      <c r="BB1231" s="87"/>
      <c r="BC1231" s="87"/>
      <c r="BD1231" s="87"/>
      <c r="BE1231" s="87"/>
      <c r="BF1231" s="87"/>
      <c r="BG1231" s="87"/>
      <c r="BH1231" s="87"/>
      <c r="BI1231" s="87"/>
      <c r="BJ1231" s="87"/>
      <c r="BK1231" s="87"/>
      <c r="BL1231" s="87"/>
      <c r="BM1231" s="87"/>
      <c r="BN1231" s="87"/>
      <c r="BO1231" s="87"/>
      <c r="BP1231" s="87"/>
      <c r="BQ1231" s="87"/>
      <c r="BR1231" s="87"/>
      <c r="BS1231" s="87"/>
      <c r="BT1231" s="87"/>
      <c r="BU1231" s="87"/>
      <c r="BV1231" s="87"/>
      <c r="BW1231" s="87"/>
      <c r="BX1231" s="87"/>
      <c r="BY1231" s="87"/>
    </row>
    <row r="1232" spans="21:77" x14ac:dyDescent="0.3">
      <c r="U1232" s="19"/>
      <c r="V1232" s="87"/>
      <c r="W1232" s="87"/>
      <c r="X1232" s="87"/>
      <c r="Y1232" s="87"/>
      <c r="Z1232" s="87"/>
      <c r="AA1232" s="87"/>
      <c r="AB1232" s="87"/>
      <c r="AC1232" s="87"/>
      <c r="AD1232" s="87"/>
      <c r="AE1232" s="87"/>
      <c r="AF1232" s="87"/>
      <c r="AG1232" s="87"/>
      <c r="AH1232" s="87"/>
      <c r="AI1232" s="87"/>
      <c r="AJ1232" s="87"/>
      <c r="AK1232" s="87"/>
      <c r="AL1232" s="87"/>
      <c r="AM1232" s="87"/>
      <c r="AN1232" s="87"/>
      <c r="AO1232" s="87"/>
      <c r="AP1232" s="87"/>
      <c r="AQ1232" s="87"/>
      <c r="AR1232" s="87"/>
      <c r="AS1232" s="87"/>
      <c r="AT1232" s="87"/>
      <c r="AU1232" s="87"/>
      <c r="AV1232" s="87"/>
      <c r="AW1232" s="87"/>
      <c r="AX1232" s="87"/>
      <c r="AY1232" s="87"/>
      <c r="AZ1232" s="87"/>
      <c r="BA1232" s="87"/>
      <c r="BB1232" s="87"/>
      <c r="BC1232" s="87"/>
      <c r="BD1232" s="87"/>
      <c r="BE1232" s="87"/>
      <c r="BF1232" s="87"/>
      <c r="BG1232" s="87"/>
      <c r="BH1232" s="87"/>
      <c r="BI1232" s="87"/>
      <c r="BJ1232" s="87"/>
      <c r="BK1232" s="87"/>
      <c r="BL1232" s="87"/>
      <c r="BM1232" s="87"/>
      <c r="BN1232" s="87"/>
      <c r="BO1232" s="87"/>
      <c r="BP1232" s="87"/>
      <c r="BQ1232" s="87"/>
      <c r="BR1232" s="87"/>
      <c r="BS1232" s="87"/>
      <c r="BT1232" s="87"/>
      <c r="BU1232" s="87"/>
      <c r="BV1232" s="87"/>
      <c r="BW1232" s="87"/>
      <c r="BX1232" s="87"/>
      <c r="BY1232" s="87"/>
    </row>
    <row r="1233" spans="21:77" x14ac:dyDescent="0.3">
      <c r="U1233" s="19"/>
      <c r="V1233" s="87"/>
      <c r="W1233" s="87"/>
      <c r="X1233" s="87"/>
      <c r="Y1233" s="87"/>
      <c r="Z1233" s="87"/>
      <c r="AA1233" s="87"/>
      <c r="AB1233" s="87"/>
      <c r="AC1233" s="87"/>
      <c r="AD1233" s="87"/>
      <c r="AE1233" s="87"/>
      <c r="AF1233" s="87"/>
      <c r="AG1233" s="87"/>
      <c r="AH1233" s="87"/>
      <c r="AI1233" s="87"/>
      <c r="AJ1233" s="87"/>
      <c r="AK1233" s="87"/>
      <c r="AL1233" s="87"/>
      <c r="AM1233" s="87"/>
      <c r="AN1233" s="87"/>
      <c r="AO1233" s="87"/>
      <c r="AP1233" s="87"/>
      <c r="AQ1233" s="87"/>
      <c r="AR1233" s="87"/>
      <c r="AS1233" s="87"/>
      <c r="AT1233" s="87"/>
      <c r="AU1233" s="87"/>
      <c r="AV1233" s="87"/>
      <c r="AW1233" s="87"/>
      <c r="AX1233" s="87"/>
      <c r="AY1233" s="87"/>
      <c r="AZ1233" s="87"/>
      <c r="BA1233" s="87"/>
      <c r="BB1233" s="87"/>
      <c r="BC1233" s="87"/>
      <c r="BD1233" s="87"/>
      <c r="BE1233" s="87"/>
      <c r="BF1233" s="87"/>
      <c r="BG1233" s="87"/>
      <c r="BH1233" s="87"/>
      <c r="BI1233" s="87"/>
      <c r="BJ1233" s="87"/>
      <c r="BK1233" s="87"/>
      <c r="BL1233" s="87"/>
      <c r="BM1233" s="87"/>
      <c r="BN1233" s="87"/>
      <c r="BO1233" s="87"/>
      <c r="BP1233" s="87"/>
      <c r="BQ1233" s="87"/>
      <c r="BR1233" s="87"/>
      <c r="BS1233" s="87"/>
      <c r="BT1233" s="87"/>
      <c r="BU1233" s="87"/>
      <c r="BV1233" s="87"/>
      <c r="BW1233" s="87"/>
      <c r="BX1233" s="87"/>
      <c r="BY1233" s="87"/>
    </row>
    <row r="1234" spans="21:77" x14ac:dyDescent="0.3">
      <c r="U1234" s="19"/>
      <c r="V1234" s="87"/>
      <c r="W1234" s="87"/>
      <c r="X1234" s="87"/>
      <c r="Y1234" s="87"/>
      <c r="Z1234" s="87"/>
      <c r="AA1234" s="87"/>
      <c r="AB1234" s="87"/>
      <c r="AC1234" s="87"/>
      <c r="AD1234" s="87"/>
      <c r="AE1234" s="87"/>
      <c r="AF1234" s="87"/>
      <c r="AG1234" s="87"/>
      <c r="AH1234" s="87"/>
      <c r="AI1234" s="87"/>
      <c r="AJ1234" s="87"/>
      <c r="AK1234" s="87"/>
      <c r="AL1234" s="87"/>
      <c r="AM1234" s="87"/>
      <c r="AN1234" s="87"/>
      <c r="AO1234" s="87"/>
      <c r="AP1234" s="87"/>
      <c r="AQ1234" s="87"/>
      <c r="AR1234" s="87"/>
      <c r="AS1234" s="87"/>
      <c r="AT1234" s="87"/>
      <c r="AU1234" s="87"/>
      <c r="AV1234" s="87"/>
      <c r="AW1234" s="87"/>
      <c r="AX1234" s="87"/>
      <c r="AY1234" s="87"/>
      <c r="AZ1234" s="87"/>
      <c r="BA1234" s="87"/>
      <c r="BB1234" s="87"/>
      <c r="BC1234" s="87"/>
      <c r="BD1234" s="87"/>
      <c r="BE1234" s="87"/>
      <c r="BF1234" s="87"/>
      <c r="BG1234" s="87"/>
      <c r="BH1234" s="87"/>
      <c r="BI1234" s="87"/>
      <c r="BJ1234" s="87"/>
      <c r="BK1234" s="87"/>
      <c r="BL1234" s="87"/>
      <c r="BM1234" s="87"/>
      <c r="BN1234" s="87"/>
      <c r="BO1234" s="87"/>
      <c r="BP1234" s="87"/>
      <c r="BQ1234" s="87"/>
      <c r="BR1234" s="87"/>
      <c r="BS1234" s="87"/>
      <c r="BT1234" s="87"/>
      <c r="BU1234" s="87"/>
      <c r="BV1234" s="87"/>
      <c r="BW1234" s="87"/>
      <c r="BX1234" s="87"/>
      <c r="BY1234" s="87"/>
    </row>
    <row r="1235" spans="21:77" x14ac:dyDescent="0.3">
      <c r="U1235" s="19"/>
      <c r="V1235" s="87"/>
      <c r="W1235" s="87"/>
      <c r="X1235" s="87"/>
      <c r="Y1235" s="87"/>
      <c r="Z1235" s="87"/>
      <c r="AA1235" s="87"/>
      <c r="AB1235" s="87"/>
      <c r="AC1235" s="87"/>
      <c r="AD1235" s="87"/>
      <c r="AE1235" s="87"/>
      <c r="AF1235" s="87"/>
      <c r="AG1235" s="87"/>
      <c r="AH1235" s="87"/>
      <c r="AI1235" s="87"/>
      <c r="AJ1235" s="87"/>
      <c r="AK1235" s="87"/>
      <c r="AL1235" s="87"/>
      <c r="AM1235" s="87"/>
      <c r="AN1235" s="87"/>
      <c r="AO1235" s="87"/>
      <c r="AP1235" s="87"/>
      <c r="AQ1235" s="87"/>
      <c r="AR1235" s="87"/>
      <c r="AS1235" s="87"/>
      <c r="AT1235" s="87"/>
      <c r="AU1235" s="87"/>
      <c r="AV1235" s="87"/>
      <c r="AW1235" s="87"/>
      <c r="AX1235" s="87"/>
      <c r="AY1235" s="87"/>
      <c r="AZ1235" s="87"/>
      <c r="BA1235" s="87"/>
      <c r="BB1235" s="87"/>
      <c r="BC1235" s="87"/>
      <c r="BD1235" s="87"/>
      <c r="BE1235" s="87"/>
      <c r="BF1235" s="87"/>
      <c r="BG1235" s="87"/>
      <c r="BH1235" s="87"/>
      <c r="BI1235" s="87"/>
      <c r="BJ1235" s="87"/>
      <c r="BK1235" s="87"/>
      <c r="BL1235" s="87"/>
      <c r="BM1235" s="87"/>
      <c r="BN1235" s="87"/>
      <c r="BO1235" s="87"/>
      <c r="BP1235" s="87"/>
      <c r="BQ1235" s="87"/>
      <c r="BR1235" s="87"/>
      <c r="BS1235" s="87"/>
      <c r="BT1235" s="87"/>
      <c r="BU1235" s="87"/>
      <c r="BV1235" s="87"/>
      <c r="BW1235" s="87"/>
      <c r="BX1235" s="87"/>
      <c r="BY1235" s="87"/>
    </row>
    <row r="1236" spans="21:77" x14ac:dyDescent="0.3">
      <c r="U1236" s="19"/>
      <c r="V1236" s="87"/>
      <c r="W1236" s="87"/>
      <c r="X1236" s="87"/>
      <c r="Y1236" s="87"/>
      <c r="Z1236" s="87"/>
      <c r="AA1236" s="87"/>
      <c r="AB1236" s="87"/>
      <c r="AC1236" s="87"/>
      <c r="AD1236" s="87"/>
      <c r="AE1236" s="87"/>
      <c r="AF1236" s="87"/>
      <c r="AG1236" s="87"/>
      <c r="AH1236" s="87"/>
      <c r="AI1236" s="87"/>
      <c r="AJ1236" s="87"/>
      <c r="AK1236" s="87"/>
      <c r="AL1236" s="87"/>
      <c r="AM1236" s="87"/>
      <c r="AN1236" s="87"/>
      <c r="AO1236" s="87"/>
      <c r="AP1236" s="87"/>
      <c r="AQ1236" s="87"/>
      <c r="AR1236" s="87"/>
      <c r="AS1236" s="87"/>
      <c r="AT1236" s="87"/>
      <c r="AU1236" s="87"/>
      <c r="AV1236" s="87"/>
      <c r="AW1236" s="87"/>
      <c r="AX1236" s="87"/>
      <c r="AY1236" s="87"/>
      <c r="AZ1236" s="87"/>
      <c r="BA1236" s="87"/>
      <c r="BB1236" s="87"/>
      <c r="BC1236" s="87"/>
      <c r="BD1236" s="87"/>
      <c r="BE1236" s="87"/>
      <c r="BF1236" s="87"/>
      <c r="BG1236" s="87"/>
      <c r="BH1236" s="87"/>
      <c r="BI1236" s="87"/>
      <c r="BJ1236" s="87"/>
      <c r="BK1236" s="87"/>
      <c r="BL1236" s="87"/>
      <c r="BM1236" s="87"/>
      <c r="BN1236" s="87"/>
      <c r="BO1236" s="87"/>
      <c r="BP1236" s="87"/>
      <c r="BQ1236" s="87"/>
      <c r="BR1236" s="87"/>
      <c r="BS1236" s="87"/>
      <c r="BT1236" s="87"/>
      <c r="BU1236" s="87"/>
      <c r="BV1236" s="87"/>
      <c r="BW1236" s="87"/>
      <c r="BX1236" s="87"/>
      <c r="BY1236" s="87"/>
    </row>
    <row r="1237" spans="21:77" x14ac:dyDescent="0.3">
      <c r="U1237" s="19"/>
      <c r="V1237" s="87"/>
      <c r="W1237" s="87"/>
      <c r="X1237" s="87"/>
      <c r="Y1237" s="87"/>
      <c r="Z1237" s="87"/>
      <c r="AA1237" s="87"/>
      <c r="AB1237" s="87"/>
      <c r="AC1237" s="87"/>
      <c r="AD1237" s="87"/>
      <c r="AE1237" s="87"/>
      <c r="AF1237" s="87"/>
      <c r="AG1237" s="87"/>
      <c r="AH1237" s="87"/>
      <c r="AI1237" s="87"/>
      <c r="AJ1237" s="87"/>
      <c r="AK1237" s="87"/>
      <c r="AL1237" s="87"/>
      <c r="AM1237" s="87"/>
      <c r="AN1237" s="87"/>
      <c r="AO1237" s="87"/>
      <c r="AP1237" s="87"/>
      <c r="AQ1237" s="87"/>
      <c r="AR1237" s="87"/>
      <c r="AS1237" s="87"/>
      <c r="AT1237" s="87"/>
      <c r="AU1237" s="87"/>
      <c r="AV1237" s="87"/>
      <c r="AW1237" s="87"/>
      <c r="AX1237" s="87"/>
      <c r="AY1237" s="87"/>
      <c r="AZ1237" s="87"/>
      <c r="BA1237" s="87"/>
      <c r="BB1237" s="87"/>
      <c r="BC1237" s="87"/>
      <c r="BD1237" s="87"/>
      <c r="BE1237" s="87"/>
      <c r="BF1237" s="87"/>
      <c r="BG1237" s="87"/>
      <c r="BH1237" s="87"/>
      <c r="BI1237" s="87"/>
      <c r="BJ1237" s="87"/>
      <c r="BK1237" s="87"/>
      <c r="BL1237" s="87"/>
      <c r="BM1237" s="87"/>
      <c r="BN1237" s="87"/>
      <c r="BO1237" s="87"/>
      <c r="BP1237" s="87"/>
      <c r="BQ1237" s="87"/>
      <c r="BR1237" s="87"/>
      <c r="BS1237" s="87"/>
      <c r="BT1237" s="87"/>
      <c r="BU1237" s="87"/>
      <c r="BV1237" s="87"/>
      <c r="BW1237" s="87"/>
      <c r="BX1237" s="87"/>
      <c r="BY1237" s="87"/>
    </row>
    <row r="1238" spans="21:77" x14ac:dyDescent="0.3">
      <c r="U1238" s="19"/>
      <c r="V1238" s="87"/>
      <c r="W1238" s="87"/>
      <c r="X1238" s="87"/>
      <c r="Y1238" s="87"/>
      <c r="Z1238" s="87"/>
      <c r="AA1238" s="87"/>
      <c r="AB1238" s="87"/>
      <c r="AC1238" s="87"/>
      <c r="AD1238" s="87"/>
      <c r="AE1238" s="87"/>
      <c r="AF1238" s="87"/>
      <c r="AG1238" s="87"/>
      <c r="AH1238" s="87"/>
      <c r="AI1238" s="87"/>
      <c r="AJ1238" s="87"/>
      <c r="AK1238" s="87"/>
      <c r="AL1238" s="87"/>
      <c r="AM1238" s="87"/>
      <c r="AN1238" s="87"/>
      <c r="AO1238" s="87"/>
      <c r="AP1238" s="87"/>
      <c r="AQ1238" s="87"/>
      <c r="AR1238" s="87"/>
      <c r="AS1238" s="87"/>
      <c r="AT1238" s="87"/>
      <c r="AU1238" s="87"/>
      <c r="AV1238" s="87"/>
      <c r="AW1238" s="87"/>
      <c r="AX1238" s="87"/>
      <c r="AY1238" s="87"/>
      <c r="AZ1238" s="87"/>
      <c r="BA1238" s="87"/>
      <c r="BB1238" s="87"/>
      <c r="BC1238" s="87"/>
      <c r="BD1238" s="87"/>
      <c r="BE1238" s="87"/>
      <c r="BF1238" s="87"/>
      <c r="BG1238" s="87"/>
      <c r="BH1238" s="87"/>
      <c r="BI1238" s="87"/>
      <c r="BJ1238" s="87"/>
      <c r="BK1238" s="87"/>
      <c r="BL1238" s="87"/>
      <c r="BM1238" s="87"/>
      <c r="BN1238" s="87"/>
      <c r="BO1238" s="87"/>
      <c r="BP1238" s="87"/>
      <c r="BQ1238" s="87"/>
      <c r="BR1238" s="87"/>
      <c r="BS1238" s="87"/>
      <c r="BT1238" s="87"/>
      <c r="BU1238" s="87"/>
      <c r="BV1238" s="87"/>
      <c r="BW1238" s="87"/>
      <c r="BX1238" s="87"/>
      <c r="BY1238" s="87"/>
    </row>
    <row r="1239" spans="21:77" x14ac:dyDescent="0.3">
      <c r="U1239" s="19"/>
      <c r="V1239" s="87"/>
      <c r="W1239" s="87"/>
      <c r="X1239" s="87"/>
      <c r="Y1239" s="87"/>
      <c r="Z1239" s="87"/>
      <c r="AA1239" s="87"/>
      <c r="AB1239" s="87"/>
      <c r="AC1239" s="87"/>
      <c r="AD1239" s="87"/>
      <c r="AE1239" s="87"/>
      <c r="AF1239" s="87"/>
      <c r="AG1239" s="87"/>
      <c r="AH1239" s="87"/>
      <c r="AI1239" s="87"/>
      <c r="AJ1239" s="87"/>
      <c r="AK1239" s="87"/>
      <c r="AL1239" s="87"/>
      <c r="AM1239" s="87"/>
      <c r="AN1239" s="87"/>
      <c r="AO1239" s="87"/>
      <c r="AP1239" s="87"/>
      <c r="AQ1239" s="87"/>
      <c r="AR1239" s="87"/>
      <c r="AS1239" s="87"/>
      <c r="AT1239" s="87"/>
      <c r="AU1239" s="87"/>
      <c r="AV1239" s="87"/>
      <c r="AW1239" s="87"/>
      <c r="AX1239" s="87"/>
      <c r="AY1239" s="87"/>
      <c r="AZ1239" s="87"/>
      <c r="BA1239" s="87"/>
      <c r="BB1239" s="87"/>
      <c r="BC1239" s="87"/>
      <c r="BD1239" s="87"/>
      <c r="BE1239" s="87"/>
      <c r="BF1239" s="87"/>
      <c r="BG1239" s="87"/>
      <c r="BH1239" s="87"/>
      <c r="BI1239" s="87"/>
      <c r="BJ1239" s="87"/>
      <c r="BK1239" s="87"/>
      <c r="BL1239" s="87"/>
      <c r="BM1239" s="87"/>
      <c r="BN1239" s="87"/>
      <c r="BO1239" s="87"/>
      <c r="BP1239" s="87"/>
      <c r="BQ1239" s="87"/>
      <c r="BR1239" s="87"/>
      <c r="BS1239" s="87"/>
      <c r="BT1239" s="87"/>
      <c r="BU1239" s="87"/>
      <c r="BV1239" s="87"/>
      <c r="BW1239" s="87"/>
      <c r="BX1239" s="87"/>
      <c r="BY1239" s="87"/>
    </row>
    <row r="1240" spans="21:77" x14ac:dyDescent="0.3">
      <c r="U1240" s="19"/>
      <c r="V1240" s="87"/>
      <c r="W1240" s="87"/>
      <c r="X1240" s="87"/>
      <c r="Y1240" s="87"/>
      <c r="Z1240" s="87"/>
      <c r="AA1240" s="87"/>
      <c r="AB1240" s="87"/>
      <c r="AC1240" s="87"/>
      <c r="AD1240" s="87"/>
      <c r="AE1240" s="87"/>
      <c r="AF1240" s="87"/>
      <c r="AG1240" s="87"/>
      <c r="AH1240" s="87"/>
      <c r="AI1240" s="87"/>
      <c r="AJ1240" s="87"/>
      <c r="AK1240" s="87"/>
      <c r="AL1240" s="87"/>
      <c r="AM1240" s="87"/>
      <c r="AN1240" s="87"/>
      <c r="AO1240" s="87"/>
      <c r="AP1240" s="87"/>
      <c r="AQ1240" s="87"/>
      <c r="AR1240" s="87"/>
      <c r="AS1240" s="87"/>
      <c r="AT1240" s="87"/>
      <c r="AU1240" s="87"/>
      <c r="AV1240" s="87"/>
      <c r="AW1240" s="87"/>
      <c r="AX1240" s="87"/>
      <c r="AY1240" s="87"/>
      <c r="AZ1240" s="87"/>
      <c r="BA1240" s="87"/>
      <c r="BB1240" s="87"/>
      <c r="BC1240" s="87"/>
      <c r="BD1240" s="87"/>
      <c r="BE1240" s="87"/>
      <c r="BF1240" s="87"/>
      <c r="BG1240" s="87"/>
      <c r="BH1240" s="87"/>
      <c r="BI1240" s="87"/>
      <c r="BJ1240" s="87"/>
      <c r="BK1240" s="87"/>
      <c r="BL1240" s="87"/>
      <c r="BM1240" s="87"/>
      <c r="BN1240" s="87"/>
      <c r="BO1240" s="87"/>
      <c r="BP1240" s="87"/>
      <c r="BQ1240" s="87"/>
      <c r="BR1240" s="87"/>
      <c r="BS1240" s="87"/>
      <c r="BT1240" s="87"/>
      <c r="BU1240" s="87"/>
      <c r="BV1240" s="87"/>
      <c r="BW1240" s="87"/>
      <c r="BX1240" s="87"/>
      <c r="BY1240" s="87"/>
    </row>
    <row r="1241" spans="21:77" x14ac:dyDescent="0.3">
      <c r="U1241" s="19"/>
      <c r="V1241" s="87"/>
      <c r="W1241" s="87"/>
      <c r="X1241" s="87"/>
      <c r="Y1241" s="87"/>
      <c r="Z1241" s="87"/>
      <c r="AA1241" s="87"/>
      <c r="AB1241" s="87"/>
      <c r="AC1241" s="87"/>
      <c r="AD1241" s="87"/>
      <c r="AE1241" s="87"/>
      <c r="AF1241" s="87"/>
      <c r="AG1241" s="87"/>
      <c r="AH1241" s="87"/>
      <c r="AI1241" s="87"/>
      <c r="AJ1241" s="87"/>
      <c r="AK1241" s="87"/>
      <c r="AL1241" s="87"/>
      <c r="AM1241" s="87"/>
      <c r="AN1241" s="87"/>
      <c r="AO1241" s="87"/>
      <c r="AP1241" s="87"/>
      <c r="AQ1241" s="87"/>
      <c r="AR1241" s="87"/>
      <c r="AS1241" s="87"/>
      <c r="AT1241" s="87"/>
      <c r="AU1241" s="87"/>
      <c r="AV1241" s="87"/>
      <c r="AW1241" s="87"/>
      <c r="AX1241" s="87"/>
      <c r="AY1241" s="87"/>
      <c r="AZ1241" s="87"/>
      <c r="BA1241" s="87"/>
      <c r="BB1241" s="87"/>
      <c r="BC1241" s="87"/>
      <c r="BD1241" s="87"/>
      <c r="BE1241" s="87"/>
      <c r="BF1241" s="87"/>
      <c r="BG1241" s="87"/>
      <c r="BH1241" s="87"/>
      <c r="BI1241" s="87"/>
      <c r="BJ1241" s="87"/>
      <c r="BK1241" s="87"/>
      <c r="BL1241" s="87"/>
      <c r="BM1241" s="87"/>
      <c r="BN1241" s="87"/>
      <c r="BO1241" s="87"/>
      <c r="BP1241" s="87"/>
      <c r="BQ1241" s="87"/>
      <c r="BR1241" s="87"/>
      <c r="BS1241" s="87"/>
      <c r="BT1241" s="87"/>
      <c r="BU1241" s="87"/>
      <c r="BV1241" s="87"/>
      <c r="BW1241" s="87"/>
      <c r="BX1241" s="87"/>
      <c r="BY1241" s="87"/>
    </row>
    <row r="1242" spans="21:77" x14ac:dyDescent="0.3">
      <c r="U1242" s="19"/>
      <c r="V1242" s="87"/>
      <c r="W1242" s="87"/>
      <c r="X1242" s="87"/>
      <c r="Y1242" s="87"/>
      <c r="Z1242" s="87"/>
      <c r="AA1242" s="87"/>
      <c r="AB1242" s="87"/>
      <c r="AC1242" s="87"/>
      <c r="AD1242" s="87"/>
      <c r="AE1242" s="87"/>
      <c r="AF1242" s="87"/>
      <c r="AG1242" s="87"/>
      <c r="AH1242" s="87"/>
      <c r="AI1242" s="87"/>
      <c r="AJ1242" s="87"/>
      <c r="AK1242" s="87"/>
      <c r="AL1242" s="87"/>
      <c r="AM1242" s="87"/>
      <c r="AN1242" s="87"/>
      <c r="AO1242" s="87"/>
      <c r="AP1242" s="87"/>
      <c r="AQ1242" s="87"/>
      <c r="AR1242" s="87"/>
      <c r="AS1242" s="87"/>
      <c r="AT1242" s="87"/>
      <c r="AU1242" s="87"/>
      <c r="AV1242" s="87"/>
      <c r="AW1242" s="87"/>
      <c r="AX1242" s="87"/>
      <c r="AY1242" s="87"/>
      <c r="AZ1242" s="87"/>
      <c r="BA1242" s="87"/>
      <c r="BB1242" s="87"/>
      <c r="BC1242" s="87"/>
      <c r="BD1242" s="87"/>
      <c r="BE1242" s="87"/>
      <c r="BF1242" s="87"/>
      <c r="BG1242" s="87"/>
      <c r="BH1242" s="87"/>
      <c r="BI1242" s="87"/>
      <c r="BJ1242" s="87"/>
      <c r="BK1242" s="87"/>
      <c r="BL1242" s="87"/>
      <c r="BM1242" s="87"/>
      <c r="BN1242" s="87"/>
      <c r="BO1242" s="87"/>
      <c r="BP1242" s="87"/>
      <c r="BQ1242" s="87"/>
      <c r="BR1242" s="87"/>
      <c r="BS1242" s="87"/>
      <c r="BT1242" s="87"/>
      <c r="BU1242" s="87"/>
      <c r="BV1242" s="87"/>
      <c r="BW1242" s="87"/>
      <c r="BX1242" s="87"/>
      <c r="BY1242" s="87"/>
    </row>
    <row r="1243" spans="21:77" x14ac:dyDescent="0.3">
      <c r="U1243" s="19"/>
      <c r="V1243" s="87"/>
      <c r="W1243" s="87"/>
      <c r="X1243" s="87"/>
      <c r="Y1243" s="87"/>
      <c r="Z1243" s="87"/>
      <c r="AA1243" s="87"/>
      <c r="AB1243" s="87"/>
      <c r="AC1243" s="87"/>
      <c r="AD1243" s="87"/>
      <c r="AE1243" s="87"/>
      <c r="AF1243" s="87"/>
      <c r="AG1243" s="87"/>
      <c r="AH1243" s="87"/>
      <c r="AI1243" s="87"/>
      <c r="AJ1243" s="87"/>
      <c r="AK1243" s="87"/>
      <c r="AL1243" s="87"/>
      <c r="AM1243" s="87"/>
      <c r="AN1243" s="87"/>
      <c r="AO1243" s="87"/>
      <c r="AP1243" s="87"/>
      <c r="AQ1243" s="87"/>
      <c r="AR1243" s="87"/>
      <c r="AS1243" s="87"/>
      <c r="AT1243" s="87"/>
      <c r="AU1243" s="87"/>
      <c r="AV1243" s="87"/>
      <c r="AW1243" s="87"/>
      <c r="AX1243" s="87"/>
      <c r="AY1243" s="87"/>
      <c r="AZ1243" s="87"/>
      <c r="BA1243" s="87"/>
      <c r="BB1243" s="87"/>
      <c r="BC1243" s="87"/>
      <c r="BD1243" s="87"/>
      <c r="BE1243" s="87"/>
      <c r="BF1243" s="87"/>
      <c r="BG1243" s="87"/>
      <c r="BH1243" s="87"/>
      <c r="BI1243" s="87"/>
      <c r="BJ1243" s="87"/>
      <c r="BK1243" s="87"/>
      <c r="BL1243" s="87"/>
      <c r="BM1243" s="87"/>
      <c r="BN1243" s="87"/>
      <c r="BO1243" s="87"/>
      <c r="BP1243" s="87"/>
      <c r="BQ1243" s="87"/>
      <c r="BR1243" s="87"/>
      <c r="BS1243" s="87"/>
      <c r="BT1243" s="87"/>
      <c r="BU1243" s="87"/>
      <c r="BV1243" s="87"/>
      <c r="BW1243" s="87"/>
      <c r="BX1243" s="87"/>
      <c r="BY1243" s="87"/>
    </row>
    <row r="1244" spans="21:77" x14ac:dyDescent="0.3">
      <c r="U1244" s="19"/>
      <c r="V1244" s="87"/>
      <c r="W1244" s="87"/>
      <c r="X1244" s="87"/>
      <c r="Y1244" s="87"/>
      <c r="Z1244" s="87"/>
      <c r="AA1244" s="87"/>
      <c r="AB1244" s="87"/>
      <c r="AC1244" s="87"/>
      <c r="AD1244" s="87"/>
      <c r="AE1244" s="87"/>
      <c r="AF1244" s="87"/>
      <c r="AG1244" s="87"/>
      <c r="AH1244" s="87"/>
      <c r="AI1244" s="87"/>
      <c r="AJ1244" s="87"/>
      <c r="AK1244" s="87"/>
      <c r="AL1244" s="87"/>
      <c r="AM1244" s="87"/>
      <c r="AN1244" s="87"/>
      <c r="AO1244" s="87"/>
      <c r="AP1244" s="87"/>
      <c r="AQ1244" s="87"/>
      <c r="AR1244" s="87"/>
      <c r="AS1244" s="87"/>
      <c r="AT1244" s="87"/>
      <c r="AU1244" s="87"/>
      <c r="AV1244" s="87"/>
      <c r="AW1244" s="87"/>
      <c r="AX1244" s="87"/>
      <c r="AY1244" s="87"/>
      <c r="AZ1244" s="87"/>
      <c r="BA1244" s="87"/>
      <c r="BB1244" s="87"/>
      <c r="BC1244" s="87"/>
      <c r="BD1244" s="87"/>
      <c r="BE1244" s="87"/>
      <c r="BF1244" s="87"/>
      <c r="BG1244" s="87"/>
      <c r="BH1244" s="87"/>
      <c r="BI1244" s="87"/>
      <c r="BJ1244" s="87"/>
      <c r="BK1244" s="87"/>
      <c r="BL1244" s="87"/>
      <c r="BM1244" s="87"/>
      <c r="BN1244" s="87"/>
      <c r="BO1244" s="87"/>
      <c r="BP1244" s="87"/>
      <c r="BQ1244" s="87"/>
      <c r="BR1244" s="87"/>
      <c r="BS1244" s="87"/>
      <c r="BT1244" s="87"/>
      <c r="BU1244" s="87"/>
      <c r="BV1244" s="87"/>
      <c r="BW1244" s="87"/>
      <c r="BX1244" s="87"/>
      <c r="BY1244" s="87"/>
    </row>
    <row r="1245" spans="21:77" x14ac:dyDescent="0.3">
      <c r="U1245" s="19"/>
      <c r="V1245" s="87"/>
      <c r="W1245" s="87"/>
      <c r="X1245" s="87"/>
      <c r="Y1245" s="87"/>
      <c r="Z1245" s="87"/>
      <c r="AA1245" s="87"/>
      <c r="AB1245" s="87"/>
      <c r="AC1245" s="87"/>
      <c r="AD1245" s="87"/>
      <c r="AE1245" s="87"/>
      <c r="AF1245" s="87"/>
      <c r="AG1245" s="87"/>
      <c r="AH1245" s="87"/>
      <c r="AI1245" s="87"/>
      <c r="AJ1245" s="87"/>
      <c r="AK1245" s="87"/>
      <c r="AL1245" s="87"/>
      <c r="AM1245" s="87"/>
      <c r="AN1245" s="87"/>
      <c r="AO1245" s="87"/>
      <c r="AP1245" s="87"/>
      <c r="AQ1245" s="87"/>
      <c r="AR1245" s="87"/>
      <c r="AS1245" s="87"/>
      <c r="AT1245" s="87"/>
      <c r="AU1245" s="87"/>
      <c r="AV1245" s="87"/>
      <c r="AW1245" s="87"/>
      <c r="AX1245" s="87"/>
      <c r="AY1245" s="87"/>
      <c r="AZ1245" s="87"/>
      <c r="BA1245" s="87"/>
      <c r="BB1245" s="87"/>
      <c r="BC1245" s="87"/>
      <c r="BD1245" s="87"/>
      <c r="BE1245" s="87"/>
      <c r="BF1245" s="87"/>
      <c r="BG1245" s="87"/>
      <c r="BH1245" s="87"/>
      <c r="BI1245" s="87"/>
      <c r="BJ1245" s="87"/>
      <c r="BK1245" s="87"/>
      <c r="BL1245" s="87"/>
      <c r="BM1245" s="87"/>
      <c r="BN1245" s="87"/>
      <c r="BO1245" s="87"/>
      <c r="BP1245" s="87"/>
      <c r="BQ1245" s="87"/>
      <c r="BR1245" s="87"/>
      <c r="BS1245" s="87"/>
      <c r="BT1245" s="87"/>
      <c r="BU1245" s="87"/>
      <c r="BV1245" s="87"/>
      <c r="BW1245" s="87"/>
      <c r="BX1245" s="87"/>
      <c r="BY1245" s="87"/>
    </row>
    <row r="1246" spans="21:77" x14ac:dyDescent="0.3">
      <c r="U1246" s="19"/>
      <c r="V1246" s="87"/>
      <c r="W1246" s="87"/>
      <c r="X1246" s="87"/>
      <c r="Y1246" s="87"/>
      <c r="Z1246" s="87"/>
      <c r="AA1246" s="87"/>
      <c r="AB1246" s="87"/>
      <c r="AC1246" s="87"/>
      <c r="AD1246" s="87"/>
      <c r="AE1246" s="87"/>
      <c r="AF1246" s="87"/>
      <c r="AG1246" s="87"/>
      <c r="AH1246" s="87"/>
      <c r="AI1246" s="87"/>
      <c r="AJ1246" s="87"/>
      <c r="AK1246" s="87"/>
      <c r="AL1246" s="87"/>
      <c r="AM1246" s="87"/>
      <c r="AN1246" s="87"/>
      <c r="AO1246" s="87"/>
      <c r="AP1246" s="87"/>
      <c r="AQ1246" s="87"/>
      <c r="AR1246" s="87"/>
      <c r="AS1246" s="87"/>
      <c r="AT1246" s="87"/>
      <c r="AU1246" s="87"/>
      <c r="AV1246" s="87"/>
      <c r="AW1246" s="87"/>
      <c r="AX1246" s="87"/>
      <c r="AY1246" s="87"/>
      <c r="AZ1246" s="87"/>
      <c r="BA1246" s="87"/>
      <c r="BB1246" s="87"/>
      <c r="BC1246" s="87"/>
      <c r="BD1246" s="87"/>
      <c r="BE1246" s="87"/>
      <c r="BF1246" s="87"/>
      <c r="BG1246" s="87"/>
      <c r="BH1246" s="87"/>
      <c r="BI1246" s="87"/>
      <c r="BJ1246" s="87"/>
      <c r="BK1246" s="87"/>
      <c r="BL1246" s="87"/>
      <c r="BM1246" s="87"/>
      <c r="BN1246" s="87"/>
      <c r="BO1246" s="87"/>
      <c r="BP1246" s="87"/>
      <c r="BQ1246" s="87"/>
      <c r="BR1246" s="87"/>
      <c r="BS1246" s="87"/>
      <c r="BT1246" s="87"/>
      <c r="BU1246" s="87"/>
      <c r="BV1246" s="87"/>
      <c r="BW1246" s="87"/>
      <c r="BX1246" s="87"/>
      <c r="BY1246" s="87"/>
    </row>
    <row r="1247" spans="21:77" x14ac:dyDescent="0.3">
      <c r="U1247" s="19"/>
      <c r="V1247" s="87"/>
      <c r="W1247" s="87"/>
      <c r="X1247" s="87"/>
      <c r="Y1247" s="87"/>
      <c r="Z1247" s="87"/>
      <c r="AA1247" s="87"/>
      <c r="AB1247" s="87"/>
      <c r="AC1247" s="87"/>
      <c r="AD1247" s="87"/>
      <c r="AE1247" s="87"/>
      <c r="AF1247" s="87"/>
      <c r="AG1247" s="87"/>
      <c r="AH1247" s="87"/>
      <c r="AI1247" s="87"/>
      <c r="AJ1247" s="87"/>
      <c r="AK1247" s="87"/>
      <c r="AL1247" s="87"/>
      <c r="AM1247" s="87"/>
      <c r="AN1247" s="87"/>
      <c r="AO1247" s="87"/>
      <c r="AP1247" s="87"/>
      <c r="AQ1247" s="87"/>
      <c r="AR1247" s="87"/>
      <c r="AS1247" s="87"/>
      <c r="AT1247" s="87"/>
      <c r="AU1247" s="87"/>
      <c r="AV1247" s="87"/>
      <c r="AW1247" s="87"/>
      <c r="AX1247" s="87"/>
      <c r="AY1247" s="87"/>
      <c r="AZ1247" s="87"/>
      <c r="BA1247" s="87"/>
      <c r="BB1247" s="87"/>
      <c r="BC1247" s="87"/>
      <c r="BD1247" s="87"/>
      <c r="BE1247" s="87"/>
      <c r="BF1247" s="87"/>
      <c r="BG1247" s="87"/>
      <c r="BH1247" s="87"/>
      <c r="BI1247" s="87"/>
      <c r="BJ1247" s="87"/>
      <c r="BK1247" s="87"/>
      <c r="BL1247" s="87"/>
      <c r="BM1247" s="87"/>
      <c r="BN1247" s="87"/>
      <c r="BO1247" s="87"/>
      <c r="BP1247" s="87"/>
      <c r="BQ1247" s="87"/>
      <c r="BR1247" s="87"/>
      <c r="BS1247" s="87"/>
      <c r="BT1247" s="87"/>
      <c r="BU1247" s="87"/>
      <c r="BV1247" s="87"/>
      <c r="BW1247" s="87"/>
      <c r="BX1247" s="87"/>
      <c r="BY1247" s="87"/>
    </row>
    <row r="1248" spans="21:77" x14ac:dyDescent="0.3">
      <c r="U1248" s="19"/>
      <c r="V1248" s="87"/>
      <c r="W1248" s="87"/>
      <c r="X1248" s="87"/>
      <c r="Y1248" s="87"/>
      <c r="Z1248" s="87"/>
      <c r="AA1248" s="87"/>
      <c r="AB1248" s="87"/>
      <c r="AC1248" s="87"/>
      <c r="AD1248" s="87"/>
      <c r="AE1248" s="87"/>
      <c r="AF1248" s="87"/>
      <c r="AG1248" s="87"/>
      <c r="AH1248" s="87"/>
      <c r="AI1248" s="87"/>
      <c r="AJ1248" s="87"/>
      <c r="AK1248" s="87"/>
      <c r="AL1248" s="87"/>
      <c r="AM1248" s="87"/>
      <c r="AN1248" s="87"/>
      <c r="AO1248" s="87"/>
      <c r="AP1248" s="87"/>
      <c r="AQ1248" s="87"/>
      <c r="AR1248" s="87"/>
      <c r="AS1248" s="87"/>
      <c r="AT1248" s="87"/>
      <c r="AU1248" s="87"/>
      <c r="AV1248" s="87"/>
      <c r="AW1248" s="87"/>
      <c r="AX1248" s="87"/>
      <c r="AY1248" s="87"/>
      <c r="AZ1248" s="87"/>
      <c r="BA1248" s="87"/>
      <c r="BB1248" s="87"/>
      <c r="BC1248" s="87"/>
      <c r="BD1248" s="87"/>
      <c r="BE1248" s="87"/>
      <c r="BF1248" s="87"/>
      <c r="BG1248" s="87"/>
      <c r="BH1248" s="87"/>
      <c r="BI1248" s="87"/>
      <c r="BJ1248" s="87"/>
      <c r="BK1248" s="87"/>
      <c r="BL1248" s="87"/>
      <c r="BM1248" s="87"/>
      <c r="BN1248" s="87"/>
      <c r="BO1248" s="87"/>
      <c r="BP1248" s="87"/>
      <c r="BQ1248" s="87"/>
      <c r="BR1248" s="87"/>
      <c r="BS1248" s="87"/>
      <c r="BT1248" s="87"/>
      <c r="BU1248" s="87"/>
      <c r="BV1248" s="87"/>
      <c r="BW1248" s="87"/>
      <c r="BX1248" s="87"/>
      <c r="BY1248" s="87"/>
    </row>
    <row r="1249" spans="21:77" x14ac:dyDescent="0.3">
      <c r="U1249" s="19"/>
      <c r="V1249" s="87"/>
      <c r="W1249" s="87"/>
      <c r="X1249" s="87"/>
      <c r="Y1249" s="87"/>
      <c r="Z1249" s="87"/>
      <c r="AA1249" s="87"/>
      <c r="AB1249" s="87"/>
      <c r="AC1249" s="87"/>
      <c r="AD1249" s="87"/>
      <c r="AE1249" s="87"/>
      <c r="AF1249" s="87"/>
      <c r="AG1249" s="87"/>
      <c r="AH1249" s="87"/>
      <c r="AI1249" s="87"/>
      <c r="AJ1249" s="87"/>
      <c r="AK1249" s="87"/>
      <c r="AL1249" s="87"/>
      <c r="AM1249" s="87"/>
      <c r="AN1249" s="87"/>
      <c r="AO1249" s="87"/>
      <c r="AP1249" s="87"/>
      <c r="AQ1249" s="87"/>
      <c r="AR1249" s="87"/>
      <c r="AS1249" s="87"/>
      <c r="AT1249" s="87"/>
      <c r="AU1249" s="87"/>
      <c r="AV1249" s="87"/>
      <c r="AW1249" s="87"/>
      <c r="AX1249" s="87"/>
      <c r="AY1249" s="87"/>
      <c r="AZ1249" s="87"/>
      <c r="BA1249" s="87"/>
      <c r="BB1249" s="87"/>
      <c r="BC1249" s="87"/>
      <c r="BD1249" s="87"/>
      <c r="BE1249" s="87"/>
      <c r="BF1249" s="87"/>
      <c r="BG1249" s="87"/>
      <c r="BH1249" s="87"/>
      <c r="BI1249" s="87"/>
      <c r="BJ1249" s="87"/>
      <c r="BK1249" s="87"/>
      <c r="BL1249" s="87"/>
      <c r="BM1249" s="87"/>
      <c r="BN1249" s="87"/>
      <c r="BO1249" s="87"/>
      <c r="BP1249" s="87"/>
      <c r="BQ1249" s="87"/>
      <c r="BR1249" s="87"/>
      <c r="BS1249" s="87"/>
      <c r="BT1249" s="87"/>
      <c r="BU1249" s="87"/>
      <c r="BV1249" s="87"/>
      <c r="BW1249" s="87"/>
      <c r="BX1249" s="87"/>
      <c r="BY1249" s="87"/>
    </row>
    <row r="1250" spans="21:77" x14ac:dyDescent="0.3">
      <c r="U1250" s="19"/>
      <c r="V1250" s="87"/>
      <c r="W1250" s="87"/>
      <c r="X1250" s="87"/>
      <c r="Y1250" s="87"/>
      <c r="Z1250" s="87"/>
      <c r="AA1250" s="87"/>
      <c r="AB1250" s="87"/>
      <c r="AC1250" s="87"/>
      <c r="AD1250" s="87"/>
      <c r="AE1250" s="87"/>
      <c r="AF1250" s="87"/>
      <c r="AG1250" s="87"/>
      <c r="AH1250" s="87"/>
      <c r="AI1250" s="87"/>
      <c r="AJ1250" s="87"/>
      <c r="AK1250" s="87"/>
      <c r="AL1250" s="87"/>
      <c r="AM1250" s="87"/>
      <c r="AN1250" s="87"/>
      <c r="AO1250" s="87"/>
      <c r="AP1250" s="87"/>
      <c r="AQ1250" s="87"/>
      <c r="AR1250" s="87"/>
      <c r="AS1250" s="87"/>
      <c r="AT1250" s="87"/>
      <c r="AU1250" s="87"/>
      <c r="AV1250" s="87"/>
      <c r="AW1250" s="87"/>
      <c r="AX1250" s="87"/>
      <c r="AY1250" s="87"/>
      <c r="AZ1250" s="87"/>
      <c r="BA1250" s="87"/>
      <c r="BB1250" s="87"/>
      <c r="BC1250" s="87"/>
      <c r="BD1250" s="87"/>
      <c r="BE1250" s="87"/>
      <c r="BF1250" s="87"/>
      <c r="BG1250" s="87"/>
      <c r="BH1250" s="87"/>
      <c r="BI1250" s="87"/>
      <c r="BJ1250" s="87"/>
      <c r="BK1250" s="87"/>
      <c r="BL1250" s="87"/>
      <c r="BM1250" s="87"/>
      <c r="BN1250" s="87"/>
      <c r="BO1250" s="87"/>
      <c r="BP1250" s="87"/>
      <c r="BQ1250" s="87"/>
      <c r="BR1250" s="87"/>
      <c r="BS1250" s="87"/>
      <c r="BT1250" s="87"/>
      <c r="BU1250" s="87"/>
      <c r="BV1250" s="87"/>
      <c r="BW1250" s="87"/>
      <c r="BX1250" s="87"/>
      <c r="BY1250" s="87"/>
    </row>
    <row r="1251" spans="21:77" x14ac:dyDescent="0.3">
      <c r="U1251" s="19"/>
      <c r="V1251" s="87"/>
      <c r="W1251" s="87"/>
      <c r="X1251" s="87"/>
      <c r="Y1251" s="87"/>
      <c r="Z1251" s="87"/>
      <c r="AA1251" s="87"/>
      <c r="AB1251" s="87"/>
      <c r="AC1251" s="87"/>
      <c r="AD1251" s="87"/>
      <c r="AE1251" s="87"/>
      <c r="AF1251" s="87"/>
      <c r="AG1251" s="87"/>
      <c r="AH1251" s="87"/>
      <c r="AI1251" s="87"/>
      <c r="AJ1251" s="87"/>
      <c r="AK1251" s="87"/>
      <c r="AL1251" s="87"/>
      <c r="AM1251" s="87"/>
      <c r="AN1251" s="87"/>
      <c r="AO1251" s="87"/>
      <c r="AP1251" s="87"/>
      <c r="AQ1251" s="87"/>
      <c r="AR1251" s="87"/>
      <c r="AS1251" s="87"/>
      <c r="AT1251" s="87"/>
      <c r="AU1251" s="87"/>
      <c r="AV1251" s="87"/>
      <c r="AW1251" s="87"/>
      <c r="AX1251" s="87"/>
      <c r="AY1251" s="87"/>
      <c r="AZ1251" s="87"/>
      <c r="BA1251" s="87"/>
      <c r="BB1251" s="87"/>
      <c r="BC1251" s="87"/>
      <c r="BD1251" s="87"/>
      <c r="BE1251" s="87"/>
      <c r="BF1251" s="87"/>
      <c r="BG1251" s="87"/>
      <c r="BH1251" s="87"/>
      <c r="BI1251" s="87"/>
      <c r="BJ1251" s="87"/>
      <c r="BK1251" s="87"/>
      <c r="BL1251" s="87"/>
      <c r="BM1251" s="87"/>
      <c r="BN1251" s="87"/>
      <c r="BO1251" s="87"/>
      <c r="BP1251" s="87"/>
      <c r="BQ1251" s="87"/>
      <c r="BR1251" s="87"/>
      <c r="BS1251" s="87"/>
      <c r="BT1251" s="87"/>
      <c r="BU1251" s="87"/>
      <c r="BV1251" s="87"/>
      <c r="BW1251" s="87"/>
      <c r="BX1251" s="87"/>
      <c r="BY1251" s="87"/>
    </row>
    <row r="1252" spans="21:77" x14ac:dyDescent="0.3">
      <c r="U1252" s="19"/>
      <c r="V1252" s="87"/>
      <c r="W1252" s="87"/>
      <c r="X1252" s="87"/>
      <c r="Y1252" s="87"/>
      <c r="Z1252" s="87"/>
      <c r="AA1252" s="87"/>
      <c r="AB1252" s="87"/>
      <c r="AC1252" s="87"/>
      <c r="AD1252" s="87"/>
      <c r="AE1252" s="87"/>
      <c r="AF1252" s="87"/>
      <c r="AG1252" s="87"/>
      <c r="AH1252" s="87"/>
      <c r="AI1252" s="87"/>
      <c r="AJ1252" s="87"/>
      <c r="AK1252" s="87"/>
      <c r="AL1252" s="87"/>
      <c r="AM1252" s="87"/>
      <c r="AN1252" s="87"/>
      <c r="AO1252" s="87"/>
      <c r="AP1252" s="87"/>
      <c r="AQ1252" s="87"/>
      <c r="AR1252" s="87"/>
      <c r="AS1252" s="87"/>
      <c r="AT1252" s="87"/>
      <c r="AU1252" s="87"/>
      <c r="AV1252" s="87"/>
      <c r="AW1252" s="87"/>
      <c r="AX1252" s="87"/>
      <c r="AY1252" s="87"/>
      <c r="AZ1252" s="87"/>
      <c r="BA1252" s="87"/>
      <c r="BB1252" s="87"/>
      <c r="BC1252" s="87"/>
      <c r="BD1252" s="87"/>
      <c r="BE1252" s="87"/>
      <c r="BF1252" s="87"/>
      <c r="BG1252" s="87"/>
      <c r="BH1252" s="87"/>
      <c r="BI1252" s="87"/>
      <c r="BJ1252" s="87"/>
      <c r="BK1252" s="87"/>
      <c r="BL1252" s="87"/>
      <c r="BM1252" s="87"/>
      <c r="BN1252" s="87"/>
      <c r="BO1252" s="87"/>
      <c r="BP1252" s="87"/>
      <c r="BQ1252" s="87"/>
      <c r="BR1252" s="87"/>
      <c r="BS1252" s="87"/>
      <c r="BT1252" s="87"/>
      <c r="BU1252" s="87"/>
      <c r="BV1252" s="87"/>
      <c r="BW1252" s="87"/>
      <c r="BX1252" s="87"/>
      <c r="BY1252" s="87"/>
    </row>
    <row r="1253" spans="21:77" x14ac:dyDescent="0.3">
      <c r="U1253" s="19"/>
      <c r="V1253" s="87"/>
      <c r="W1253" s="87"/>
      <c r="X1253" s="87"/>
      <c r="Y1253" s="87"/>
      <c r="Z1253" s="87"/>
      <c r="AA1253" s="87"/>
      <c r="AB1253" s="87"/>
      <c r="AC1253" s="87"/>
      <c r="AD1253" s="87"/>
      <c r="AE1253" s="87"/>
      <c r="AF1253" s="87"/>
      <c r="AG1253" s="87"/>
      <c r="AH1253" s="87"/>
      <c r="AI1253" s="87"/>
      <c r="AJ1253" s="87"/>
      <c r="AK1253" s="87"/>
      <c r="AL1253" s="87"/>
      <c r="AM1253" s="87"/>
      <c r="AN1253" s="87"/>
      <c r="AO1253" s="87"/>
      <c r="AP1253" s="87"/>
      <c r="AQ1253" s="87"/>
      <c r="AR1253" s="87"/>
      <c r="AS1253" s="87"/>
      <c r="AT1253" s="87"/>
      <c r="AU1253" s="87"/>
      <c r="AV1253" s="87"/>
      <c r="AW1253" s="87"/>
      <c r="AX1253" s="87"/>
      <c r="AY1253" s="87"/>
      <c r="AZ1253" s="87"/>
      <c r="BA1253" s="87"/>
      <c r="BB1253" s="87"/>
      <c r="BC1253" s="87"/>
      <c r="BD1253" s="87"/>
      <c r="BE1253" s="87"/>
      <c r="BF1253" s="87"/>
      <c r="BG1253" s="87"/>
      <c r="BH1253" s="87"/>
      <c r="BI1253" s="87"/>
      <c r="BJ1253" s="87"/>
      <c r="BK1253" s="87"/>
      <c r="BL1253" s="87"/>
      <c r="BM1253" s="87"/>
      <c r="BN1253" s="87"/>
      <c r="BO1253" s="87"/>
      <c r="BP1253" s="87"/>
      <c r="BQ1253" s="87"/>
      <c r="BR1253" s="87"/>
      <c r="BS1253" s="87"/>
      <c r="BT1253" s="87"/>
      <c r="BU1253" s="87"/>
      <c r="BV1253" s="87"/>
      <c r="BW1253" s="87"/>
      <c r="BX1253" s="87"/>
      <c r="BY1253" s="87"/>
    </row>
    <row r="1254" spans="21:77" x14ac:dyDescent="0.3">
      <c r="U1254" s="19"/>
      <c r="V1254" s="87"/>
      <c r="W1254" s="87"/>
      <c r="X1254" s="87"/>
      <c r="Y1254" s="87"/>
      <c r="Z1254" s="87"/>
      <c r="AA1254" s="87"/>
      <c r="AB1254" s="87"/>
      <c r="AC1254" s="87"/>
      <c r="AD1254" s="87"/>
      <c r="AE1254" s="87"/>
      <c r="AF1254" s="87"/>
      <c r="AG1254" s="87"/>
      <c r="AH1254" s="87"/>
      <c r="AI1254" s="87"/>
      <c r="AJ1254" s="87"/>
      <c r="AK1254" s="87"/>
      <c r="AL1254" s="87"/>
      <c r="AM1254" s="87"/>
      <c r="AN1254" s="87"/>
      <c r="AO1254" s="87"/>
      <c r="AP1254" s="87"/>
      <c r="AQ1254" s="87"/>
      <c r="AR1254" s="87"/>
      <c r="AS1254" s="87"/>
      <c r="AT1254" s="87"/>
      <c r="AU1254" s="87"/>
      <c r="AV1254" s="87"/>
      <c r="AW1254" s="87"/>
      <c r="AX1254" s="87"/>
      <c r="AY1254" s="87"/>
      <c r="AZ1254" s="87"/>
      <c r="BA1254" s="87"/>
      <c r="BB1254" s="87"/>
      <c r="BC1254" s="87"/>
      <c r="BD1254" s="87"/>
      <c r="BE1254" s="87"/>
      <c r="BF1254" s="87"/>
      <c r="BG1254" s="87"/>
      <c r="BH1254" s="87"/>
      <c r="BI1254" s="87"/>
      <c r="BJ1254" s="87"/>
      <c r="BK1254" s="87"/>
      <c r="BL1254" s="87"/>
      <c r="BM1254" s="87"/>
      <c r="BN1254" s="87"/>
      <c r="BO1254" s="87"/>
      <c r="BP1254" s="87"/>
      <c r="BQ1254" s="87"/>
      <c r="BR1254" s="87"/>
      <c r="BS1254" s="87"/>
      <c r="BT1254" s="87"/>
      <c r="BU1254" s="87"/>
      <c r="BV1254" s="87"/>
      <c r="BW1254" s="87"/>
      <c r="BX1254" s="87"/>
      <c r="BY1254" s="87"/>
    </row>
    <row r="1255" spans="21:77" x14ac:dyDescent="0.3">
      <c r="U1255" s="19"/>
      <c r="V1255" s="87"/>
      <c r="W1255" s="87"/>
      <c r="X1255" s="87"/>
      <c r="Y1255" s="87"/>
      <c r="Z1255" s="87"/>
      <c r="AA1255" s="87"/>
      <c r="AB1255" s="87"/>
      <c r="AC1255" s="87"/>
      <c r="AD1255" s="87"/>
      <c r="AE1255" s="87"/>
      <c r="AF1255" s="87"/>
      <c r="AG1255" s="87"/>
      <c r="AH1255" s="87"/>
      <c r="AI1255" s="87"/>
      <c r="AJ1255" s="87"/>
      <c r="AK1255" s="87"/>
      <c r="AL1255" s="87"/>
      <c r="AM1255" s="87"/>
      <c r="AN1255" s="87"/>
      <c r="AO1255" s="87"/>
      <c r="AP1255" s="87"/>
      <c r="AQ1255" s="87"/>
      <c r="AR1255" s="87"/>
      <c r="AS1255" s="87"/>
      <c r="AT1255" s="87"/>
      <c r="AU1255" s="87"/>
      <c r="AV1255" s="87"/>
      <c r="AW1255" s="87"/>
      <c r="AX1255" s="87"/>
      <c r="AY1255" s="87"/>
      <c r="AZ1255" s="87"/>
      <c r="BA1255" s="87"/>
      <c r="BB1255" s="87"/>
      <c r="BC1255" s="87"/>
      <c r="BD1255" s="87"/>
      <c r="BE1255" s="87"/>
      <c r="BF1255" s="87"/>
      <c r="BG1255" s="87"/>
      <c r="BH1255" s="87"/>
      <c r="BI1255" s="87"/>
      <c r="BJ1255" s="87"/>
      <c r="BK1255" s="87"/>
      <c r="BL1255" s="87"/>
      <c r="BM1255" s="87"/>
      <c r="BN1255" s="87"/>
      <c r="BO1255" s="87"/>
      <c r="BP1255" s="87"/>
      <c r="BQ1255" s="87"/>
      <c r="BR1255" s="87"/>
      <c r="BS1255" s="87"/>
      <c r="BT1255" s="87"/>
      <c r="BU1255" s="87"/>
      <c r="BV1255" s="87"/>
      <c r="BW1255" s="87"/>
      <c r="BX1255" s="87"/>
      <c r="BY1255" s="87"/>
    </row>
    <row r="1256" spans="21:77" x14ac:dyDescent="0.3">
      <c r="U1256" s="19"/>
      <c r="V1256" s="87"/>
      <c r="W1256" s="87"/>
      <c r="X1256" s="87"/>
      <c r="Y1256" s="87"/>
      <c r="Z1256" s="87"/>
      <c r="AA1256" s="87"/>
      <c r="AB1256" s="87"/>
      <c r="AC1256" s="87"/>
      <c r="AD1256" s="87"/>
      <c r="AE1256" s="87"/>
      <c r="AF1256" s="87"/>
      <c r="AG1256" s="87"/>
      <c r="AH1256" s="87"/>
      <c r="AI1256" s="87"/>
      <c r="AJ1256" s="87"/>
      <c r="AK1256" s="87"/>
      <c r="AL1256" s="87"/>
      <c r="AM1256" s="87"/>
      <c r="AN1256" s="87"/>
      <c r="AO1256" s="87"/>
      <c r="AP1256" s="87"/>
      <c r="AQ1256" s="87"/>
      <c r="AR1256" s="87"/>
      <c r="AS1256" s="87"/>
      <c r="AT1256" s="87"/>
      <c r="AU1256" s="87"/>
      <c r="AV1256" s="87"/>
      <c r="AW1256" s="87"/>
      <c r="AX1256" s="87"/>
      <c r="AY1256" s="87"/>
      <c r="AZ1256" s="87"/>
      <c r="BA1256" s="87"/>
      <c r="BB1256" s="87"/>
      <c r="BC1256" s="87"/>
      <c r="BD1256" s="87"/>
      <c r="BE1256" s="87"/>
      <c r="BF1256" s="87"/>
      <c r="BG1256" s="87"/>
      <c r="BH1256" s="87"/>
      <c r="BI1256" s="87"/>
      <c r="BJ1256" s="87"/>
      <c r="BK1256" s="87"/>
      <c r="BL1256" s="87"/>
      <c r="BM1256" s="87"/>
      <c r="BN1256" s="87"/>
      <c r="BO1256" s="87"/>
      <c r="BP1256" s="87"/>
      <c r="BQ1256" s="87"/>
      <c r="BR1256" s="87"/>
      <c r="BS1256" s="87"/>
      <c r="BT1256" s="87"/>
      <c r="BU1256" s="87"/>
      <c r="BV1256" s="87"/>
      <c r="BW1256" s="87"/>
      <c r="BX1256" s="87"/>
      <c r="BY1256" s="87"/>
    </row>
    <row r="1257" spans="21:77" x14ac:dyDescent="0.3">
      <c r="U1257" s="19"/>
      <c r="V1257" s="87"/>
      <c r="W1257" s="87"/>
      <c r="X1257" s="87"/>
      <c r="Y1257" s="87"/>
      <c r="Z1257" s="87"/>
      <c r="AA1257" s="87"/>
      <c r="AB1257" s="87"/>
      <c r="AC1257" s="87"/>
      <c r="AD1257" s="87"/>
      <c r="AE1257" s="87"/>
      <c r="AF1257" s="87"/>
      <c r="AG1257" s="87"/>
      <c r="AH1257" s="87"/>
      <c r="AI1257" s="87"/>
      <c r="AJ1257" s="87"/>
      <c r="AK1257" s="87"/>
      <c r="AL1257" s="87"/>
      <c r="AM1257" s="87"/>
      <c r="AN1257" s="87"/>
      <c r="AO1257" s="87"/>
      <c r="AP1257" s="87"/>
      <c r="AQ1257" s="87"/>
      <c r="AR1257" s="87"/>
      <c r="AS1257" s="87"/>
      <c r="AT1257" s="87"/>
      <c r="AU1257" s="87"/>
      <c r="AV1257" s="87"/>
      <c r="AW1257" s="87"/>
      <c r="AX1257" s="87"/>
      <c r="AY1257" s="87"/>
      <c r="AZ1257" s="87"/>
      <c r="BA1257" s="87"/>
      <c r="BB1257" s="87"/>
      <c r="BC1257" s="87"/>
      <c r="BD1257" s="87"/>
      <c r="BE1257" s="87"/>
      <c r="BF1257" s="87"/>
      <c r="BG1257" s="87"/>
      <c r="BH1257" s="87"/>
      <c r="BI1257" s="87"/>
      <c r="BJ1257" s="87"/>
      <c r="BK1257" s="87"/>
      <c r="BL1257" s="87"/>
      <c r="BM1257" s="87"/>
      <c r="BN1257" s="87"/>
      <c r="BO1257" s="87"/>
      <c r="BP1257" s="87"/>
      <c r="BQ1257" s="87"/>
      <c r="BR1257" s="87"/>
      <c r="BS1257" s="87"/>
      <c r="BT1257" s="87"/>
      <c r="BU1257" s="87"/>
      <c r="BV1257" s="87"/>
      <c r="BW1257" s="87"/>
      <c r="BX1257" s="87"/>
      <c r="BY1257" s="87"/>
    </row>
    <row r="1258" spans="21:77" x14ac:dyDescent="0.3">
      <c r="U1258" s="19"/>
      <c r="V1258" s="87"/>
      <c r="W1258" s="87"/>
      <c r="X1258" s="87"/>
      <c r="Y1258" s="87"/>
      <c r="Z1258" s="87"/>
      <c r="AA1258" s="87"/>
      <c r="AB1258" s="87"/>
      <c r="AC1258" s="87"/>
      <c r="AD1258" s="87"/>
      <c r="AE1258" s="87"/>
      <c r="AF1258" s="87"/>
      <c r="AG1258" s="87"/>
      <c r="AH1258" s="87"/>
      <c r="AI1258" s="87"/>
      <c r="AJ1258" s="87"/>
      <c r="AK1258" s="87"/>
      <c r="AL1258" s="87"/>
      <c r="AM1258" s="87"/>
      <c r="AN1258" s="87"/>
      <c r="AO1258" s="87"/>
      <c r="AP1258" s="87"/>
      <c r="AQ1258" s="87"/>
      <c r="AR1258" s="87"/>
      <c r="AS1258" s="87"/>
      <c r="AT1258" s="87"/>
      <c r="AU1258" s="87"/>
      <c r="AV1258" s="87"/>
      <c r="AW1258" s="87"/>
      <c r="AX1258" s="87"/>
      <c r="AY1258" s="87"/>
      <c r="AZ1258" s="87"/>
      <c r="BA1258" s="87"/>
      <c r="BB1258" s="87"/>
      <c r="BC1258" s="87"/>
      <c r="BD1258" s="87"/>
      <c r="BE1258" s="87"/>
      <c r="BF1258" s="87"/>
      <c r="BG1258" s="87"/>
      <c r="BH1258" s="87"/>
      <c r="BI1258" s="87"/>
      <c r="BJ1258" s="87"/>
      <c r="BK1258" s="87"/>
      <c r="BL1258" s="87"/>
      <c r="BM1258" s="87"/>
      <c r="BN1258" s="87"/>
      <c r="BO1258" s="87"/>
      <c r="BP1258" s="87"/>
      <c r="BQ1258" s="87"/>
      <c r="BR1258" s="87"/>
      <c r="BS1258" s="87"/>
      <c r="BT1258" s="87"/>
      <c r="BU1258" s="87"/>
      <c r="BV1258" s="87"/>
      <c r="BW1258" s="87"/>
      <c r="BX1258" s="87"/>
      <c r="BY1258" s="87"/>
    </row>
    <row r="1259" spans="21:77" x14ac:dyDescent="0.3">
      <c r="U1259" s="19"/>
      <c r="V1259" s="87"/>
      <c r="W1259" s="87"/>
      <c r="X1259" s="87"/>
      <c r="Y1259" s="87"/>
      <c r="Z1259" s="87"/>
      <c r="AA1259" s="87"/>
      <c r="AB1259" s="87"/>
      <c r="AC1259" s="87"/>
      <c r="AD1259" s="87"/>
      <c r="AE1259" s="87"/>
      <c r="AF1259" s="87"/>
      <c r="AG1259" s="87"/>
      <c r="AH1259" s="87"/>
      <c r="AI1259" s="87"/>
      <c r="AJ1259" s="87"/>
      <c r="AK1259" s="87"/>
      <c r="AL1259" s="87"/>
      <c r="AM1259" s="87"/>
      <c r="AN1259" s="87"/>
      <c r="AO1259" s="87"/>
      <c r="AP1259" s="87"/>
      <c r="AQ1259" s="87"/>
      <c r="AR1259" s="87"/>
      <c r="AS1259" s="87"/>
      <c r="AT1259" s="87"/>
      <c r="AU1259" s="87"/>
      <c r="AV1259" s="87"/>
      <c r="AW1259" s="87"/>
      <c r="AX1259" s="87"/>
      <c r="AY1259" s="87"/>
      <c r="AZ1259" s="87"/>
      <c r="BA1259" s="87"/>
      <c r="BB1259" s="87"/>
      <c r="BC1259" s="87"/>
      <c r="BD1259" s="87"/>
      <c r="BE1259" s="87"/>
      <c r="BF1259" s="87"/>
      <c r="BG1259" s="87"/>
      <c r="BH1259" s="87"/>
      <c r="BI1259" s="87"/>
      <c r="BJ1259" s="87"/>
      <c r="BK1259" s="87"/>
      <c r="BL1259" s="87"/>
      <c r="BM1259" s="87"/>
      <c r="BN1259" s="87"/>
      <c r="BO1259" s="87"/>
      <c r="BP1259" s="87"/>
      <c r="BQ1259" s="87"/>
      <c r="BR1259" s="87"/>
      <c r="BS1259" s="87"/>
      <c r="BT1259" s="87"/>
      <c r="BU1259" s="87"/>
      <c r="BV1259" s="87"/>
      <c r="BW1259" s="87"/>
      <c r="BX1259" s="87"/>
      <c r="BY1259" s="87"/>
    </row>
    <row r="1260" spans="21:77" x14ac:dyDescent="0.3">
      <c r="U1260" s="19"/>
      <c r="V1260" s="87"/>
      <c r="W1260" s="87"/>
      <c r="X1260" s="87"/>
      <c r="Y1260" s="87"/>
      <c r="Z1260" s="87"/>
      <c r="AA1260" s="87"/>
      <c r="AB1260" s="87"/>
      <c r="AC1260" s="87"/>
      <c r="AD1260" s="87"/>
      <c r="AE1260" s="87"/>
      <c r="AF1260" s="87"/>
      <c r="AG1260" s="87"/>
      <c r="AH1260" s="87"/>
      <c r="AI1260" s="87"/>
      <c r="AJ1260" s="87"/>
      <c r="AK1260" s="87"/>
      <c r="AL1260" s="87"/>
      <c r="AM1260" s="87"/>
      <c r="AN1260" s="87"/>
      <c r="AO1260" s="87"/>
      <c r="AP1260" s="87"/>
      <c r="AQ1260" s="87"/>
      <c r="AR1260" s="87"/>
      <c r="AS1260" s="87"/>
      <c r="AT1260" s="87"/>
      <c r="AU1260" s="87"/>
      <c r="AV1260" s="87"/>
      <c r="AW1260" s="87"/>
      <c r="AX1260" s="87"/>
      <c r="AY1260" s="87"/>
      <c r="AZ1260" s="87"/>
      <c r="BA1260" s="87"/>
      <c r="BB1260" s="87"/>
      <c r="BC1260" s="87"/>
      <c r="BD1260" s="87"/>
      <c r="BE1260" s="87"/>
      <c r="BF1260" s="87"/>
      <c r="BG1260" s="87"/>
      <c r="BH1260" s="87"/>
      <c r="BI1260" s="87"/>
      <c r="BJ1260" s="87"/>
      <c r="BK1260" s="87"/>
      <c r="BL1260" s="87"/>
      <c r="BM1260" s="87"/>
      <c r="BN1260" s="87"/>
      <c r="BO1260" s="87"/>
      <c r="BP1260" s="87"/>
      <c r="BQ1260" s="87"/>
      <c r="BR1260" s="87"/>
      <c r="BS1260" s="87"/>
      <c r="BT1260" s="87"/>
      <c r="BU1260" s="87"/>
      <c r="BV1260" s="87"/>
      <c r="BW1260" s="87"/>
      <c r="BX1260" s="87"/>
      <c r="BY1260" s="87"/>
    </row>
    <row r="1261" spans="21:77" x14ac:dyDescent="0.3">
      <c r="U1261" s="19"/>
      <c r="V1261" s="87"/>
      <c r="W1261" s="87"/>
      <c r="X1261" s="87"/>
      <c r="Y1261" s="87"/>
      <c r="Z1261" s="87"/>
      <c r="AA1261" s="87"/>
      <c r="AB1261" s="87"/>
      <c r="AC1261" s="87"/>
      <c r="AD1261" s="87"/>
      <c r="AE1261" s="87"/>
      <c r="AF1261" s="87"/>
      <c r="AG1261" s="87"/>
      <c r="AH1261" s="87"/>
      <c r="AI1261" s="87"/>
      <c r="AJ1261" s="87"/>
      <c r="AK1261" s="87"/>
      <c r="AL1261" s="87"/>
      <c r="AM1261" s="87"/>
      <c r="AN1261" s="87"/>
      <c r="AO1261" s="87"/>
      <c r="AP1261" s="87"/>
      <c r="AQ1261" s="87"/>
      <c r="AR1261" s="87"/>
      <c r="AS1261" s="87"/>
      <c r="AT1261" s="87"/>
      <c r="AU1261" s="87"/>
      <c r="AV1261" s="87"/>
      <c r="AW1261" s="87"/>
      <c r="AX1261" s="87"/>
      <c r="AY1261" s="87"/>
      <c r="AZ1261" s="87"/>
      <c r="BA1261" s="87"/>
      <c r="BB1261" s="87"/>
      <c r="BC1261" s="87"/>
      <c r="BD1261" s="87"/>
      <c r="BE1261" s="87"/>
      <c r="BF1261" s="87"/>
      <c r="BG1261" s="87"/>
      <c r="BH1261" s="87"/>
      <c r="BI1261" s="87"/>
      <c r="BJ1261" s="87"/>
      <c r="BK1261" s="87"/>
      <c r="BL1261" s="87"/>
      <c r="BM1261" s="87"/>
      <c r="BN1261" s="87"/>
      <c r="BO1261" s="87"/>
      <c r="BP1261" s="87"/>
      <c r="BQ1261" s="87"/>
      <c r="BR1261" s="87"/>
      <c r="BS1261" s="87"/>
      <c r="BT1261" s="87"/>
      <c r="BU1261" s="87"/>
      <c r="BV1261" s="87"/>
      <c r="BW1261" s="87"/>
      <c r="BX1261" s="87"/>
      <c r="BY1261" s="87"/>
    </row>
    <row r="1262" spans="21:77" x14ac:dyDescent="0.3">
      <c r="U1262" s="19"/>
      <c r="V1262" s="87"/>
      <c r="W1262" s="87"/>
      <c r="X1262" s="87"/>
      <c r="Y1262" s="87"/>
      <c r="Z1262" s="87"/>
      <c r="AA1262" s="87"/>
      <c r="AB1262" s="87"/>
      <c r="AC1262" s="87"/>
      <c r="AD1262" s="87"/>
      <c r="AE1262" s="87"/>
      <c r="AF1262" s="87"/>
      <c r="AG1262" s="87"/>
      <c r="AH1262" s="87"/>
      <c r="AI1262" s="87"/>
      <c r="AJ1262" s="87"/>
      <c r="AK1262" s="87"/>
      <c r="AL1262" s="87"/>
      <c r="AM1262" s="87"/>
      <c r="AN1262" s="87"/>
      <c r="AO1262" s="87"/>
      <c r="AP1262" s="87"/>
      <c r="AQ1262" s="87"/>
      <c r="AR1262" s="87"/>
      <c r="AS1262" s="87"/>
      <c r="AT1262" s="87"/>
      <c r="AU1262" s="87"/>
      <c r="AV1262" s="87"/>
      <c r="AW1262" s="87"/>
      <c r="AX1262" s="87"/>
      <c r="AY1262" s="87"/>
      <c r="AZ1262" s="87"/>
      <c r="BA1262" s="87"/>
      <c r="BB1262" s="87"/>
      <c r="BC1262" s="87"/>
      <c r="BD1262" s="87"/>
      <c r="BE1262" s="87"/>
      <c r="BF1262" s="87"/>
      <c r="BG1262" s="87"/>
      <c r="BH1262" s="87"/>
      <c r="BI1262" s="87"/>
      <c r="BJ1262" s="87"/>
      <c r="BK1262" s="87"/>
      <c r="BL1262" s="87"/>
      <c r="BM1262" s="87"/>
      <c r="BN1262" s="87"/>
      <c r="BO1262" s="87"/>
      <c r="BP1262" s="87"/>
      <c r="BQ1262" s="87"/>
      <c r="BR1262" s="87"/>
      <c r="BS1262" s="87"/>
      <c r="BT1262" s="87"/>
      <c r="BU1262" s="87"/>
      <c r="BV1262" s="87"/>
      <c r="BW1262" s="87"/>
      <c r="BX1262" s="87"/>
      <c r="BY1262" s="87"/>
    </row>
    <row r="1263" spans="21:77" x14ac:dyDescent="0.3">
      <c r="U1263" s="19"/>
      <c r="V1263" s="87"/>
      <c r="W1263" s="87"/>
      <c r="X1263" s="87"/>
      <c r="Y1263" s="87"/>
      <c r="Z1263" s="87"/>
      <c r="AA1263" s="87"/>
      <c r="AB1263" s="87"/>
      <c r="AC1263" s="87"/>
      <c r="AD1263" s="87"/>
      <c r="AE1263" s="87"/>
      <c r="AF1263" s="87"/>
      <c r="AG1263" s="87"/>
      <c r="AH1263" s="87"/>
      <c r="AI1263" s="87"/>
      <c r="AJ1263" s="87"/>
      <c r="AK1263" s="87"/>
      <c r="AL1263" s="87"/>
      <c r="AM1263" s="87"/>
      <c r="AN1263" s="87"/>
      <c r="AO1263" s="87"/>
      <c r="AP1263" s="87"/>
      <c r="AQ1263" s="87"/>
      <c r="AR1263" s="87"/>
      <c r="AS1263" s="87"/>
      <c r="AT1263" s="87"/>
      <c r="AU1263" s="87"/>
      <c r="AV1263" s="87"/>
      <c r="AW1263" s="87"/>
      <c r="AX1263" s="87"/>
      <c r="AY1263" s="87"/>
      <c r="AZ1263" s="87"/>
      <c r="BA1263" s="87"/>
      <c r="BB1263" s="87"/>
      <c r="BC1263" s="87"/>
      <c r="BD1263" s="87"/>
      <c r="BE1263" s="87"/>
      <c r="BF1263" s="87"/>
      <c r="BG1263" s="87"/>
      <c r="BH1263" s="87"/>
      <c r="BI1263" s="87"/>
      <c r="BJ1263" s="87"/>
      <c r="BK1263" s="87"/>
      <c r="BL1263" s="87"/>
      <c r="BM1263" s="87"/>
      <c r="BN1263" s="87"/>
      <c r="BO1263" s="87"/>
      <c r="BP1263" s="87"/>
      <c r="BQ1263" s="87"/>
      <c r="BR1263" s="87"/>
      <c r="BS1263" s="87"/>
      <c r="BT1263" s="87"/>
      <c r="BU1263" s="87"/>
      <c r="BV1263" s="87"/>
      <c r="BW1263" s="87"/>
      <c r="BX1263" s="87"/>
      <c r="BY1263" s="87"/>
    </row>
    <row r="1264" spans="21:77" x14ac:dyDescent="0.3">
      <c r="U1264" s="19"/>
      <c r="V1264" s="87"/>
      <c r="W1264" s="87"/>
      <c r="X1264" s="87"/>
      <c r="Y1264" s="87"/>
      <c r="Z1264" s="87"/>
      <c r="AA1264" s="87"/>
      <c r="AB1264" s="87"/>
      <c r="AC1264" s="87"/>
      <c r="AD1264" s="87"/>
      <c r="AE1264" s="87"/>
      <c r="AF1264" s="87"/>
      <c r="AG1264" s="87"/>
      <c r="AH1264" s="87"/>
      <c r="AI1264" s="87"/>
      <c r="AJ1264" s="87"/>
      <c r="AK1264" s="87"/>
      <c r="AL1264" s="87"/>
      <c r="AM1264" s="87"/>
      <c r="AN1264" s="87"/>
      <c r="AO1264" s="87"/>
      <c r="AP1264" s="87"/>
      <c r="AQ1264" s="87"/>
      <c r="AR1264" s="87"/>
      <c r="AS1264" s="87"/>
      <c r="AT1264" s="87"/>
      <c r="AU1264" s="87"/>
      <c r="AV1264" s="87"/>
      <c r="AW1264" s="87"/>
      <c r="AX1264" s="87"/>
      <c r="AY1264" s="87"/>
      <c r="AZ1264" s="87"/>
      <c r="BA1264" s="87"/>
      <c r="BB1264" s="87"/>
      <c r="BC1264" s="87"/>
      <c r="BD1264" s="87"/>
      <c r="BE1264" s="87"/>
      <c r="BF1264" s="87"/>
      <c r="BG1264" s="87"/>
      <c r="BH1264" s="87"/>
      <c r="BI1264" s="87"/>
      <c r="BJ1264" s="87"/>
      <c r="BK1264" s="87"/>
      <c r="BL1264" s="87"/>
      <c r="BM1264" s="87"/>
      <c r="BN1264" s="87"/>
      <c r="BO1264" s="87"/>
      <c r="BP1264" s="87"/>
      <c r="BQ1264" s="87"/>
      <c r="BR1264" s="87"/>
      <c r="BS1264" s="87"/>
      <c r="BT1264" s="87"/>
      <c r="BU1264" s="87"/>
      <c r="BV1264" s="87"/>
      <c r="BW1264" s="87"/>
      <c r="BX1264" s="87"/>
      <c r="BY1264" s="87"/>
    </row>
    <row r="1265" spans="21:77" x14ac:dyDescent="0.3">
      <c r="U1265" s="19"/>
      <c r="V1265" s="87"/>
      <c r="W1265" s="87"/>
      <c r="X1265" s="87"/>
      <c r="Y1265" s="87"/>
      <c r="Z1265" s="87"/>
      <c r="AA1265" s="87"/>
      <c r="AB1265" s="87"/>
      <c r="AC1265" s="87"/>
      <c r="AD1265" s="87"/>
      <c r="AE1265" s="87"/>
      <c r="AF1265" s="87"/>
      <c r="AG1265" s="87"/>
      <c r="AH1265" s="87"/>
      <c r="AI1265" s="87"/>
      <c r="AJ1265" s="87"/>
      <c r="AK1265" s="87"/>
      <c r="AL1265" s="87"/>
      <c r="AM1265" s="87"/>
      <c r="AN1265" s="87"/>
      <c r="AO1265" s="87"/>
      <c r="AP1265" s="87"/>
      <c r="AQ1265" s="87"/>
      <c r="AR1265" s="87"/>
      <c r="AS1265" s="87"/>
      <c r="AT1265" s="87"/>
      <c r="AU1265" s="87"/>
      <c r="AV1265" s="87"/>
      <c r="AW1265" s="87"/>
      <c r="AX1265" s="87"/>
      <c r="AY1265" s="87"/>
      <c r="AZ1265" s="87"/>
      <c r="BA1265" s="87"/>
      <c r="BB1265" s="87"/>
      <c r="BC1265" s="87"/>
      <c r="BD1265" s="87"/>
      <c r="BE1265" s="87"/>
      <c r="BF1265" s="87"/>
      <c r="BG1265" s="87"/>
      <c r="BH1265" s="87"/>
      <c r="BI1265" s="87"/>
      <c r="BJ1265" s="87"/>
      <c r="BK1265" s="87"/>
      <c r="BL1265" s="87"/>
      <c r="BM1265" s="87"/>
      <c r="BN1265" s="87"/>
      <c r="BO1265" s="87"/>
      <c r="BP1265" s="87"/>
      <c r="BQ1265" s="87"/>
      <c r="BR1265" s="87"/>
      <c r="BS1265" s="87"/>
      <c r="BT1265" s="87"/>
      <c r="BU1265" s="87"/>
      <c r="BV1265" s="87"/>
      <c r="BW1265" s="87"/>
      <c r="BX1265" s="87"/>
      <c r="BY1265" s="87"/>
    </row>
    <row r="1266" spans="21:77" x14ac:dyDescent="0.3">
      <c r="U1266" s="19"/>
      <c r="V1266" s="87"/>
      <c r="W1266" s="87"/>
      <c r="X1266" s="87"/>
      <c r="Y1266" s="87"/>
      <c r="Z1266" s="87"/>
      <c r="AA1266" s="87"/>
      <c r="AB1266" s="87"/>
      <c r="AC1266" s="87"/>
      <c r="AD1266" s="87"/>
      <c r="AE1266" s="87"/>
      <c r="AF1266" s="87"/>
      <c r="AG1266" s="87"/>
      <c r="AH1266" s="87"/>
      <c r="AI1266" s="87"/>
      <c r="AJ1266" s="87"/>
      <c r="AK1266" s="87"/>
      <c r="AL1266" s="87"/>
      <c r="AM1266" s="87"/>
      <c r="AN1266" s="87"/>
      <c r="AO1266" s="87"/>
      <c r="AP1266" s="87"/>
      <c r="AQ1266" s="87"/>
      <c r="AR1266" s="87"/>
      <c r="AS1266" s="87"/>
      <c r="AT1266" s="87"/>
      <c r="AU1266" s="87"/>
      <c r="AV1266" s="87"/>
      <c r="AW1266" s="87"/>
      <c r="AX1266" s="87"/>
      <c r="AY1266" s="87"/>
      <c r="AZ1266" s="87"/>
      <c r="BA1266" s="87"/>
      <c r="BB1266" s="87"/>
      <c r="BC1266" s="87"/>
      <c r="BD1266" s="87"/>
      <c r="BE1266" s="87"/>
      <c r="BF1266" s="87"/>
      <c r="BG1266" s="87"/>
      <c r="BH1266" s="87"/>
      <c r="BI1266" s="87"/>
      <c r="BJ1266" s="87"/>
      <c r="BK1266" s="87"/>
      <c r="BL1266" s="87"/>
      <c r="BM1266" s="87"/>
      <c r="BN1266" s="87"/>
      <c r="BO1266" s="87"/>
      <c r="BP1266" s="87"/>
      <c r="BQ1266" s="87"/>
      <c r="BR1266" s="87"/>
      <c r="BS1266" s="87"/>
      <c r="BT1266" s="87"/>
      <c r="BU1266" s="87"/>
      <c r="BV1266" s="87"/>
      <c r="BW1266" s="87"/>
      <c r="BX1266" s="87"/>
      <c r="BY1266" s="87"/>
    </row>
    <row r="1267" spans="21:77" x14ac:dyDescent="0.3">
      <c r="U1267" s="19"/>
      <c r="V1267" s="87"/>
      <c r="W1267" s="87"/>
      <c r="X1267" s="87"/>
      <c r="Y1267" s="87"/>
      <c r="Z1267" s="87"/>
      <c r="AA1267" s="87"/>
      <c r="AB1267" s="87"/>
      <c r="AC1267" s="87"/>
      <c r="AD1267" s="87"/>
      <c r="AE1267" s="87"/>
      <c r="AF1267" s="87"/>
      <c r="AG1267" s="87"/>
      <c r="AH1267" s="87"/>
      <c r="AI1267" s="87"/>
      <c r="AJ1267" s="87"/>
      <c r="AK1267" s="87"/>
      <c r="AL1267" s="87"/>
      <c r="AM1267" s="87"/>
      <c r="AN1267" s="87"/>
      <c r="AO1267" s="87"/>
      <c r="AP1267" s="87"/>
      <c r="AQ1267" s="87"/>
      <c r="AR1267" s="87"/>
      <c r="AS1267" s="87"/>
      <c r="AT1267" s="87"/>
      <c r="AU1267" s="87"/>
      <c r="AV1267" s="87"/>
      <c r="AW1267" s="87"/>
      <c r="AX1267" s="87"/>
      <c r="AY1267" s="87"/>
      <c r="AZ1267" s="87"/>
      <c r="BA1267" s="87"/>
      <c r="BB1267" s="87"/>
      <c r="BC1267" s="87"/>
      <c r="BD1267" s="87"/>
      <c r="BE1267" s="87"/>
      <c r="BF1267" s="87"/>
      <c r="BG1267" s="87"/>
      <c r="BH1267" s="87"/>
      <c r="BI1267" s="87"/>
      <c r="BJ1267" s="87"/>
      <c r="BK1267" s="87"/>
      <c r="BL1267" s="87"/>
      <c r="BM1267" s="87"/>
      <c r="BN1267" s="87"/>
      <c r="BO1267" s="87"/>
      <c r="BP1267" s="87"/>
      <c r="BQ1267" s="87"/>
      <c r="BR1267" s="87"/>
      <c r="BS1267" s="87"/>
      <c r="BT1267" s="87"/>
      <c r="BU1267" s="87"/>
      <c r="BV1267" s="87"/>
      <c r="BW1267" s="87"/>
      <c r="BX1267" s="87"/>
      <c r="BY1267" s="87"/>
    </row>
    <row r="1268" spans="21:77" x14ac:dyDescent="0.3">
      <c r="U1268" s="19"/>
      <c r="V1268" s="87"/>
      <c r="W1268" s="87"/>
      <c r="X1268" s="87"/>
      <c r="Y1268" s="87"/>
      <c r="Z1268" s="87"/>
      <c r="AA1268" s="87"/>
      <c r="AB1268" s="87"/>
      <c r="AC1268" s="87"/>
      <c r="AD1268" s="87"/>
      <c r="AE1268" s="87"/>
      <c r="AF1268" s="87"/>
      <c r="AG1268" s="87"/>
      <c r="AH1268" s="87"/>
      <c r="AI1268" s="87"/>
      <c r="AJ1268" s="87"/>
      <c r="AK1268" s="87"/>
      <c r="AL1268" s="87"/>
      <c r="AM1268" s="87"/>
      <c r="AN1268" s="87"/>
      <c r="AO1268" s="87"/>
      <c r="AP1268" s="87"/>
      <c r="AQ1268" s="87"/>
      <c r="AR1268" s="87"/>
      <c r="AS1268" s="87"/>
      <c r="AT1268" s="87"/>
      <c r="AU1268" s="87"/>
      <c r="AV1268" s="87"/>
      <c r="AW1268" s="87"/>
      <c r="AX1268" s="87"/>
      <c r="AY1268" s="87"/>
      <c r="AZ1268" s="87"/>
      <c r="BA1268" s="87"/>
      <c r="BB1268" s="87"/>
      <c r="BC1268" s="87"/>
      <c r="BD1268" s="87"/>
      <c r="BE1268" s="87"/>
      <c r="BF1268" s="87"/>
      <c r="BG1268" s="87"/>
      <c r="BH1268" s="87"/>
      <c r="BI1268" s="87"/>
      <c r="BJ1268" s="87"/>
      <c r="BK1268" s="87"/>
      <c r="BL1268" s="87"/>
      <c r="BM1268" s="87"/>
      <c r="BN1268" s="87"/>
      <c r="BO1268" s="87"/>
      <c r="BP1268" s="87"/>
      <c r="BQ1268" s="87"/>
      <c r="BR1268" s="87"/>
      <c r="BS1268" s="87"/>
      <c r="BT1268" s="87"/>
      <c r="BU1268" s="87"/>
      <c r="BV1268" s="87"/>
      <c r="BW1268" s="87"/>
      <c r="BX1268" s="87"/>
      <c r="BY1268" s="87"/>
    </row>
    <row r="1269" spans="21:77" x14ac:dyDescent="0.3">
      <c r="U1269" s="19"/>
      <c r="V1269" s="87"/>
      <c r="W1269" s="87"/>
      <c r="X1269" s="87"/>
      <c r="Y1269" s="87"/>
      <c r="Z1269" s="87"/>
      <c r="AA1269" s="87"/>
      <c r="AB1269" s="87"/>
      <c r="AC1269" s="87"/>
      <c r="AD1269" s="87"/>
      <c r="AE1269" s="87"/>
      <c r="AF1269" s="87"/>
      <c r="AG1269" s="87"/>
      <c r="AH1269" s="87"/>
      <c r="AI1269" s="87"/>
      <c r="AJ1269" s="87"/>
      <c r="AK1269" s="87"/>
      <c r="AL1269" s="87"/>
      <c r="AM1269" s="87"/>
      <c r="AN1269" s="87"/>
      <c r="AO1269" s="87"/>
      <c r="AP1269" s="87"/>
      <c r="AQ1269" s="87"/>
      <c r="AR1269" s="87"/>
      <c r="AS1269" s="87"/>
      <c r="AT1269" s="87"/>
      <c r="AU1269" s="87"/>
      <c r="AV1269" s="87"/>
      <c r="AW1269" s="87"/>
      <c r="AX1269" s="87"/>
      <c r="AY1269" s="87"/>
      <c r="AZ1269" s="87"/>
      <c r="BA1269" s="87"/>
      <c r="BB1269" s="87"/>
      <c r="BC1269" s="87"/>
      <c r="BD1269" s="87"/>
      <c r="BE1269" s="87"/>
      <c r="BF1269" s="87"/>
      <c r="BG1269" s="87"/>
      <c r="BH1269" s="87"/>
      <c r="BI1269" s="87"/>
      <c r="BJ1269" s="87"/>
      <c r="BK1269" s="87"/>
      <c r="BL1269" s="87"/>
      <c r="BM1269" s="87"/>
      <c r="BN1269" s="87"/>
      <c r="BO1269" s="87"/>
      <c r="BP1269" s="87"/>
      <c r="BQ1269" s="87"/>
      <c r="BR1269" s="87"/>
      <c r="BS1269" s="87"/>
      <c r="BT1269" s="87"/>
      <c r="BU1269" s="87"/>
      <c r="BV1269" s="87"/>
      <c r="BW1269" s="87"/>
      <c r="BX1269" s="87"/>
      <c r="BY1269" s="87"/>
    </row>
    <row r="1270" spans="21:77" x14ac:dyDescent="0.3">
      <c r="U1270" s="19"/>
      <c r="V1270" s="87"/>
      <c r="W1270" s="87"/>
      <c r="X1270" s="87"/>
      <c r="Y1270" s="87"/>
      <c r="Z1270" s="87"/>
      <c r="AA1270" s="87"/>
      <c r="AB1270" s="87"/>
      <c r="AC1270" s="87"/>
      <c r="AD1270" s="87"/>
      <c r="AE1270" s="87"/>
      <c r="AF1270" s="87"/>
      <c r="AG1270" s="87"/>
      <c r="AH1270" s="87"/>
      <c r="AI1270" s="87"/>
      <c r="AJ1270" s="87"/>
      <c r="AK1270" s="87"/>
      <c r="AL1270" s="87"/>
      <c r="AM1270" s="87"/>
      <c r="AN1270" s="87"/>
      <c r="AO1270" s="87"/>
      <c r="AP1270" s="87"/>
      <c r="AQ1270" s="87"/>
      <c r="AR1270" s="87"/>
      <c r="AS1270" s="87"/>
      <c r="AT1270" s="87"/>
      <c r="AU1270" s="87"/>
      <c r="AV1270" s="87"/>
      <c r="AW1270" s="87"/>
      <c r="AX1270" s="87"/>
      <c r="AY1270" s="87"/>
      <c r="AZ1270" s="87"/>
      <c r="BA1270" s="87"/>
      <c r="BB1270" s="87"/>
      <c r="BC1270" s="87"/>
      <c r="BD1270" s="87"/>
      <c r="BE1270" s="87"/>
      <c r="BF1270" s="87"/>
      <c r="BG1270" s="87"/>
      <c r="BH1270" s="87"/>
      <c r="BI1270" s="87"/>
      <c r="BJ1270" s="87"/>
      <c r="BK1270" s="87"/>
      <c r="BL1270" s="87"/>
      <c r="BM1270" s="87"/>
      <c r="BN1270" s="87"/>
      <c r="BO1270" s="87"/>
      <c r="BP1270" s="87"/>
      <c r="BQ1270" s="87"/>
      <c r="BR1270" s="87"/>
      <c r="BS1270" s="87"/>
      <c r="BT1270" s="87"/>
      <c r="BU1270" s="87"/>
      <c r="BV1270" s="87"/>
      <c r="BW1270" s="87"/>
      <c r="BX1270" s="87"/>
      <c r="BY1270" s="87"/>
    </row>
    <row r="1271" spans="21:77" x14ac:dyDescent="0.3">
      <c r="U1271" s="19"/>
      <c r="V1271" s="87"/>
      <c r="W1271" s="87"/>
      <c r="X1271" s="87"/>
      <c r="Y1271" s="87"/>
      <c r="Z1271" s="87"/>
      <c r="AA1271" s="87"/>
      <c r="AB1271" s="87"/>
      <c r="AC1271" s="87"/>
      <c r="AD1271" s="87"/>
      <c r="AE1271" s="87"/>
      <c r="AF1271" s="87"/>
      <c r="AG1271" s="87"/>
      <c r="AH1271" s="87"/>
      <c r="AI1271" s="87"/>
      <c r="AJ1271" s="87"/>
      <c r="AK1271" s="87"/>
      <c r="AL1271" s="87"/>
      <c r="AM1271" s="87"/>
      <c r="AN1271" s="87"/>
      <c r="AO1271" s="87"/>
      <c r="AP1271" s="87"/>
      <c r="AQ1271" s="87"/>
      <c r="AR1271" s="87"/>
      <c r="AS1271" s="87"/>
      <c r="AT1271" s="87"/>
      <c r="AU1271" s="87"/>
      <c r="AV1271" s="87"/>
      <c r="AW1271" s="87"/>
      <c r="AX1271" s="87"/>
      <c r="AY1271" s="87"/>
      <c r="AZ1271" s="87"/>
      <c r="BA1271" s="87"/>
      <c r="BB1271" s="87"/>
      <c r="BC1271" s="87"/>
      <c r="BD1271" s="87"/>
      <c r="BE1271" s="87"/>
      <c r="BF1271" s="87"/>
      <c r="BG1271" s="87"/>
      <c r="BH1271" s="87"/>
      <c r="BI1271" s="87"/>
      <c r="BJ1271" s="87"/>
      <c r="BK1271" s="87"/>
      <c r="BL1271" s="87"/>
      <c r="BM1271" s="87"/>
      <c r="BN1271" s="87"/>
      <c r="BO1271" s="87"/>
      <c r="BP1271" s="87"/>
      <c r="BQ1271" s="87"/>
      <c r="BR1271" s="87"/>
      <c r="BS1271" s="87"/>
      <c r="BT1271" s="87"/>
      <c r="BU1271" s="87"/>
      <c r="BV1271" s="87"/>
      <c r="BW1271" s="87"/>
      <c r="BX1271" s="87"/>
      <c r="BY1271" s="87"/>
    </row>
    <row r="1272" spans="21:77" x14ac:dyDescent="0.3">
      <c r="U1272" s="19"/>
      <c r="V1272" s="87"/>
      <c r="W1272" s="87"/>
      <c r="X1272" s="87"/>
      <c r="Y1272" s="87"/>
      <c r="Z1272" s="87"/>
      <c r="AA1272" s="87"/>
      <c r="AB1272" s="87"/>
      <c r="AC1272" s="87"/>
      <c r="AD1272" s="87"/>
      <c r="AE1272" s="87"/>
      <c r="AF1272" s="87"/>
      <c r="AG1272" s="87"/>
      <c r="AH1272" s="87"/>
      <c r="AI1272" s="87"/>
      <c r="AJ1272" s="87"/>
      <c r="AK1272" s="87"/>
      <c r="AL1272" s="87"/>
      <c r="AM1272" s="87"/>
      <c r="AN1272" s="87"/>
      <c r="AO1272" s="87"/>
      <c r="AP1272" s="87"/>
      <c r="AQ1272" s="87"/>
      <c r="AR1272" s="87"/>
      <c r="AS1272" s="87"/>
      <c r="AT1272" s="87"/>
      <c r="AU1272" s="87"/>
      <c r="AV1272" s="87"/>
      <c r="AW1272" s="87"/>
      <c r="AX1272" s="87"/>
      <c r="AY1272" s="87"/>
      <c r="AZ1272" s="87"/>
      <c r="BA1272" s="87"/>
      <c r="BB1272" s="87"/>
      <c r="BC1272" s="87"/>
      <c r="BD1272" s="87"/>
      <c r="BE1272" s="87"/>
      <c r="BF1272" s="87"/>
      <c r="BG1272" s="87"/>
      <c r="BH1272" s="87"/>
      <c r="BI1272" s="87"/>
      <c r="BJ1272" s="87"/>
      <c r="BK1272" s="87"/>
      <c r="BL1272" s="87"/>
      <c r="BM1272" s="87"/>
      <c r="BN1272" s="87"/>
      <c r="BO1272" s="87"/>
      <c r="BP1272" s="87"/>
      <c r="BQ1272" s="87"/>
      <c r="BR1272" s="87"/>
      <c r="BS1272" s="87"/>
      <c r="BT1272" s="87"/>
      <c r="BU1272" s="87"/>
      <c r="BV1272" s="87"/>
      <c r="BW1272" s="87"/>
      <c r="BX1272" s="87"/>
      <c r="BY1272" s="87"/>
    </row>
    <row r="1273" spans="21:77" x14ac:dyDescent="0.3">
      <c r="U1273" s="19"/>
      <c r="V1273" s="87"/>
      <c r="W1273" s="87"/>
      <c r="X1273" s="87"/>
      <c r="Y1273" s="87"/>
      <c r="Z1273" s="87"/>
      <c r="AA1273" s="87"/>
      <c r="AB1273" s="87"/>
      <c r="AC1273" s="87"/>
      <c r="AD1273" s="87"/>
      <c r="AE1273" s="87"/>
      <c r="AF1273" s="87"/>
      <c r="AG1273" s="87"/>
      <c r="AH1273" s="87"/>
      <c r="AI1273" s="87"/>
      <c r="AJ1273" s="87"/>
      <c r="AK1273" s="87"/>
      <c r="AL1273" s="87"/>
      <c r="AM1273" s="87"/>
      <c r="AN1273" s="87"/>
      <c r="AO1273" s="87"/>
      <c r="AP1273" s="87"/>
      <c r="AQ1273" s="87"/>
      <c r="AR1273" s="87"/>
      <c r="AS1273" s="87"/>
      <c r="AT1273" s="87"/>
      <c r="AU1273" s="87"/>
      <c r="AV1273" s="87"/>
      <c r="AW1273" s="87"/>
      <c r="AX1273" s="87"/>
      <c r="AY1273" s="87"/>
      <c r="AZ1273" s="87"/>
      <c r="BA1273" s="87"/>
      <c r="BB1273" s="87"/>
      <c r="BC1273" s="87"/>
      <c r="BD1273" s="87"/>
      <c r="BE1273" s="87"/>
      <c r="BF1273" s="87"/>
      <c r="BG1273" s="87"/>
      <c r="BH1273" s="87"/>
      <c r="BI1273" s="87"/>
      <c r="BJ1273" s="87"/>
      <c r="BK1273" s="87"/>
      <c r="BL1273" s="87"/>
      <c r="BM1273" s="87"/>
      <c r="BN1273" s="87"/>
      <c r="BO1273" s="87"/>
      <c r="BP1273" s="87"/>
      <c r="BQ1273" s="87"/>
      <c r="BR1273" s="87"/>
      <c r="BS1273" s="87"/>
      <c r="BT1273" s="87"/>
      <c r="BU1273" s="87"/>
      <c r="BV1273" s="87"/>
      <c r="BW1273" s="87"/>
      <c r="BX1273" s="87"/>
      <c r="BY1273" s="87"/>
    </row>
    <row r="1274" spans="21:77" x14ac:dyDescent="0.3">
      <c r="U1274" s="19"/>
      <c r="V1274" s="87"/>
      <c r="W1274" s="87"/>
      <c r="X1274" s="87"/>
      <c r="Y1274" s="87"/>
      <c r="Z1274" s="87"/>
      <c r="AA1274" s="87"/>
      <c r="AB1274" s="87"/>
      <c r="AC1274" s="87"/>
      <c r="AD1274" s="87"/>
      <c r="AE1274" s="87"/>
      <c r="AF1274" s="87"/>
      <c r="AG1274" s="87"/>
      <c r="AH1274" s="87"/>
      <c r="AI1274" s="87"/>
      <c r="AJ1274" s="87"/>
      <c r="AK1274" s="87"/>
      <c r="AL1274" s="87"/>
      <c r="AM1274" s="87"/>
      <c r="AN1274" s="87"/>
      <c r="AO1274" s="87"/>
      <c r="AP1274" s="87"/>
      <c r="AQ1274" s="87"/>
      <c r="AR1274" s="87"/>
      <c r="AS1274" s="87"/>
      <c r="AT1274" s="87"/>
      <c r="AU1274" s="87"/>
      <c r="AV1274" s="87"/>
      <c r="AW1274" s="87"/>
      <c r="AX1274" s="87"/>
      <c r="AY1274" s="87"/>
      <c r="AZ1274" s="87"/>
      <c r="BA1274" s="87"/>
      <c r="BB1274" s="87"/>
      <c r="BC1274" s="87"/>
      <c r="BD1274" s="87"/>
      <c r="BE1274" s="87"/>
      <c r="BF1274" s="87"/>
      <c r="BG1274" s="87"/>
      <c r="BH1274" s="87"/>
      <c r="BI1274" s="87"/>
      <c r="BJ1274" s="87"/>
      <c r="BK1274" s="87"/>
      <c r="BL1274" s="87"/>
      <c r="BM1274" s="87"/>
      <c r="BN1274" s="87"/>
      <c r="BO1274" s="87"/>
      <c r="BP1274" s="87"/>
      <c r="BQ1274" s="87"/>
      <c r="BR1274" s="87"/>
      <c r="BS1274" s="87"/>
      <c r="BT1274" s="87"/>
      <c r="BU1274" s="87"/>
      <c r="BV1274" s="87"/>
      <c r="BW1274" s="87"/>
      <c r="BX1274" s="87"/>
      <c r="BY1274" s="87"/>
    </row>
    <row r="1275" spans="21:77" x14ac:dyDescent="0.3">
      <c r="U1275" s="19"/>
      <c r="V1275" s="87"/>
      <c r="W1275" s="87"/>
      <c r="X1275" s="87"/>
      <c r="Y1275" s="87"/>
      <c r="Z1275" s="87"/>
      <c r="AA1275" s="87"/>
      <c r="AB1275" s="87"/>
      <c r="AC1275" s="87"/>
      <c r="AD1275" s="87"/>
      <c r="AE1275" s="87"/>
      <c r="AF1275" s="87"/>
      <c r="AG1275" s="87"/>
      <c r="AH1275" s="87"/>
      <c r="AI1275" s="87"/>
      <c r="AJ1275" s="87"/>
      <c r="AK1275" s="87"/>
      <c r="AL1275" s="87"/>
      <c r="AM1275" s="87"/>
      <c r="AN1275" s="87"/>
      <c r="AO1275" s="87"/>
      <c r="AP1275" s="87"/>
      <c r="AQ1275" s="87"/>
      <c r="AR1275" s="87"/>
      <c r="AS1275" s="87"/>
      <c r="AT1275" s="87"/>
      <c r="AU1275" s="87"/>
      <c r="AV1275" s="87"/>
      <c r="AW1275" s="87"/>
      <c r="AX1275" s="87"/>
      <c r="AY1275" s="87"/>
      <c r="AZ1275" s="87"/>
      <c r="BA1275" s="87"/>
      <c r="BB1275" s="87"/>
      <c r="BC1275" s="87"/>
      <c r="BD1275" s="87"/>
      <c r="BE1275" s="87"/>
      <c r="BF1275" s="87"/>
      <c r="BG1275" s="87"/>
      <c r="BH1275" s="87"/>
      <c r="BI1275" s="87"/>
      <c r="BJ1275" s="87"/>
      <c r="BK1275" s="87"/>
      <c r="BL1275" s="87"/>
      <c r="BM1275" s="87"/>
      <c r="BN1275" s="87"/>
      <c r="BO1275" s="87"/>
      <c r="BP1275" s="87"/>
      <c r="BQ1275" s="87"/>
      <c r="BR1275" s="87"/>
      <c r="BS1275" s="87"/>
      <c r="BT1275" s="87"/>
      <c r="BU1275" s="87"/>
      <c r="BV1275" s="87"/>
      <c r="BW1275" s="87"/>
      <c r="BX1275" s="87"/>
      <c r="BY1275" s="87"/>
    </row>
    <row r="1276" spans="21:77" x14ac:dyDescent="0.3">
      <c r="U1276" s="19"/>
      <c r="V1276" s="87"/>
      <c r="W1276" s="87"/>
      <c r="X1276" s="87"/>
      <c r="Y1276" s="87"/>
      <c r="Z1276" s="87"/>
      <c r="AA1276" s="87"/>
      <c r="AB1276" s="87"/>
      <c r="AC1276" s="87"/>
      <c r="AD1276" s="87"/>
      <c r="AE1276" s="87"/>
      <c r="AF1276" s="87"/>
      <c r="AG1276" s="87"/>
      <c r="AH1276" s="87"/>
      <c r="AI1276" s="87"/>
      <c r="AJ1276" s="87"/>
      <c r="AK1276" s="87"/>
      <c r="AL1276" s="87"/>
      <c r="AM1276" s="87"/>
      <c r="AN1276" s="87"/>
      <c r="AO1276" s="87"/>
      <c r="AP1276" s="87"/>
      <c r="AQ1276" s="87"/>
      <c r="AR1276" s="87"/>
      <c r="AS1276" s="87"/>
      <c r="AT1276" s="87"/>
      <c r="AU1276" s="87"/>
      <c r="AV1276" s="87"/>
      <c r="AW1276" s="87"/>
      <c r="AX1276" s="87"/>
      <c r="AY1276" s="87"/>
      <c r="AZ1276" s="87"/>
      <c r="BA1276" s="87"/>
      <c r="BB1276" s="87"/>
      <c r="BC1276" s="87"/>
      <c r="BD1276" s="87"/>
      <c r="BE1276" s="87"/>
      <c r="BF1276" s="87"/>
      <c r="BG1276" s="87"/>
      <c r="BH1276" s="87"/>
      <c r="BI1276" s="87"/>
      <c r="BJ1276" s="87"/>
      <c r="BK1276" s="87"/>
      <c r="BL1276" s="87"/>
      <c r="BM1276" s="87"/>
      <c r="BN1276" s="87"/>
      <c r="BO1276" s="87"/>
      <c r="BP1276" s="87"/>
      <c r="BQ1276" s="87"/>
      <c r="BR1276" s="87"/>
      <c r="BS1276" s="87"/>
      <c r="BT1276" s="87"/>
      <c r="BU1276" s="87"/>
      <c r="BV1276" s="87"/>
      <c r="BW1276" s="87"/>
      <c r="BX1276" s="87"/>
      <c r="BY1276" s="87"/>
    </row>
    <row r="1277" spans="21:77" x14ac:dyDescent="0.3">
      <c r="U1277" s="19"/>
      <c r="V1277" s="87"/>
      <c r="W1277" s="87"/>
      <c r="X1277" s="87"/>
      <c r="Y1277" s="87"/>
      <c r="Z1277" s="87"/>
      <c r="AA1277" s="87"/>
      <c r="AB1277" s="87"/>
      <c r="AC1277" s="87"/>
      <c r="AD1277" s="87"/>
      <c r="AE1277" s="87"/>
      <c r="AF1277" s="87"/>
      <c r="AG1277" s="87"/>
      <c r="AH1277" s="87"/>
      <c r="AI1277" s="87"/>
      <c r="AJ1277" s="87"/>
      <c r="AK1277" s="87"/>
      <c r="AL1277" s="87"/>
      <c r="AM1277" s="87"/>
      <c r="AN1277" s="87"/>
      <c r="AO1277" s="87"/>
      <c r="AP1277" s="87"/>
      <c r="AQ1277" s="87"/>
      <c r="AR1277" s="87"/>
      <c r="AS1277" s="87"/>
      <c r="AT1277" s="87"/>
      <c r="AU1277" s="87"/>
      <c r="AV1277" s="87"/>
      <c r="AW1277" s="87"/>
      <c r="AX1277" s="87"/>
      <c r="AY1277" s="87"/>
      <c r="AZ1277" s="87"/>
      <c r="BA1277" s="87"/>
      <c r="BB1277" s="87"/>
      <c r="BC1277" s="87"/>
      <c r="BD1277" s="87"/>
      <c r="BE1277" s="87"/>
      <c r="BF1277" s="87"/>
      <c r="BG1277" s="87"/>
      <c r="BH1277" s="87"/>
      <c r="BI1277" s="87"/>
      <c r="BJ1277" s="87"/>
      <c r="BK1277" s="87"/>
      <c r="BL1277" s="87"/>
      <c r="BM1277" s="87"/>
      <c r="BN1277" s="87"/>
      <c r="BO1277" s="87"/>
      <c r="BP1277" s="87"/>
      <c r="BQ1277" s="87"/>
      <c r="BR1277" s="87"/>
      <c r="BS1277" s="87"/>
      <c r="BT1277" s="87"/>
      <c r="BU1277" s="87"/>
      <c r="BV1277" s="87"/>
      <c r="BW1277" s="87"/>
      <c r="BX1277" s="87"/>
      <c r="BY1277" s="87"/>
    </row>
    <row r="1278" spans="21:77" x14ac:dyDescent="0.3">
      <c r="U1278" s="19"/>
      <c r="V1278" s="87"/>
      <c r="W1278" s="87"/>
      <c r="X1278" s="87"/>
      <c r="Y1278" s="87"/>
      <c r="Z1278" s="87"/>
      <c r="AA1278" s="87"/>
      <c r="AB1278" s="87"/>
      <c r="AC1278" s="87"/>
      <c r="AD1278" s="87"/>
      <c r="AE1278" s="87"/>
      <c r="AF1278" s="87"/>
      <c r="AG1278" s="87"/>
      <c r="AH1278" s="87"/>
      <c r="AI1278" s="87"/>
      <c r="AJ1278" s="87"/>
      <c r="AK1278" s="87"/>
      <c r="AL1278" s="87"/>
      <c r="AM1278" s="87"/>
      <c r="AN1278" s="87"/>
      <c r="AO1278" s="87"/>
      <c r="AP1278" s="87"/>
      <c r="AQ1278" s="87"/>
      <c r="AR1278" s="87"/>
      <c r="AS1278" s="87"/>
      <c r="AT1278" s="87"/>
      <c r="AU1278" s="87"/>
      <c r="AV1278" s="87"/>
      <c r="AW1278" s="87"/>
      <c r="AX1278" s="87"/>
      <c r="AY1278" s="87"/>
      <c r="AZ1278" s="87"/>
      <c r="BA1278" s="87"/>
      <c r="BB1278" s="87"/>
      <c r="BC1278" s="87"/>
      <c r="BD1278" s="87"/>
      <c r="BE1278" s="87"/>
      <c r="BF1278" s="87"/>
      <c r="BG1278" s="87"/>
      <c r="BH1278" s="87"/>
      <c r="BI1278" s="87"/>
      <c r="BJ1278" s="87"/>
      <c r="BK1278" s="87"/>
      <c r="BL1278" s="87"/>
      <c r="BM1278" s="87"/>
      <c r="BN1278" s="87"/>
      <c r="BO1278" s="87"/>
      <c r="BP1278" s="87"/>
      <c r="BQ1278" s="87"/>
      <c r="BR1278" s="87"/>
      <c r="BS1278" s="87"/>
      <c r="BT1278" s="87"/>
      <c r="BU1278" s="87"/>
      <c r="BV1278" s="87"/>
      <c r="BW1278" s="87"/>
      <c r="BX1278" s="87"/>
      <c r="BY1278" s="87"/>
    </row>
    <row r="1279" spans="21:77" x14ac:dyDescent="0.3">
      <c r="U1279" s="19"/>
      <c r="V1279" s="87"/>
      <c r="W1279" s="87"/>
      <c r="X1279" s="87"/>
      <c r="Y1279" s="87"/>
      <c r="Z1279" s="87"/>
      <c r="AA1279" s="87"/>
      <c r="AB1279" s="87"/>
      <c r="AC1279" s="87"/>
      <c r="AD1279" s="87"/>
      <c r="AE1279" s="87"/>
      <c r="AF1279" s="87"/>
      <c r="AG1279" s="87"/>
      <c r="AH1279" s="87"/>
      <c r="AI1279" s="87"/>
      <c r="AJ1279" s="87"/>
      <c r="AK1279" s="87"/>
      <c r="AL1279" s="87"/>
      <c r="AM1279" s="87"/>
      <c r="AN1279" s="87"/>
      <c r="AO1279" s="87"/>
      <c r="AP1279" s="87"/>
      <c r="AQ1279" s="87"/>
      <c r="AR1279" s="87"/>
      <c r="AS1279" s="87"/>
      <c r="AT1279" s="87"/>
      <c r="AU1279" s="87"/>
      <c r="AV1279" s="87"/>
      <c r="AW1279" s="87"/>
      <c r="AX1279" s="87"/>
      <c r="AY1279" s="87"/>
      <c r="AZ1279" s="87"/>
      <c r="BA1279" s="87"/>
      <c r="BB1279" s="87"/>
      <c r="BC1279" s="87"/>
      <c r="BD1279" s="87"/>
      <c r="BE1279" s="87"/>
      <c r="BF1279" s="87"/>
      <c r="BG1279" s="87"/>
      <c r="BH1279" s="87"/>
      <c r="BI1279" s="87"/>
      <c r="BJ1279" s="87"/>
      <c r="BK1279" s="87"/>
      <c r="BL1279" s="87"/>
      <c r="BM1279" s="87"/>
      <c r="BN1279" s="87"/>
      <c r="BO1279" s="87"/>
      <c r="BP1279" s="87"/>
      <c r="BQ1279" s="87"/>
      <c r="BR1279" s="87"/>
      <c r="BS1279" s="87"/>
      <c r="BT1279" s="87"/>
      <c r="BU1279" s="87"/>
      <c r="BV1279" s="87"/>
      <c r="BW1279" s="87"/>
      <c r="BX1279" s="87"/>
      <c r="BY1279" s="87"/>
    </row>
    <row r="1280" spans="21:77" x14ac:dyDescent="0.3">
      <c r="U1280" s="19"/>
      <c r="V1280" s="87"/>
      <c r="W1280" s="87"/>
      <c r="X1280" s="87"/>
      <c r="Y1280" s="87"/>
      <c r="Z1280" s="87"/>
      <c r="AA1280" s="87"/>
      <c r="AB1280" s="87"/>
      <c r="AC1280" s="87"/>
      <c r="AD1280" s="87"/>
      <c r="AE1280" s="87"/>
      <c r="AF1280" s="87"/>
      <c r="AG1280" s="87"/>
      <c r="AH1280" s="87"/>
      <c r="AI1280" s="87"/>
      <c r="AJ1280" s="87"/>
      <c r="AK1280" s="87"/>
      <c r="AL1280" s="87"/>
      <c r="AM1280" s="87"/>
      <c r="AN1280" s="87"/>
      <c r="AO1280" s="87"/>
      <c r="AP1280" s="87"/>
      <c r="AQ1280" s="87"/>
      <c r="AR1280" s="87"/>
      <c r="AS1280" s="87"/>
      <c r="AT1280" s="87"/>
      <c r="AU1280" s="87"/>
      <c r="AV1280" s="87"/>
      <c r="AW1280" s="87"/>
      <c r="AX1280" s="87"/>
      <c r="AY1280" s="87"/>
      <c r="AZ1280" s="87"/>
      <c r="BA1280" s="87"/>
      <c r="BB1280" s="87"/>
      <c r="BC1280" s="87"/>
      <c r="BD1280" s="87"/>
      <c r="BE1280" s="87"/>
      <c r="BF1280" s="87"/>
      <c r="BG1280" s="87"/>
      <c r="BH1280" s="87"/>
      <c r="BI1280" s="87"/>
      <c r="BJ1280" s="87"/>
      <c r="BK1280" s="87"/>
      <c r="BL1280" s="87"/>
      <c r="BM1280" s="87"/>
      <c r="BN1280" s="87"/>
      <c r="BO1280" s="87"/>
      <c r="BP1280" s="87"/>
      <c r="BQ1280" s="87"/>
      <c r="BR1280" s="87"/>
      <c r="BS1280" s="87"/>
      <c r="BT1280" s="87"/>
      <c r="BU1280" s="87"/>
      <c r="BV1280" s="87"/>
      <c r="BW1280" s="87"/>
      <c r="BX1280" s="87"/>
      <c r="BY1280" s="87"/>
    </row>
    <row r="1281" spans="21:77" x14ac:dyDescent="0.3">
      <c r="U1281" s="19"/>
      <c r="V1281" s="87"/>
      <c r="W1281" s="87"/>
      <c r="X1281" s="87"/>
      <c r="Y1281" s="87"/>
      <c r="Z1281" s="87"/>
      <c r="AA1281" s="87"/>
      <c r="AB1281" s="87"/>
      <c r="AC1281" s="87"/>
      <c r="AD1281" s="87"/>
      <c r="AE1281" s="87"/>
      <c r="AF1281" s="87"/>
      <c r="AG1281" s="87"/>
      <c r="AH1281" s="87"/>
      <c r="AI1281" s="87"/>
      <c r="AJ1281" s="87"/>
      <c r="AK1281" s="87"/>
      <c r="AL1281" s="87"/>
      <c r="AM1281" s="87"/>
      <c r="AN1281" s="87"/>
      <c r="AO1281" s="87"/>
      <c r="AP1281" s="87"/>
      <c r="AQ1281" s="87"/>
      <c r="AR1281" s="87"/>
      <c r="AS1281" s="87"/>
      <c r="AT1281" s="87"/>
      <c r="AU1281" s="87"/>
      <c r="AV1281" s="87"/>
      <c r="AW1281" s="87"/>
      <c r="AX1281" s="87"/>
      <c r="AY1281" s="87"/>
      <c r="AZ1281" s="87"/>
      <c r="BA1281" s="87"/>
      <c r="BB1281" s="87"/>
      <c r="BC1281" s="87"/>
      <c r="BD1281" s="87"/>
      <c r="BE1281" s="87"/>
      <c r="BF1281" s="87"/>
      <c r="BG1281" s="87"/>
      <c r="BH1281" s="87"/>
      <c r="BI1281" s="87"/>
      <c r="BJ1281" s="87"/>
      <c r="BK1281" s="87"/>
      <c r="BL1281" s="87"/>
      <c r="BM1281" s="87"/>
      <c r="BN1281" s="87"/>
      <c r="BO1281" s="87"/>
      <c r="BP1281" s="87"/>
      <c r="BQ1281" s="87"/>
      <c r="BR1281" s="87"/>
      <c r="BS1281" s="87"/>
      <c r="BT1281" s="87"/>
      <c r="BU1281" s="87"/>
      <c r="BV1281" s="87"/>
      <c r="BW1281" s="87"/>
      <c r="BX1281" s="87"/>
      <c r="BY1281" s="87"/>
    </row>
    <row r="1282" spans="21:77" x14ac:dyDescent="0.3">
      <c r="U1282" s="19"/>
      <c r="V1282" s="87"/>
      <c r="W1282" s="87"/>
      <c r="X1282" s="87"/>
      <c r="Y1282" s="87"/>
      <c r="Z1282" s="87"/>
      <c r="AA1282" s="87"/>
      <c r="AB1282" s="87"/>
      <c r="AC1282" s="87"/>
      <c r="AD1282" s="87"/>
      <c r="AE1282" s="87"/>
      <c r="AF1282" s="87"/>
      <c r="AG1282" s="87"/>
      <c r="AH1282" s="87"/>
      <c r="AI1282" s="87"/>
      <c r="AJ1282" s="87"/>
      <c r="AK1282" s="87"/>
      <c r="AL1282" s="87"/>
      <c r="AM1282" s="87"/>
      <c r="AN1282" s="87"/>
      <c r="AO1282" s="87"/>
      <c r="AP1282" s="87"/>
      <c r="AQ1282" s="87"/>
      <c r="AR1282" s="87"/>
      <c r="AS1282" s="87"/>
      <c r="AT1282" s="87"/>
      <c r="AU1282" s="87"/>
      <c r="AV1282" s="87"/>
      <c r="AW1282" s="87"/>
      <c r="AX1282" s="87"/>
      <c r="AY1282" s="87"/>
      <c r="AZ1282" s="87"/>
      <c r="BA1282" s="87"/>
      <c r="BB1282" s="87"/>
      <c r="BC1282" s="87"/>
      <c r="BD1282" s="87"/>
      <c r="BE1282" s="87"/>
      <c r="BF1282" s="87"/>
      <c r="BG1282" s="87"/>
      <c r="BH1282" s="87"/>
      <c r="BI1282" s="87"/>
      <c r="BJ1282" s="87"/>
      <c r="BK1282" s="87"/>
      <c r="BL1282" s="87"/>
      <c r="BM1282" s="87"/>
      <c r="BN1282" s="87"/>
      <c r="BO1282" s="87"/>
      <c r="BP1282" s="87"/>
      <c r="BQ1282" s="87"/>
      <c r="BR1282" s="87"/>
      <c r="BS1282" s="87"/>
      <c r="BT1282" s="87"/>
      <c r="BU1282" s="87"/>
      <c r="BV1282" s="87"/>
      <c r="BW1282" s="87"/>
      <c r="BX1282" s="87"/>
      <c r="BY1282" s="87"/>
    </row>
    <row r="1283" spans="21:77" x14ac:dyDescent="0.3">
      <c r="U1283" s="19"/>
      <c r="V1283" s="87"/>
      <c r="W1283" s="87"/>
      <c r="X1283" s="87"/>
      <c r="Y1283" s="87"/>
      <c r="Z1283" s="87"/>
      <c r="AA1283" s="87"/>
      <c r="AB1283" s="87"/>
      <c r="AC1283" s="87"/>
      <c r="AD1283" s="87"/>
      <c r="AE1283" s="87"/>
      <c r="AF1283" s="87"/>
      <c r="AG1283" s="87"/>
      <c r="AH1283" s="87"/>
      <c r="AI1283" s="87"/>
      <c r="AJ1283" s="87"/>
      <c r="AK1283" s="87"/>
      <c r="AL1283" s="87"/>
      <c r="AM1283" s="87"/>
      <c r="AN1283" s="87"/>
      <c r="AO1283" s="87"/>
      <c r="AP1283" s="87"/>
      <c r="AQ1283" s="87"/>
      <c r="AR1283" s="87"/>
      <c r="AS1283" s="87"/>
      <c r="AT1283" s="87"/>
      <c r="AU1283" s="87"/>
      <c r="AV1283" s="87"/>
      <c r="AW1283" s="87"/>
      <c r="AX1283" s="87"/>
      <c r="AY1283" s="87"/>
      <c r="AZ1283" s="87"/>
      <c r="BA1283" s="87"/>
      <c r="BB1283" s="87"/>
      <c r="BC1283" s="87"/>
      <c r="BD1283" s="87"/>
      <c r="BE1283" s="87"/>
      <c r="BF1283" s="87"/>
      <c r="BG1283" s="87"/>
      <c r="BH1283" s="87"/>
      <c r="BI1283" s="87"/>
      <c r="BJ1283" s="87"/>
      <c r="BK1283" s="87"/>
      <c r="BL1283" s="87"/>
      <c r="BM1283" s="87"/>
      <c r="BN1283" s="87"/>
      <c r="BO1283" s="87"/>
      <c r="BP1283" s="87"/>
      <c r="BQ1283" s="87"/>
      <c r="BR1283" s="87"/>
      <c r="BS1283" s="87"/>
      <c r="BT1283" s="87"/>
      <c r="BU1283" s="87"/>
      <c r="BV1283" s="87"/>
      <c r="BW1283" s="87"/>
      <c r="BX1283" s="87"/>
      <c r="BY1283" s="87"/>
    </row>
    <row r="1284" spans="21:77" x14ac:dyDescent="0.3">
      <c r="U1284" s="19"/>
      <c r="V1284" s="87"/>
      <c r="W1284" s="87"/>
      <c r="X1284" s="87"/>
      <c r="Y1284" s="87"/>
      <c r="Z1284" s="87"/>
      <c r="AA1284" s="87"/>
      <c r="AB1284" s="87"/>
      <c r="AC1284" s="87"/>
      <c r="AD1284" s="87"/>
      <c r="AE1284" s="87"/>
      <c r="AF1284" s="87"/>
      <c r="AG1284" s="87"/>
      <c r="AH1284" s="87"/>
      <c r="AI1284" s="87"/>
      <c r="AJ1284" s="87"/>
      <c r="AK1284" s="87"/>
      <c r="AL1284" s="87"/>
      <c r="AM1284" s="87"/>
      <c r="AN1284" s="87"/>
      <c r="AO1284" s="87"/>
      <c r="AP1284" s="87"/>
      <c r="AQ1284" s="87"/>
      <c r="AR1284" s="87"/>
      <c r="AS1284" s="87"/>
      <c r="AT1284" s="87"/>
      <c r="AU1284" s="87"/>
      <c r="AV1284" s="87"/>
      <c r="AW1284" s="87"/>
      <c r="AX1284" s="87"/>
      <c r="AY1284" s="87"/>
      <c r="AZ1284" s="87"/>
      <c r="BA1284" s="87"/>
      <c r="BB1284" s="87"/>
      <c r="BC1284" s="87"/>
      <c r="BD1284" s="87"/>
      <c r="BE1284" s="87"/>
      <c r="BF1284" s="87"/>
      <c r="BG1284" s="87"/>
      <c r="BH1284" s="87"/>
      <c r="BI1284" s="87"/>
      <c r="BJ1284" s="87"/>
      <c r="BK1284" s="87"/>
      <c r="BL1284" s="87"/>
      <c r="BM1284" s="87"/>
      <c r="BN1284" s="87"/>
      <c r="BO1284" s="87"/>
      <c r="BP1284" s="87"/>
      <c r="BQ1284" s="87"/>
      <c r="BR1284" s="87"/>
      <c r="BS1284" s="87"/>
      <c r="BT1284" s="87"/>
      <c r="BU1284" s="87"/>
      <c r="BV1284" s="87"/>
      <c r="BW1284" s="87"/>
      <c r="BX1284" s="87"/>
      <c r="BY1284" s="87"/>
    </row>
    <row r="1285" spans="21:77" x14ac:dyDescent="0.3">
      <c r="U1285" s="19"/>
      <c r="V1285" s="87"/>
      <c r="W1285" s="87"/>
      <c r="X1285" s="87"/>
      <c r="Y1285" s="87"/>
      <c r="Z1285" s="87"/>
      <c r="AA1285" s="87"/>
      <c r="AB1285" s="87"/>
      <c r="AC1285" s="87"/>
      <c r="AD1285" s="87"/>
      <c r="AE1285" s="87"/>
      <c r="AF1285" s="87"/>
      <c r="AG1285" s="87"/>
      <c r="AH1285" s="87"/>
      <c r="AI1285" s="87"/>
      <c r="AJ1285" s="87"/>
      <c r="AK1285" s="87"/>
      <c r="AL1285" s="87"/>
      <c r="AM1285" s="87"/>
      <c r="AN1285" s="87"/>
      <c r="AO1285" s="87"/>
      <c r="AP1285" s="87"/>
      <c r="AQ1285" s="87"/>
      <c r="AR1285" s="87"/>
      <c r="AS1285" s="87"/>
      <c r="AT1285" s="87"/>
      <c r="AU1285" s="87"/>
      <c r="AV1285" s="87"/>
      <c r="AW1285" s="87"/>
      <c r="AX1285" s="87"/>
      <c r="AY1285" s="87"/>
      <c r="AZ1285" s="87"/>
      <c r="BA1285" s="87"/>
      <c r="BB1285" s="87"/>
      <c r="BC1285" s="87"/>
      <c r="BD1285" s="87"/>
      <c r="BE1285" s="87"/>
      <c r="BF1285" s="87"/>
      <c r="BG1285" s="87"/>
      <c r="BH1285" s="87"/>
      <c r="BI1285" s="87"/>
      <c r="BJ1285" s="87"/>
      <c r="BK1285" s="87"/>
      <c r="BL1285" s="87"/>
      <c r="BM1285" s="87"/>
      <c r="BN1285" s="87"/>
      <c r="BO1285" s="87"/>
      <c r="BP1285" s="87"/>
      <c r="BQ1285" s="87"/>
      <c r="BR1285" s="87"/>
      <c r="BS1285" s="87"/>
      <c r="BT1285" s="87"/>
      <c r="BU1285" s="87"/>
      <c r="BV1285" s="87"/>
      <c r="BW1285" s="87"/>
      <c r="BX1285" s="87"/>
      <c r="BY1285" s="87"/>
    </row>
    <row r="1286" spans="21:77" x14ac:dyDescent="0.3">
      <c r="U1286" s="19"/>
      <c r="V1286" s="87"/>
      <c r="W1286" s="87"/>
      <c r="X1286" s="87"/>
      <c r="Y1286" s="87"/>
      <c r="Z1286" s="87"/>
      <c r="AA1286" s="87"/>
      <c r="AB1286" s="87"/>
      <c r="AC1286" s="87"/>
      <c r="AD1286" s="87"/>
      <c r="AE1286" s="87"/>
      <c r="AF1286" s="87"/>
      <c r="AG1286" s="87"/>
      <c r="AH1286" s="87"/>
      <c r="AI1286" s="87"/>
      <c r="AJ1286" s="87"/>
      <c r="AK1286" s="87"/>
      <c r="AL1286" s="87"/>
      <c r="AM1286" s="87"/>
      <c r="AN1286" s="87"/>
      <c r="AO1286" s="87"/>
      <c r="AP1286" s="87"/>
      <c r="AQ1286" s="87"/>
      <c r="AR1286" s="87"/>
      <c r="AS1286" s="87"/>
      <c r="AT1286" s="87"/>
      <c r="AU1286" s="87"/>
      <c r="AV1286" s="87"/>
      <c r="AW1286" s="87"/>
      <c r="AX1286" s="87"/>
      <c r="AY1286" s="87"/>
      <c r="AZ1286" s="87"/>
      <c r="BA1286" s="87"/>
      <c r="BB1286" s="87"/>
      <c r="BC1286" s="87"/>
      <c r="BD1286" s="87"/>
      <c r="BE1286" s="87"/>
      <c r="BF1286" s="87"/>
      <c r="BG1286" s="87"/>
      <c r="BH1286" s="87"/>
      <c r="BI1286" s="87"/>
      <c r="BJ1286" s="87"/>
      <c r="BK1286" s="87"/>
      <c r="BL1286" s="87"/>
      <c r="BM1286" s="87"/>
      <c r="BN1286" s="87"/>
      <c r="BO1286" s="87"/>
      <c r="BP1286" s="87"/>
      <c r="BQ1286" s="87"/>
      <c r="BR1286" s="87"/>
      <c r="BS1286" s="87"/>
      <c r="BT1286" s="87"/>
      <c r="BU1286" s="87"/>
      <c r="BV1286" s="87"/>
      <c r="BW1286" s="87"/>
      <c r="BX1286" s="87"/>
      <c r="BY1286" s="87"/>
    </row>
    <row r="1287" spans="21:77" x14ac:dyDescent="0.3">
      <c r="U1287" s="19"/>
      <c r="V1287" s="87"/>
      <c r="W1287" s="87"/>
      <c r="X1287" s="87"/>
      <c r="Y1287" s="87"/>
      <c r="Z1287" s="87"/>
      <c r="AA1287" s="87"/>
      <c r="AB1287" s="87"/>
      <c r="AC1287" s="87"/>
      <c r="AD1287" s="87"/>
      <c r="AE1287" s="87"/>
      <c r="AF1287" s="87"/>
      <c r="AG1287" s="87"/>
      <c r="AH1287" s="87"/>
      <c r="AI1287" s="87"/>
      <c r="AJ1287" s="87"/>
      <c r="AK1287" s="87"/>
      <c r="AL1287" s="87"/>
      <c r="AM1287" s="87"/>
      <c r="AN1287" s="87"/>
      <c r="AO1287" s="87"/>
      <c r="AP1287" s="87"/>
      <c r="AQ1287" s="87"/>
      <c r="AR1287" s="87"/>
      <c r="AS1287" s="87"/>
      <c r="AT1287" s="87"/>
      <c r="AU1287" s="87"/>
      <c r="AV1287" s="87"/>
      <c r="AW1287" s="87"/>
      <c r="AX1287" s="87"/>
      <c r="AY1287" s="87"/>
      <c r="AZ1287" s="87"/>
      <c r="BA1287" s="87"/>
      <c r="BB1287" s="87"/>
      <c r="BC1287" s="87"/>
      <c r="BD1287" s="87"/>
      <c r="BE1287" s="87"/>
      <c r="BF1287" s="87"/>
      <c r="BG1287" s="87"/>
      <c r="BH1287" s="87"/>
      <c r="BI1287" s="87"/>
      <c r="BJ1287" s="87"/>
      <c r="BK1287" s="87"/>
      <c r="BL1287" s="87"/>
      <c r="BM1287" s="87"/>
      <c r="BN1287" s="87"/>
      <c r="BO1287" s="87"/>
      <c r="BP1287" s="87"/>
      <c r="BQ1287" s="87"/>
      <c r="BR1287" s="87"/>
      <c r="BS1287" s="87"/>
      <c r="BT1287" s="87"/>
      <c r="BU1287" s="87"/>
      <c r="BV1287" s="87"/>
      <c r="BW1287" s="87"/>
      <c r="BX1287" s="87"/>
      <c r="BY1287" s="87"/>
    </row>
    <row r="1288" spans="21:77" x14ac:dyDescent="0.3">
      <c r="U1288" s="19"/>
      <c r="V1288" s="87"/>
      <c r="W1288" s="87"/>
      <c r="X1288" s="87"/>
      <c r="Y1288" s="87"/>
      <c r="Z1288" s="87"/>
      <c r="AA1288" s="87"/>
      <c r="AB1288" s="87"/>
      <c r="AC1288" s="87"/>
      <c r="AD1288" s="87"/>
      <c r="AE1288" s="87"/>
      <c r="AF1288" s="87"/>
      <c r="AG1288" s="87"/>
      <c r="AH1288" s="87"/>
      <c r="AI1288" s="87"/>
      <c r="AJ1288" s="87"/>
      <c r="AK1288" s="87"/>
      <c r="AL1288" s="87"/>
      <c r="AM1288" s="87"/>
      <c r="AN1288" s="87"/>
      <c r="AO1288" s="87"/>
      <c r="AP1288" s="87"/>
      <c r="AQ1288" s="87"/>
      <c r="AR1288" s="87"/>
      <c r="AS1288" s="87"/>
      <c r="AT1288" s="87"/>
      <c r="AU1288" s="87"/>
      <c r="AV1288" s="87"/>
      <c r="AW1288" s="87"/>
      <c r="AX1288" s="87"/>
      <c r="AY1288" s="87"/>
      <c r="AZ1288" s="87"/>
      <c r="BA1288" s="87"/>
      <c r="BB1288" s="87"/>
      <c r="BC1288" s="87"/>
      <c r="BD1288" s="87"/>
      <c r="BE1288" s="87"/>
      <c r="BF1288" s="87"/>
      <c r="BG1288" s="87"/>
      <c r="BH1288" s="87"/>
      <c r="BI1288" s="87"/>
      <c r="BJ1288" s="87"/>
      <c r="BK1288" s="87"/>
      <c r="BL1288" s="87"/>
      <c r="BM1288" s="87"/>
      <c r="BN1288" s="87"/>
      <c r="BO1288" s="87"/>
      <c r="BP1288" s="87"/>
      <c r="BQ1288" s="87"/>
      <c r="BR1288" s="87"/>
      <c r="BS1288" s="87"/>
      <c r="BT1288" s="87"/>
      <c r="BU1288" s="87"/>
      <c r="BV1288" s="87"/>
      <c r="BW1288" s="87"/>
      <c r="BX1288" s="87"/>
      <c r="BY1288" s="87"/>
    </row>
    <row r="1289" spans="21:77" x14ac:dyDescent="0.3">
      <c r="U1289" s="19"/>
      <c r="V1289" s="87"/>
      <c r="W1289" s="87"/>
      <c r="X1289" s="87"/>
      <c r="Y1289" s="87"/>
      <c r="Z1289" s="87"/>
      <c r="AA1289" s="87"/>
      <c r="AB1289" s="87"/>
      <c r="AC1289" s="87"/>
      <c r="AD1289" s="87"/>
      <c r="AE1289" s="87"/>
      <c r="AF1289" s="87"/>
      <c r="AG1289" s="87"/>
      <c r="AH1289" s="87"/>
      <c r="AI1289" s="87"/>
      <c r="AJ1289" s="87"/>
      <c r="AK1289" s="87"/>
      <c r="AL1289" s="87"/>
      <c r="AM1289" s="87"/>
      <c r="AN1289" s="87"/>
      <c r="AO1289" s="87"/>
      <c r="AP1289" s="87"/>
      <c r="AQ1289" s="87"/>
      <c r="AR1289" s="87"/>
      <c r="AS1289" s="87"/>
      <c r="AT1289" s="87"/>
      <c r="AU1289" s="87"/>
      <c r="AV1289" s="87"/>
      <c r="AW1289" s="87"/>
      <c r="AX1289" s="87"/>
      <c r="AY1289" s="87"/>
      <c r="AZ1289" s="87"/>
      <c r="BA1289" s="87"/>
      <c r="BB1289" s="87"/>
      <c r="BC1289" s="87"/>
      <c r="BD1289" s="87"/>
      <c r="BE1289" s="87"/>
      <c r="BF1289" s="87"/>
      <c r="BG1289" s="87"/>
      <c r="BH1289" s="87"/>
      <c r="BI1289" s="87"/>
      <c r="BJ1289" s="87"/>
      <c r="BK1289" s="87"/>
      <c r="BL1289" s="87"/>
      <c r="BM1289" s="87"/>
      <c r="BN1289" s="87"/>
      <c r="BO1289" s="87"/>
      <c r="BP1289" s="87"/>
      <c r="BQ1289" s="87"/>
      <c r="BR1289" s="87"/>
      <c r="BS1289" s="87"/>
      <c r="BT1289" s="87"/>
      <c r="BU1289" s="87"/>
      <c r="BV1289" s="87"/>
      <c r="BW1289" s="87"/>
      <c r="BX1289" s="87"/>
      <c r="BY1289" s="87"/>
    </row>
    <row r="1290" spans="21:77" x14ac:dyDescent="0.3">
      <c r="U1290" s="19"/>
      <c r="V1290" s="87"/>
      <c r="W1290" s="87"/>
      <c r="X1290" s="87"/>
      <c r="Y1290" s="87"/>
      <c r="Z1290" s="87"/>
      <c r="AA1290" s="87"/>
      <c r="AB1290" s="87"/>
      <c r="AC1290" s="87"/>
      <c r="AD1290" s="87"/>
      <c r="AE1290" s="87"/>
      <c r="AF1290" s="87"/>
      <c r="AG1290" s="87"/>
      <c r="AH1290" s="87"/>
      <c r="AI1290" s="87"/>
      <c r="AJ1290" s="87"/>
      <c r="AK1290" s="87"/>
      <c r="AL1290" s="87"/>
      <c r="AM1290" s="87"/>
      <c r="AN1290" s="87"/>
      <c r="AO1290" s="87"/>
      <c r="AP1290" s="87"/>
      <c r="AQ1290" s="87"/>
      <c r="AR1290" s="87"/>
      <c r="AS1290" s="87"/>
      <c r="AT1290" s="87"/>
      <c r="AU1290" s="87"/>
      <c r="AV1290" s="87"/>
      <c r="AW1290" s="87"/>
      <c r="AX1290" s="87"/>
      <c r="AY1290" s="87"/>
      <c r="AZ1290" s="87"/>
      <c r="BA1290" s="87"/>
      <c r="BB1290" s="87"/>
      <c r="BC1290" s="87"/>
      <c r="BD1290" s="87"/>
      <c r="BE1290" s="87"/>
      <c r="BF1290" s="87"/>
      <c r="BG1290" s="87"/>
      <c r="BH1290" s="87"/>
      <c r="BI1290" s="87"/>
      <c r="BJ1290" s="87"/>
      <c r="BK1290" s="87"/>
      <c r="BL1290" s="87"/>
      <c r="BM1290" s="87"/>
      <c r="BN1290" s="87"/>
      <c r="BO1290" s="87"/>
      <c r="BP1290" s="87"/>
      <c r="BQ1290" s="87"/>
      <c r="BR1290" s="87"/>
      <c r="BS1290" s="87"/>
      <c r="BT1290" s="87"/>
      <c r="BU1290" s="87"/>
      <c r="BV1290" s="87"/>
      <c r="BW1290" s="87"/>
      <c r="BX1290" s="87"/>
      <c r="BY1290" s="87"/>
    </row>
    <row r="1291" spans="21:77" x14ac:dyDescent="0.3">
      <c r="U1291" s="19"/>
      <c r="V1291" s="87"/>
      <c r="W1291" s="87"/>
      <c r="X1291" s="87"/>
      <c r="Y1291" s="87"/>
      <c r="Z1291" s="87"/>
      <c r="AA1291" s="87"/>
      <c r="AB1291" s="87"/>
      <c r="AC1291" s="87"/>
      <c r="AD1291" s="87"/>
      <c r="AE1291" s="87"/>
      <c r="AF1291" s="87"/>
      <c r="AG1291" s="87"/>
      <c r="AH1291" s="87"/>
      <c r="AI1291" s="87"/>
      <c r="AJ1291" s="87"/>
      <c r="AK1291" s="87"/>
      <c r="AL1291" s="87"/>
      <c r="AM1291" s="87"/>
      <c r="AN1291" s="87"/>
      <c r="AO1291" s="87"/>
      <c r="AP1291" s="87"/>
      <c r="AQ1291" s="87"/>
      <c r="AR1291" s="87"/>
      <c r="AS1291" s="87"/>
      <c r="AT1291" s="87"/>
      <c r="AU1291" s="87"/>
      <c r="AV1291" s="87"/>
      <c r="AW1291" s="87"/>
      <c r="AX1291" s="87"/>
      <c r="AY1291" s="87"/>
      <c r="AZ1291" s="87"/>
      <c r="BA1291" s="87"/>
      <c r="BB1291" s="87"/>
      <c r="BC1291" s="87"/>
      <c r="BD1291" s="87"/>
      <c r="BE1291" s="87"/>
      <c r="BF1291" s="87"/>
      <c r="BG1291" s="87"/>
      <c r="BH1291" s="87"/>
      <c r="BI1291" s="87"/>
      <c r="BJ1291" s="87"/>
      <c r="BK1291" s="87"/>
      <c r="BL1291" s="87"/>
      <c r="BM1291" s="87"/>
      <c r="BN1291" s="87"/>
      <c r="BO1291" s="87"/>
      <c r="BP1291" s="87"/>
      <c r="BQ1291" s="87"/>
      <c r="BR1291" s="87"/>
      <c r="BS1291" s="87"/>
      <c r="BT1291" s="87"/>
      <c r="BU1291" s="87"/>
      <c r="BV1291" s="87"/>
      <c r="BW1291" s="87"/>
      <c r="BX1291" s="87"/>
      <c r="BY1291" s="87"/>
    </row>
    <row r="1292" spans="21:77" x14ac:dyDescent="0.3">
      <c r="U1292" s="19"/>
      <c r="V1292" s="87"/>
      <c r="W1292" s="87"/>
      <c r="X1292" s="87"/>
      <c r="Y1292" s="87"/>
      <c r="Z1292" s="87"/>
      <c r="AA1292" s="87"/>
      <c r="AB1292" s="87"/>
      <c r="AC1292" s="87"/>
      <c r="AD1292" s="87"/>
      <c r="AE1292" s="87"/>
      <c r="AF1292" s="87"/>
      <c r="AG1292" s="87"/>
      <c r="AH1292" s="87"/>
      <c r="AI1292" s="87"/>
      <c r="AJ1292" s="87"/>
      <c r="AK1292" s="87"/>
      <c r="AL1292" s="87"/>
      <c r="AM1292" s="87"/>
      <c r="AN1292" s="87"/>
      <c r="AO1292" s="87"/>
      <c r="AP1292" s="87"/>
      <c r="AQ1292" s="87"/>
      <c r="AR1292" s="87"/>
      <c r="AS1292" s="87"/>
      <c r="AT1292" s="87"/>
      <c r="AU1292" s="87"/>
      <c r="AV1292" s="87"/>
      <c r="AW1292" s="87"/>
      <c r="AX1292" s="87"/>
      <c r="AY1292" s="87"/>
      <c r="AZ1292" s="87"/>
      <c r="BA1292" s="87"/>
      <c r="BB1292" s="87"/>
      <c r="BC1292" s="87"/>
      <c r="BD1292" s="87"/>
      <c r="BE1292" s="87"/>
      <c r="BF1292" s="87"/>
      <c r="BG1292" s="87"/>
      <c r="BH1292" s="87"/>
      <c r="BI1292" s="87"/>
      <c r="BJ1292" s="87"/>
      <c r="BK1292" s="87"/>
      <c r="BL1292" s="87"/>
      <c r="BM1292" s="87"/>
      <c r="BN1292" s="87"/>
      <c r="BO1292" s="87"/>
      <c r="BP1292" s="87"/>
      <c r="BQ1292" s="87"/>
      <c r="BR1292" s="87"/>
      <c r="BS1292" s="87"/>
      <c r="BT1292" s="87"/>
      <c r="BU1292" s="87"/>
      <c r="BV1292" s="87"/>
      <c r="BW1292" s="87"/>
      <c r="BX1292" s="87"/>
      <c r="BY1292" s="87"/>
    </row>
    <row r="1293" spans="21:77" x14ac:dyDescent="0.3">
      <c r="U1293" s="19"/>
      <c r="V1293" s="87"/>
      <c r="W1293" s="87"/>
      <c r="X1293" s="87"/>
      <c r="Y1293" s="87"/>
      <c r="Z1293" s="87"/>
      <c r="AA1293" s="87"/>
      <c r="AB1293" s="87"/>
      <c r="AC1293" s="87"/>
      <c r="AD1293" s="87"/>
      <c r="AE1293" s="87"/>
      <c r="AF1293" s="87"/>
      <c r="AG1293" s="87"/>
      <c r="AH1293" s="87"/>
      <c r="AI1293" s="87"/>
      <c r="AJ1293" s="87"/>
      <c r="AK1293" s="87"/>
      <c r="AL1293" s="87"/>
      <c r="AM1293" s="87"/>
      <c r="AN1293" s="87"/>
      <c r="AO1293" s="87"/>
      <c r="AP1293" s="87"/>
      <c r="AQ1293" s="87"/>
      <c r="AR1293" s="87"/>
      <c r="AS1293" s="87"/>
      <c r="AT1293" s="87"/>
      <c r="AU1293" s="87"/>
      <c r="AV1293" s="87"/>
      <c r="AW1293" s="87"/>
      <c r="AX1293" s="87"/>
      <c r="AY1293" s="87"/>
      <c r="AZ1293" s="87"/>
      <c r="BA1293" s="87"/>
      <c r="BB1293" s="87"/>
      <c r="BC1293" s="87"/>
      <c r="BD1293" s="87"/>
      <c r="BE1293" s="87"/>
      <c r="BF1293" s="87"/>
      <c r="BG1293" s="87"/>
      <c r="BH1293" s="87"/>
      <c r="BI1293" s="87"/>
      <c r="BJ1293" s="87"/>
      <c r="BK1293" s="87"/>
      <c r="BL1293" s="87"/>
      <c r="BM1293" s="87"/>
      <c r="BN1293" s="87"/>
      <c r="BO1293" s="87"/>
      <c r="BP1293" s="87"/>
      <c r="BQ1293" s="87"/>
      <c r="BR1293" s="87"/>
      <c r="BS1293" s="87"/>
      <c r="BT1293" s="87"/>
      <c r="BU1293" s="87"/>
      <c r="BV1293" s="87"/>
      <c r="BW1293" s="87"/>
      <c r="BX1293" s="87"/>
      <c r="BY1293" s="87"/>
    </row>
    <row r="1294" spans="21:77" x14ac:dyDescent="0.3">
      <c r="U1294" s="19"/>
      <c r="V1294" s="87"/>
      <c r="W1294" s="87"/>
      <c r="X1294" s="87"/>
      <c r="Y1294" s="87"/>
      <c r="Z1294" s="87"/>
      <c r="AA1294" s="87"/>
      <c r="AB1294" s="87"/>
      <c r="AC1294" s="87"/>
      <c r="AD1294" s="87"/>
      <c r="AE1294" s="87"/>
      <c r="AF1294" s="87"/>
      <c r="AG1294" s="87"/>
      <c r="AH1294" s="87"/>
      <c r="AI1294" s="87"/>
      <c r="AJ1294" s="87"/>
      <c r="AK1294" s="87"/>
      <c r="AL1294" s="87"/>
      <c r="AM1294" s="87"/>
      <c r="AN1294" s="87"/>
      <c r="AO1294" s="87"/>
      <c r="AP1294" s="87"/>
      <c r="AQ1294" s="87"/>
      <c r="AR1294" s="87"/>
      <c r="AS1294" s="87"/>
      <c r="AT1294" s="87"/>
      <c r="AU1294" s="87"/>
      <c r="AV1294" s="87"/>
      <c r="AW1294" s="87"/>
      <c r="AX1294" s="87"/>
      <c r="AY1294" s="87"/>
      <c r="AZ1294" s="87"/>
      <c r="BA1294" s="87"/>
      <c r="BB1294" s="87"/>
      <c r="BC1294" s="87"/>
      <c r="BD1294" s="87"/>
      <c r="BE1294" s="87"/>
      <c r="BF1294" s="87"/>
      <c r="BG1294" s="87"/>
      <c r="BH1294" s="87"/>
      <c r="BI1294" s="87"/>
      <c r="BJ1294" s="87"/>
      <c r="BK1294" s="87"/>
      <c r="BL1294" s="87"/>
      <c r="BM1294" s="87"/>
      <c r="BN1294" s="87"/>
      <c r="BO1294" s="87"/>
      <c r="BP1294" s="87"/>
      <c r="BQ1294" s="87"/>
      <c r="BR1294" s="87"/>
      <c r="BS1294" s="87"/>
      <c r="BT1294" s="87"/>
      <c r="BU1294" s="87"/>
      <c r="BV1294" s="87"/>
      <c r="BW1294" s="87"/>
      <c r="BX1294" s="87"/>
      <c r="BY1294" s="87"/>
    </row>
    <row r="1295" spans="21:77" x14ac:dyDescent="0.3">
      <c r="U1295" s="19"/>
      <c r="V1295" s="87"/>
      <c r="W1295" s="87"/>
      <c r="X1295" s="87"/>
      <c r="Y1295" s="87"/>
      <c r="Z1295" s="87"/>
      <c r="AA1295" s="87"/>
      <c r="AB1295" s="87"/>
      <c r="AC1295" s="87"/>
      <c r="AD1295" s="87"/>
      <c r="AE1295" s="87"/>
      <c r="AF1295" s="87"/>
      <c r="AG1295" s="87"/>
      <c r="AH1295" s="87"/>
      <c r="AI1295" s="87"/>
      <c r="AJ1295" s="87"/>
      <c r="AK1295" s="87"/>
      <c r="AL1295" s="87"/>
      <c r="AM1295" s="87"/>
      <c r="AN1295" s="87"/>
      <c r="AO1295" s="87"/>
      <c r="AP1295" s="87"/>
      <c r="AQ1295" s="87"/>
      <c r="AR1295" s="87"/>
      <c r="AS1295" s="87"/>
      <c r="AT1295" s="87"/>
      <c r="AU1295" s="87"/>
      <c r="AV1295" s="87"/>
      <c r="AW1295" s="87"/>
      <c r="AX1295" s="87"/>
      <c r="AY1295" s="87"/>
      <c r="AZ1295" s="87"/>
      <c r="BA1295" s="87"/>
      <c r="BB1295" s="87"/>
      <c r="BC1295" s="87"/>
      <c r="BD1295" s="87"/>
      <c r="BE1295" s="87"/>
      <c r="BF1295" s="87"/>
      <c r="BG1295" s="87"/>
      <c r="BH1295" s="87"/>
      <c r="BI1295" s="87"/>
      <c r="BJ1295" s="87"/>
      <c r="BK1295" s="87"/>
      <c r="BL1295" s="87"/>
      <c r="BM1295" s="87"/>
      <c r="BN1295" s="87"/>
      <c r="BO1295" s="87"/>
      <c r="BP1295" s="87"/>
      <c r="BQ1295" s="87"/>
      <c r="BR1295" s="87"/>
      <c r="BS1295" s="87"/>
      <c r="BT1295" s="87"/>
      <c r="BU1295" s="87"/>
      <c r="BV1295" s="87"/>
      <c r="BW1295" s="87"/>
      <c r="BX1295" s="87"/>
      <c r="BY1295" s="87"/>
    </row>
    <row r="1296" spans="21:77" x14ac:dyDescent="0.3">
      <c r="U1296" s="19"/>
      <c r="V1296" s="87"/>
      <c r="W1296" s="87"/>
      <c r="X1296" s="87"/>
      <c r="Y1296" s="87"/>
      <c r="Z1296" s="87"/>
      <c r="AA1296" s="87"/>
      <c r="AB1296" s="87"/>
      <c r="AC1296" s="87"/>
      <c r="AD1296" s="87"/>
      <c r="AE1296" s="87"/>
      <c r="AF1296" s="87"/>
      <c r="AG1296" s="87"/>
      <c r="AH1296" s="87"/>
      <c r="AI1296" s="87"/>
      <c r="AJ1296" s="87"/>
      <c r="AK1296" s="87"/>
      <c r="AL1296" s="87"/>
      <c r="AM1296" s="87"/>
      <c r="AN1296" s="87"/>
      <c r="AO1296" s="87"/>
      <c r="AP1296" s="87"/>
      <c r="AQ1296" s="87"/>
      <c r="AR1296" s="87"/>
      <c r="AS1296" s="87"/>
      <c r="AT1296" s="87"/>
      <c r="AU1296" s="87"/>
      <c r="AV1296" s="87"/>
      <c r="AW1296" s="87"/>
      <c r="AX1296" s="87"/>
      <c r="AY1296" s="87"/>
      <c r="AZ1296" s="87"/>
      <c r="BA1296" s="87"/>
      <c r="BB1296" s="87"/>
      <c r="BC1296" s="87"/>
      <c r="BD1296" s="87"/>
      <c r="BE1296" s="87"/>
      <c r="BF1296" s="87"/>
      <c r="BG1296" s="87"/>
      <c r="BH1296" s="87"/>
      <c r="BI1296" s="87"/>
      <c r="BJ1296" s="87"/>
      <c r="BK1296" s="87"/>
      <c r="BL1296" s="87"/>
      <c r="BM1296" s="87"/>
      <c r="BN1296" s="87"/>
      <c r="BO1296" s="87"/>
      <c r="BP1296" s="87"/>
      <c r="BQ1296" s="87"/>
      <c r="BR1296" s="87"/>
      <c r="BS1296" s="87"/>
      <c r="BT1296" s="87"/>
      <c r="BU1296" s="87"/>
      <c r="BV1296" s="87"/>
      <c r="BW1296" s="87"/>
      <c r="BX1296" s="87"/>
      <c r="BY1296" s="87"/>
    </row>
    <row r="1297" spans="21:77" x14ac:dyDescent="0.3">
      <c r="U1297" s="19"/>
      <c r="V1297" s="87"/>
      <c r="W1297" s="87"/>
      <c r="X1297" s="87"/>
      <c r="Y1297" s="87"/>
      <c r="Z1297" s="87"/>
      <c r="AA1297" s="87"/>
      <c r="AB1297" s="87"/>
      <c r="AC1297" s="87"/>
      <c r="AD1297" s="87"/>
      <c r="AE1297" s="87"/>
      <c r="AF1297" s="87"/>
      <c r="AG1297" s="87"/>
      <c r="AH1297" s="87"/>
      <c r="AI1297" s="87"/>
      <c r="AJ1297" s="87"/>
      <c r="AK1297" s="87"/>
      <c r="AL1297" s="87"/>
      <c r="AM1297" s="87"/>
      <c r="AN1297" s="87"/>
      <c r="AO1297" s="87"/>
      <c r="AP1297" s="87"/>
      <c r="AQ1297" s="87"/>
      <c r="AR1297" s="87"/>
      <c r="AS1297" s="87"/>
      <c r="AT1297" s="87"/>
      <c r="AU1297" s="87"/>
      <c r="AV1297" s="87"/>
      <c r="AW1297" s="87"/>
      <c r="AX1297" s="87"/>
      <c r="AY1297" s="87"/>
      <c r="AZ1297" s="87"/>
      <c r="BA1297" s="87"/>
      <c r="BB1297" s="87"/>
      <c r="BC1297" s="87"/>
      <c r="BD1297" s="87"/>
      <c r="BE1297" s="87"/>
      <c r="BF1297" s="87"/>
      <c r="BG1297" s="87"/>
      <c r="BH1297" s="87"/>
      <c r="BI1297" s="87"/>
      <c r="BJ1297" s="87"/>
      <c r="BK1297" s="87"/>
      <c r="BL1297" s="87"/>
      <c r="BM1297" s="87"/>
      <c r="BN1297" s="87"/>
      <c r="BO1297" s="87"/>
      <c r="BP1297" s="87"/>
      <c r="BQ1297" s="87"/>
      <c r="BR1297" s="87"/>
      <c r="BS1297" s="87"/>
      <c r="BT1297" s="87"/>
      <c r="BU1297" s="87"/>
      <c r="BV1297" s="87"/>
      <c r="BW1297" s="87"/>
      <c r="BX1297" s="87"/>
      <c r="BY1297" s="87"/>
    </row>
    <row r="1298" spans="21:77" x14ac:dyDescent="0.3">
      <c r="U1298" s="19"/>
      <c r="V1298" s="87"/>
      <c r="W1298" s="87"/>
      <c r="X1298" s="87"/>
      <c r="Y1298" s="87"/>
      <c r="Z1298" s="87"/>
      <c r="AA1298" s="87"/>
      <c r="AB1298" s="87"/>
      <c r="AC1298" s="87"/>
      <c r="AD1298" s="87"/>
      <c r="AE1298" s="87"/>
      <c r="AF1298" s="87"/>
      <c r="AG1298" s="87"/>
      <c r="AH1298" s="87"/>
      <c r="AI1298" s="87"/>
      <c r="AJ1298" s="87"/>
      <c r="AK1298" s="87"/>
      <c r="AL1298" s="87"/>
      <c r="AM1298" s="87"/>
      <c r="AN1298" s="87"/>
      <c r="AO1298" s="87"/>
      <c r="AP1298" s="87"/>
      <c r="AQ1298" s="87"/>
      <c r="AR1298" s="87"/>
      <c r="AS1298" s="87"/>
      <c r="AT1298" s="87"/>
      <c r="AU1298" s="87"/>
      <c r="AV1298" s="87"/>
      <c r="AW1298" s="87"/>
      <c r="AX1298" s="87"/>
      <c r="AY1298" s="87"/>
      <c r="AZ1298" s="87"/>
      <c r="BA1298" s="87"/>
      <c r="BB1298" s="87"/>
      <c r="BC1298" s="87"/>
      <c r="BD1298" s="87"/>
      <c r="BE1298" s="87"/>
      <c r="BF1298" s="87"/>
      <c r="BG1298" s="87"/>
      <c r="BH1298" s="87"/>
      <c r="BI1298" s="87"/>
      <c r="BJ1298" s="87"/>
      <c r="BK1298" s="87"/>
      <c r="BL1298" s="87"/>
      <c r="BM1298" s="87"/>
      <c r="BN1298" s="87"/>
      <c r="BO1298" s="87"/>
      <c r="BP1298" s="87"/>
      <c r="BQ1298" s="87"/>
      <c r="BR1298" s="87"/>
      <c r="BS1298" s="87"/>
      <c r="BT1298" s="87"/>
      <c r="BU1298" s="87"/>
      <c r="BV1298" s="87"/>
      <c r="BW1298" s="87"/>
      <c r="BX1298" s="87"/>
      <c r="BY1298" s="87"/>
    </row>
    <row r="1299" spans="21:77" x14ac:dyDescent="0.3">
      <c r="U1299" s="19"/>
      <c r="V1299" s="87"/>
      <c r="W1299" s="87"/>
      <c r="X1299" s="87"/>
      <c r="Y1299" s="87"/>
      <c r="Z1299" s="87"/>
      <c r="AA1299" s="87"/>
      <c r="AB1299" s="87"/>
      <c r="AC1299" s="87"/>
      <c r="AD1299" s="87"/>
      <c r="AE1299" s="87"/>
      <c r="AF1299" s="87"/>
      <c r="AG1299" s="87"/>
      <c r="AH1299" s="87"/>
      <c r="AI1299" s="87"/>
      <c r="AJ1299" s="87"/>
      <c r="AK1299" s="87"/>
      <c r="AL1299" s="87"/>
      <c r="AM1299" s="87"/>
      <c r="AN1299" s="87"/>
      <c r="AO1299" s="87"/>
      <c r="AP1299" s="87"/>
      <c r="AQ1299" s="87"/>
      <c r="AR1299" s="87"/>
      <c r="AS1299" s="87"/>
      <c r="AT1299" s="87"/>
      <c r="AU1299" s="87"/>
      <c r="AV1299" s="87"/>
      <c r="AW1299" s="87"/>
      <c r="AX1299" s="87"/>
      <c r="AY1299" s="87"/>
      <c r="AZ1299" s="87"/>
      <c r="BA1299" s="87"/>
      <c r="BB1299" s="87"/>
      <c r="BC1299" s="87"/>
      <c r="BD1299" s="87"/>
      <c r="BE1299" s="87"/>
      <c r="BF1299" s="87"/>
      <c r="BG1299" s="87"/>
      <c r="BH1299" s="87"/>
      <c r="BI1299" s="87"/>
      <c r="BJ1299" s="87"/>
      <c r="BK1299" s="87"/>
      <c r="BL1299" s="87"/>
      <c r="BM1299" s="87"/>
      <c r="BN1299" s="87"/>
      <c r="BO1299" s="87"/>
      <c r="BP1299" s="87"/>
      <c r="BQ1299" s="87"/>
      <c r="BR1299" s="87"/>
      <c r="BS1299" s="87"/>
      <c r="BT1299" s="87"/>
      <c r="BU1299" s="87"/>
      <c r="BV1299" s="87"/>
      <c r="BW1299" s="87"/>
      <c r="BX1299" s="87"/>
      <c r="BY1299" s="87"/>
    </row>
    <row r="1300" spans="21:77" x14ac:dyDescent="0.3">
      <c r="U1300" s="19"/>
      <c r="V1300" s="87"/>
      <c r="W1300" s="87"/>
      <c r="X1300" s="87"/>
      <c r="Y1300" s="87"/>
      <c r="Z1300" s="87"/>
      <c r="AA1300" s="87"/>
      <c r="AB1300" s="87"/>
      <c r="AC1300" s="87"/>
      <c r="AD1300" s="87"/>
      <c r="AE1300" s="87"/>
      <c r="AF1300" s="87"/>
      <c r="AG1300" s="87"/>
      <c r="AH1300" s="87"/>
      <c r="AI1300" s="87"/>
      <c r="AJ1300" s="87"/>
      <c r="AK1300" s="87"/>
      <c r="AL1300" s="87"/>
      <c r="AM1300" s="87"/>
      <c r="AN1300" s="87"/>
      <c r="AO1300" s="87"/>
      <c r="AP1300" s="87"/>
      <c r="AQ1300" s="87"/>
      <c r="AR1300" s="87"/>
      <c r="AS1300" s="87"/>
      <c r="AT1300" s="87"/>
      <c r="AU1300" s="87"/>
      <c r="AV1300" s="87"/>
      <c r="AW1300" s="87"/>
      <c r="AX1300" s="87"/>
      <c r="AY1300" s="87"/>
      <c r="AZ1300" s="87"/>
      <c r="BA1300" s="87"/>
      <c r="BB1300" s="87"/>
      <c r="BC1300" s="87"/>
      <c r="BD1300" s="87"/>
      <c r="BE1300" s="87"/>
      <c r="BF1300" s="87"/>
      <c r="BG1300" s="87"/>
      <c r="BH1300" s="87"/>
      <c r="BI1300" s="87"/>
      <c r="BJ1300" s="87"/>
      <c r="BK1300" s="87"/>
      <c r="BL1300" s="87"/>
      <c r="BM1300" s="87"/>
      <c r="BN1300" s="87"/>
      <c r="BO1300" s="87"/>
      <c r="BP1300" s="87"/>
      <c r="BQ1300" s="87"/>
      <c r="BR1300" s="87"/>
      <c r="BS1300" s="87"/>
      <c r="BT1300" s="87"/>
      <c r="BU1300" s="87"/>
      <c r="BV1300" s="87"/>
      <c r="BW1300" s="87"/>
      <c r="BX1300" s="87"/>
      <c r="BY1300" s="87"/>
    </row>
    <row r="1301" spans="21:77" x14ac:dyDescent="0.3">
      <c r="U1301" s="19"/>
      <c r="V1301" s="87"/>
      <c r="W1301" s="87"/>
      <c r="X1301" s="87"/>
      <c r="Y1301" s="87"/>
      <c r="Z1301" s="87"/>
      <c r="AA1301" s="87"/>
      <c r="AB1301" s="87"/>
      <c r="AC1301" s="87"/>
      <c r="AD1301" s="87"/>
      <c r="AE1301" s="87"/>
      <c r="AF1301" s="87"/>
      <c r="AG1301" s="87"/>
      <c r="AH1301" s="87"/>
      <c r="AI1301" s="87"/>
      <c r="AJ1301" s="87"/>
      <c r="AK1301" s="87"/>
      <c r="AL1301" s="87"/>
      <c r="AM1301" s="87"/>
      <c r="AN1301" s="87"/>
      <c r="AO1301" s="87"/>
      <c r="AP1301" s="87"/>
      <c r="AQ1301" s="87"/>
      <c r="AR1301" s="87"/>
      <c r="AS1301" s="87"/>
      <c r="AT1301" s="87"/>
      <c r="AU1301" s="87"/>
      <c r="AV1301" s="87"/>
      <c r="AW1301" s="87"/>
      <c r="AX1301" s="87"/>
      <c r="AY1301" s="87"/>
      <c r="AZ1301" s="87"/>
      <c r="BA1301" s="87"/>
      <c r="BB1301" s="87"/>
      <c r="BC1301" s="87"/>
      <c r="BD1301" s="87"/>
      <c r="BE1301" s="87"/>
      <c r="BF1301" s="87"/>
      <c r="BG1301" s="87"/>
      <c r="BH1301" s="87"/>
      <c r="BI1301" s="87"/>
      <c r="BJ1301" s="87"/>
      <c r="BK1301" s="87"/>
      <c r="BL1301" s="87"/>
      <c r="BM1301" s="87"/>
      <c r="BN1301" s="87"/>
      <c r="BO1301" s="87"/>
      <c r="BP1301" s="87"/>
      <c r="BQ1301" s="87"/>
      <c r="BR1301" s="87"/>
      <c r="BS1301" s="87"/>
      <c r="BT1301" s="87"/>
      <c r="BU1301" s="87"/>
      <c r="BV1301" s="87"/>
      <c r="BW1301" s="87"/>
      <c r="BX1301" s="87"/>
      <c r="BY1301" s="87"/>
    </row>
    <row r="1302" spans="21:77" x14ac:dyDescent="0.3">
      <c r="U1302" s="19"/>
      <c r="V1302" s="87"/>
      <c r="W1302" s="87"/>
      <c r="X1302" s="87"/>
      <c r="Y1302" s="87"/>
      <c r="Z1302" s="87"/>
      <c r="AA1302" s="87"/>
      <c r="AB1302" s="87"/>
      <c r="AC1302" s="87"/>
      <c r="AD1302" s="87"/>
      <c r="AE1302" s="87"/>
      <c r="AF1302" s="87"/>
      <c r="AG1302" s="87"/>
      <c r="AH1302" s="87"/>
      <c r="AI1302" s="87"/>
      <c r="AJ1302" s="87"/>
      <c r="AK1302" s="87"/>
      <c r="AL1302" s="87"/>
      <c r="AM1302" s="87"/>
      <c r="AN1302" s="87"/>
      <c r="AO1302" s="87"/>
      <c r="AP1302" s="87"/>
      <c r="AQ1302" s="87"/>
      <c r="AR1302" s="87"/>
      <c r="AS1302" s="87"/>
      <c r="AT1302" s="87"/>
      <c r="AU1302" s="87"/>
      <c r="AV1302" s="87"/>
      <c r="AW1302" s="87"/>
      <c r="AX1302" s="87"/>
      <c r="AY1302" s="87"/>
      <c r="AZ1302" s="87"/>
      <c r="BA1302" s="87"/>
      <c r="BB1302" s="87"/>
      <c r="BC1302" s="87"/>
      <c r="BD1302" s="87"/>
      <c r="BE1302" s="87"/>
      <c r="BF1302" s="87"/>
      <c r="BG1302" s="87"/>
      <c r="BH1302" s="87"/>
      <c r="BI1302" s="87"/>
      <c r="BJ1302" s="87"/>
      <c r="BK1302" s="87"/>
      <c r="BL1302" s="87"/>
      <c r="BM1302" s="87"/>
      <c r="BN1302" s="87"/>
      <c r="BO1302" s="87"/>
      <c r="BP1302" s="87"/>
      <c r="BQ1302" s="87"/>
      <c r="BR1302" s="87"/>
      <c r="BS1302" s="87"/>
      <c r="BT1302" s="87"/>
      <c r="BU1302" s="87"/>
      <c r="BV1302" s="87"/>
      <c r="BW1302" s="87"/>
      <c r="BX1302" s="87"/>
      <c r="BY1302" s="87"/>
    </row>
    <row r="1303" spans="21:77" x14ac:dyDescent="0.3">
      <c r="U1303" s="19"/>
      <c r="V1303" s="87"/>
      <c r="W1303" s="87"/>
      <c r="X1303" s="87"/>
      <c r="Y1303" s="87"/>
      <c r="Z1303" s="87"/>
      <c r="AA1303" s="87"/>
      <c r="AB1303" s="87"/>
      <c r="AC1303" s="87"/>
      <c r="AD1303" s="87"/>
      <c r="AE1303" s="87"/>
      <c r="AF1303" s="87"/>
      <c r="AG1303" s="87"/>
      <c r="AH1303" s="87"/>
      <c r="AI1303" s="87"/>
      <c r="AJ1303" s="87"/>
      <c r="AK1303" s="87"/>
      <c r="AL1303" s="87"/>
      <c r="AM1303" s="87"/>
      <c r="AN1303" s="87"/>
      <c r="AO1303" s="87"/>
      <c r="AP1303" s="87"/>
      <c r="AQ1303" s="87"/>
      <c r="AR1303" s="87"/>
      <c r="AS1303" s="87"/>
      <c r="AT1303" s="87"/>
      <c r="AU1303" s="87"/>
      <c r="AV1303" s="87"/>
      <c r="AW1303" s="87"/>
      <c r="AX1303" s="87"/>
      <c r="AY1303" s="87"/>
      <c r="AZ1303" s="87"/>
      <c r="BA1303" s="87"/>
      <c r="BB1303" s="87"/>
      <c r="BC1303" s="87"/>
      <c r="BD1303" s="87"/>
      <c r="BE1303" s="87"/>
      <c r="BF1303" s="87"/>
      <c r="BG1303" s="87"/>
      <c r="BH1303" s="87"/>
      <c r="BI1303" s="87"/>
      <c r="BJ1303" s="87"/>
      <c r="BK1303" s="87"/>
      <c r="BL1303" s="87"/>
      <c r="BM1303" s="87"/>
      <c r="BN1303" s="87"/>
      <c r="BO1303" s="87"/>
      <c r="BP1303" s="87"/>
      <c r="BQ1303" s="87"/>
      <c r="BR1303" s="87"/>
      <c r="BS1303" s="87"/>
      <c r="BT1303" s="87"/>
      <c r="BU1303" s="87"/>
      <c r="BV1303" s="87"/>
      <c r="BW1303" s="87"/>
      <c r="BX1303" s="87"/>
      <c r="BY1303" s="87"/>
    </row>
    <row r="1304" spans="21:77" x14ac:dyDescent="0.3">
      <c r="U1304" s="19"/>
      <c r="V1304" s="87"/>
      <c r="W1304" s="87"/>
      <c r="X1304" s="87"/>
      <c r="Y1304" s="87"/>
      <c r="Z1304" s="87"/>
      <c r="AA1304" s="87"/>
      <c r="AB1304" s="87"/>
      <c r="AC1304" s="87"/>
      <c r="AD1304" s="87"/>
      <c r="AE1304" s="87"/>
      <c r="AF1304" s="87"/>
      <c r="AG1304" s="87"/>
      <c r="AH1304" s="87"/>
      <c r="AI1304" s="87"/>
      <c r="AJ1304" s="87"/>
      <c r="AK1304" s="87"/>
      <c r="AL1304" s="87"/>
      <c r="AM1304" s="87"/>
      <c r="AN1304" s="87"/>
      <c r="AO1304" s="87"/>
      <c r="AP1304" s="87"/>
      <c r="AQ1304" s="87"/>
      <c r="AR1304" s="87"/>
      <c r="AS1304" s="87"/>
      <c r="AT1304" s="87"/>
      <c r="AU1304" s="87"/>
      <c r="AV1304" s="87"/>
      <c r="AW1304" s="87"/>
      <c r="AX1304" s="87"/>
      <c r="AY1304" s="87"/>
      <c r="AZ1304" s="87"/>
      <c r="BA1304" s="87"/>
      <c r="BB1304" s="87"/>
      <c r="BC1304" s="87"/>
      <c r="BD1304" s="87"/>
      <c r="BE1304" s="87"/>
      <c r="BF1304" s="87"/>
      <c r="BG1304" s="87"/>
      <c r="BH1304" s="87"/>
      <c r="BI1304" s="87"/>
      <c r="BJ1304" s="87"/>
      <c r="BK1304" s="87"/>
      <c r="BL1304" s="87"/>
      <c r="BM1304" s="87"/>
      <c r="BN1304" s="87"/>
      <c r="BO1304" s="87"/>
      <c r="BP1304" s="87"/>
      <c r="BQ1304" s="87"/>
      <c r="BR1304" s="87"/>
      <c r="BS1304" s="87"/>
      <c r="BT1304" s="87"/>
      <c r="BU1304" s="87"/>
      <c r="BV1304" s="87"/>
      <c r="BW1304" s="87"/>
      <c r="BX1304" s="87"/>
      <c r="BY1304" s="87"/>
    </row>
    <row r="1305" spans="21:77" x14ac:dyDescent="0.3">
      <c r="U1305" s="19"/>
      <c r="V1305" s="87"/>
      <c r="W1305" s="87"/>
      <c r="X1305" s="87"/>
      <c r="Y1305" s="87"/>
      <c r="Z1305" s="87"/>
      <c r="AA1305" s="87"/>
      <c r="AB1305" s="87"/>
      <c r="AC1305" s="87"/>
      <c r="AD1305" s="87"/>
      <c r="AE1305" s="87"/>
      <c r="AF1305" s="87"/>
      <c r="AG1305" s="87"/>
      <c r="AH1305" s="87"/>
      <c r="AI1305" s="87"/>
      <c r="AJ1305" s="87"/>
      <c r="AK1305" s="87"/>
      <c r="AL1305" s="87"/>
      <c r="AM1305" s="87"/>
      <c r="AN1305" s="87"/>
      <c r="AO1305" s="87"/>
      <c r="AP1305" s="87"/>
      <c r="AQ1305" s="87"/>
      <c r="AR1305" s="87"/>
      <c r="AS1305" s="87"/>
      <c r="AT1305" s="87"/>
      <c r="AU1305" s="87"/>
      <c r="AV1305" s="87"/>
      <c r="AW1305" s="87"/>
      <c r="AX1305" s="87"/>
      <c r="AY1305" s="87"/>
      <c r="AZ1305" s="87"/>
      <c r="BA1305" s="87"/>
      <c r="BB1305" s="87"/>
      <c r="BC1305" s="87"/>
      <c r="BD1305" s="87"/>
      <c r="BE1305" s="87"/>
      <c r="BF1305" s="87"/>
      <c r="BG1305" s="87"/>
      <c r="BH1305" s="87"/>
      <c r="BI1305" s="87"/>
      <c r="BJ1305" s="87"/>
      <c r="BK1305" s="87"/>
      <c r="BL1305" s="87"/>
      <c r="BM1305" s="87"/>
      <c r="BN1305" s="87"/>
      <c r="BO1305" s="87"/>
      <c r="BP1305" s="87"/>
      <c r="BQ1305" s="87"/>
      <c r="BR1305" s="87"/>
      <c r="BS1305" s="87"/>
      <c r="BT1305" s="87"/>
      <c r="BU1305" s="87"/>
      <c r="BV1305" s="87"/>
      <c r="BW1305" s="87"/>
      <c r="BX1305" s="87"/>
      <c r="BY1305" s="87"/>
    </row>
    <row r="1306" spans="21:77" x14ac:dyDescent="0.3">
      <c r="U1306" s="19"/>
      <c r="V1306" s="87"/>
      <c r="W1306" s="87"/>
      <c r="X1306" s="87"/>
      <c r="Y1306" s="87"/>
      <c r="Z1306" s="87"/>
      <c r="AA1306" s="87"/>
      <c r="AB1306" s="87"/>
      <c r="AC1306" s="87"/>
      <c r="AD1306" s="87"/>
      <c r="AE1306" s="87"/>
      <c r="AF1306" s="87"/>
      <c r="AG1306" s="87"/>
      <c r="AH1306" s="87"/>
      <c r="AI1306" s="87"/>
      <c r="AJ1306" s="87"/>
      <c r="AK1306" s="87"/>
      <c r="AL1306" s="87"/>
      <c r="AM1306" s="87"/>
      <c r="AN1306" s="87"/>
      <c r="AO1306" s="87"/>
      <c r="AP1306" s="87"/>
      <c r="AQ1306" s="87"/>
      <c r="AR1306" s="87"/>
      <c r="AS1306" s="87"/>
      <c r="AT1306" s="87"/>
      <c r="AU1306" s="87"/>
      <c r="AV1306" s="87"/>
      <c r="AW1306" s="87"/>
      <c r="AX1306" s="87"/>
      <c r="AY1306" s="87"/>
      <c r="AZ1306" s="87"/>
      <c r="BA1306" s="87"/>
      <c r="BB1306" s="87"/>
      <c r="BC1306" s="87"/>
      <c r="BD1306" s="87"/>
      <c r="BE1306" s="87"/>
      <c r="BF1306" s="87"/>
      <c r="BG1306" s="87"/>
      <c r="BH1306" s="87"/>
      <c r="BI1306" s="87"/>
      <c r="BJ1306" s="87"/>
      <c r="BK1306" s="87"/>
      <c r="BL1306" s="87"/>
      <c r="BM1306" s="87"/>
      <c r="BN1306" s="87"/>
      <c r="BO1306" s="87"/>
      <c r="BP1306" s="87"/>
      <c r="BQ1306" s="87"/>
      <c r="BR1306" s="87"/>
      <c r="BS1306" s="87"/>
      <c r="BT1306" s="87"/>
      <c r="BU1306" s="87"/>
      <c r="BV1306" s="87"/>
      <c r="BW1306" s="87"/>
      <c r="BX1306" s="87"/>
      <c r="BY1306" s="87"/>
    </row>
    <row r="1307" spans="21:77" x14ac:dyDescent="0.3">
      <c r="U1307" s="19"/>
      <c r="V1307" s="87"/>
      <c r="W1307" s="87"/>
      <c r="X1307" s="87"/>
      <c r="Y1307" s="87"/>
      <c r="Z1307" s="87"/>
      <c r="AA1307" s="87"/>
      <c r="AB1307" s="87"/>
      <c r="AC1307" s="87"/>
      <c r="AD1307" s="87"/>
      <c r="AE1307" s="87"/>
      <c r="AF1307" s="87"/>
      <c r="AG1307" s="87"/>
      <c r="AH1307" s="87"/>
      <c r="AI1307" s="87"/>
      <c r="AJ1307" s="87"/>
      <c r="AK1307" s="87"/>
      <c r="AL1307" s="87"/>
      <c r="AM1307" s="87"/>
      <c r="AN1307" s="87"/>
      <c r="AO1307" s="87"/>
      <c r="AP1307" s="87"/>
      <c r="AQ1307" s="87"/>
      <c r="AR1307" s="87"/>
      <c r="AS1307" s="87"/>
      <c r="AT1307" s="87"/>
      <c r="AU1307" s="87"/>
      <c r="AV1307" s="87"/>
      <c r="AW1307" s="87"/>
      <c r="AX1307" s="87"/>
      <c r="AY1307" s="87"/>
      <c r="AZ1307" s="87"/>
      <c r="BA1307" s="87"/>
      <c r="BB1307" s="87"/>
      <c r="BC1307" s="87"/>
      <c r="BD1307" s="87"/>
      <c r="BE1307" s="87"/>
      <c r="BF1307" s="87"/>
      <c r="BG1307" s="87"/>
      <c r="BH1307" s="87"/>
      <c r="BI1307" s="87"/>
      <c r="BJ1307" s="87"/>
      <c r="BK1307" s="87"/>
      <c r="BL1307" s="87"/>
      <c r="BM1307" s="87"/>
      <c r="BN1307" s="87"/>
      <c r="BO1307" s="87"/>
      <c r="BP1307" s="87"/>
      <c r="BQ1307" s="87"/>
      <c r="BR1307" s="87"/>
      <c r="BS1307" s="87"/>
      <c r="BT1307" s="87"/>
      <c r="BU1307" s="87"/>
      <c r="BV1307" s="87"/>
      <c r="BW1307" s="87"/>
      <c r="BX1307" s="87"/>
      <c r="BY1307" s="87"/>
    </row>
    <row r="1308" spans="21:77" x14ac:dyDescent="0.3">
      <c r="U1308" s="19"/>
      <c r="V1308" s="87"/>
      <c r="W1308" s="87"/>
      <c r="X1308" s="87"/>
      <c r="Y1308" s="87"/>
      <c r="Z1308" s="87"/>
      <c r="AA1308" s="87"/>
      <c r="AB1308" s="87"/>
      <c r="AC1308" s="87"/>
      <c r="AD1308" s="87"/>
      <c r="AE1308" s="87"/>
      <c r="AF1308" s="87"/>
      <c r="AG1308" s="87"/>
      <c r="AH1308" s="87"/>
      <c r="AI1308" s="87"/>
      <c r="AJ1308" s="87"/>
      <c r="AK1308" s="87"/>
      <c r="AL1308" s="87"/>
      <c r="AM1308" s="87"/>
      <c r="AN1308" s="87"/>
      <c r="AO1308" s="87"/>
      <c r="AP1308" s="87"/>
      <c r="AQ1308" s="87"/>
      <c r="AR1308" s="87"/>
      <c r="AS1308" s="87"/>
      <c r="AT1308" s="87"/>
      <c r="AU1308" s="87"/>
      <c r="AV1308" s="87"/>
      <c r="AW1308" s="87"/>
      <c r="AX1308" s="87"/>
      <c r="AY1308" s="87"/>
      <c r="AZ1308" s="87"/>
      <c r="BA1308" s="87"/>
      <c r="BB1308" s="87"/>
      <c r="BC1308" s="87"/>
      <c r="BD1308" s="87"/>
      <c r="BE1308" s="87"/>
      <c r="BF1308" s="87"/>
      <c r="BG1308" s="87"/>
      <c r="BH1308" s="87"/>
      <c r="BI1308" s="87"/>
      <c r="BJ1308" s="87"/>
      <c r="BK1308" s="87"/>
      <c r="BL1308" s="87"/>
      <c r="BM1308" s="87"/>
      <c r="BN1308" s="87"/>
      <c r="BO1308" s="87"/>
      <c r="BP1308" s="87"/>
      <c r="BQ1308" s="87"/>
      <c r="BR1308" s="87"/>
      <c r="BS1308" s="87"/>
      <c r="BT1308" s="87"/>
      <c r="BU1308" s="87"/>
      <c r="BV1308" s="87"/>
      <c r="BW1308" s="87"/>
      <c r="BX1308" s="87"/>
      <c r="BY1308" s="87"/>
    </row>
    <row r="1309" spans="21:77" x14ac:dyDescent="0.3">
      <c r="U1309" s="19"/>
      <c r="V1309" s="87"/>
      <c r="W1309" s="87"/>
      <c r="X1309" s="87"/>
      <c r="Y1309" s="87"/>
      <c r="Z1309" s="87"/>
      <c r="AA1309" s="87"/>
      <c r="AB1309" s="87"/>
      <c r="AC1309" s="87"/>
      <c r="AD1309" s="87"/>
      <c r="AE1309" s="87"/>
      <c r="AF1309" s="87"/>
      <c r="AG1309" s="87"/>
      <c r="AH1309" s="87"/>
      <c r="AI1309" s="87"/>
      <c r="AJ1309" s="87"/>
      <c r="AK1309" s="87"/>
      <c r="AL1309" s="87"/>
      <c r="AM1309" s="87"/>
      <c r="AN1309" s="87"/>
      <c r="AO1309" s="87"/>
      <c r="AP1309" s="87"/>
      <c r="AQ1309" s="87"/>
      <c r="AR1309" s="87"/>
      <c r="AS1309" s="87"/>
      <c r="AT1309" s="87"/>
      <c r="AU1309" s="87"/>
      <c r="AV1309" s="87"/>
      <c r="AW1309" s="87"/>
      <c r="AX1309" s="87"/>
      <c r="AY1309" s="87"/>
      <c r="AZ1309" s="87"/>
      <c r="BA1309" s="87"/>
      <c r="BB1309" s="87"/>
      <c r="BC1309" s="87"/>
      <c r="BD1309" s="87"/>
      <c r="BE1309" s="87"/>
      <c r="BF1309" s="87"/>
      <c r="BG1309" s="87"/>
      <c r="BH1309" s="87"/>
      <c r="BI1309" s="87"/>
      <c r="BJ1309" s="87"/>
      <c r="BK1309" s="87"/>
      <c r="BL1309" s="87"/>
      <c r="BM1309" s="87"/>
      <c r="BN1309" s="87"/>
      <c r="BO1309" s="87"/>
      <c r="BP1309" s="87"/>
      <c r="BQ1309" s="87"/>
      <c r="BR1309" s="87"/>
      <c r="BS1309" s="87"/>
      <c r="BT1309" s="87"/>
      <c r="BU1309" s="87"/>
      <c r="BV1309" s="87"/>
      <c r="BW1309" s="87"/>
      <c r="BX1309" s="87"/>
      <c r="BY1309" s="87"/>
    </row>
    <row r="1310" spans="21:77" x14ac:dyDescent="0.3">
      <c r="U1310" s="19"/>
      <c r="V1310" s="87"/>
      <c r="W1310" s="87"/>
      <c r="X1310" s="87"/>
      <c r="Y1310" s="87"/>
      <c r="Z1310" s="87"/>
      <c r="AA1310" s="87"/>
      <c r="AB1310" s="87"/>
      <c r="AC1310" s="87"/>
      <c r="AD1310" s="87"/>
      <c r="AE1310" s="87"/>
      <c r="AF1310" s="87"/>
      <c r="AG1310" s="87"/>
      <c r="AH1310" s="87"/>
      <c r="AI1310" s="87"/>
      <c r="AJ1310" s="87"/>
      <c r="AK1310" s="87"/>
      <c r="AL1310" s="87"/>
      <c r="AM1310" s="87"/>
      <c r="AN1310" s="87"/>
      <c r="AO1310" s="87"/>
      <c r="AP1310" s="87"/>
      <c r="AQ1310" s="87"/>
      <c r="AR1310" s="87"/>
      <c r="AS1310" s="87"/>
      <c r="AT1310" s="87"/>
      <c r="AU1310" s="87"/>
      <c r="AV1310" s="87"/>
      <c r="AW1310" s="87"/>
      <c r="AX1310" s="87"/>
      <c r="AY1310" s="87"/>
      <c r="AZ1310" s="87"/>
      <c r="BA1310" s="87"/>
      <c r="BB1310" s="87"/>
      <c r="BC1310" s="87"/>
      <c r="BD1310" s="87"/>
      <c r="BE1310" s="87"/>
      <c r="BF1310" s="87"/>
      <c r="BG1310" s="87"/>
      <c r="BH1310" s="87"/>
      <c r="BI1310" s="87"/>
      <c r="BJ1310" s="87"/>
      <c r="BK1310" s="87"/>
      <c r="BL1310" s="87"/>
      <c r="BM1310" s="87"/>
      <c r="BN1310" s="87"/>
      <c r="BO1310" s="87"/>
      <c r="BP1310" s="87"/>
      <c r="BQ1310" s="87"/>
      <c r="BR1310" s="87"/>
      <c r="BS1310" s="87"/>
      <c r="BT1310" s="87"/>
      <c r="BU1310" s="87"/>
      <c r="BV1310" s="87"/>
      <c r="BW1310" s="87"/>
      <c r="BX1310" s="87"/>
      <c r="BY1310" s="87"/>
    </row>
    <row r="1311" spans="21:77" x14ac:dyDescent="0.3">
      <c r="U1311" s="19"/>
      <c r="V1311" s="87"/>
      <c r="W1311" s="87"/>
      <c r="X1311" s="87"/>
      <c r="Y1311" s="87"/>
      <c r="Z1311" s="87"/>
      <c r="AA1311" s="87"/>
      <c r="AB1311" s="87"/>
      <c r="AC1311" s="87"/>
      <c r="AD1311" s="87"/>
      <c r="AE1311" s="87"/>
      <c r="AF1311" s="87"/>
      <c r="AG1311" s="87"/>
      <c r="AH1311" s="87"/>
      <c r="AI1311" s="87"/>
      <c r="AJ1311" s="87"/>
      <c r="AK1311" s="87"/>
      <c r="AL1311" s="87"/>
      <c r="AM1311" s="87"/>
      <c r="AN1311" s="87"/>
      <c r="AO1311" s="87"/>
      <c r="AP1311" s="87"/>
      <c r="AQ1311" s="87"/>
      <c r="AR1311" s="87"/>
      <c r="AS1311" s="87"/>
      <c r="AT1311" s="87"/>
      <c r="AU1311" s="87"/>
      <c r="AV1311" s="87"/>
      <c r="AW1311" s="87"/>
      <c r="AX1311" s="87"/>
      <c r="AY1311" s="87"/>
      <c r="AZ1311" s="87"/>
      <c r="BA1311" s="87"/>
      <c r="BB1311" s="87"/>
      <c r="BC1311" s="87"/>
      <c r="BD1311" s="87"/>
      <c r="BE1311" s="87"/>
      <c r="BF1311" s="87"/>
      <c r="BG1311" s="87"/>
      <c r="BH1311" s="87"/>
      <c r="BI1311" s="87"/>
      <c r="BJ1311" s="87"/>
      <c r="BK1311" s="87"/>
      <c r="BL1311" s="87"/>
      <c r="BM1311" s="87"/>
      <c r="BN1311" s="87"/>
      <c r="BO1311" s="87"/>
      <c r="BP1311" s="87"/>
      <c r="BQ1311" s="87"/>
      <c r="BR1311" s="87"/>
      <c r="BS1311" s="87"/>
      <c r="BT1311" s="87"/>
      <c r="BU1311" s="87"/>
      <c r="BV1311" s="87"/>
      <c r="BW1311" s="87"/>
      <c r="BX1311" s="87"/>
      <c r="BY1311" s="87"/>
    </row>
    <row r="1312" spans="21:77" x14ac:dyDescent="0.3">
      <c r="U1312" s="19"/>
      <c r="V1312" s="87"/>
      <c r="W1312" s="87"/>
      <c r="X1312" s="87"/>
      <c r="Y1312" s="87"/>
      <c r="Z1312" s="87"/>
      <c r="AA1312" s="87"/>
      <c r="AB1312" s="87"/>
      <c r="AC1312" s="87"/>
      <c r="AD1312" s="87"/>
      <c r="AE1312" s="87"/>
      <c r="AF1312" s="87"/>
      <c r="AG1312" s="87"/>
      <c r="AH1312" s="87"/>
      <c r="AI1312" s="87"/>
      <c r="AJ1312" s="87"/>
      <c r="AK1312" s="87"/>
      <c r="AL1312" s="87"/>
      <c r="AM1312" s="87"/>
      <c r="AN1312" s="87"/>
      <c r="AO1312" s="87"/>
      <c r="AP1312" s="87"/>
      <c r="AQ1312" s="87"/>
      <c r="AR1312" s="87"/>
      <c r="AS1312" s="87"/>
      <c r="AT1312" s="87"/>
      <c r="AU1312" s="87"/>
      <c r="AV1312" s="87"/>
      <c r="AW1312" s="87"/>
      <c r="AX1312" s="87"/>
      <c r="AY1312" s="87"/>
      <c r="AZ1312" s="87"/>
      <c r="BA1312" s="87"/>
      <c r="BB1312" s="87"/>
      <c r="BC1312" s="87"/>
      <c r="BD1312" s="87"/>
      <c r="BE1312" s="87"/>
      <c r="BF1312" s="87"/>
      <c r="BG1312" s="87"/>
      <c r="BH1312" s="87"/>
      <c r="BI1312" s="87"/>
      <c r="BJ1312" s="87"/>
      <c r="BK1312" s="87"/>
      <c r="BL1312" s="87"/>
      <c r="BM1312" s="87"/>
      <c r="BN1312" s="87"/>
      <c r="BO1312" s="87"/>
      <c r="BP1312" s="87"/>
      <c r="BQ1312" s="87"/>
      <c r="BR1312" s="87"/>
      <c r="BS1312" s="87"/>
      <c r="BT1312" s="87"/>
      <c r="BU1312" s="87"/>
      <c r="BV1312" s="87"/>
      <c r="BW1312" s="87"/>
      <c r="BX1312" s="87"/>
      <c r="BY1312" s="87"/>
    </row>
    <row r="1313" spans="21:77" x14ac:dyDescent="0.3">
      <c r="U1313" s="19"/>
      <c r="V1313" s="87"/>
      <c r="W1313" s="87"/>
      <c r="X1313" s="87"/>
      <c r="Y1313" s="87"/>
      <c r="Z1313" s="87"/>
      <c r="AA1313" s="87"/>
      <c r="AB1313" s="87"/>
      <c r="AC1313" s="87"/>
      <c r="AD1313" s="87"/>
      <c r="AE1313" s="87"/>
      <c r="AF1313" s="87"/>
      <c r="AG1313" s="87"/>
      <c r="AH1313" s="87"/>
      <c r="AI1313" s="87"/>
      <c r="AJ1313" s="87"/>
      <c r="AK1313" s="87"/>
      <c r="AL1313" s="87"/>
      <c r="AM1313" s="87"/>
      <c r="AN1313" s="87"/>
      <c r="AO1313" s="87"/>
      <c r="AP1313" s="87"/>
      <c r="AQ1313" s="87"/>
      <c r="AR1313" s="87"/>
      <c r="AS1313" s="87"/>
      <c r="AT1313" s="87"/>
      <c r="AU1313" s="87"/>
      <c r="AV1313" s="87"/>
      <c r="AW1313" s="87"/>
      <c r="AX1313" s="87"/>
      <c r="AY1313" s="87"/>
      <c r="AZ1313" s="87"/>
      <c r="BA1313" s="87"/>
      <c r="BB1313" s="87"/>
      <c r="BC1313" s="87"/>
      <c r="BD1313" s="87"/>
      <c r="BE1313" s="87"/>
      <c r="BF1313" s="87"/>
      <c r="BG1313" s="87"/>
      <c r="BH1313" s="87"/>
      <c r="BI1313" s="87"/>
      <c r="BJ1313" s="87"/>
      <c r="BK1313" s="87"/>
      <c r="BL1313" s="87"/>
      <c r="BM1313" s="87"/>
      <c r="BN1313" s="87"/>
      <c r="BO1313" s="87"/>
      <c r="BP1313" s="87"/>
      <c r="BQ1313" s="87"/>
      <c r="BR1313" s="87"/>
      <c r="BS1313" s="87"/>
      <c r="BT1313" s="87"/>
      <c r="BU1313" s="87"/>
      <c r="BV1313" s="87"/>
      <c r="BW1313" s="87"/>
      <c r="BX1313" s="87"/>
      <c r="BY1313" s="87"/>
    </row>
    <row r="1314" spans="21:77" x14ac:dyDescent="0.3">
      <c r="U1314" s="19"/>
      <c r="V1314" s="87"/>
      <c r="W1314" s="87"/>
      <c r="X1314" s="87"/>
      <c r="Y1314" s="87"/>
      <c r="Z1314" s="87"/>
      <c r="AA1314" s="87"/>
      <c r="AB1314" s="87"/>
      <c r="AC1314" s="87"/>
      <c r="AD1314" s="87"/>
      <c r="AE1314" s="87"/>
      <c r="AF1314" s="87"/>
      <c r="AG1314" s="87"/>
      <c r="AH1314" s="87"/>
      <c r="AI1314" s="87"/>
      <c r="AJ1314" s="87"/>
      <c r="AK1314" s="87"/>
      <c r="AL1314" s="87"/>
      <c r="AM1314" s="87"/>
      <c r="AN1314" s="87"/>
      <c r="AO1314" s="87"/>
      <c r="AP1314" s="87"/>
      <c r="AQ1314" s="87"/>
      <c r="AR1314" s="87"/>
      <c r="AS1314" s="87"/>
      <c r="AT1314" s="87"/>
      <c r="AU1314" s="87"/>
      <c r="AV1314" s="87"/>
      <c r="AW1314" s="87"/>
      <c r="AX1314" s="87"/>
      <c r="AY1314" s="87"/>
      <c r="AZ1314" s="87"/>
      <c r="BA1314" s="87"/>
      <c r="BB1314" s="87"/>
      <c r="BC1314" s="87"/>
      <c r="BD1314" s="87"/>
      <c r="BE1314" s="87"/>
      <c r="BF1314" s="87"/>
      <c r="BG1314" s="87"/>
      <c r="BH1314" s="87"/>
      <c r="BI1314" s="87"/>
      <c r="BJ1314" s="87"/>
      <c r="BK1314" s="87"/>
      <c r="BL1314" s="87"/>
      <c r="BM1314" s="87"/>
      <c r="BN1314" s="87"/>
      <c r="BO1314" s="87"/>
      <c r="BP1314" s="87"/>
      <c r="BQ1314" s="87"/>
      <c r="BR1314" s="87"/>
      <c r="BS1314" s="87"/>
      <c r="BT1314" s="87"/>
      <c r="BU1314" s="87"/>
      <c r="BV1314" s="87"/>
      <c r="BW1314" s="87"/>
      <c r="BX1314" s="87"/>
      <c r="BY1314" s="87"/>
    </row>
    <row r="1315" spans="21:77" x14ac:dyDescent="0.3">
      <c r="U1315" s="19"/>
      <c r="V1315" s="87"/>
      <c r="W1315" s="87"/>
      <c r="X1315" s="87"/>
      <c r="Y1315" s="87"/>
      <c r="Z1315" s="87"/>
      <c r="AA1315" s="87"/>
      <c r="AB1315" s="87"/>
      <c r="AC1315" s="87"/>
      <c r="AD1315" s="87"/>
      <c r="AE1315" s="87"/>
      <c r="AF1315" s="87"/>
      <c r="AG1315" s="87"/>
      <c r="AH1315" s="87"/>
      <c r="AI1315" s="87"/>
      <c r="AJ1315" s="87"/>
      <c r="AK1315" s="87"/>
      <c r="AL1315" s="87"/>
      <c r="AM1315" s="87"/>
      <c r="AN1315" s="87"/>
      <c r="AO1315" s="87"/>
      <c r="AP1315" s="87"/>
      <c r="AQ1315" s="87"/>
      <c r="AR1315" s="87"/>
      <c r="AS1315" s="87"/>
      <c r="AT1315" s="87"/>
      <c r="AU1315" s="87"/>
      <c r="AV1315" s="87"/>
      <c r="AW1315" s="87"/>
      <c r="AX1315" s="87"/>
      <c r="AY1315" s="87"/>
      <c r="AZ1315" s="87"/>
      <c r="BA1315" s="87"/>
      <c r="BB1315" s="87"/>
      <c r="BC1315" s="87"/>
      <c r="BD1315" s="87"/>
      <c r="BE1315" s="87"/>
      <c r="BF1315" s="87"/>
      <c r="BG1315" s="87"/>
      <c r="BH1315" s="87"/>
      <c r="BI1315" s="87"/>
      <c r="BJ1315" s="87"/>
      <c r="BK1315" s="87"/>
      <c r="BL1315" s="87"/>
      <c r="BM1315" s="87"/>
      <c r="BN1315" s="87"/>
      <c r="BO1315" s="87"/>
      <c r="BP1315" s="87"/>
      <c r="BQ1315" s="87"/>
      <c r="BR1315" s="87"/>
      <c r="BS1315" s="87"/>
      <c r="BT1315" s="87"/>
      <c r="BU1315" s="87"/>
      <c r="BV1315" s="87"/>
      <c r="BW1315" s="87"/>
      <c r="BX1315" s="87"/>
      <c r="BY1315" s="87"/>
    </row>
    <row r="1316" spans="21:77" x14ac:dyDescent="0.3">
      <c r="U1316" s="19"/>
      <c r="V1316" s="87"/>
      <c r="W1316" s="87"/>
      <c r="X1316" s="87"/>
      <c r="Y1316" s="87"/>
      <c r="Z1316" s="87"/>
      <c r="AA1316" s="87"/>
      <c r="AB1316" s="87"/>
      <c r="AC1316" s="87"/>
      <c r="AD1316" s="87"/>
      <c r="AE1316" s="87"/>
      <c r="AF1316" s="87"/>
      <c r="AG1316" s="87"/>
      <c r="AH1316" s="87"/>
      <c r="AI1316" s="87"/>
      <c r="AJ1316" s="87"/>
      <c r="AK1316" s="87"/>
      <c r="AL1316" s="87"/>
      <c r="AM1316" s="87"/>
      <c r="AN1316" s="87"/>
      <c r="AO1316" s="87"/>
      <c r="AP1316" s="87"/>
      <c r="AQ1316" s="87"/>
      <c r="AR1316" s="87"/>
      <c r="AS1316" s="87"/>
      <c r="AT1316" s="87"/>
      <c r="AU1316" s="87"/>
      <c r="AV1316" s="87"/>
      <c r="AW1316" s="87"/>
      <c r="AX1316" s="87"/>
      <c r="AY1316" s="87"/>
      <c r="AZ1316" s="87"/>
      <c r="BA1316" s="87"/>
      <c r="BB1316" s="87"/>
      <c r="BC1316" s="87"/>
      <c r="BD1316" s="87"/>
      <c r="BE1316" s="87"/>
      <c r="BF1316" s="87"/>
      <c r="BG1316" s="87"/>
      <c r="BH1316" s="87"/>
      <c r="BI1316" s="87"/>
      <c r="BJ1316" s="87"/>
      <c r="BK1316" s="87"/>
      <c r="BL1316" s="87"/>
      <c r="BM1316" s="87"/>
      <c r="BN1316" s="87"/>
      <c r="BO1316" s="87"/>
      <c r="BP1316" s="87"/>
      <c r="BQ1316" s="87"/>
      <c r="BR1316" s="87"/>
      <c r="BS1316" s="87"/>
      <c r="BT1316" s="87"/>
      <c r="BU1316" s="87"/>
      <c r="BV1316" s="87"/>
      <c r="BW1316" s="87"/>
      <c r="BX1316" s="87"/>
      <c r="BY1316" s="87"/>
    </row>
    <row r="1317" spans="21:77" x14ac:dyDescent="0.3">
      <c r="U1317" s="19"/>
      <c r="V1317" s="87"/>
      <c r="W1317" s="87"/>
      <c r="X1317" s="87"/>
      <c r="Y1317" s="87"/>
      <c r="Z1317" s="87"/>
      <c r="AA1317" s="87"/>
      <c r="AB1317" s="87"/>
      <c r="AC1317" s="87"/>
      <c r="AD1317" s="87"/>
      <c r="AE1317" s="87"/>
      <c r="AF1317" s="87"/>
      <c r="AG1317" s="87"/>
      <c r="AH1317" s="87"/>
      <c r="AI1317" s="87"/>
      <c r="AJ1317" s="87"/>
      <c r="AK1317" s="87"/>
      <c r="AL1317" s="87"/>
      <c r="AM1317" s="87"/>
      <c r="AN1317" s="87"/>
      <c r="AO1317" s="87"/>
      <c r="AP1317" s="87"/>
      <c r="AQ1317" s="87"/>
      <c r="AR1317" s="87"/>
      <c r="AS1317" s="87"/>
      <c r="AT1317" s="87"/>
      <c r="AU1317" s="87"/>
      <c r="AV1317" s="87"/>
      <c r="AW1317" s="87"/>
      <c r="AX1317" s="87"/>
      <c r="AY1317" s="87"/>
      <c r="AZ1317" s="87"/>
      <c r="BA1317" s="87"/>
      <c r="BB1317" s="87"/>
      <c r="BC1317" s="87"/>
      <c r="BD1317" s="87"/>
      <c r="BE1317" s="87"/>
      <c r="BF1317" s="87"/>
      <c r="BG1317" s="87"/>
      <c r="BH1317" s="87"/>
      <c r="BI1317" s="87"/>
      <c r="BJ1317" s="87"/>
      <c r="BK1317" s="87"/>
      <c r="BL1317" s="87"/>
      <c r="BM1317" s="87"/>
      <c r="BN1317" s="87"/>
      <c r="BO1317" s="87"/>
      <c r="BP1317" s="87"/>
      <c r="BQ1317" s="87"/>
      <c r="BR1317" s="87"/>
      <c r="BS1317" s="87"/>
      <c r="BT1317" s="87"/>
      <c r="BU1317" s="87"/>
      <c r="BV1317" s="87"/>
      <c r="BW1317" s="87"/>
      <c r="BX1317" s="87"/>
      <c r="BY1317" s="87"/>
    </row>
    <row r="1318" spans="21:77" x14ac:dyDescent="0.3">
      <c r="U1318" s="19"/>
      <c r="V1318" s="87"/>
      <c r="W1318" s="87"/>
      <c r="X1318" s="87"/>
      <c r="Y1318" s="87"/>
      <c r="Z1318" s="87"/>
      <c r="AA1318" s="87"/>
      <c r="AB1318" s="87"/>
      <c r="AC1318" s="87"/>
      <c r="AD1318" s="87"/>
      <c r="AE1318" s="87"/>
      <c r="AF1318" s="87"/>
      <c r="AG1318" s="87"/>
      <c r="AH1318" s="87"/>
      <c r="AI1318" s="87"/>
      <c r="AJ1318" s="87"/>
      <c r="AK1318" s="87"/>
      <c r="AL1318" s="87"/>
      <c r="AM1318" s="87"/>
      <c r="AN1318" s="87"/>
      <c r="AO1318" s="87"/>
      <c r="AP1318" s="87"/>
      <c r="AQ1318" s="87"/>
      <c r="AR1318" s="87"/>
      <c r="AS1318" s="87"/>
      <c r="AT1318" s="87"/>
      <c r="AU1318" s="87"/>
      <c r="AV1318" s="87"/>
      <c r="AW1318" s="87"/>
      <c r="AX1318" s="87"/>
      <c r="AY1318" s="87"/>
      <c r="AZ1318" s="87"/>
      <c r="BA1318" s="87"/>
      <c r="BB1318" s="87"/>
      <c r="BC1318" s="87"/>
      <c r="BD1318" s="87"/>
      <c r="BE1318" s="87"/>
      <c r="BF1318" s="87"/>
      <c r="BG1318" s="87"/>
      <c r="BH1318" s="87"/>
      <c r="BI1318" s="87"/>
      <c r="BJ1318" s="87"/>
      <c r="BK1318" s="87"/>
      <c r="BL1318" s="87"/>
      <c r="BM1318" s="87"/>
      <c r="BN1318" s="87"/>
      <c r="BO1318" s="87"/>
      <c r="BP1318" s="87"/>
      <c r="BQ1318" s="87"/>
      <c r="BR1318" s="87"/>
      <c r="BS1318" s="87"/>
      <c r="BT1318" s="87"/>
      <c r="BU1318" s="87"/>
      <c r="BV1318" s="87"/>
      <c r="BW1318" s="87"/>
      <c r="BX1318" s="87"/>
      <c r="BY1318" s="87"/>
    </row>
    <row r="1319" spans="21:77" x14ac:dyDescent="0.3">
      <c r="U1319" s="19"/>
      <c r="V1319" s="87"/>
      <c r="W1319" s="87"/>
      <c r="X1319" s="87"/>
      <c r="Y1319" s="87"/>
      <c r="Z1319" s="87"/>
      <c r="AA1319" s="87"/>
      <c r="AB1319" s="87"/>
      <c r="AC1319" s="87"/>
      <c r="AD1319" s="87"/>
      <c r="AE1319" s="87"/>
      <c r="AF1319" s="87"/>
      <c r="AG1319" s="87"/>
      <c r="AH1319" s="87"/>
      <c r="AI1319" s="87"/>
      <c r="AJ1319" s="87"/>
      <c r="AK1319" s="87"/>
      <c r="AL1319" s="87"/>
      <c r="AM1319" s="87"/>
      <c r="AN1319" s="87"/>
      <c r="AO1319" s="87"/>
      <c r="AP1319" s="87"/>
      <c r="AQ1319" s="87"/>
      <c r="AR1319" s="87"/>
      <c r="AS1319" s="87"/>
      <c r="AT1319" s="87"/>
      <c r="AU1319" s="87"/>
      <c r="AV1319" s="87"/>
      <c r="AW1319" s="87"/>
      <c r="AX1319" s="87"/>
      <c r="AY1319" s="87"/>
      <c r="AZ1319" s="87"/>
      <c r="BA1319" s="87"/>
      <c r="BB1319" s="87"/>
      <c r="BC1319" s="87"/>
      <c r="BD1319" s="87"/>
      <c r="BE1319" s="87"/>
      <c r="BF1319" s="87"/>
      <c r="BG1319" s="87"/>
      <c r="BH1319" s="87"/>
      <c r="BI1319" s="87"/>
      <c r="BJ1319" s="87"/>
      <c r="BK1319" s="87"/>
      <c r="BL1319" s="87"/>
      <c r="BM1319" s="87"/>
      <c r="BN1319" s="87"/>
      <c r="BO1319" s="87"/>
      <c r="BP1319" s="87"/>
      <c r="BQ1319" s="87"/>
      <c r="BR1319" s="87"/>
      <c r="BS1319" s="87"/>
      <c r="BT1319" s="87"/>
      <c r="BU1319" s="87"/>
      <c r="BV1319" s="87"/>
      <c r="BW1319" s="87"/>
      <c r="BX1319" s="87"/>
      <c r="BY1319" s="87"/>
    </row>
    <row r="1320" spans="21:77" x14ac:dyDescent="0.3">
      <c r="U1320" s="19"/>
      <c r="V1320" s="87"/>
      <c r="W1320" s="87"/>
      <c r="X1320" s="87"/>
      <c r="Y1320" s="87"/>
      <c r="Z1320" s="87"/>
      <c r="AA1320" s="87"/>
      <c r="AB1320" s="87"/>
      <c r="AC1320" s="87"/>
      <c r="AD1320" s="87"/>
      <c r="AE1320" s="87"/>
      <c r="AF1320" s="87"/>
      <c r="AG1320" s="87"/>
      <c r="AH1320" s="87"/>
      <c r="AI1320" s="87"/>
      <c r="AJ1320" s="87"/>
      <c r="AK1320" s="87"/>
      <c r="AL1320" s="87"/>
      <c r="AM1320" s="87"/>
      <c r="AN1320" s="87"/>
      <c r="AO1320" s="87"/>
      <c r="AP1320" s="87"/>
      <c r="AQ1320" s="87"/>
      <c r="AR1320" s="87"/>
      <c r="AS1320" s="87"/>
      <c r="AT1320" s="87"/>
      <c r="AU1320" s="87"/>
      <c r="AV1320" s="87"/>
      <c r="AW1320" s="87"/>
      <c r="AX1320" s="87"/>
      <c r="AY1320" s="87"/>
      <c r="AZ1320" s="87"/>
      <c r="BA1320" s="87"/>
      <c r="BB1320" s="87"/>
      <c r="BC1320" s="87"/>
      <c r="BD1320" s="87"/>
      <c r="BE1320" s="87"/>
      <c r="BF1320" s="87"/>
      <c r="BG1320" s="87"/>
      <c r="BH1320" s="87"/>
      <c r="BI1320" s="87"/>
      <c r="BJ1320" s="87"/>
      <c r="BK1320" s="87"/>
      <c r="BL1320" s="87"/>
      <c r="BM1320" s="87"/>
      <c r="BN1320" s="87"/>
      <c r="BO1320" s="87"/>
      <c r="BP1320" s="87"/>
      <c r="BQ1320" s="87"/>
      <c r="BR1320" s="87"/>
      <c r="BS1320" s="87"/>
      <c r="BT1320" s="87"/>
      <c r="BU1320" s="87"/>
      <c r="BV1320" s="87"/>
      <c r="BW1320" s="87"/>
      <c r="BX1320" s="87"/>
      <c r="BY1320" s="87"/>
    </row>
    <row r="1321" spans="21:77" x14ac:dyDescent="0.3">
      <c r="U1321" s="19"/>
      <c r="V1321" s="87"/>
      <c r="W1321" s="87"/>
      <c r="X1321" s="87"/>
      <c r="Y1321" s="87"/>
      <c r="Z1321" s="87"/>
      <c r="AA1321" s="87"/>
      <c r="AB1321" s="87"/>
      <c r="AC1321" s="87"/>
      <c r="AD1321" s="87"/>
      <c r="AE1321" s="87"/>
      <c r="AF1321" s="87"/>
      <c r="AG1321" s="87"/>
      <c r="AH1321" s="87"/>
      <c r="AI1321" s="87"/>
      <c r="AJ1321" s="87"/>
      <c r="AK1321" s="87"/>
      <c r="AL1321" s="87"/>
      <c r="AM1321" s="87"/>
      <c r="AN1321" s="87"/>
      <c r="AO1321" s="87"/>
      <c r="AP1321" s="87"/>
      <c r="AQ1321" s="87"/>
      <c r="AR1321" s="87"/>
      <c r="AS1321" s="87"/>
      <c r="AT1321" s="87"/>
      <c r="AU1321" s="87"/>
      <c r="AV1321" s="87"/>
      <c r="AW1321" s="87"/>
      <c r="AX1321" s="87"/>
      <c r="AY1321" s="87"/>
      <c r="AZ1321" s="87"/>
      <c r="BA1321" s="87"/>
      <c r="BB1321" s="87"/>
      <c r="BC1321" s="87"/>
      <c r="BD1321" s="87"/>
      <c r="BE1321" s="87"/>
      <c r="BF1321" s="87"/>
      <c r="BG1321" s="87"/>
      <c r="BH1321" s="87"/>
      <c r="BI1321" s="87"/>
      <c r="BJ1321" s="87"/>
      <c r="BK1321" s="87"/>
      <c r="BL1321" s="87"/>
      <c r="BM1321" s="87"/>
      <c r="BN1321" s="87"/>
      <c r="BO1321" s="87"/>
      <c r="BP1321" s="87"/>
      <c r="BQ1321" s="87"/>
      <c r="BR1321" s="87"/>
      <c r="BS1321" s="87"/>
      <c r="BT1321" s="87"/>
      <c r="BU1321" s="87"/>
      <c r="BV1321" s="87"/>
      <c r="BW1321" s="87"/>
      <c r="BX1321" s="87"/>
      <c r="BY1321" s="87"/>
    </row>
    <row r="1322" spans="21:77" x14ac:dyDescent="0.3">
      <c r="U1322" s="19"/>
      <c r="V1322" s="87"/>
      <c r="W1322" s="87"/>
      <c r="X1322" s="87"/>
      <c r="Y1322" s="87"/>
      <c r="Z1322" s="87"/>
      <c r="AA1322" s="87"/>
      <c r="AB1322" s="87"/>
      <c r="AC1322" s="87"/>
      <c r="AD1322" s="87"/>
      <c r="AE1322" s="87"/>
      <c r="AF1322" s="87"/>
      <c r="AG1322" s="87"/>
      <c r="AH1322" s="87"/>
      <c r="AI1322" s="87"/>
      <c r="AJ1322" s="87"/>
      <c r="AK1322" s="87"/>
      <c r="AL1322" s="87"/>
      <c r="AM1322" s="87"/>
      <c r="AN1322" s="87"/>
      <c r="AO1322" s="87"/>
      <c r="AP1322" s="87"/>
      <c r="AQ1322" s="87"/>
      <c r="AR1322" s="87"/>
      <c r="AS1322" s="87"/>
      <c r="AT1322" s="87"/>
      <c r="AU1322" s="87"/>
      <c r="AV1322" s="87"/>
      <c r="AW1322" s="87"/>
      <c r="AX1322" s="87"/>
      <c r="AY1322" s="87"/>
      <c r="AZ1322" s="87"/>
      <c r="BA1322" s="87"/>
      <c r="BB1322" s="87"/>
      <c r="BC1322" s="87"/>
      <c r="BD1322" s="87"/>
      <c r="BE1322" s="87"/>
      <c r="BF1322" s="87"/>
      <c r="BG1322" s="87"/>
      <c r="BH1322" s="87"/>
      <c r="BI1322" s="87"/>
      <c r="BJ1322" s="87"/>
      <c r="BK1322" s="87"/>
      <c r="BL1322" s="87"/>
      <c r="BM1322" s="87"/>
      <c r="BN1322" s="87"/>
      <c r="BO1322" s="87"/>
      <c r="BP1322" s="87"/>
      <c r="BQ1322" s="87"/>
      <c r="BR1322" s="87"/>
      <c r="BS1322" s="87"/>
      <c r="BT1322" s="87"/>
      <c r="BU1322" s="87"/>
      <c r="BV1322" s="87"/>
      <c r="BW1322" s="87"/>
      <c r="BX1322" s="87"/>
      <c r="BY1322" s="87"/>
    </row>
    <row r="1323" spans="21:77" x14ac:dyDescent="0.3">
      <c r="U1323" s="19"/>
      <c r="V1323" s="87"/>
      <c r="W1323" s="87"/>
      <c r="X1323" s="87"/>
      <c r="Y1323" s="87"/>
      <c r="Z1323" s="87"/>
      <c r="AA1323" s="87"/>
      <c r="AB1323" s="87"/>
      <c r="AC1323" s="87"/>
      <c r="AD1323" s="87"/>
      <c r="AE1323" s="87"/>
      <c r="AF1323" s="87"/>
      <c r="AG1323" s="87"/>
      <c r="AH1323" s="87"/>
      <c r="AI1323" s="87"/>
      <c r="AJ1323" s="87"/>
      <c r="AK1323" s="87"/>
      <c r="AL1323" s="87"/>
      <c r="AM1323" s="87"/>
      <c r="AN1323" s="87"/>
      <c r="AO1323" s="87"/>
      <c r="AP1323" s="87"/>
      <c r="AQ1323" s="87"/>
      <c r="AR1323" s="87"/>
      <c r="AS1323" s="87"/>
      <c r="AT1323" s="87"/>
      <c r="AU1323" s="87"/>
      <c r="AV1323" s="87"/>
      <c r="AW1323" s="87"/>
      <c r="AX1323" s="87"/>
      <c r="AY1323" s="87"/>
      <c r="AZ1323" s="87"/>
      <c r="BA1323" s="87"/>
      <c r="BB1323" s="87"/>
      <c r="BC1323" s="87"/>
      <c r="BD1323" s="87"/>
      <c r="BE1323" s="87"/>
      <c r="BF1323" s="87"/>
      <c r="BG1323" s="87"/>
      <c r="BH1323" s="87"/>
      <c r="BI1323" s="87"/>
      <c r="BJ1323" s="87"/>
      <c r="BK1323" s="87"/>
      <c r="BL1323" s="87"/>
      <c r="BM1323" s="87"/>
      <c r="BN1323" s="87"/>
      <c r="BO1323" s="87"/>
      <c r="BP1323" s="87"/>
      <c r="BQ1323" s="87"/>
      <c r="BR1323" s="87"/>
      <c r="BS1323" s="87"/>
      <c r="BT1323" s="87"/>
      <c r="BU1323" s="87"/>
      <c r="BV1323" s="87"/>
      <c r="BW1323" s="87"/>
      <c r="BX1323" s="87"/>
      <c r="BY1323" s="87"/>
    </row>
    <row r="1324" spans="21:77" x14ac:dyDescent="0.3">
      <c r="U1324" s="19"/>
      <c r="V1324" s="87"/>
      <c r="W1324" s="87"/>
      <c r="X1324" s="87"/>
      <c r="Y1324" s="87"/>
      <c r="Z1324" s="87"/>
      <c r="AA1324" s="87"/>
      <c r="AB1324" s="87"/>
      <c r="AC1324" s="87"/>
      <c r="AD1324" s="87"/>
      <c r="AE1324" s="87"/>
      <c r="AF1324" s="87"/>
      <c r="AG1324" s="87"/>
      <c r="AH1324" s="87"/>
      <c r="AI1324" s="87"/>
      <c r="AJ1324" s="87"/>
      <c r="AK1324" s="87"/>
      <c r="AL1324" s="87"/>
      <c r="AM1324" s="87"/>
      <c r="AN1324" s="87"/>
      <c r="AO1324" s="87"/>
      <c r="AP1324" s="87"/>
      <c r="AQ1324" s="87"/>
      <c r="AR1324" s="87"/>
      <c r="AS1324" s="87"/>
      <c r="AT1324" s="87"/>
      <c r="AU1324" s="87"/>
      <c r="AV1324" s="87"/>
      <c r="AW1324" s="87"/>
      <c r="AX1324" s="87"/>
      <c r="AY1324" s="87"/>
      <c r="AZ1324" s="87"/>
      <c r="BA1324" s="87"/>
      <c r="BB1324" s="87"/>
      <c r="BC1324" s="87"/>
      <c r="BD1324" s="87"/>
      <c r="BE1324" s="87"/>
      <c r="BF1324" s="87"/>
      <c r="BG1324" s="87"/>
      <c r="BH1324" s="87"/>
      <c r="BI1324" s="87"/>
      <c r="BJ1324" s="87"/>
      <c r="BK1324" s="87"/>
      <c r="BL1324" s="87"/>
      <c r="BM1324" s="87"/>
      <c r="BN1324" s="87"/>
      <c r="BO1324" s="87"/>
      <c r="BP1324" s="87"/>
      <c r="BQ1324" s="87"/>
      <c r="BR1324" s="87"/>
      <c r="BS1324" s="87"/>
      <c r="BT1324" s="87"/>
      <c r="BU1324" s="87"/>
      <c r="BV1324" s="87"/>
      <c r="BW1324" s="87"/>
      <c r="BX1324" s="87"/>
      <c r="BY1324" s="87"/>
    </row>
    <row r="1325" spans="21:77" x14ac:dyDescent="0.3">
      <c r="U1325" s="19"/>
      <c r="V1325" s="87"/>
      <c r="W1325" s="87"/>
      <c r="X1325" s="87"/>
      <c r="Y1325" s="87"/>
      <c r="Z1325" s="87"/>
      <c r="AA1325" s="87"/>
      <c r="AB1325" s="87"/>
      <c r="AC1325" s="87"/>
      <c r="AD1325" s="87"/>
      <c r="AE1325" s="87"/>
      <c r="AF1325" s="87"/>
      <c r="AG1325" s="87"/>
      <c r="AH1325" s="87"/>
      <c r="AI1325" s="87"/>
      <c r="AJ1325" s="87"/>
      <c r="AK1325" s="87"/>
      <c r="AL1325" s="87"/>
      <c r="AM1325" s="87"/>
      <c r="AN1325" s="87"/>
      <c r="AO1325" s="87"/>
      <c r="AP1325" s="87"/>
      <c r="AQ1325" s="87"/>
      <c r="AR1325" s="87"/>
      <c r="AS1325" s="87"/>
      <c r="AT1325" s="87"/>
      <c r="AU1325" s="87"/>
      <c r="AV1325" s="87"/>
      <c r="AW1325" s="87"/>
      <c r="AX1325" s="87"/>
      <c r="AY1325" s="87"/>
      <c r="AZ1325" s="87"/>
      <c r="BA1325" s="87"/>
      <c r="BB1325" s="87"/>
      <c r="BC1325" s="87"/>
      <c r="BD1325" s="87"/>
      <c r="BE1325" s="87"/>
      <c r="BF1325" s="87"/>
      <c r="BG1325" s="87"/>
      <c r="BH1325" s="87"/>
      <c r="BI1325" s="87"/>
      <c r="BJ1325" s="87"/>
      <c r="BK1325" s="87"/>
      <c r="BL1325" s="87"/>
      <c r="BM1325" s="87"/>
      <c r="BN1325" s="87"/>
      <c r="BO1325" s="87"/>
      <c r="BP1325" s="87"/>
      <c r="BQ1325" s="87"/>
      <c r="BR1325" s="87"/>
      <c r="BS1325" s="87"/>
      <c r="BT1325" s="87"/>
      <c r="BU1325" s="87"/>
      <c r="BV1325" s="87"/>
      <c r="BW1325" s="87"/>
      <c r="BX1325" s="87"/>
      <c r="BY1325" s="87"/>
    </row>
    <row r="1326" spans="21:77" x14ac:dyDescent="0.3">
      <c r="U1326" s="19"/>
      <c r="V1326" s="87"/>
      <c r="W1326" s="87"/>
      <c r="X1326" s="87"/>
      <c r="Y1326" s="87"/>
      <c r="Z1326" s="87"/>
      <c r="AA1326" s="87"/>
      <c r="AB1326" s="87"/>
      <c r="AC1326" s="87"/>
      <c r="AD1326" s="87"/>
      <c r="AE1326" s="87"/>
      <c r="AF1326" s="87"/>
      <c r="AG1326" s="87"/>
      <c r="AH1326" s="87"/>
      <c r="AI1326" s="87"/>
      <c r="AJ1326" s="87"/>
      <c r="AK1326" s="87"/>
      <c r="AL1326" s="87"/>
      <c r="AM1326" s="87"/>
      <c r="AN1326" s="87"/>
      <c r="AO1326" s="87"/>
      <c r="AP1326" s="87"/>
      <c r="AQ1326" s="87"/>
      <c r="AR1326" s="87"/>
      <c r="AS1326" s="87"/>
      <c r="AT1326" s="87"/>
      <c r="AU1326" s="87"/>
      <c r="AV1326" s="87"/>
      <c r="AW1326" s="87"/>
      <c r="AX1326" s="87"/>
      <c r="AY1326" s="87"/>
      <c r="AZ1326" s="87"/>
      <c r="BA1326" s="87"/>
      <c r="BB1326" s="87"/>
      <c r="BC1326" s="87"/>
      <c r="BD1326" s="87"/>
      <c r="BE1326" s="87"/>
      <c r="BF1326" s="87"/>
      <c r="BG1326" s="87"/>
      <c r="BH1326" s="87"/>
      <c r="BI1326" s="87"/>
      <c r="BJ1326" s="87"/>
      <c r="BK1326" s="87"/>
      <c r="BL1326" s="87"/>
      <c r="BM1326" s="87"/>
      <c r="BN1326" s="87"/>
      <c r="BO1326" s="87"/>
      <c r="BP1326" s="87"/>
      <c r="BQ1326" s="87"/>
      <c r="BR1326" s="87"/>
      <c r="BS1326" s="87"/>
      <c r="BT1326" s="87"/>
      <c r="BU1326" s="87"/>
      <c r="BV1326" s="87"/>
      <c r="BW1326" s="87"/>
      <c r="BX1326" s="87"/>
      <c r="BY1326" s="87"/>
    </row>
    <row r="1327" spans="21:77" x14ac:dyDescent="0.3">
      <c r="U1327" s="19"/>
      <c r="V1327" s="87"/>
      <c r="W1327" s="87"/>
      <c r="X1327" s="87"/>
      <c r="Y1327" s="87"/>
      <c r="Z1327" s="87"/>
      <c r="AA1327" s="87"/>
      <c r="AB1327" s="87"/>
      <c r="AC1327" s="87"/>
      <c r="AD1327" s="87"/>
      <c r="AE1327" s="87"/>
      <c r="AF1327" s="87"/>
      <c r="AG1327" s="87"/>
      <c r="AH1327" s="87"/>
      <c r="AI1327" s="87"/>
      <c r="AJ1327" s="87"/>
      <c r="AK1327" s="87"/>
      <c r="AL1327" s="87"/>
      <c r="AM1327" s="87"/>
      <c r="AN1327" s="87"/>
      <c r="AO1327" s="87"/>
      <c r="AP1327" s="87"/>
      <c r="AQ1327" s="87"/>
      <c r="AR1327" s="87"/>
      <c r="AS1327" s="87"/>
      <c r="AT1327" s="87"/>
      <c r="AU1327" s="87"/>
      <c r="AV1327" s="87"/>
      <c r="AW1327" s="87"/>
      <c r="AX1327" s="87"/>
      <c r="AY1327" s="87"/>
      <c r="AZ1327" s="87"/>
      <c r="BA1327" s="87"/>
      <c r="BB1327" s="87"/>
      <c r="BC1327" s="87"/>
      <c r="BD1327" s="87"/>
      <c r="BE1327" s="87"/>
      <c r="BF1327" s="87"/>
      <c r="BG1327" s="87"/>
      <c r="BH1327" s="87"/>
      <c r="BI1327" s="87"/>
      <c r="BJ1327" s="87"/>
      <c r="BK1327" s="87"/>
      <c r="BL1327" s="87"/>
      <c r="BM1327" s="87"/>
      <c r="BN1327" s="87"/>
      <c r="BO1327" s="87"/>
      <c r="BP1327" s="87"/>
      <c r="BQ1327" s="87"/>
      <c r="BR1327" s="87"/>
      <c r="BS1327" s="87"/>
      <c r="BT1327" s="87"/>
      <c r="BU1327" s="87"/>
      <c r="BV1327" s="87"/>
      <c r="BW1327" s="87"/>
      <c r="BX1327" s="87"/>
      <c r="BY1327" s="87"/>
    </row>
    <row r="1328" spans="21:77" x14ac:dyDescent="0.3">
      <c r="U1328" s="19"/>
      <c r="V1328" s="87"/>
      <c r="W1328" s="87"/>
      <c r="X1328" s="87"/>
      <c r="Y1328" s="87"/>
      <c r="Z1328" s="87"/>
      <c r="AA1328" s="87"/>
      <c r="AB1328" s="87"/>
      <c r="AC1328" s="87"/>
      <c r="AD1328" s="87"/>
      <c r="AE1328" s="87"/>
      <c r="AF1328" s="87"/>
      <c r="AG1328" s="87"/>
      <c r="AH1328" s="87"/>
      <c r="AI1328" s="87"/>
      <c r="AJ1328" s="87"/>
      <c r="AK1328" s="87"/>
      <c r="AL1328" s="87"/>
      <c r="AM1328" s="87"/>
      <c r="AN1328" s="87"/>
      <c r="AO1328" s="87"/>
      <c r="AP1328" s="87"/>
      <c r="AQ1328" s="87"/>
      <c r="AR1328" s="87"/>
      <c r="AS1328" s="87"/>
      <c r="AT1328" s="87"/>
      <c r="AU1328" s="87"/>
      <c r="AV1328" s="87"/>
      <c r="AW1328" s="87"/>
      <c r="AX1328" s="87"/>
      <c r="AY1328" s="87"/>
      <c r="AZ1328" s="87"/>
      <c r="BA1328" s="87"/>
      <c r="BB1328" s="87"/>
      <c r="BC1328" s="87"/>
      <c r="BD1328" s="87"/>
      <c r="BE1328" s="87"/>
      <c r="BF1328" s="87"/>
      <c r="BG1328" s="87"/>
      <c r="BH1328" s="87"/>
      <c r="BI1328" s="87"/>
      <c r="BJ1328" s="87"/>
      <c r="BK1328" s="87"/>
      <c r="BL1328" s="87"/>
      <c r="BM1328" s="87"/>
      <c r="BN1328" s="87"/>
      <c r="BO1328" s="87"/>
      <c r="BP1328" s="87"/>
      <c r="BQ1328" s="87"/>
      <c r="BR1328" s="87"/>
      <c r="BS1328" s="87"/>
      <c r="BT1328" s="87"/>
      <c r="BU1328" s="87"/>
      <c r="BV1328" s="87"/>
      <c r="BW1328" s="87"/>
      <c r="BX1328" s="87"/>
      <c r="BY1328" s="87"/>
    </row>
    <row r="1329" spans="21:77" x14ac:dyDescent="0.3">
      <c r="U1329" s="19"/>
      <c r="V1329" s="87"/>
      <c r="W1329" s="87"/>
      <c r="X1329" s="87"/>
      <c r="Y1329" s="87"/>
      <c r="Z1329" s="87"/>
      <c r="AA1329" s="87"/>
      <c r="AB1329" s="87"/>
      <c r="AC1329" s="87"/>
      <c r="AD1329" s="87"/>
      <c r="AE1329" s="87"/>
      <c r="AF1329" s="87"/>
      <c r="AG1329" s="87"/>
      <c r="AH1329" s="87"/>
      <c r="AI1329" s="87"/>
      <c r="AJ1329" s="87"/>
      <c r="AK1329" s="87"/>
      <c r="AL1329" s="87"/>
      <c r="AM1329" s="87"/>
      <c r="AN1329" s="87"/>
      <c r="AO1329" s="87"/>
      <c r="AP1329" s="87"/>
      <c r="AQ1329" s="87"/>
      <c r="AR1329" s="87"/>
      <c r="AS1329" s="87"/>
      <c r="AT1329" s="87"/>
      <c r="AU1329" s="87"/>
      <c r="AV1329" s="87"/>
      <c r="AW1329" s="87"/>
      <c r="AX1329" s="87"/>
      <c r="AY1329" s="87"/>
      <c r="AZ1329" s="87"/>
      <c r="BA1329" s="87"/>
      <c r="BB1329" s="87"/>
      <c r="BC1329" s="87"/>
      <c r="BD1329" s="87"/>
      <c r="BE1329" s="87"/>
      <c r="BF1329" s="87"/>
      <c r="BG1329" s="87"/>
      <c r="BH1329" s="87"/>
      <c r="BI1329" s="87"/>
      <c r="BJ1329" s="87"/>
      <c r="BK1329" s="87"/>
      <c r="BL1329" s="87"/>
      <c r="BM1329" s="87"/>
      <c r="BN1329" s="87"/>
      <c r="BO1329" s="87"/>
      <c r="BP1329" s="87"/>
      <c r="BQ1329" s="87"/>
      <c r="BR1329" s="87"/>
      <c r="BS1329" s="87"/>
      <c r="BT1329" s="87"/>
      <c r="BU1329" s="87"/>
      <c r="BV1329" s="87"/>
      <c r="BW1329" s="87"/>
      <c r="BX1329" s="87"/>
      <c r="BY1329" s="87"/>
    </row>
    <row r="1330" spans="21:77" x14ac:dyDescent="0.3">
      <c r="U1330" s="19"/>
      <c r="V1330" s="87"/>
      <c r="W1330" s="87"/>
      <c r="X1330" s="87"/>
      <c r="Y1330" s="87"/>
      <c r="Z1330" s="87"/>
      <c r="AA1330" s="87"/>
      <c r="AB1330" s="87"/>
      <c r="AC1330" s="87"/>
      <c r="AD1330" s="87"/>
      <c r="AE1330" s="87"/>
      <c r="AF1330" s="87"/>
      <c r="AG1330" s="87"/>
      <c r="AH1330" s="87"/>
      <c r="AI1330" s="87"/>
      <c r="AJ1330" s="87"/>
      <c r="AK1330" s="87"/>
      <c r="AL1330" s="87"/>
      <c r="AM1330" s="87"/>
      <c r="AN1330" s="87"/>
      <c r="AO1330" s="87"/>
      <c r="AP1330" s="87"/>
      <c r="AQ1330" s="87"/>
      <c r="AR1330" s="87"/>
      <c r="AS1330" s="87"/>
      <c r="AT1330" s="87"/>
      <c r="AU1330" s="87"/>
      <c r="AV1330" s="87"/>
      <c r="AW1330" s="87"/>
      <c r="AX1330" s="87"/>
      <c r="AY1330" s="87"/>
      <c r="AZ1330" s="87"/>
      <c r="BA1330" s="87"/>
      <c r="BB1330" s="87"/>
      <c r="BC1330" s="87"/>
      <c r="BD1330" s="87"/>
      <c r="BE1330" s="87"/>
      <c r="BF1330" s="87"/>
      <c r="BG1330" s="87"/>
      <c r="BH1330" s="87"/>
      <c r="BI1330" s="87"/>
      <c r="BJ1330" s="87"/>
      <c r="BK1330" s="87"/>
      <c r="BL1330" s="87"/>
      <c r="BM1330" s="87"/>
      <c r="BN1330" s="87"/>
      <c r="BO1330" s="87"/>
      <c r="BP1330" s="87"/>
      <c r="BQ1330" s="87"/>
      <c r="BR1330" s="87"/>
      <c r="BS1330" s="87"/>
      <c r="BT1330" s="87"/>
      <c r="BU1330" s="87"/>
      <c r="BV1330" s="87"/>
      <c r="BW1330" s="87"/>
      <c r="BX1330" s="87"/>
      <c r="BY1330" s="87"/>
    </row>
    <row r="1331" spans="21:77" x14ac:dyDescent="0.3">
      <c r="U1331" s="19"/>
      <c r="V1331" s="87"/>
      <c r="W1331" s="87"/>
      <c r="X1331" s="87"/>
      <c r="Y1331" s="87"/>
      <c r="Z1331" s="87"/>
      <c r="AA1331" s="87"/>
      <c r="AB1331" s="87"/>
      <c r="AC1331" s="87"/>
      <c r="AD1331" s="87"/>
      <c r="AE1331" s="87"/>
      <c r="AF1331" s="87"/>
      <c r="AG1331" s="87"/>
      <c r="AH1331" s="87"/>
      <c r="AI1331" s="87"/>
      <c r="AJ1331" s="87"/>
      <c r="AK1331" s="87"/>
      <c r="AL1331" s="87"/>
      <c r="AM1331" s="87"/>
      <c r="AN1331" s="87"/>
      <c r="AO1331" s="87"/>
      <c r="AP1331" s="87"/>
      <c r="AQ1331" s="87"/>
      <c r="AR1331" s="87"/>
      <c r="AS1331" s="87"/>
      <c r="AT1331" s="87"/>
      <c r="AU1331" s="87"/>
      <c r="AV1331" s="87"/>
      <c r="AW1331" s="87"/>
      <c r="AX1331" s="87"/>
      <c r="AY1331" s="87"/>
      <c r="AZ1331" s="87"/>
      <c r="BA1331" s="87"/>
      <c r="BB1331" s="87"/>
      <c r="BC1331" s="87"/>
      <c r="BD1331" s="87"/>
      <c r="BE1331" s="87"/>
      <c r="BF1331" s="87"/>
      <c r="BG1331" s="87"/>
      <c r="BH1331" s="87"/>
      <c r="BI1331" s="87"/>
      <c r="BJ1331" s="87"/>
      <c r="BK1331" s="87"/>
      <c r="BL1331" s="87"/>
      <c r="BM1331" s="87"/>
      <c r="BN1331" s="87"/>
      <c r="BO1331" s="87"/>
      <c r="BP1331" s="87"/>
      <c r="BQ1331" s="87"/>
      <c r="BR1331" s="87"/>
      <c r="BS1331" s="87"/>
      <c r="BT1331" s="87"/>
      <c r="BU1331" s="87"/>
      <c r="BV1331" s="87"/>
      <c r="BW1331" s="87"/>
      <c r="BX1331" s="87"/>
      <c r="BY1331" s="87"/>
    </row>
    <row r="1332" spans="21:77" x14ac:dyDescent="0.3">
      <c r="U1332" s="19"/>
      <c r="V1332" s="87"/>
      <c r="W1332" s="87"/>
      <c r="X1332" s="87"/>
      <c r="Y1332" s="87"/>
      <c r="Z1332" s="87"/>
      <c r="AA1332" s="87"/>
      <c r="AB1332" s="87"/>
      <c r="AC1332" s="87"/>
      <c r="AD1332" s="87"/>
      <c r="AE1332" s="87"/>
      <c r="AF1332" s="87"/>
      <c r="AG1332" s="87"/>
      <c r="AH1332" s="87"/>
      <c r="AI1332" s="87"/>
      <c r="AJ1332" s="87"/>
      <c r="AK1332" s="87"/>
      <c r="AL1332" s="87"/>
      <c r="AM1332" s="87"/>
      <c r="AN1332" s="87"/>
      <c r="AO1332" s="87"/>
      <c r="AP1332" s="87"/>
      <c r="AQ1332" s="87"/>
      <c r="AR1332" s="87"/>
      <c r="AS1332" s="87"/>
      <c r="AT1332" s="87"/>
      <c r="AU1332" s="87"/>
      <c r="AV1332" s="87"/>
      <c r="AW1332" s="87"/>
      <c r="AX1332" s="87"/>
      <c r="AY1332" s="87"/>
      <c r="AZ1332" s="87"/>
      <c r="BA1332" s="87"/>
      <c r="BB1332" s="87"/>
      <c r="BC1332" s="87"/>
      <c r="BD1332" s="87"/>
      <c r="BE1332" s="87"/>
      <c r="BF1332" s="87"/>
      <c r="BG1332" s="87"/>
      <c r="BH1332" s="87"/>
      <c r="BI1332" s="87"/>
      <c r="BJ1332" s="87"/>
      <c r="BK1332" s="87"/>
      <c r="BL1332" s="87"/>
      <c r="BM1332" s="87"/>
      <c r="BN1332" s="87"/>
      <c r="BO1332" s="87"/>
      <c r="BP1332" s="87"/>
      <c r="BQ1332" s="87"/>
      <c r="BR1332" s="87"/>
      <c r="BS1332" s="87"/>
      <c r="BT1332" s="87"/>
      <c r="BU1332" s="87"/>
      <c r="BV1332" s="87"/>
      <c r="BW1332" s="87"/>
      <c r="BX1332" s="87"/>
      <c r="BY1332" s="87"/>
    </row>
    <row r="1333" spans="21:77" x14ac:dyDescent="0.3">
      <c r="U1333" s="19"/>
      <c r="V1333" s="87"/>
      <c r="W1333" s="87"/>
      <c r="X1333" s="87"/>
      <c r="Y1333" s="87"/>
      <c r="Z1333" s="87"/>
      <c r="AA1333" s="87"/>
      <c r="AB1333" s="87"/>
      <c r="AC1333" s="87"/>
      <c r="AD1333" s="87"/>
      <c r="AE1333" s="87"/>
      <c r="AF1333" s="87"/>
      <c r="AG1333" s="87"/>
      <c r="AH1333" s="87"/>
      <c r="AI1333" s="87"/>
      <c r="AJ1333" s="87"/>
      <c r="AK1333" s="87"/>
      <c r="AL1333" s="87"/>
      <c r="AM1333" s="87"/>
      <c r="AN1333" s="87"/>
      <c r="AO1333" s="87"/>
      <c r="AP1333" s="87"/>
      <c r="AQ1333" s="87"/>
      <c r="AR1333" s="87"/>
      <c r="AS1333" s="87"/>
      <c r="AT1333" s="87"/>
      <c r="AU1333" s="87"/>
      <c r="AV1333" s="87"/>
      <c r="AW1333" s="87"/>
      <c r="AX1333" s="87"/>
      <c r="AY1333" s="87"/>
      <c r="AZ1333" s="87"/>
      <c r="BA1333" s="87"/>
      <c r="BB1333" s="87"/>
      <c r="BC1333" s="87"/>
      <c r="BD1333" s="87"/>
      <c r="BE1333" s="87"/>
      <c r="BF1333" s="87"/>
      <c r="BG1333" s="87"/>
      <c r="BH1333" s="87"/>
      <c r="BI1333" s="87"/>
      <c r="BJ1333" s="87"/>
      <c r="BK1333" s="87"/>
      <c r="BL1333" s="87"/>
      <c r="BM1333" s="87"/>
      <c r="BN1333" s="87"/>
      <c r="BO1333" s="87"/>
      <c r="BP1333" s="87"/>
      <c r="BQ1333" s="87"/>
      <c r="BR1333" s="87"/>
      <c r="BS1333" s="87"/>
      <c r="BT1333" s="87"/>
      <c r="BU1333" s="87"/>
      <c r="BV1333" s="87"/>
      <c r="BW1333" s="87"/>
      <c r="BX1333" s="87"/>
      <c r="BY1333" s="87"/>
    </row>
    <row r="1334" spans="21:77" x14ac:dyDescent="0.3">
      <c r="U1334" s="19"/>
      <c r="V1334" s="87"/>
      <c r="W1334" s="87"/>
      <c r="X1334" s="87"/>
      <c r="Y1334" s="87"/>
      <c r="Z1334" s="87"/>
      <c r="AA1334" s="87"/>
      <c r="AB1334" s="87"/>
      <c r="AC1334" s="87"/>
      <c r="AD1334" s="87"/>
      <c r="AE1334" s="87"/>
      <c r="AF1334" s="87"/>
      <c r="AG1334" s="87"/>
      <c r="AH1334" s="87"/>
      <c r="AI1334" s="87"/>
      <c r="AJ1334" s="87"/>
      <c r="AK1334" s="87"/>
      <c r="AL1334" s="87"/>
      <c r="AM1334" s="87"/>
      <c r="AN1334" s="87"/>
      <c r="AO1334" s="87"/>
      <c r="AP1334" s="87"/>
      <c r="AQ1334" s="87"/>
      <c r="AR1334" s="87"/>
      <c r="AS1334" s="87"/>
      <c r="AT1334" s="87"/>
      <c r="AU1334" s="87"/>
      <c r="AV1334" s="87"/>
      <c r="AW1334" s="87"/>
      <c r="AX1334" s="87"/>
      <c r="AY1334" s="87"/>
      <c r="AZ1334" s="87"/>
      <c r="BA1334" s="87"/>
      <c r="BB1334" s="87"/>
      <c r="BC1334" s="87"/>
      <c r="BD1334" s="87"/>
      <c r="BE1334" s="87"/>
      <c r="BF1334" s="87"/>
      <c r="BG1334" s="87"/>
      <c r="BH1334" s="87"/>
      <c r="BI1334" s="87"/>
      <c r="BJ1334" s="87"/>
      <c r="BK1334" s="87"/>
      <c r="BL1334" s="87"/>
      <c r="BM1334" s="87"/>
      <c r="BN1334" s="87"/>
      <c r="BO1334" s="87"/>
      <c r="BP1334" s="87"/>
      <c r="BQ1334" s="87"/>
      <c r="BR1334" s="87"/>
      <c r="BS1334" s="87"/>
      <c r="BT1334" s="87"/>
      <c r="BU1334" s="87"/>
      <c r="BV1334" s="87"/>
      <c r="BW1334" s="87"/>
      <c r="BX1334" s="87"/>
      <c r="BY1334" s="87"/>
    </row>
    <row r="1335" spans="21:77" x14ac:dyDescent="0.3">
      <c r="U1335" s="19"/>
      <c r="V1335" s="87"/>
      <c r="W1335" s="87"/>
      <c r="X1335" s="87"/>
      <c r="Y1335" s="87"/>
      <c r="Z1335" s="87"/>
      <c r="AA1335" s="87"/>
      <c r="AB1335" s="87"/>
      <c r="AC1335" s="87"/>
      <c r="AD1335" s="87"/>
      <c r="AE1335" s="87"/>
      <c r="AF1335" s="87"/>
      <c r="AG1335" s="87"/>
      <c r="AH1335" s="87"/>
      <c r="AI1335" s="87"/>
      <c r="AJ1335" s="87"/>
      <c r="AK1335" s="87"/>
      <c r="AL1335" s="87"/>
      <c r="AM1335" s="87"/>
      <c r="AN1335" s="87"/>
      <c r="AO1335" s="87"/>
      <c r="AP1335" s="87"/>
      <c r="AQ1335" s="87"/>
      <c r="AR1335" s="87"/>
      <c r="AS1335" s="87"/>
      <c r="AT1335" s="87"/>
      <c r="AU1335" s="87"/>
      <c r="AV1335" s="87"/>
      <c r="AW1335" s="87"/>
      <c r="AX1335" s="87"/>
      <c r="AY1335" s="87"/>
      <c r="AZ1335" s="87"/>
      <c r="BA1335" s="87"/>
      <c r="BB1335" s="87"/>
      <c r="BC1335" s="87"/>
      <c r="BD1335" s="87"/>
      <c r="BE1335" s="87"/>
      <c r="BF1335" s="87"/>
      <c r="BG1335" s="87"/>
      <c r="BH1335" s="87"/>
      <c r="BI1335" s="87"/>
      <c r="BJ1335" s="87"/>
      <c r="BK1335" s="87"/>
      <c r="BL1335" s="87"/>
      <c r="BM1335" s="87"/>
      <c r="BN1335" s="87"/>
      <c r="BO1335" s="87"/>
      <c r="BP1335" s="87"/>
      <c r="BQ1335" s="87"/>
      <c r="BR1335" s="87"/>
      <c r="BS1335" s="87"/>
      <c r="BT1335" s="87"/>
      <c r="BU1335" s="87"/>
      <c r="BV1335" s="87"/>
      <c r="BW1335" s="87"/>
      <c r="BX1335" s="87"/>
      <c r="BY1335" s="87"/>
    </row>
    <row r="1336" spans="21:77" x14ac:dyDescent="0.3">
      <c r="U1336" s="19"/>
      <c r="V1336" s="87"/>
      <c r="W1336" s="87"/>
      <c r="X1336" s="87"/>
      <c r="Y1336" s="87"/>
      <c r="Z1336" s="87"/>
      <c r="AA1336" s="87"/>
      <c r="AB1336" s="87"/>
      <c r="AC1336" s="87"/>
      <c r="AD1336" s="87"/>
      <c r="AE1336" s="87"/>
      <c r="AF1336" s="87"/>
      <c r="AG1336" s="87"/>
      <c r="AH1336" s="87"/>
      <c r="AI1336" s="87"/>
      <c r="AJ1336" s="87"/>
      <c r="AK1336" s="87"/>
      <c r="AL1336" s="87"/>
      <c r="AM1336" s="87"/>
      <c r="AN1336" s="87"/>
      <c r="AO1336" s="87"/>
      <c r="AP1336" s="87"/>
      <c r="AQ1336" s="87"/>
      <c r="AR1336" s="87"/>
      <c r="AS1336" s="87"/>
      <c r="AT1336" s="87"/>
      <c r="AU1336" s="87"/>
      <c r="AV1336" s="87"/>
      <c r="AW1336" s="87"/>
      <c r="AX1336" s="87"/>
      <c r="AY1336" s="87"/>
      <c r="AZ1336" s="87"/>
      <c r="BA1336" s="87"/>
      <c r="BB1336" s="87"/>
      <c r="BC1336" s="87"/>
      <c r="BD1336" s="87"/>
      <c r="BE1336" s="87"/>
      <c r="BF1336" s="87"/>
      <c r="BG1336" s="87"/>
      <c r="BH1336" s="87"/>
      <c r="BI1336" s="87"/>
      <c r="BJ1336" s="87"/>
      <c r="BK1336" s="87"/>
      <c r="BL1336" s="87"/>
      <c r="BM1336" s="87"/>
      <c r="BN1336" s="87"/>
      <c r="BO1336" s="87"/>
      <c r="BP1336" s="87"/>
      <c r="BQ1336" s="87"/>
      <c r="BR1336" s="87"/>
      <c r="BS1336" s="87"/>
      <c r="BT1336" s="87"/>
      <c r="BU1336" s="87"/>
      <c r="BV1336" s="87"/>
      <c r="BW1336" s="87"/>
      <c r="BX1336" s="87"/>
      <c r="BY1336" s="87"/>
    </row>
    <row r="1337" spans="21:77" x14ac:dyDescent="0.3">
      <c r="U1337" s="19"/>
      <c r="V1337" s="87"/>
      <c r="W1337" s="87"/>
      <c r="X1337" s="87"/>
      <c r="Y1337" s="87"/>
      <c r="Z1337" s="87"/>
      <c r="AA1337" s="87"/>
      <c r="AB1337" s="87"/>
      <c r="AC1337" s="87"/>
      <c r="AD1337" s="87"/>
      <c r="AE1337" s="87"/>
      <c r="AF1337" s="87"/>
      <c r="AG1337" s="87"/>
      <c r="AH1337" s="87"/>
      <c r="AI1337" s="87"/>
      <c r="AJ1337" s="87"/>
      <c r="AK1337" s="87"/>
      <c r="AL1337" s="87"/>
      <c r="AM1337" s="87"/>
      <c r="AN1337" s="87"/>
      <c r="AO1337" s="87"/>
      <c r="AP1337" s="87"/>
      <c r="AQ1337" s="87"/>
      <c r="AR1337" s="87"/>
      <c r="AS1337" s="87"/>
      <c r="AT1337" s="87"/>
      <c r="AU1337" s="87"/>
      <c r="AV1337" s="87"/>
      <c r="AW1337" s="87"/>
      <c r="AX1337" s="87"/>
      <c r="AY1337" s="87"/>
      <c r="AZ1337" s="87"/>
      <c r="BA1337" s="87"/>
      <c r="BB1337" s="87"/>
      <c r="BC1337" s="87"/>
      <c r="BD1337" s="87"/>
      <c r="BE1337" s="87"/>
      <c r="BF1337" s="87"/>
      <c r="BG1337" s="87"/>
      <c r="BH1337" s="87"/>
      <c r="BI1337" s="87"/>
      <c r="BJ1337" s="87"/>
      <c r="BK1337" s="87"/>
      <c r="BL1337" s="87"/>
      <c r="BM1337" s="87"/>
      <c r="BN1337" s="87"/>
      <c r="BO1337" s="87"/>
      <c r="BP1337" s="87"/>
      <c r="BQ1337" s="87"/>
      <c r="BR1337" s="87"/>
      <c r="BS1337" s="87"/>
      <c r="BT1337" s="87"/>
      <c r="BU1337" s="87"/>
      <c r="BV1337" s="87"/>
      <c r="BW1337" s="87"/>
      <c r="BX1337" s="87"/>
      <c r="BY1337" s="87"/>
    </row>
    <row r="1338" spans="21:77" x14ac:dyDescent="0.3">
      <c r="U1338" s="19"/>
      <c r="V1338" s="87"/>
      <c r="W1338" s="87"/>
      <c r="X1338" s="87"/>
      <c r="Y1338" s="87"/>
      <c r="Z1338" s="87"/>
      <c r="AA1338" s="87"/>
      <c r="AB1338" s="87"/>
      <c r="AC1338" s="87"/>
      <c r="AD1338" s="87"/>
      <c r="AE1338" s="87"/>
      <c r="AF1338" s="87"/>
      <c r="AG1338" s="87"/>
      <c r="AH1338" s="87"/>
      <c r="AI1338" s="87"/>
      <c r="AJ1338" s="87"/>
      <c r="AK1338" s="87"/>
      <c r="AL1338" s="87"/>
      <c r="AM1338" s="87"/>
      <c r="AN1338" s="87"/>
      <c r="AO1338" s="87"/>
      <c r="AP1338" s="87"/>
      <c r="AQ1338" s="87"/>
      <c r="AR1338" s="87"/>
      <c r="AS1338" s="87"/>
      <c r="AT1338" s="87"/>
      <c r="AU1338" s="87"/>
      <c r="AV1338" s="87"/>
      <c r="AW1338" s="87"/>
      <c r="AX1338" s="87"/>
      <c r="AY1338" s="87"/>
      <c r="AZ1338" s="87"/>
      <c r="BA1338" s="87"/>
      <c r="BB1338" s="87"/>
      <c r="BC1338" s="87"/>
      <c r="BD1338" s="87"/>
      <c r="BE1338" s="87"/>
      <c r="BF1338" s="87"/>
      <c r="BG1338" s="87"/>
      <c r="BH1338" s="87"/>
      <c r="BI1338" s="87"/>
      <c r="BJ1338" s="87"/>
      <c r="BK1338" s="87"/>
      <c r="BL1338" s="87"/>
      <c r="BM1338" s="87"/>
      <c r="BN1338" s="87"/>
      <c r="BO1338" s="87"/>
      <c r="BP1338" s="87"/>
      <c r="BQ1338" s="87"/>
      <c r="BR1338" s="87"/>
      <c r="BS1338" s="87"/>
      <c r="BT1338" s="87"/>
      <c r="BU1338" s="87"/>
      <c r="BV1338" s="87"/>
      <c r="BW1338" s="87"/>
      <c r="BX1338" s="87"/>
      <c r="BY1338" s="87"/>
    </row>
    <row r="1339" spans="21:77" x14ac:dyDescent="0.3">
      <c r="U1339" s="19"/>
      <c r="V1339" s="87"/>
      <c r="W1339" s="87"/>
      <c r="X1339" s="87"/>
      <c r="Y1339" s="87"/>
      <c r="Z1339" s="87"/>
      <c r="AA1339" s="87"/>
      <c r="AB1339" s="87"/>
      <c r="AC1339" s="87"/>
      <c r="AD1339" s="87"/>
      <c r="AE1339" s="87"/>
      <c r="AF1339" s="87"/>
      <c r="AG1339" s="87"/>
      <c r="AH1339" s="87"/>
      <c r="AI1339" s="87"/>
      <c r="AJ1339" s="87"/>
      <c r="AK1339" s="87"/>
      <c r="AL1339" s="87"/>
      <c r="AM1339" s="87"/>
      <c r="AN1339" s="87"/>
      <c r="AO1339" s="87"/>
      <c r="AP1339" s="87"/>
      <c r="AQ1339" s="87"/>
      <c r="AR1339" s="87"/>
      <c r="AS1339" s="87"/>
      <c r="AT1339" s="87"/>
      <c r="AU1339" s="87"/>
      <c r="AV1339" s="87"/>
      <c r="AW1339" s="87"/>
      <c r="AX1339" s="87"/>
      <c r="AY1339" s="87"/>
      <c r="AZ1339" s="87"/>
      <c r="BA1339" s="87"/>
      <c r="BB1339" s="87"/>
      <c r="BC1339" s="87"/>
      <c r="BD1339" s="87"/>
      <c r="BE1339" s="87"/>
      <c r="BF1339" s="87"/>
      <c r="BG1339" s="87"/>
      <c r="BH1339" s="87"/>
      <c r="BI1339" s="87"/>
      <c r="BJ1339" s="87"/>
      <c r="BK1339" s="87"/>
      <c r="BL1339" s="87"/>
      <c r="BM1339" s="87"/>
      <c r="BN1339" s="87"/>
      <c r="BO1339" s="87"/>
      <c r="BP1339" s="87"/>
      <c r="BQ1339" s="87"/>
      <c r="BR1339" s="87"/>
      <c r="BS1339" s="87"/>
      <c r="BT1339" s="87"/>
      <c r="BU1339" s="87"/>
      <c r="BV1339" s="87"/>
      <c r="BW1339" s="87"/>
      <c r="BX1339" s="87"/>
      <c r="BY1339" s="87"/>
    </row>
    <row r="1340" spans="21:77" x14ac:dyDescent="0.3">
      <c r="U1340" s="19"/>
      <c r="V1340" s="87"/>
      <c r="W1340" s="87"/>
      <c r="X1340" s="87"/>
      <c r="Y1340" s="87"/>
      <c r="Z1340" s="87"/>
      <c r="AA1340" s="87"/>
      <c r="AB1340" s="87"/>
      <c r="AC1340" s="87"/>
      <c r="AD1340" s="87"/>
      <c r="AE1340" s="87"/>
      <c r="AF1340" s="87"/>
      <c r="AG1340" s="87"/>
      <c r="AH1340" s="87"/>
      <c r="AI1340" s="87"/>
      <c r="AJ1340" s="87"/>
      <c r="AK1340" s="87"/>
      <c r="AL1340" s="87"/>
      <c r="AM1340" s="87"/>
      <c r="AN1340" s="87"/>
      <c r="AO1340" s="87"/>
      <c r="AP1340" s="87"/>
      <c r="AQ1340" s="87"/>
      <c r="AR1340" s="87"/>
      <c r="AS1340" s="87"/>
      <c r="AT1340" s="87"/>
      <c r="AU1340" s="87"/>
      <c r="AV1340" s="87"/>
      <c r="AW1340" s="87"/>
      <c r="AX1340" s="87"/>
      <c r="AY1340" s="87"/>
      <c r="AZ1340" s="87"/>
      <c r="BA1340" s="87"/>
      <c r="BB1340" s="87"/>
      <c r="BC1340" s="87"/>
      <c r="BD1340" s="87"/>
      <c r="BE1340" s="87"/>
      <c r="BF1340" s="87"/>
      <c r="BG1340" s="87"/>
      <c r="BH1340" s="87"/>
      <c r="BI1340" s="87"/>
      <c r="BJ1340" s="87"/>
      <c r="BK1340" s="87"/>
      <c r="BL1340" s="87"/>
      <c r="BM1340" s="87"/>
      <c r="BN1340" s="87"/>
      <c r="BO1340" s="87"/>
      <c r="BP1340" s="87"/>
      <c r="BQ1340" s="87"/>
      <c r="BR1340" s="87"/>
      <c r="BS1340" s="87"/>
      <c r="BT1340" s="87"/>
      <c r="BU1340" s="87"/>
      <c r="BV1340" s="87"/>
      <c r="BW1340" s="87"/>
      <c r="BX1340" s="87"/>
      <c r="BY1340" s="87"/>
    </row>
    <row r="1341" spans="21:77" x14ac:dyDescent="0.3">
      <c r="U1341" s="19"/>
      <c r="V1341" s="87"/>
      <c r="W1341" s="87"/>
      <c r="X1341" s="87"/>
      <c r="Y1341" s="87"/>
      <c r="Z1341" s="87"/>
      <c r="AA1341" s="87"/>
      <c r="AB1341" s="87"/>
      <c r="AC1341" s="87"/>
      <c r="AD1341" s="87"/>
      <c r="AE1341" s="87"/>
      <c r="AF1341" s="87"/>
      <c r="AG1341" s="87"/>
      <c r="AH1341" s="87"/>
      <c r="AI1341" s="87"/>
      <c r="AJ1341" s="87"/>
      <c r="AK1341" s="87"/>
      <c r="AL1341" s="87"/>
      <c r="AM1341" s="87"/>
      <c r="AN1341" s="87"/>
      <c r="AO1341" s="87"/>
      <c r="AP1341" s="87"/>
      <c r="AQ1341" s="87"/>
      <c r="AR1341" s="87"/>
      <c r="AS1341" s="87"/>
      <c r="AT1341" s="87"/>
      <c r="AU1341" s="87"/>
      <c r="AV1341" s="87"/>
      <c r="AW1341" s="87"/>
      <c r="AX1341" s="87"/>
      <c r="AY1341" s="87"/>
      <c r="AZ1341" s="87"/>
      <c r="BA1341" s="87"/>
      <c r="BB1341" s="87"/>
      <c r="BC1341" s="87"/>
      <c r="BD1341" s="87"/>
      <c r="BE1341" s="87"/>
      <c r="BF1341" s="87"/>
      <c r="BG1341" s="87"/>
      <c r="BH1341" s="87"/>
      <c r="BI1341" s="87"/>
      <c r="BJ1341" s="87"/>
      <c r="BK1341" s="87"/>
      <c r="BL1341" s="87"/>
      <c r="BM1341" s="87"/>
      <c r="BN1341" s="87"/>
      <c r="BO1341" s="87"/>
      <c r="BP1341" s="87"/>
      <c r="BQ1341" s="87"/>
      <c r="BR1341" s="87"/>
      <c r="BS1341" s="87"/>
      <c r="BT1341" s="87"/>
      <c r="BU1341" s="87"/>
      <c r="BV1341" s="87"/>
      <c r="BW1341" s="87"/>
      <c r="BX1341" s="87"/>
      <c r="BY1341" s="87"/>
    </row>
    <row r="1342" spans="21:77" x14ac:dyDescent="0.3">
      <c r="U1342" s="19"/>
      <c r="V1342" s="87"/>
      <c r="W1342" s="87"/>
      <c r="X1342" s="87"/>
      <c r="Y1342" s="87"/>
      <c r="Z1342" s="87"/>
      <c r="AA1342" s="87"/>
      <c r="AB1342" s="87"/>
      <c r="AC1342" s="87"/>
      <c r="AD1342" s="87"/>
      <c r="AE1342" s="87"/>
      <c r="AF1342" s="87"/>
      <c r="AG1342" s="87"/>
      <c r="AH1342" s="87"/>
      <c r="AI1342" s="87"/>
      <c r="AJ1342" s="87"/>
      <c r="AK1342" s="87"/>
      <c r="AL1342" s="87"/>
      <c r="AM1342" s="87"/>
      <c r="AN1342" s="87"/>
      <c r="AO1342" s="87"/>
      <c r="AP1342" s="87"/>
      <c r="AQ1342" s="87"/>
      <c r="AR1342" s="87"/>
      <c r="AS1342" s="87"/>
      <c r="AT1342" s="87"/>
      <c r="AU1342" s="87"/>
      <c r="AV1342" s="87"/>
      <c r="AW1342" s="87"/>
      <c r="AX1342" s="87"/>
      <c r="AY1342" s="87"/>
      <c r="AZ1342" s="87"/>
      <c r="BA1342" s="87"/>
      <c r="BB1342" s="87"/>
      <c r="BC1342" s="87"/>
      <c r="BD1342" s="87"/>
      <c r="BE1342" s="87"/>
      <c r="BF1342" s="87"/>
      <c r="BG1342" s="87"/>
      <c r="BH1342" s="87"/>
      <c r="BI1342" s="87"/>
      <c r="BJ1342" s="87"/>
      <c r="BK1342" s="87"/>
      <c r="BL1342" s="87"/>
      <c r="BM1342" s="87"/>
      <c r="BN1342" s="87"/>
      <c r="BO1342" s="87"/>
      <c r="BP1342" s="87"/>
      <c r="BQ1342" s="87"/>
      <c r="BR1342" s="87"/>
      <c r="BS1342" s="87"/>
      <c r="BT1342" s="87"/>
      <c r="BU1342" s="87"/>
      <c r="BV1342" s="87"/>
      <c r="BW1342" s="87"/>
      <c r="BX1342" s="87"/>
      <c r="BY1342" s="87"/>
    </row>
    <row r="1343" spans="21:77" x14ac:dyDescent="0.3">
      <c r="U1343" s="19"/>
      <c r="V1343" s="87"/>
      <c r="W1343" s="87"/>
      <c r="X1343" s="87"/>
      <c r="Y1343" s="87"/>
      <c r="Z1343" s="87"/>
      <c r="AA1343" s="87"/>
      <c r="AB1343" s="87"/>
      <c r="AC1343" s="87"/>
      <c r="AD1343" s="87"/>
      <c r="AE1343" s="87"/>
      <c r="AF1343" s="87"/>
      <c r="AG1343" s="87"/>
      <c r="AH1343" s="87"/>
      <c r="AI1343" s="87"/>
      <c r="AJ1343" s="87"/>
      <c r="AK1343" s="87"/>
      <c r="AL1343" s="87"/>
      <c r="AM1343" s="87"/>
      <c r="AN1343" s="87"/>
      <c r="AO1343" s="87"/>
      <c r="AP1343" s="87"/>
      <c r="AQ1343" s="87"/>
      <c r="AR1343" s="87"/>
      <c r="AS1343" s="87"/>
      <c r="AT1343" s="87"/>
      <c r="AU1343" s="87"/>
      <c r="AV1343" s="87"/>
      <c r="AW1343" s="87"/>
      <c r="AX1343" s="87"/>
      <c r="AY1343" s="87"/>
      <c r="AZ1343" s="87"/>
      <c r="BA1343" s="87"/>
      <c r="BB1343" s="87"/>
      <c r="BC1343" s="87"/>
      <c r="BD1343" s="87"/>
      <c r="BE1343" s="87"/>
      <c r="BF1343" s="87"/>
      <c r="BG1343" s="87"/>
      <c r="BH1343" s="87"/>
      <c r="BI1343" s="87"/>
      <c r="BJ1343" s="87"/>
      <c r="BK1343" s="87"/>
      <c r="BL1343" s="87"/>
      <c r="BM1343" s="87"/>
      <c r="BN1343" s="87"/>
      <c r="BO1343" s="87"/>
      <c r="BP1343" s="87"/>
      <c r="BQ1343" s="87"/>
      <c r="BR1343" s="87"/>
      <c r="BS1343" s="87"/>
      <c r="BT1343" s="87"/>
      <c r="BU1343" s="87"/>
      <c r="BV1343" s="87"/>
      <c r="BW1343" s="87"/>
      <c r="BX1343" s="87"/>
      <c r="BY1343" s="87"/>
    </row>
    <row r="1344" spans="21:77" x14ac:dyDescent="0.3">
      <c r="U1344" s="19"/>
      <c r="V1344" s="87"/>
      <c r="W1344" s="87"/>
      <c r="X1344" s="87"/>
      <c r="Y1344" s="87"/>
      <c r="Z1344" s="87"/>
      <c r="AA1344" s="87"/>
      <c r="AB1344" s="87"/>
      <c r="AC1344" s="87"/>
      <c r="AD1344" s="87"/>
      <c r="AE1344" s="87"/>
      <c r="AF1344" s="87"/>
      <c r="AG1344" s="87"/>
      <c r="AH1344" s="87"/>
      <c r="AI1344" s="87"/>
      <c r="AJ1344" s="87"/>
      <c r="AK1344" s="87"/>
      <c r="AL1344" s="87"/>
      <c r="AM1344" s="87"/>
      <c r="AN1344" s="87"/>
      <c r="AO1344" s="87"/>
      <c r="AP1344" s="87"/>
      <c r="AQ1344" s="87"/>
      <c r="AR1344" s="87"/>
      <c r="AS1344" s="87"/>
      <c r="AT1344" s="87"/>
      <c r="AU1344" s="87"/>
      <c r="AV1344" s="87"/>
      <c r="AW1344" s="87"/>
      <c r="AX1344" s="87"/>
      <c r="AY1344" s="87"/>
      <c r="AZ1344" s="87"/>
      <c r="BA1344" s="87"/>
      <c r="BB1344" s="87"/>
      <c r="BC1344" s="87"/>
      <c r="BD1344" s="87"/>
      <c r="BE1344" s="87"/>
      <c r="BF1344" s="87"/>
      <c r="BG1344" s="87"/>
      <c r="BH1344" s="87"/>
      <c r="BI1344" s="87"/>
      <c r="BJ1344" s="87"/>
      <c r="BK1344" s="87"/>
      <c r="BL1344" s="87"/>
      <c r="BM1344" s="87"/>
      <c r="BN1344" s="87"/>
      <c r="BO1344" s="87"/>
      <c r="BP1344" s="87"/>
      <c r="BQ1344" s="87"/>
      <c r="BR1344" s="87"/>
      <c r="BS1344" s="87"/>
      <c r="BT1344" s="87"/>
      <c r="BU1344" s="87"/>
      <c r="BV1344" s="87"/>
      <c r="BW1344" s="87"/>
      <c r="BX1344" s="87"/>
      <c r="BY1344" s="87"/>
    </row>
    <row r="1345" spans="21:77" x14ac:dyDescent="0.3">
      <c r="U1345" s="19"/>
      <c r="V1345" s="87"/>
      <c r="W1345" s="87"/>
      <c r="X1345" s="87"/>
      <c r="Y1345" s="87"/>
      <c r="Z1345" s="87"/>
      <c r="AA1345" s="87"/>
      <c r="AB1345" s="87"/>
      <c r="AC1345" s="87"/>
      <c r="AD1345" s="87"/>
      <c r="AE1345" s="87"/>
      <c r="AF1345" s="87"/>
      <c r="AG1345" s="87"/>
      <c r="AH1345" s="87"/>
      <c r="AI1345" s="87"/>
      <c r="AJ1345" s="87"/>
      <c r="AK1345" s="87"/>
      <c r="AL1345" s="87"/>
      <c r="AM1345" s="87"/>
      <c r="AN1345" s="87"/>
      <c r="AO1345" s="87"/>
      <c r="AP1345" s="87"/>
      <c r="AQ1345" s="87"/>
      <c r="AR1345" s="87"/>
      <c r="AS1345" s="87"/>
      <c r="AT1345" s="87"/>
      <c r="AU1345" s="87"/>
      <c r="AV1345" s="87"/>
      <c r="AW1345" s="87"/>
      <c r="AX1345" s="87"/>
      <c r="AY1345" s="87"/>
      <c r="AZ1345" s="87"/>
      <c r="BA1345" s="87"/>
      <c r="BB1345" s="87"/>
      <c r="BC1345" s="87"/>
      <c r="BD1345" s="87"/>
      <c r="BE1345" s="87"/>
      <c r="BF1345" s="87"/>
      <c r="BG1345" s="87"/>
      <c r="BH1345" s="87"/>
      <c r="BI1345" s="87"/>
      <c r="BJ1345" s="87"/>
      <c r="BK1345" s="87"/>
      <c r="BL1345" s="87"/>
      <c r="BM1345" s="87"/>
      <c r="BN1345" s="87"/>
      <c r="BO1345" s="87"/>
      <c r="BP1345" s="87"/>
      <c r="BQ1345" s="87"/>
      <c r="BR1345" s="87"/>
      <c r="BS1345" s="87"/>
      <c r="BT1345" s="87"/>
      <c r="BU1345" s="87"/>
      <c r="BV1345" s="87"/>
      <c r="BW1345" s="87"/>
      <c r="BX1345" s="87"/>
      <c r="BY1345" s="87"/>
    </row>
    <row r="1346" spans="21:77" x14ac:dyDescent="0.3">
      <c r="U1346" s="19"/>
      <c r="V1346" s="87"/>
      <c r="W1346" s="87"/>
      <c r="X1346" s="87"/>
      <c r="Y1346" s="87"/>
      <c r="Z1346" s="87"/>
      <c r="AA1346" s="87"/>
      <c r="AB1346" s="87"/>
      <c r="AC1346" s="87"/>
      <c r="AD1346" s="87"/>
      <c r="AE1346" s="87"/>
      <c r="AF1346" s="87"/>
      <c r="AG1346" s="87"/>
      <c r="AH1346" s="87"/>
      <c r="AI1346" s="87"/>
      <c r="AJ1346" s="87"/>
      <c r="AK1346" s="87"/>
      <c r="AL1346" s="87"/>
      <c r="AM1346" s="87"/>
      <c r="AN1346" s="87"/>
      <c r="AO1346" s="87"/>
      <c r="AP1346" s="87"/>
      <c r="AQ1346" s="87"/>
      <c r="AR1346" s="87"/>
      <c r="AS1346" s="87"/>
      <c r="AT1346" s="87"/>
      <c r="AU1346" s="87"/>
      <c r="AV1346" s="87"/>
      <c r="AW1346" s="87"/>
      <c r="AX1346" s="87"/>
      <c r="AY1346" s="87"/>
      <c r="AZ1346" s="87"/>
      <c r="BA1346" s="87"/>
      <c r="BB1346" s="87"/>
      <c r="BC1346" s="87"/>
      <c r="BD1346" s="87"/>
      <c r="BE1346" s="87"/>
      <c r="BF1346" s="87"/>
      <c r="BG1346" s="87"/>
      <c r="BH1346" s="87"/>
      <c r="BI1346" s="87"/>
      <c r="BJ1346" s="87"/>
      <c r="BK1346" s="87"/>
      <c r="BL1346" s="87"/>
      <c r="BM1346" s="87"/>
      <c r="BN1346" s="87"/>
      <c r="BO1346" s="87"/>
      <c r="BP1346" s="87"/>
      <c r="BQ1346" s="87"/>
      <c r="BR1346" s="87"/>
      <c r="BS1346" s="87"/>
      <c r="BT1346" s="87"/>
      <c r="BU1346" s="87"/>
      <c r="BV1346" s="87"/>
      <c r="BW1346" s="87"/>
      <c r="BX1346" s="87"/>
      <c r="BY1346" s="87"/>
    </row>
    <row r="1347" spans="21:77" x14ac:dyDescent="0.3">
      <c r="U1347" s="19"/>
      <c r="V1347" s="87"/>
      <c r="W1347" s="87"/>
      <c r="X1347" s="87"/>
      <c r="Y1347" s="87"/>
      <c r="Z1347" s="87"/>
      <c r="AA1347" s="87"/>
      <c r="AB1347" s="87"/>
      <c r="AC1347" s="87"/>
      <c r="AD1347" s="87"/>
      <c r="AE1347" s="87"/>
      <c r="AF1347" s="87"/>
      <c r="AG1347" s="87"/>
      <c r="AH1347" s="87"/>
      <c r="AI1347" s="87"/>
      <c r="AJ1347" s="87"/>
      <c r="AK1347" s="87"/>
      <c r="AL1347" s="87"/>
      <c r="AM1347" s="87"/>
      <c r="AN1347" s="87"/>
      <c r="AO1347" s="87"/>
      <c r="AP1347" s="87"/>
      <c r="AQ1347" s="87"/>
      <c r="AR1347" s="87"/>
      <c r="AS1347" s="87"/>
      <c r="AT1347" s="87"/>
      <c r="AU1347" s="87"/>
      <c r="AV1347" s="87"/>
      <c r="AW1347" s="87"/>
      <c r="AX1347" s="87"/>
      <c r="AY1347" s="87"/>
      <c r="AZ1347" s="87"/>
      <c r="BA1347" s="87"/>
      <c r="BB1347" s="87"/>
      <c r="BC1347" s="87"/>
      <c r="BD1347" s="87"/>
      <c r="BE1347" s="87"/>
      <c r="BF1347" s="87"/>
      <c r="BG1347" s="87"/>
      <c r="BH1347" s="87"/>
      <c r="BI1347" s="87"/>
      <c r="BJ1347" s="87"/>
      <c r="BK1347" s="87"/>
      <c r="BL1347" s="87"/>
      <c r="BM1347" s="87"/>
      <c r="BN1347" s="87"/>
      <c r="BO1347" s="87"/>
      <c r="BP1347" s="87"/>
      <c r="BQ1347" s="87"/>
      <c r="BR1347" s="87"/>
      <c r="BS1347" s="87"/>
      <c r="BT1347" s="87"/>
      <c r="BU1347" s="87"/>
      <c r="BV1347" s="87"/>
      <c r="BW1347" s="87"/>
      <c r="BX1347" s="87"/>
      <c r="BY1347" s="87"/>
    </row>
    <row r="1348" spans="21:77" x14ac:dyDescent="0.3">
      <c r="U1348" s="19"/>
      <c r="V1348" s="87"/>
      <c r="W1348" s="87"/>
      <c r="X1348" s="87"/>
      <c r="Y1348" s="87"/>
      <c r="Z1348" s="87"/>
      <c r="AA1348" s="87"/>
      <c r="AB1348" s="87"/>
      <c r="AC1348" s="87"/>
      <c r="AD1348" s="87"/>
      <c r="AE1348" s="87"/>
      <c r="AF1348" s="87"/>
      <c r="AG1348" s="87"/>
      <c r="AH1348" s="87"/>
      <c r="AI1348" s="87"/>
      <c r="AJ1348" s="87"/>
      <c r="AK1348" s="87"/>
      <c r="AL1348" s="87"/>
      <c r="AM1348" s="87"/>
      <c r="AN1348" s="87"/>
      <c r="AO1348" s="87"/>
      <c r="AP1348" s="87"/>
      <c r="AQ1348" s="87"/>
      <c r="AR1348" s="87"/>
      <c r="AS1348" s="87"/>
      <c r="AT1348" s="87"/>
      <c r="AU1348" s="87"/>
      <c r="AV1348" s="87"/>
      <c r="AW1348" s="87"/>
      <c r="AX1348" s="87"/>
      <c r="AY1348" s="87"/>
      <c r="AZ1348" s="87"/>
      <c r="BA1348" s="87"/>
      <c r="BB1348" s="87"/>
      <c r="BC1348" s="87"/>
      <c r="BD1348" s="87"/>
      <c r="BE1348" s="87"/>
      <c r="BF1348" s="87"/>
      <c r="BG1348" s="87"/>
      <c r="BH1348" s="87"/>
      <c r="BI1348" s="87"/>
      <c r="BJ1348" s="87"/>
      <c r="BK1348" s="87"/>
      <c r="BL1348" s="87"/>
      <c r="BM1348" s="87"/>
      <c r="BN1348" s="87"/>
      <c r="BO1348" s="87"/>
      <c r="BP1348" s="87"/>
      <c r="BQ1348" s="87"/>
      <c r="BR1348" s="87"/>
      <c r="BS1348" s="87"/>
      <c r="BT1348" s="87"/>
      <c r="BU1348" s="87"/>
      <c r="BV1348" s="87"/>
      <c r="BW1348" s="87"/>
      <c r="BX1348" s="87"/>
      <c r="BY1348" s="87"/>
    </row>
    <row r="1349" spans="21:77" x14ac:dyDescent="0.3">
      <c r="U1349" s="19"/>
      <c r="V1349" s="87"/>
      <c r="W1349" s="87"/>
      <c r="X1349" s="87"/>
      <c r="Y1349" s="87"/>
      <c r="Z1349" s="87"/>
      <c r="AA1349" s="87"/>
      <c r="AB1349" s="87"/>
      <c r="AC1349" s="87"/>
      <c r="AD1349" s="87"/>
      <c r="AE1349" s="87"/>
      <c r="AF1349" s="87"/>
      <c r="AG1349" s="87"/>
      <c r="AH1349" s="87"/>
      <c r="AI1349" s="87"/>
      <c r="AJ1349" s="87"/>
      <c r="AK1349" s="87"/>
      <c r="AL1349" s="87"/>
      <c r="AM1349" s="87"/>
      <c r="AN1349" s="87"/>
      <c r="AO1349" s="87"/>
      <c r="AP1349" s="87"/>
      <c r="AQ1349" s="87"/>
      <c r="AR1349" s="87"/>
      <c r="AS1349" s="87"/>
      <c r="AT1349" s="87"/>
      <c r="AU1349" s="87"/>
      <c r="AV1349" s="87"/>
      <c r="AW1349" s="87"/>
      <c r="AX1349" s="87"/>
      <c r="AY1349" s="87"/>
      <c r="AZ1349" s="87"/>
      <c r="BA1349" s="87"/>
      <c r="BB1349" s="87"/>
      <c r="BC1349" s="87"/>
      <c r="BD1349" s="87"/>
      <c r="BE1349" s="87"/>
      <c r="BF1349" s="87"/>
      <c r="BG1349" s="87"/>
      <c r="BH1349" s="87"/>
      <c r="BI1349" s="87"/>
      <c r="BJ1349" s="87"/>
      <c r="BK1349" s="87"/>
      <c r="BL1349" s="87"/>
      <c r="BM1349" s="87"/>
      <c r="BN1349" s="87"/>
      <c r="BO1349" s="87"/>
      <c r="BP1349" s="87"/>
      <c r="BQ1349" s="87"/>
      <c r="BR1349" s="87"/>
      <c r="BS1349" s="87"/>
      <c r="BT1349" s="87"/>
      <c r="BU1349" s="87"/>
      <c r="BV1349" s="87"/>
      <c r="BW1349" s="87"/>
      <c r="BX1349" s="87"/>
      <c r="BY1349" s="87"/>
    </row>
    <row r="1350" spans="21:77" x14ac:dyDescent="0.3">
      <c r="U1350" s="19"/>
      <c r="V1350" s="87"/>
      <c r="W1350" s="87"/>
      <c r="X1350" s="87"/>
      <c r="Y1350" s="87"/>
      <c r="Z1350" s="87"/>
      <c r="AA1350" s="87"/>
      <c r="AB1350" s="87"/>
      <c r="AC1350" s="87"/>
      <c r="AD1350" s="87"/>
      <c r="AE1350" s="87"/>
      <c r="AF1350" s="87"/>
      <c r="AG1350" s="87"/>
      <c r="AH1350" s="87"/>
      <c r="AI1350" s="87"/>
      <c r="AJ1350" s="87"/>
      <c r="AK1350" s="87"/>
      <c r="AL1350" s="87"/>
      <c r="AM1350" s="87"/>
      <c r="AN1350" s="87"/>
      <c r="AO1350" s="87"/>
      <c r="AP1350" s="87"/>
      <c r="AQ1350" s="87"/>
      <c r="AR1350" s="87"/>
      <c r="AS1350" s="87"/>
      <c r="AT1350" s="87"/>
      <c r="AU1350" s="87"/>
      <c r="AV1350" s="87"/>
      <c r="AW1350" s="87"/>
      <c r="AX1350" s="87"/>
      <c r="AY1350" s="87"/>
      <c r="AZ1350" s="87"/>
      <c r="BA1350" s="87"/>
      <c r="BB1350" s="87"/>
      <c r="BC1350" s="87"/>
      <c r="BD1350" s="87"/>
      <c r="BE1350" s="87"/>
      <c r="BF1350" s="87"/>
      <c r="BG1350" s="87"/>
      <c r="BH1350" s="87"/>
      <c r="BI1350" s="87"/>
      <c r="BJ1350" s="87"/>
      <c r="BK1350" s="87"/>
      <c r="BL1350" s="87"/>
      <c r="BM1350" s="87"/>
      <c r="BN1350" s="87"/>
      <c r="BO1350" s="87"/>
      <c r="BP1350" s="87"/>
      <c r="BQ1350" s="87"/>
      <c r="BR1350" s="87"/>
      <c r="BS1350" s="87"/>
      <c r="BT1350" s="87"/>
      <c r="BU1350" s="87"/>
      <c r="BV1350" s="87"/>
      <c r="BW1350" s="87"/>
      <c r="BX1350" s="87"/>
      <c r="BY1350" s="87"/>
    </row>
    <row r="1351" spans="21:77" x14ac:dyDescent="0.3">
      <c r="U1351" s="19"/>
      <c r="V1351" s="87"/>
      <c r="W1351" s="87"/>
      <c r="X1351" s="87"/>
      <c r="Y1351" s="87"/>
      <c r="Z1351" s="87"/>
      <c r="AA1351" s="87"/>
      <c r="AB1351" s="87"/>
      <c r="AC1351" s="87"/>
      <c r="AD1351" s="87"/>
      <c r="AE1351" s="87"/>
      <c r="AF1351" s="87"/>
      <c r="AG1351" s="87"/>
      <c r="AH1351" s="87"/>
      <c r="AI1351" s="87"/>
      <c r="AJ1351" s="87"/>
      <c r="AK1351" s="87"/>
      <c r="AL1351" s="87"/>
      <c r="AM1351" s="87"/>
      <c r="AN1351" s="87"/>
      <c r="AO1351" s="87"/>
      <c r="AP1351" s="87"/>
      <c r="AQ1351" s="87"/>
      <c r="AR1351" s="87"/>
      <c r="AS1351" s="87"/>
      <c r="AT1351" s="87"/>
      <c r="AU1351" s="87"/>
      <c r="AV1351" s="87"/>
      <c r="AW1351" s="87"/>
      <c r="AX1351" s="87"/>
      <c r="AY1351" s="87"/>
      <c r="AZ1351" s="87"/>
      <c r="BA1351" s="87"/>
      <c r="BB1351" s="87"/>
      <c r="BC1351" s="87"/>
      <c r="BD1351" s="87"/>
      <c r="BE1351" s="87"/>
      <c r="BF1351" s="87"/>
      <c r="BG1351" s="87"/>
      <c r="BH1351" s="87"/>
      <c r="BI1351" s="87"/>
      <c r="BJ1351" s="87"/>
      <c r="BK1351" s="87"/>
      <c r="BL1351" s="87"/>
      <c r="BM1351" s="87"/>
      <c r="BN1351" s="87"/>
      <c r="BO1351" s="87"/>
      <c r="BP1351" s="87"/>
      <c r="BQ1351" s="87"/>
      <c r="BR1351" s="87"/>
      <c r="BS1351" s="87"/>
      <c r="BT1351" s="87"/>
      <c r="BU1351" s="87"/>
      <c r="BV1351" s="87"/>
      <c r="BW1351" s="87"/>
      <c r="BX1351" s="87"/>
      <c r="BY1351" s="87"/>
    </row>
    <row r="1352" spans="21:77" x14ac:dyDescent="0.3">
      <c r="U1352" s="19"/>
      <c r="V1352" s="87"/>
      <c r="W1352" s="87"/>
      <c r="X1352" s="87"/>
      <c r="Y1352" s="87"/>
      <c r="Z1352" s="87"/>
      <c r="AA1352" s="87"/>
      <c r="AB1352" s="87"/>
      <c r="AC1352" s="87"/>
      <c r="AD1352" s="87"/>
      <c r="AE1352" s="87"/>
      <c r="AF1352" s="87"/>
      <c r="AG1352" s="87"/>
      <c r="AH1352" s="87"/>
      <c r="AI1352" s="87"/>
      <c r="AJ1352" s="87"/>
      <c r="AK1352" s="87"/>
      <c r="AL1352" s="87"/>
      <c r="AM1352" s="87"/>
      <c r="AN1352" s="87"/>
      <c r="AO1352" s="87"/>
      <c r="AP1352" s="87"/>
      <c r="AQ1352" s="87"/>
      <c r="AR1352" s="87"/>
      <c r="AS1352" s="87"/>
      <c r="AT1352" s="87"/>
      <c r="AU1352" s="87"/>
      <c r="AV1352" s="87"/>
      <c r="AW1352" s="87"/>
      <c r="AX1352" s="87"/>
      <c r="AY1352" s="87"/>
      <c r="AZ1352" s="87"/>
      <c r="BA1352" s="87"/>
      <c r="BB1352" s="87"/>
      <c r="BC1352" s="87"/>
      <c r="BD1352" s="87"/>
      <c r="BE1352" s="87"/>
      <c r="BF1352" s="87"/>
      <c r="BG1352" s="87"/>
      <c r="BH1352" s="87"/>
      <c r="BI1352" s="87"/>
      <c r="BJ1352" s="87"/>
      <c r="BK1352" s="87"/>
      <c r="BL1352" s="87"/>
      <c r="BM1352" s="87"/>
      <c r="BN1352" s="87"/>
      <c r="BO1352" s="87"/>
      <c r="BP1352" s="87"/>
      <c r="BQ1352" s="87"/>
      <c r="BR1352" s="87"/>
      <c r="BS1352" s="87"/>
      <c r="BT1352" s="87"/>
      <c r="BU1352" s="87"/>
      <c r="BV1352" s="87"/>
      <c r="BW1352" s="87"/>
      <c r="BX1352" s="87"/>
      <c r="BY1352" s="87"/>
    </row>
    <row r="1353" spans="21:77" x14ac:dyDescent="0.3">
      <c r="U1353" s="19"/>
      <c r="V1353" s="87"/>
      <c r="W1353" s="87"/>
      <c r="X1353" s="87"/>
      <c r="Y1353" s="87"/>
      <c r="Z1353" s="87"/>
      <c r="AA1353" s="87"/>
      <c r="AB1353" s="87"/>
      <c r="AC1353" s="87"/>
      <c r="AD1353" s="87"/>
      <c r="AE1353" s="87"/>
      <c r="AF1353" s="87"/>
      <c r="AG1353" s="87"/>
      <c r="AH1353" s="87"/>
      <c r="AI1353" s="87"/>
      <c r="AJ1353" s="87"/>
      <c r="AK1353" s="87"/>
      <c r="AL1353" s="87"/>
      <c r="AM1353" s="87"/>
      <c r="AN1353" s="87"/>
      <c r="AO1353" s="87"/>
      <c r="AP1353" s="87"/>
      <c r="AQ1353" s="87"/>
      <c r="AR1353" s="87"/>
      <c r="AS1353" s="87"/>
      <c r="AT1353" s="87"/>
      <c r="AU1353" s="87"/>
      <c r="AV1353" s="87"/>
      <c r="AW1353" s="87"/>
      <c r="AX1353" s="87"/>
      <c r="AY1353" s="87"/>
      <c r="AZ1353" s="87"/>
      <c r="BA1353" s="87"/>
      <c r="BB1353" s="87"/>
      <c r="BC1353" s="87"/>
      <c r="BD1353" s="87"/>
      <c r="BE1353" s="87"/>
      <c r="BF1353" s="87"/>
      <c r="BG1353" s="87"/>
      <c r="BH1353" s="87"/>
      <c r="BI1353" s="87"/>
      <c r="BJ1353" s="87"/>
      <c r="BK1353" s="87"/>
      <c r="BL1353" s="87"/>
      <c r="BM1353" s="87"/>
      <c r="BN1353" s="87"/>
      <c r="BO1353" s="87"/>
      <c r="BP1353" s="87"/>
      <c r="BQ1353" s="87"/>
      <c r="BR1353" s="87"/>
      <c r="BS1353" s="87"/>
      <c r="BT1353" s="87"/>
      <c r="BU1353" s="87"/>
      <c r="BV1353" s="87"/>
      <c r="BW1353" s="87"/>
      <c r="BX1353" s="87"/>
      <c r="BY1353" s="87"/>
    </row>
    <row r="1354" spans="21:77" x14ac:dyDescent="0.3">
      <c r="U1354" s="19"/>
      <c r="V1354" s="87"/>
      <c r="W1354" s="87"/>
      <c r="X1354" s="87"/>
      <c r="Y1354" s="87"/>
      <c r="Z1354" s="87"/>
      <c r="AA1354" s="87"/>
      <c r="AB1354" s="87"/>
      <c r="AC1354" s="87"/>
      <c r="AD1354" s="87"/>
      <c r="AE1354" s="87"/>
      <c r="AF1354" s="87"/>
      <c r="AG1354" s="87"/>
      <c r="AH1354" s="87"/>
      <c r="AI1354" s="87"/>
      <c r="AJ1354" s="87"/>
      <c r="AK1354" s="87"/>
      <c r="AL1354" s="87"/>
      <c r="AM1354" s="87"/>
      <c r="AN1354" s="87"/>
      <c r="AO1354" s="87"/>
      <c r="AP1354" s="87"/>
      <c r="AQ1354" s="87"/>
      <c r="AR1354" s="87"/>
      <c r="AS1354" s="87"/>
      <c r="AT1354" s="87"/>
      <c r="AU1354" s="87"/>
      <c r="AV1354" s="87"/>
      <c r="AW1354" s="87"/>
      <c r="AX1354" s="87"/>
      <c r="AY1354" s="87"/>
      <c r="AZ1354" s="87"/>
      <c r="BA1354" s="87"/>
      <c r="BB1354" s="87"/>
      <c r="BC1354" s="87"/>
      <c r="BD1354" s="87"/>
      <c r="BE1354" s="87"/>
      <c r="BF1354" s="87"/>
      <c r="BG1354" s="87"/>
      <c r="BH1354" s="87"/>
      <c r="BI1354" s="87"/>
      <c r="BJ1354" s="87"/>
      <c r="BK1354" s="87"/>
      <c r="BL1354" s="87"/>
      <c r="BM1354" s="87"/>
      <c r="BN1354" s="87"/>
      <c r="BO1354" s="87"/>
      <c r="BP1354" s="87"/>
      <c r="BQ1354" s="87"/>
      <c r="BR1354" s="87"/>
      <c r="BS1354" s="87"/>
      <c r="BT1354" s="87"/>
      <c r="BU1354" s="87"/>
      <c r="BV1354" s="87"/>
      <c r="BW1354" s="87"/>
      <c r="BX1354" s="87"/>
      <c r="BY1354" s="87"/>
    </row>
    <row r="1355" spans="21:77" x14ac:dyDescent="0.3">
      <c r="U1355" s="19"/>
      <c r="V1355" s="87"/>
      <c r="W1355" s="87"/>
      <c r="X1355" s="87"/>
      <c r="Y1355" s="87"/>
      <c r="Z1355" s="87"/>
      <c r="AA1355" s="87"/>
      <c r="AB1355" s="87"/>
      <c r="AC1355" s="87"/>
      <c r="AD1355" s="87"/>
      <c r="AE1355" s="87"/>
      <c r="AF1355" s="87"/>
      <c r="AG1355" s="87"/>
      <c r="AH1355" s="87"/>
      <c r="AI1355" s="87"/>
      <c r="AJ1355" s="87"/>
      <c r="AK1355" s="87"/>
      <c r="AL1355" s="87"/>
      <c r="AM1355" s="87"/>
      <c r="AN1355" s="87"/>
      <c r="AO1355" s="87"/>
      <c r="AP1355" s="87"/>
      <c r="AQ1355" s="87"/>
      <c r="AR1355" s="87"/>
      <c r="AS1355" s="87"/>
      <c r="AT1355" s="87"/>
      <c r="AU1355" s="87"/>
      <c r="AV1355" s="87"/>
      <c r="AW1355" s="87"/>
      <c r="AX1355" s="87"/>
      <c r="AY1355" s="87"/>
      <c r="AZ1355" s="87"/>
      <c r="BA1355" s="87"/>
      <c r="BB1355" s="87"/>
      <c r="BC1355" s="87"/>
      <c r="BD1355" s="87"/>
      <c r="BE1355" s="87"/>
      <c r="BF1355" s="87"/>
      <c r="BG1355" s="87"/>
      <c r="BH1355" s="87"/>
      <c r="BI1355" s="87"/>
      <c r="BJ1355" s="87"/>
      <c r="BK1355" s="87"/>
      <c r="BL1355" s="87"/>
      <c r="BM1355" s="87"/>
      <c r="BN1355" s="87"/>
      <c r="BO1355" s="87"/>
      <c r="BP1355" s="87"/>
      <c r="BQ1355" s="87"/>
      <c r="BR1355" s="87"/>
      <c r="BS1355" s="87"/>
      <c r="BT1355" s="87"/>
      <c r="BU1355" s="87"/>
      <c r="BV1355" s="87"/>
      <c r="BW1355" s="87"/>
      <c r="BX1355" s="87"/>
      <c r="BY1355" s="87"/>
    </row>
    <row r="1356" spans="21:77" x14ac:dyDescent="0.3">
      <c r="U1356" s="19"/>
      <c r="V1356" s="87"/>
      <c r="W1356" s="87"/>
      <c r="X1356" s="87"/>
      <c r="Y1356" s="87"/>
      <c r="Z1356" s="87"/>
      <c r="AA1356" s="87"/>
      <c r="AB1356" s="87"/>
      <c r="AC1356" s="87"/>
      <c r="AD1356" s="87"/>
      <c r="AE1356" s="87"/>
      <c r="AF1356" s="87"/>
      <c r="AG1356" s="87"/>
      <c r="AH1356" s="87"/>
      <c r="AI1356" s="87"/>
      <c r="AJ1356" s="87"/>
      <c r="AK1356" s="87"/>
      <c r="AL1356" s="87"/>
      <c r="AM1356" s="87"/>
      <c r="AN1356" s="87"/>
      <c r="AO1356" s="87"/>
      <c r="AP1356" s="87"/>
      <c r="AQ1356" s="87"/>
      <c r="AR1356" s="87"/>
      <c r="AS1356" s="87"/>
      <c r="AT1356" s="87"/>
      <c r="AU1356" s="87"/>
      <c r="AV1356" s="87"/>
      <c r="AW1356" s="87"/>
      <c r="AX1356" s="87"/>
      <c r="AY1356" s="87"/>
      <c r="AZ1356" s="87"/>
      <c r="BA1356" s="87"/>
      <c r="BB1356" s="87"/>
      <c r="BC1356" s="87"/>
      <c r="BD1356" s="87"/>
      <c r="BE1356" s="87"/>
      <c r="BF1356" s="87"/>
      <c r="BG1356" s="87"/>
      <c r="BH1356" s="87"/>
      <c r="BI1356" s="87"/>
      <c r="BJ1356" s="87"/>
      <c r="BK1356" s="87"/>
      <c r="BL1356" s="87"/>
      <c r="BM1356" s="87"/>
      <c r="BN1356" s="87"/>
      <c r="BO1356" s="87"/>
      <c r="BP1356" s="87"/>
      <c r="BQ1356" s="87"/>
      <c r="BR1356" s="87"/>
      <c r="BS1356" s="87"/>
      <c r="BT1356" s="87"/>
      <c r="BU1356" s="87"/>
      <c r="BV1356" s="87"/>
      <c r="BW1356" s="87"/>
      <c r="BX1356" s="87"/>
      <c r="BY1356" s="87"/>
    </row>
    <row r="1357" spans="21:77" x14ac:dyDescent="0.3">
      <c r="U1357" s="19"/>
      <c r="V1357" s="87"/>
      <c r="W1357" s="87"/>
      <c r="X1357" s="87"/>
      <c r="Y1357" s="87"/>
      <c r="Z1357" s="87"/>
      <c r="AA1357" s="87"/>
      <c r="AB1357" s="87"/>
      <c r="AC1357" s="87"/>
      <c r="AD1357" s="87"/>
      <c r="AE1357" s="87"/>
      <c r="AF1357" s="87"/>
      <c r="AG1357" s="87"/>
      <c r="AH1357" s="87"/>
      <c r="AI1357" s="87"/>
      <c r="AJ1357" s="87"/>
      <c r="AK1357" s="87"/>
      <c r="AL1357" s="87"/>
      <c r="AM1357" s="87"/>
      <c r="AN1357" s="87"/>
      <c r="AO1357" s="87"/>
      <c r="AP1357" s="87"/>
      <c r="AQ1357" s="87"/>
      <c r="AR1357" s="87"/>
      <c r="AS1357" s="87"/>
      <c r="AT1357" s="87"/>
      <c r="AU1357" s="87"/>
      <c r="AV1357" s="87"/>
      <c r="AW1357" s="87"/>
      <c r="AX1357" s="87"/>
      <c r="AY1357" s="87"/>
      <c r="AZ1357" s="87"/>
      <c r="BA1357" s="87"/>
      <c r="BB1357" s="87"/>
      <c r="BC1357" s="87"/>
      <c r="BD1357" s="87"/>
      <c r="BE1357" s="87"/>
      <c r="BF1357" s="87"/>
      <c r="BG1357" s="87"/>
      <c r="BH1357" s="87"/>
      <c r="BI1357" s="87"/>
      <c r="BJ1357" s="87"/>
      <c r="BK1357" s="87"/>
      <c r="BL1357" s="87"/>
      <c r="BM1357" s="87"/>
      <c r="BN1357" s="87"/>
      <c r="BO1357" s="87"/>
      <c r="BP1357" s="87"/>
      <c r="BQ1357" s="87"/>
      <c r="BR1357" s="87"/>
      <c r="BS1357" s="87"/>
      <c r="BT1357" s="87"/>
      <c r="BU1357" s="87"/>
      <c r="BV1357" s="87"/>
      <c r="BW1357" s="87"/>
      <c r="BX1357" s="87"/>
      <c r="BY1357" s="87"/>
    </row>
    <row r="1358" spans="21:77" x14ac:dyDescent="0.3">
      <c r="U1358" s="19"/>
      <c r="V1358" s="87"/>
      <c r="W1358" s="87"/>
      <c r="X1358" s="87"/>
      <c r="Y1358" s="87"/>
      <c r="Z1358" s="87"/>
      <c r="AA1358" s="87"/>
      <c r="AB1358" s="87"/>
      <c r="AC1358" s="87"/>
      <c r="AD1358" s="87"/>
      <c r="AE1358" s="87"/>
      <c r="AF1358" s="87"/>
      <c r="AG1358" s="87"/>
      <c r="AH1358" s="87"/>
      <c r="AI1358" s="87"/>
      <c r="AJ1358" s="87"/>
      <c r="AK1358" s="87"/>
      <c r="AL1358" s="87"/>
      <c r="AM1358" s="87"/>
      <c r="AN1358" s="87"/>
      <c r="AO1358" s="87"/>
      <c r="AP1358" s="87"/>
      <c r="AQ1358" s="87"/>
      <c r="AR1358" s="87"/>
      <c r="AS1358" s="87"/>
      <c r="AT1358" s="87"/>
      <c r="AU1358" s="87"/>
      <c r="AV1358" s="87"/>
      <c r="AW1358" s="87"/>
      <c r="AX1358" s="87"/>
      <c r="AY1358" s="87"/>
      <c r="AZ1358" s="87"/>
      <c r="BA1358" s="87"/>
      <c r="BB1358" s="87"/>
      <c r="BC1358" s="87"/>
      <c r="BD1358" s="87"/>
      <c r="BE1358" s="87"/>
      <c r="BF1358" s="87"/>
      <c r="BG1358" s="87"/>
      <c r="BH1358" s="87"/>
      <c r="BI1358" s="87"/>
      <c r="BJ1358" s="87"/>
      <c r="BK1358" s="87"/>
      <c r="BL1358" s="87"/>
      <c r="BM1358" s="87"/>
      <c r="BN1358" s="87"/>
      <c r="BO1358" s="87"/>
      <c r="BP1358" s="87"/>
      <c r="BQ1358" s="87"/>
      <c r="BR1358" s="87"/>
      <c r="BS1358" s="87"/>
      <c r="BT1358" s="87"/>
      <c r="BU1358" s="87"/>
      <c r="BV1358" s="87"/>
      <c r="BW1358" s="87"/>
      <c r="BX1358" s="87"/>
      <c r="BY1358" s="87"/>
    </row>
    <row r="1359" spans="21:77" x14ac:dyDescent="0.3">
      <c r="U1359" s="19"/>
      <c r="V1359" s="87"/>
      <c r="W1359" s="87"/>
      <c r="X1359" s="87"/>
      <c r="Y1359" s="87"/>
      <c r="Z1359" s="87"/>
      <c r="AA1359" s="87"/>
      <c r="AB1359" s="87"/>
      <c r="AC1359" s="87"/>
      <c r="AD1359" s="87"/>
      <c r="AE1359" s="87"/>
      <c r="AF1359" s="87"/>
      <c r="AG1359" s="87"/>
      <c r="AH1359" s="87"/>
      <c r="AI1359" s="87"/>
      <c r="AJ1359" s="87"/>
      <c r="AK1359" s="87"/>
      <c r="AL1359" s="87"/>
      <c r="AM1359" s="87"/>
      <c r="AN1359" s="87"/>
      <c r="AO1359" s="87"/>
      <c r="AP1359" s="87"/>
      <c r="AQ1359" s="87"/>
      <c r="AR1359" s="87"/>
      <c r="AS1359" s="87"/>
      <c r="AT1359" s="87"/>
      <c r="AU1359" s="87"/>
      <c r="AV1359" s="87"/>
      <c r="AW1359" s="87"/>
      <c r="AX1359" s="87"/>
      <c r="AY1359" s="87"/>
      <c r="AZ1359" s="87"/>
      <c r="BA1359" s="87"/>
      <c r="BB1359" s="87"/>
      <c r="BC1359" s="87"/>
      <c r="BD1359" s="87"/>
      <c r="BE1359" s="87"/>
      <c r="BF1359" s="87"/>
      <c r="BG1359" s="87"/>
      <c r="BH1359" s="87"/>
      <c r="BI1359" s="87"/>
      <c r="BJ1359" s="87"/>
      <c r="BK1359" s="87"/>
      <c r="BL1359" s="87"/>
      <c r="BM1359" s="87"/>
      <c r="BN1359" s="87"/>
      <c r="BO1359" s="87"/>
      <c r="BP1359" s="87"/>
      <c r="BQ1359" s="87"/>
      <c r="BR1359" s="87"/>
      <c r="BS1359" s="87"/>
      <c r="BT1359" s="87"/>
      <c r="BU1359" s="87"/>
      <c r="BV1359" s="87"/>
      <c r="BW1359" s="87"/>
      <c r="BX1359" s="87"/>
      <c r="BY1359" s="87"/>
    </row>
    <row r="1360" spans="21:77" x14ac:dyDescent="0.3">
      <c r="U1360" s="19"/>
      <c r="V1360" s="87"/>
      <c r="W1360" s="87"/>
      <c r="X1360" s="87"/>
      <c r="Y1360" s="87"/>
      <c r="Z1360" s="87"/>
      <c r="AA1360" s="87"/>
      <c r="AB1360" s="87"/>
      <c r="AC1360" s="87"/>
      <c r="AD1360" s="87"/>
      <c r="AE1360" s="87"/>
      <c r="AF1360" s="87"/>
      <c r="AG1360" s="87"/>
      <c r="AH1360" s="87"/>
      <c r="AI1360" s="87"/>
      <c r="AJ1360" s="87"/>
      <c r="AK1360" s="87"/>
      <c r="AL1360" s="87"/>
      <c r="AM1360" s="87"/>
      <c r="AN1360" s="87"/>
      <c r="AO1360" s="87"/>
      <c r="AP1360" s="87"/>
      <c r="AQ1360" s="87"/>
      <c r="AR1360" s="87"/>
      <c r="AS1360" s="87"/>
      <c r="AT1360" s="87"/>
      <c r="AU1360" s="87"/>
      <c r="AV1360" s="87"/>
      <c r="AW1360" s="87"/>
      <c r="AX1360" s="87"/>
      <c r="AY1360" s="87"/>
      <c r="AZ1360" s="87"/>
      <c r="BA1360" s="87"/>
      <c r="BB1360" s="87"/>
      <c r="BC1360" s="87"/>
      <c r="BD1360" s="87"/>
      <c r="BE1360" s="87"/>
      <c r="BF1360" s="87"/>
      <c r="BG1360" s="87"/>
      <c r="BH1360" s="87"/>
      <c r="BI1360" s="87"/>
      <c r="BJ1360" s="87"/>
      <c r="BK1360" s="87"/>
      <c r="BL1360" s="87"/>
      <c r="BM1360" s="87"/>
      <c r="BN1360" s="87"/>
      <c r="BO1360" s="87"/>
      <c r="BP1360" s="87"/>
      <c r="BQ1360" s="87"/>
      <c r="BR1360" s="87"/>
      <c r="BS1360" s="87"/>
      <c r="BT1360" s="87"/>
      <c r="BU1360" s="87"/>
      <c r="BV1360" s="87"/>
      <c r="BW1360" s="87"/>
      <c r="BX1360" s="87"/>
      <c r="BY1360" s="87"/>
    </row>
    <row r="1361" spans="21:77" x14ac:dyDescent="0.3">
      <c r="U1361" s="19"/>
      <c r="V1361" s="87"/>
      <c r="W1361" s="87"/>
      <c r="X1361" s="87"/>
      <c r="Y1361" s="87"/>
      <c r="Z1361" s="87"/>
      <c r="AA1361" s="87"/>
      <c r="AB1361" s="87"/>
      <c r="AC1361" s="87"/>
      <c r="AD1361" s="87"/>
      <c r="AE1361" s="87"/>
      <c r="AF1361" s="87"/>
      <c r="AG1361" s="87"/>
      <c r="AH1361" s="87"/>
      <c r="AI1361" s="87"/>
      <c r="AJ1361" s="87"/>
      <c r="AK1361" s="87"/>
      <c r="AL1361" s="87"/>
      <c r="AM1361" s="87"/>
      <c r="AN1361" s="87"/>
      <c r="AO1361" s="87"/>
      <c r="AP1361" s="87"/>
      <c r="AQ1361" s="87"/>
      <c r="AR1361" s="87"/>
      <c r="AS1361" s="87"/>
      <c r="AT1361" s="87"/>
      <c r="AU1361" s="87"/>
      <c r="AV1361" s="87"/>
      <c r="AW1361" s="87"/>
      <c r="AX1361" s="87"/>
      <c r="AY1361" s="87"/>
      <c r="AZ1361" s="87"/>
      <c r="BA1361" s="87"/>
      <c r="BB1361" s="87"/>
      <c r="BC1361" s="87"/>
      <c r="BD1361" s="87"/>
      <c r="BE1361" s="87"/>
      <c r="BF1361" s="87"/>
      <c r="BG1361" s="87"/>
      <c r="BH1361" s="87"/>
      <c r="BI1361" s="87"/>
      <c r="BJ1361" s="87"/>
      <c r="BK1361" s="87"/>
      <c r="BL1361" s="87"/>
      <c r="BM1361" s="87"/>
      <c r="BN1361" s="87"/>
      <c r="BO1361" s="87"/>
      <c r="BP1361" s="87"/>
      <c r="BQ1361" s="87"/>
      <c r="BR1361" s="87"/>
      <c r="BS1361" s="87"/>
      <c r="BT1361" s="87"/>
      <c r="BU1361" s="87"/>
      <c r="BV1361" s="87"/>
      <c r="BW1361" s="87"/>
      <c r="BX1361" s="87"/>
      <c r="BY1361" s="87"/>
    </row>
    <row r="1362" spans="21:77" x14ac:dyDescent="0.3">
      <c r="U1362" s="19"/>
      <c r="V1362" s="87"/>
      <c r="W1362" s="87"/>
      <c r="X1362" s="87"/>
      <c r="Y1362" s="87"/>
      <c r="Z1362" s="87"/>
      <c r="AA1362" s="87"/>
      <c r="AB1362" s="87"/>
      <c r="AC1362" s="87"/>
      <c r="AD1362" s="87"/>
      <c r="AE1362" s="87"/>
      <c r="AF1362" s="87"/>
      <c r="AG1362" s="87"/>
      <c r="AH1362" s="87"/>
      <c r="AI1362" s="87"/>
      <c r="AJ1362" s="87"/>
      <c r="AK1362" s="87"/>
      <c r="AL1362" s="87"/>
      <c r="AM1362" s="87"/>
      <c r="AN1362" s="87"/>
      <c r="AO1362" s="87"/>
      <c r="AP1362" s="87"/>
      <c r="AQ1362" s="87"/>
      <c r="AR1362" s="87"/>
      <c r="AS1362" s="87"/>
      <c r="AT1362" s="87"/>
      <c r="AU1362" s="87"/>
      <c r="AV1362" s="87"/>
      <c r="AW1362" s="87"/>
      <c r="AX1362" s="87"/>
      <c r="AY1362" s="87"/>
      <c r="AZ1362" s="87"/>
      <c r="BA1362" s="87"/>
      <c r="BB1362" s="87"/>
      <c r="BC1362" s="87"/>
      <c r="BD1362" s="87"/>
      <c r="BE1362" s="87"/>
      <c r="BF1362" s="87"/>
      <c r="BG1362" s="87"/>
      <c r="BH1362" s="87"/>
      <c r="BI1362" s="87"/>
      <c r="BJ1362" s="87"/>
      <c r="BK1362" s="87"/>
      <c r="BL1362" s="87"/>
      <c r="BM1362" s="87"/>
      <c r="BN1362" s="87"/>
      <c r="BO1362" s="87"/>
      <c r="BP1362" s="87"/>
      <c r="BQ1362" s="87"/>
      <c r="BR1362" s="87"/>
      <c r="BS1362" s="87"/>
      <c r="BT1362" s="87"/>
      <c r="BU1362" s="87"/>
      <c r="BV1362" s="87"/>
      <c r="BW1362" s="87"/>
      <c r="BX1362" s="87"/>
      <c r="BY1362" s="87"/>
    </row>
    <row r="1363" spans="21:77" x14ac:dyDescent="0.3">
      <c r="U1363" s="19"/>
      <c r="V1363" s="87"/>
      <c r="W1363" s="87"/>
      <c r="X1363" s="87"/>
      <c r="Y1363" s="87"/>
      <c r="Z1363" s="87"/>
      <c r="AA1363" s="87"/>
      <c r="AB1363" s="87"/>
      <c r="AC1363" s="87"/>
      <c r="AD1363" s="87"/>
      <c r="AE1363" s="87"/>
      <c r="AF1363" s="87"/>
      <c r="AG1363" s="87"/>
      <c r="AH1363" s="87"/>
      <c r="AI1363" s="87"/>
      <c r="AJ1363" s="87"/>
      <c r="AK1363" s="87"/>
      <c r="AL1363" s="87"/>
      <c r="AM1363" s="87"/>
      <c r="AN1363" s="87"/>
      <c r="AO1363" s="87"/>
      <c r="AP1363" s="87"/>
      <c r="AQ1363" s="87"/>
      <c r="AR1363" s="87"/>
      <c r="AS1363" s="87"/>
      <c r="AT1363" s="87"/>
      <c r="AU1363" s="87"/>
      <c r="AV1363" s="87"/>
      <c r="AW1363" s="87"/>
      <c r="AX1363" s="87"/>
      <c r="AY1363" s="87"/>
      <c r="AZ1363" s="87"/>
      <c r="BA1363" s="87"/>
      <c r="BB1363" s="87"/>
      <c r="BC1363" s="87"/>
      <c r="BD1363" s="87"/>
      <c r="BE1363" s="87"/>
      <c r="BF1363" s="87"/>
      <c r="BG1363" s="87"/>
      <c r="BH1363" s="87"/>
      <c r="BI1363" s="87"/>
      <c r="BJ1363" s="87"/>
      <c r="BK1363" s="87"/>
      <c r="BL1363" s="87"/>
      <c r="BM1363" s="87"/>
      <c r="BN1363" s="87"/>
      <c r="BO1363" s="87"/>
      <c r="BP1363" s="87"/>
      <c r="BQ1363" s="87"/>
      <c r="BR1363" s="87"/>
      <c r="BS1363" s="87"/>
      <c r="BT1363" s="87"/>
      <c r="BU1363" s="87"/>
      <c r="BV1363" s="87"/>
      <c r="BW1363" s="87"/>
      <c r="BX1363" s="87"/>
      <c r="BY1363" s="87"/>
    </row>
    <row r="1364" spans="21:77" x14ac:dyDescent="0.3">
      <c r="U1364" s="19"/>
      <c r="V1364" s="87"/>
      <c r="W1364" s="87"/>
      <c r="X1364" s="87"/>
      <c r="Y1364" s="87"/>
      <c r="Z1364" s="87"/>
      <c r="AA1364" s="87"/>
      <c r="AB1364" s="87"/>
      <c r="AC1364" s="87"/>
      <c r="AD1364" s="87"/>
      <c r="AE1364" s="87"/>
      <c r="AF1364" s="87"/>
      <c r="AG1364" s="87"/>
      <c r="AH1364" s="87"/>
      <c r="AI1364" s="87"/>
      <c r="AJ1364" s="87"/>
      <c r="AK1364" s="87"/>
      <c r="AL1364" s="87"/>
      <c r="AM1364" s="87"/>
      <c r="AN1364" s="87"/>
      <c r="AO1364" s="87"/>
      <c r="AP1364" s="87"/>
      <c r="AQ1364" s="87"/>
      <c r="AR1364" s="87"/>
      <c r="AS1364" s="87"/>
      <c r="AT1364" s="87"/>
      <c r="AU1364" s="87"/>
      <c r="AV1364" s="87"/>
      <c r="AW1364" s="87"/>
      <c r="AX1364" s="87"/>
      <c r="AY1364" s="87"/>
      <c r="AZ1364" s="87"/>
      <c r="BA1364" s="87"/>
      <c r="BB1364" s="87"/>
      <c r="BC1364" s="87"/>
      <c r="BD1364" s="87"/>
      <c r="BE1364" s="87"/>
      <c r="BF1364" s="87"/>
      <c r="BG1364" s="87"/>
      <c r="BH1364" s="87"/>
      <c r="BI1364" s="87"/>
      <c r="BJ1364" s="87"/>
      <c r="BK1364" s="87"/>
      <c r="BL1364" s="87"/>
      <c r="BM1364" s="87"/>
      <c r="BN1364" s="87"/>
      <c r="BO1364" s="87"/>
      <c r="BP1364" s="87"/>
      <c r="BQ1364" s="87"/>
      <c r="BR1364" s="87"/>
      <c r="BS1364" s="87"/>
      <c r="BT1364" s="87"/>
      <c r="BU1364" s="87"/>
      <c r="BV1364" s="87"/>
      <c r="BW1364" s="87"/>
      <c r="BX1364" s="87"/>
      <c r="BY1364" s="87"/>
    </row>
    <row r="1365" spans="21:77" x14ac:dyDescent="0.3">
      <c r="U1365" s="19"/>
      <c r="V1365" s="87"/>
      <c r="W1365" s="87"/>
      <c r="X1365" s="87"/>
      <c r="Y1365" s="87"/>
      <c r="Z1365" s="87"/>
      <c r="AA1365" s="87"/>
      <c r="AB1365" s="87"/>
      <c r="AC1365" s="87"/>
      <c r="AD1365" s="87"/>
      <c r="AE1365" s="87"/>
      <c r="AF1365" s="87"/>
      <c r="AG1365" s="87"/>
      <c r="AH1365" s="87"/>
      <c r="AI1365" s="87"/>
      <c r="AJ1365" s="87"/>
      <c r="AK1365" s="87"/>
      <c r="AL1365" s="87"/>
      <c r="AM1365" s="87"/>
      <c r="AN1365" s="87"/>
      <c r="AO1365" s="87"/>
      <c r="AP1365" s="87"/>
      <c r="AQ1365" s="87"/>
      <c r="AR1365" s="87"/>
      <c r="AS1365" s="87"/>
      <c r="AT1365" s="87"/>
      <c r="AU1365" s="87"/>
      <c r="AV1365" s="87"/>
      <c r="AW1365" s="87"/>
      <c r="AX1365" s="87"/>
      <c r="AY1365" s="87"/>
      <c r="AZ1365" s="87"/>
      <c r="BA1365" s="87"/>
      <c r="BB1365" s="87"/>
      <c r="BC1365" s="87"/>
      <c r="BD1365" s="87"/>
      <c r="BE1365" s="87"/>
      <c r="BF1365" s="87"/>
      <c r="BG1365" s="87"/>
      <c r="BH1365" s="87"/>
      <c r="BI1365" s="87"/>
      <c r="BJ1365" s="87"/>
      <c r="BK1365" s="87"/>
      <c r="BL1365" s="87"/>
      <c r="BM1365" s="87"/>
      <c r="BN1365" s="87"/>
      <c r="BO1365" s="87"/>
      <c r="BP1365" s="87"/>
      <c r="BQ1365" s="87"/>
      <c r="BR1365" s="87"/>
      <c r="BS1365" s="87"/>
      <c r="BT1365" s="87"/>
      <c r="BU1365" s="87"/>
      <c r="BV1365" s="87"/>
      <c r="BW1365" s="87"/>
      <c r="BX1365" s="87"/>
      <c r="BY1365" s="87"/>
    </row>
    <row r="1366" spans="21:77" x14ac:dyDescent="0.3">
      <c r="U1366" s="19"/>
      <c r="V1366" s="87"/>
      <c r="W1366" s="87"/>
      <c r="X1366" s="87"/>
      <c r="Y1366" s="87"/>
      <c r="Z1366" s="87"/>
      <c r="AA1366" s="87"/>
      <c r="AB1366" s="87"/>
      <c r="AC1366" s="87"/>
      <c r="AD1366" s="87"/>
      <c r="AE1366" s="87"/>
      <c r="AF1366" s="87"/>
      <c r="AG1366" s="87"/>
      <c r="AH1366" s="87"/>
      <c r="AI1366" s="87"/>
      <c r="AJ1366" s="87"/>
      <c r="AK1366" s="87"/>
      <c r="AL1366" s="87"/>
      <c r="AM1366" s="87"/>
      <c r="AN1366" s="87"/>
      <c r="AO1366" s="87"/>
      <c r="AP1366" s="87"/>
      <c r="AQ1366" s="87"/>
      <c r="AR1366" s="87"/>
      <c r="AS1366" s="87"/>
      <c r="AT1366" s="87"/>
      <c r="AU1366" s="87"/>
      <c r="AV1366" s="87"/>
      <c r="AW1366" s="87"/>
      <c r="AX1366" s="87"/>
      <c r="AY1366" s="87"/>
      <c r="AZ1366" s="87"/>
      <c r="BA1366" s="87"/>
      <c r="BB1366" s="87"/>
      <c r="BC1366" s="87"/>
      <c r="BD1366" s="87"/>
      <c r="BE1366" s="87"/>
      <c r="BF1366" s="87"/>
      <c r="BG1366" s="87"/>
      <c r="BH1366" s="87"/>
      <c r="BI1366" s="87"/>
      <c r="BJ1366" s="87"/>
      <c r="BK1366" s="87"/>
      <c r="BL1366" s="87"/>
      <c r="BM1366" s="87"/>
      <c r="BN1366" s="87"/>
      <c r="BO1366" s="87"/>
      <c r="BP1366" s="87"/>
      <c r="BQ1366" s="87"/>
      <c r="BR1366" s="87"/>
      <c r="BS1366" s="87"/>
      <c r="BT1366" s="87"/>
      <c r="BU1366" s="87"/>
      <c r="BV1366" s="87"/>
      <c r="BW1366" s="87"/>
      <c r="BX1366" s="87"/>
      <c r="BY1366" s="87"/>
    </row>
    <row r="1367" spans="21:77" x14ac:dyDescent="0.3">
      <c r="U1367" s="19"/>
      <c r="V1367" s="87"/>
      <c r="W1367" s="87"/>
      <c r="X1367" s="87"/>
      <c r="Y1367" s="87"/>
      <c r="Z1367" s="87"/>
      <c r="AA1367" s="87"/>
      <c r="AB1367" s="87"/>
      <c r="AC1367" s="87"/>
      <c r="AD1367" s="87"/>
      <c r="AE1367" s="87"/>
      <c r="AF1367" s="87"/>
      <c r="AG1367" s="87"/>
      <c r="AH1367" s="87"/>
      <c r="AI1367" s="87"/>
      <c r="AJ1367" s="87"/>
      <c r="AK1367" s="87"/>
      <c r="AL1367" s="87"/>
      <c r="AM1367" s="87"/>
      <c r="AN1367" s="87"/>
      <c r="AO1367" s="87"/>
      <c r="AP1367" s="87"/>
      <c r="AQ1367" s="87"/>
      <c r="AR1367" s="87"/>
      <c r="AS1367" s="87"/>
      <c r="AT1367" s="87"/>
      <c r="AU1367" s="87"/>
      <c r="AV1367" s="87"/>
      <c r="AW1367" s="87"/>
      <c r="AX1367" s="87"/>
      <c r="AY1367" s="87"/>
      <c r="AZ1367" s="87"/>
      <c r="BA1367" s="87"/>
      <c r="BB1367" s="87"/>
      <c r="BC1367" s="87"/>
      <c r="BD1367" s="87"/>
      <c r="BE1367" s="87"/>
      <c r="BF1367" s="87"/>
      <c r="BG1367" s="87"/>
      <c r="BH1367" s="87"/>
      <c r="BI1367" s="87"/>
      <c r="BJ1367" s="87"/>
      <c r="BK1367" s="87"/>
      <c r="BL1367" s="87"/>
      <c r="BM1367" s="87"/>
      <c r="BN1367" s="87"/>
      <c r="BO1367" s="87"/>
      <c r="BP1367" s="87"/>
      <c r="BQ1367" s="87"/>
      <c r="BR1367" s="87"/>
      <c r="BS1367" s="87"/>
      <c r="BT1367" s="87"/>
      <c r="BU1367" s="87"/>
      <c r="BV1367" s="87"/>
      <c r="BW1367" s="87"/>
      <c r="BX1367" s="87"/>
      <c r="BY1367" s="87"/>
    </row>
    <row r="1368" spans="21:77" x14ac:dyDescent="0.3">
      <c r="U1368" s="19"/>
      <c r="V1368" s="87"/>
      <c r="W1368" s="87"/>
      <c r="X1368" s="87"/>
      <c r="Y1368" s="87"/>
      <c r="Z1368" s="87"/>
      <c r="AA1368" s="87"/>
      <c r="AB1368" s="87"/>
      <c r="AC1368" s="87"/>
      <c r="AD1368" s="87"/>
      <c r="AE1368" s="87"/>
      <c r="AF1368" s="87"/>
      <c r="AG1368" s="87"/>
      <c r="AH1368" s="87"/>
      <c r="AI1368" s="87"/>
      <c r="AJ1368" s="87"/>
      <c r="AK1368" s="87"/>
      <c r="AL1368" s="87"/>
      <c r="AM1368" s="87"/>
      <c r="AN1368" s="87"/>
      <c r="AO1368" s="87"/>
      <c r="AP1368" s="87"/>
      <c r="AQ1368" s="87"/>
      <c r="AR1368" s="87"/>
      <c r="AS1368" s="87"/>
      <c r="AT1368" s="87"/>
      <c r="AU1368" s="87"/>
      <c r="AV1368" s="87"/>
      <c r="AW1368" s="87"/>
      <c r="AX1368" s="87"/>
      <c r="AY1368" s="87"/>
      <c r="AZ1368" s="87"/>
      <c r="BA1368" s="87"/>
      <c r="BB1368" s="87"/>
      <c r="BC1368" s="87"/>
      <c r="BD1368" s="87"/>
      <c r="BE1368" s="87"/>
      <c r="BF1368" s="87"/>
      <c r="BG1368" s="87"/>
      <c r="BH1368" s="87"/>
      <c r="BI1368" s="87"/>
      <c r="BJ1368" s="87"/>
      <c r="BK1368" s="87"/>
      <c r="BL1368" s="87"/>
      <c r="BM1368" s="87"/>
      <c r="BN1368" s="87"/>
      <c r="BO1368" s="87"/>
      <c r="BP1368" s="87"/>
      <c r="BQ1368" s="87"/>
      <c r="BR1368" s="87"/>
      <c r="BS1368" s="87"/>
      <c r="BT1368" s="87"/>
      <c r="BU1368" s="87"/>
      <c r="BV1368" s="87"/>
      <c r="BW1368" s="87"/>
      <c r="BX1368" s="87"/>
      <c r="BY1368" s="87"/>
    </row>
    <row r="1369" spans="21:77" x14ac:dyDescent="0.3">
      <c r="U1369" s="19"/>
      <c r="V1369" s="87"/>
      <c r="W1369" s="87"/>
      <c r="X1369" s="87"/>
      <c r="Y1369" s="87"/>
      <c r="Z1369" s="87"/>
      <c r="AA1369" s="87"/>
      <c r="AB1369" s="87"/>
      <c r="AC1369" s="87"/>
      <c r="AD1369" s="87"/>
      <c r="AE1369" s="87"/>
      <c r="AF1369" s="87"/>
      <c r="AG1369" s="87"/>
      <c r="AH1369" s="87"/>
      <c r="AI1369" s="87"/>
      <c r="AJ1369" s="87"/>
      <c r="AK1369" s="87"/>
      <c r="AL1369" s="87"/>
      <c r="AM1369" s="87"/>
      <c r="AN1369" s="87"/>
      <c r="AO1369" s="87"/>
      <c r="AP1369" s="87"/>
      <c r="AQ1369" s="87"/>
      <c r="AR1369" s="87"/>
      <c r="AS1369" s="87"/>
      <c r="AT1369" s="87"/>
      <c r="AU1369" s="87"/>
      <c r="AV1369" s="87"/>
      <c r="AW1369" s="87"/>
      <c r="AX1369" s="87"/>
      <c r="AY1369" s="87"/>
      <c r="AZ1369" s="87"/>
      <c r="BA1369" s="87"/>
      <c r="BB1369" s="87"/>
      <c r="BC1369" s="87"/>
      <c r="BD1369" s="87"/>
      <c r="BE1369" s="87"/>
      <c r="BF1369" s="87"/>
      <c r="BG1369" s="87"/>
      <c r="BH1369" s="87"/>
      <c r="BI1369" s="87"/>
      <c r="BJ1369" s="87"/>
      <c r="BK1369" s="87"/>
      <c r="BL1369" s="87"/>
      <c r="BM1369" s="87"/>
      <c r="BN1369" s="87"/>
      <c r="BO1369" s="87"/>
      <c r="BP1369" s="87"/>
      <c r="BQ1369" s="87"/>
      <c r="BR1369" s="87"/>
      <c r="BS1369" s="87"/>
      <c r="BT1369" s="87"/>
      <c r="BU1369" s="87"/>
      <c r="BV1369" s="87"/>
      <c r="BW1369" s="87"/>
      <c r="BX1369" s="87"/>
      <c r="BY1369" s="87"/>
    </row>
    <row r="1370" spans="21:77" x14ac:dyDescent="0.3">
      <c r="U1370" s="19"/>
      <c r="V1370" s="87"/>
      <c r="W1370" s="87"/>
      <c r="X1370" s="87"/>
      <c r="Y1370" s="87"/>
      <c r="Z1370" s="87"/>
      <c r="AA1370" s="87"/>
      <c r="AB1370" s="87"/>
      <c r="AC1370" s="87"/>
      <c r="AD1370" s="87"/>
      <c r="AE1370" s="87"/>
      <c r="AF1370" s="87"/>
      <c r="AG1370" s="87"/>
      <c r="AH1370" s="87"/>
      <c r="AI1370" s="87"/>
      <c r="AJ1370" s="87"/>
      <c r="AK1370" s="87"/>
      <c r="AL1370" s="87"/>
      <c r="AM1370" s="87"/>
      <c r="AN1370" s="87"/>
      <c r="AO1370" s="87"/>
      <c r="AP1370" s="87"/>
      <c r="AQ1370" s="87"/>
      <c r="AR1370" s="87"/>
      <c r="AS1370" s="87"/>
      <c r="AT1370" s="87"/>
      <c r="AU1370" s="87"/>
      <c r="AV1370" s="87"/>
      <c r="AW1370" s="87"/>
      <c r="AX1370" s="87"/>
      <c r="AY1370" s="87"/>
      <c r="AZ1370" s="87"/>
      <c r="BA1370" s="87"/>
      <c r="BB1370" s="87"/>
      <c r="BC1370" s="87"/>
      <c r="BD1370" s="87"/>
      <c r="BE1370" s="87"/>
      <c r="BF1370" s="87"/>
      <c r="BG1370" s="87"/>
      <c r="BH1370" s="87"/>
      <c r="BI1370" s="87"/>
      <c r="BJ1370" s="87"/>
      <c r="BK1370" s="87"/>
      <c r="BL1370" s="87"/>
      <c r="BM1370" s="87"/>
      <c r="BN1370" s="87"/>
      <c r="BO1370" s="87"/>
      <c r="BP1370" s="87"/>
      <c r="BQ1370" s="87"/>
      <c r="BR1370" s="87"/>
      <c r="BS1370" s="87"/>
      <c r="BT1370" s="87"/>
      <c r="BU1370" s="87"/>
      <c r="BV1370" s="87"/>
      <c r="BW1370" s="87"/>
      <c r="BX1370" s="87"/>
      <c r="BY1370" s="87"/>
    </row>
    <row r="1371" spans="21:77" x14ac:dyDescent="0.3">
      <c r="U1371" s="19"/>
      <c r="V1371" s="87"/>
      <c r="W1371" s="87"/>
      <c r="X1371" s="87"/>
      <c r="Y1371" s="87"/>
      <c r="Z1371" s="87"/>
      <c r="AA1371" s="87"/>
      <c r="AB1371" s="87"/>
      <c r="AC1371" s="87"/>
      <c r="AD1371" s="87"/>
      <c r="AE1371" s="87"/>
      <c r="AF1371" s="87"/>
      <c r="AG1371" s="87"/>
      <c r="AH1371" s="87"/>
      <c r="AI1371" s="87"/>
      <c r="AJ1371" s="87"/>
      <c r="AK1371" s="87"/>
      <c r="AL1371" s="87"/>
      <c r="AM1371" s="87"/>
      <c r="AN1371" s="87"/>
      <c r="AO1371" s="87"/>
      <c r="AP1371" s="87"/>
      <c r="AQ1371" s="87"/>
      <c r="AR1371" s="87"/>
      <c r="AS1371" s="87"/>
      <c r="AT1371" s="87"/>
      <c r="AU1371" s="87"/>
      <c r="AV1371" s="87"/>
      <c r="AW1371" s="87"/>
      <c r="AX1371" s="87"/>
      <c r="AY1371" s="87"/>
      <c r="AZ1371" s="87"/>
      <c r="BA1371" s="87"/>
      <c r="BB1371" s="87"/>
      <c r="BC1371" s="87"/>
      <c r="BD1371" s="87"/>
      <c r="BE1371" s="87"/>
      <c r="BF1371" s="87"/>
      <c r="BG1371" s="87"/>
      <c r="BH1371" s="87"/>
      <c r="BI1371" s="87"/>
      <c r="BJ1371" s="87"/>
      <c r="BK1371" s="87"/>
      <c r="BL1371" s="87"/>
      <c r="BM1371" s="87"/>
      <c r="BN1371" s="87"/>
      <c r="BO1371" s="87"/>
      <c r="BP1371" s="87"/>
      <c r="BQ1371" s="87"/>
      <c r="BR1371" s="87"/>
      <c r="BS1371" s="87"/>
      <c r="BT1371" s="87"/>
      <c r="BU1371" s="87"/>
      <c r="BV1371" s="87"/>
      <c r="BW1371" s="87"/>
      <c r="BX1371" s="87"/>
      <c r="BY1371" s="87"/>
    </row>
    <row r="1372" spans="21:77" x14ac:dyDescent="0.3">
      <c r="U1372" s="19"/>
      <c r="V1372" s="87"/>
      <c r="W1372" s="87"/>
      <c r="X1372" s="87"/>
      <c r="Y1372" s="87"/>
      <c r="Z1372" s="87"/>
      <c r="AA1372" s="87"/>
      <c r="AB1372" s="87"/>
      <c r="AC1372" s="87"/>
      <c r="AD1372" s="87"/>
      <c r="AE1372" s="87"/>
      <c r="AF1372" s="87"/>
      <c r="AG1372" s="87"/>
      <c r="AH1372" s="87"/>
      <c r="AI1372" s="87"/>
      <c r="AJ1372" s="87"/>
      <c r="AK1372" s="87"/>
      <c r="AL1372" s="87"/>
      <c r="AM1372" s="87"/>
      <c r="AN1372" s="87"/>
      <c r="AO1372" s="87"/>
      <c r="AP1372" s="87"/>
      <c r="AQ1372" s="87"/>
      <c r="AR1372" s="87"/>
      <c r="AS1372" s="87"/>
      <c r="AT1372" s="87"/>
      <c r="AU1372" s="87"/>
      <c r="AV1372" s="87"/>
      <c r="AW1372" s="87"/>
      <c r="AX1372" s="87"/>
      <c r="AY1372" s="87"/>
      <c r="AZ1372" s="87"/>
      <c r="BA1372" s="87"/>
      <c r="BB1372" s="87"/>
      <c r="BC1372" s="87"/>
      <c r="BD1372" s="87"/>
      <c r="BE1372" s="87"/>
      <c r="BF1372" s="87"/>
      <c r="BG1372" s="87"/>
      <c r="BH1372" s="87"/>
      <c r="BI1372" s="87"/>
      <c r="BJ1372" s="87"/>
      <c r="BK1372" s="87"/>
      <c r="BL1372" s="87"/>
      <c r="BM1372" s="87"/>
      <c r="BN1372" s="87"/>
      <c r="BO1372" s="87"/>
      <c r="BP1372" s="87"/>
      <c r="BQ1372" s="87"/>
      <c r="BR1372" s="87"/>
      <c r="BS1372" s="87"/>
      <c r="BT1372" s="87"/>
      <c r="BU1372" s="87"/>
      <c r="BV1372" s="87"/>
      <c r="BW1372" s="87"/>
      <c r="BX1372" s="87"/>
      <c r="BY1372" s="87"/>
    </row>
    <row r="1373" spans="21:77" x14ac:dyDescent="0.3">
      <c r="U1373" s="19"/>
      <c r="V1373" s="87"/>
      <c r="W1373" s="87"/>
      <c r="X1373" s="87"/>
      <c r="Y1373" s="87"/>
      <c r="Z1373" s="87"/>
      <c r="AA1373" s="87"/>
      <c r="AB1373" s="87"/>
      <c r="AC1373" s="87"/>
      <c r="AD1373" s="87"/>
      <c r="AE1373" s="87"/>
      <c r="AF1373" s="87"/>
      <c r="AG1373" s="87"/>
      <c r="AH1373" s="87"/>
      <c r="AI1373" s="87"/>
      <c r="AJ1373" s="87"/>
      <c r="AK1373" s="87"/>
      <c r="AL1373" s="87"/>
      <c r="AM1373" s="87"/>
      <c r="AN1373" s="87"/>
      <c r="AO1373" s="87"/>
      <c r="AP1373" s="87"/>
      <c r="AQ1373" s="87"/>
      <c r="AR1373" s="87"/>
      <c r="AS1373" s="87"/>
      <c r="AT1373" s="87"/>
      <c r="AU1373" s="87"/>
      <c r="AV1373" s="87"/>
      <c r="AW1373" s="87"/>
      <c r="AX1373" s="87"/>
      <c r="AY1373" s="87"/>
      <c r="AZ1373" s="87"/>
      <c r="BA1373" s="87"/>
      <c r="BB1373" s="87"/>
      <c r="BC1373" s="87"/>
      <c r="BD1373" s="87"/>
      <c r="BE1373" s="87"/>
      <c r="BF1373" s="87"/>
      <c r="BG1373" s="87"/>
      <c r="BH1373" s="87"/>
      <c r="BI1373" s="87"/>
      <c r="BJ1373" s="87"/>
      <c r="BK1373" s="87"/>
      <c r="BL1373" s="87"/>
      <c r="BM1373" s="87"/>
      <c r="BN1373" s="87"/>
      <c r="BO1373" s="87"/>
      <c r="BP1373" s="87"/>
      <c r="BQ1373" s="87"/>
      <c r="BR1373" s="87"/>
      <c r="BS1373" s="87"/>
      <c r="BT1373" s="87"/>
      <c r="BU1373" s="87"/>
      <c r="BV1373" s="87"/>
      <c r="BW1373" s="87"/>
      <c r="BX1373" s="87"/>
      <c r="BY1373" s="87"/>
    </row>
    <row r="1374" spans="21:77" x14ac:dyDescent="0.3">
      <c r="U1374" s="19"/>
      <c r="V1374" s="87"/>
      <c r="W1374" s="87"/>
      <c r="X1374" s="87"/>
      <c r="Y1374" s="87"/>
      <c r="Z1374" s="87"/>
      <c r="AA1374" s="87"/>
      <c r="AB1374" s="87"/>
      <c r="AC1374" s="87"/>
      <c r="AD1374" s="87"/>
      <c r="AE1374" s="87"/>
      <c r="AF1374" s="87"/>
      <c r="AG1374" s="87"/>
      <c r="AH1374" s="87"/>
      <c r="AI1374" s="87"/>
      <c r="AJ1374" s="87"/>
      <c r="AK1374" s="87"/>
      <c r="AL1374" s="87"/>
      <c r="AM1374" s="87"/>
      <c r="AN1374" s="87"/>
      <c r="AO1374" s="87"/>
      <c r="AP1374" s="87"/>
      <c r="AQ1374" s="87"/>
      <c r="AR1374" s="87"/>
      <c r="AS1374" s="87"/>
      <c r="AT1374" s="87"/>
      <c r="AU1374" s="87"/>
      <c r="AV1374" s="87"/>
      <c r="AW1374" s="87"/>
      <c r="AX1374" s="87"/>
      <c r="AY1374" s="87"/>
      <c r="AZ1374" s="87"/>
      <c r="BA1374" s="87"/>
      <c r="BB1374" s="87"/>
      <c r="BC1374" s="87"/>
      <c r="BD1374" s="87"/>
      <c r="BE1374" s="87"/>
      <c r="BF1374" s="87"/>
      <c r="BG1374" s="87"/>
      <c r="BH1374" s="87"/>
      <c r="BI1374" s="87"/>
      <c r="BJ1374" s="87"/>
      <c r="BK1374" s="87"/>
      <c r="BL1374" s="87"/>
      <c r="BM1374" s="87"/>
      <c r="BN1374" s="87"/>
      <c r="BO1374" s="87"/>
      <c r="BP1374" s="87"/>
      <c r="BQ1374" s="87"/>
      <c r="BR1374" s="87"/>
      <c r="BS1374" s="87"/>
      <c r="BT1374" s="87"/>
      <c r="BU1374" s="87"/>
      <c r="BV1374" s="87"/>
      <c r="BW1374" s="87"/>
      <c r="BX1374" s="87"/>
      <c r="BY1374" s="87"/>
    </row>
    <row r="1375" spans="21:77" x14ac:dyDescent="0.3">
      <c r="U1375" s="19"/>
      <c r="V1375" s="87"/>
      <c r="W1375" s="87"/>
      <c r="X1375" s="87"/>
      <c r="Y1375" s="87"/>
      <c r="Z1375" s="87"/>
      <c r="AA1375" s="87"/>
      <c r="AB1375" s="87"/>
      <c r="AC1375" s="87"/>
      <c r="AD1375" s="87"/>
      <c r="AE1375" s="87"/>
      <c r="AF1375" s="87"/>
      <c r="AG1375" s="87"/>
      <c r="AH1375" s="87"/>
      <c r="AI1375" s="87"/>
      <c r="AJ1375" s="87"/>
      <c r="AK1375" s="87"/>
      <c r="AL1375" s="87"/>
      <c r="AM1375" s="87"/>
      <c r="AN1375" s="87"/>
      <c r="AO1375" s="87"/>
      <c r="AP1375" s="87"/>
      <c r="AQ1375" s="87"/>
      <c r="AR1375" s="87"/>
      <c r="AS1375" s="87"/>
      <c r="AT1375" s="87"/>
      <c r="AU1375" s="87"/>
      <c r="AV1375" s="87"/>
      <c r="AW1375" s="87"/>
      <c r="AX1375" s="87"/>
      <c r="AY1375" s="87"/>
      <c r="AZ1375" s="87"/>
      <c r="BA1375" s="87"/>
      <c r="BB1375" s="87"/>
      <c r="BC1375" s="87"/>
      <c r="BD1375" s="87"/>
      <c r="BE1375" s="87"/>
      <c r="BF1375" s="87"/>
      <c r="BG1375" s="87"/>
      <c r="BH1375" s="87"/>
      <c r="BI1375" s="87"/>
      <c r="BJ1375" s="87"/>
      <c r="BK1375" s="87"/>
      <c r="BL1375" s="87"/>
      <c r="BM1375" s="87"/>
      <c r="BN1375" s="87"/>
      <c r="BO1375" s="87"/>
      <c r="BP1375" s="87"/>
      <c r="BQ1375" s="87"/>
      <c r="BR1375" s="87"/>
      <c r="BS1375" s="87"/>
      <c r="BT1375" s="87"/>
      <c r="BU1375" s="87"/>
      <c r="BV1375" s="87"/>
      <c r="BW1375" s="87"/>
      <c r="BX1375" s="87"/>
      <c r="BY1375" s="87"/>
    </row>
    <row r="1376" spans="21:77" x14ac:dyDescent="0.3">
      <c r="U1376" s="19"/>
      <c r="V1376" s="87"/>
      <c r="W1376" s="87"/>
      <c r="X1376" s="87"/>
      <c r="Y1376" s="87"/>
      <c r="Z1376" s="87"/>
      <c r="AA1376" s="87"/>
      <c r="AB1376" s="87"/>
      <c r="AC1376" s="87"/>
      <c r="AD1376" s="87"/>
      <c r="AE1376" s="87"/>
      <c r="AF1376" s="87"/>
      <c r="AG1376" s="87"/>
      <c r="AH1376" s="87"/>
      <c r="AI1376" s="87"/>
      <c r="AJ1376" s="87"/>
      <c r="AK1376" s="87"/>
      <c r="AL1376" s="87"/>
      <c r="AM1376" s="87"/>
      <c r="AN1376" s="87"/>
      <c r="AO1376" s="87"/>
      <c r="AP1376" s="87"/>
      <c r="AQ1376" s="87"/>
      <c r="AR1376" s="87"/>
      <c r="AS1376" s="87"/>
      <c r="AT1376" s="87"/>
      <c r="AU1376" s="87"/>
      <c r="AV1376" s="87"/>
      <c r="AW1376" s="87"/>
      <c r="AX1376" s="87"/>
      <c r="AY1376" s="87"/>
      <c r="AZ1376" s="87"/>
      <c r="BA1376" s="87"/>
      <c r="BB1376" s="87"/>
      <c r="BC1376" s="87"/>
      <c r="BD1376" s="87"/>
      <c r="BE1376" s="87"/>
      <c r="BF1376" s="87"/>
      <c r="BG1376" s="87"/>
      <c r="BH1376" s="87"/>
      <c r="BI1376" s="87"/>
      <c r="BJ1376" s="87"/>
      <c r="BK1376" s="87"/>
      <c r="BL1376" s="87"/>
      <c r="BM1376" s="87"/>
      <c r="BN1376" s="87"/>
      <c r="BO1376" s="87"/>
      <c r="BP1376" s="87"/>
      <c r="BQ1376" s="87"/>
      <c r="BR1376" s="87"/>
      <c r="BS1376" s="87"/>
      <c r="BT1376" s="87"/>
      <c r="BU1376" s="87"/>
      <c r="BV1376" s="87"/>
      <c r="BW1376" s="87"/>
      <c r="BX1376" s="87"/>
      <c r="BY1376" s="87"/>
    </row>
    <row r="1377" spans="21:77" x14ac:dyDescent="0.3">
      <c r="U1377" s="19"/>
      <c r="V1377" s="87"/>
      <c r="W1377" s="87"/>
      <c r="X1377" s="87"/>
      <c r="Y1377" s="87"/>
      <c r="Z1377" s="87"/>
      <c r="AA1377" s="87"/>
      <c r="AB1377" s="87"/>
      <c r="AC1377" s="87"/>
      <c r="AD1377" s="87"/>
      <c r="AE1377" s="87"/>
      <c r="AF1377" s="87"/>
      <c r="AG1377" s="87"/>
      <c r="AH1377" s="87"/>
      <c r="AI1377" s="87"/>
      <c r="AJ1377" s="87"/>
      <c r="AK1377" s="87"/>
      <c r="AL1377" s="87"/>
      <c r="AM1377" s="87"/>
      <c r="AN1377" s="87"/>
      <c r="AO1377" s="87"/>
      <c r="AP1377" s="87"/>
      <c r="AQ1377" s="87"/>
      <c r="AR1377" s="87"/>
      <c r="AS1377" s="87"/>
      <c r="AT1377" s="87"/>
      <c r="AU1377" s="87"/>
      <c r="AV1377" s="87"/>
      <c r="AW1377" s="87"/>
      <c r="AX1377" s="87"/>
      <c r="AY1377" s="87"/>
      <c r="AZ1377" s="87"/>
      <c r="BA1377" s="87"/>
      <c r="BB1377" s="87"/>
      <c r="BC1377" s="87"/>
      <c r="BD1377" s="87"/>
      <c r="BE1377" s="87"/>
      <c r="BF1377" s="87"/>
      <c r="BG1377" s="87"/>
      <c r="BH1377" s="87"/>
      <c r="BI1377" s="87"/>
      <c r="BJ1377" s="87"/>
      <c r="BK1377" s="87"/>
      <c r="BL1377" s="87"/>
      <c r="BM1377" s="87"/>
      <c r="BN1377" s="87"/>
      <c r="BO1377" s="87"/>
      <c r="BP1377" s="87"/>
      <c r="BQ1377" s="87"/>
      <c r="BR1377" s="87"/>
      <c r="BS1377" s="87"/>
      <c r="BT1377" s="87"/>
      <c r="BU1377" s="87"/>
      <c r="BV1377" s="87"/>
      <c r="BW1377" s="87"/>
      <c r="BX1377" s="87"/>
      <c r="BY1377" s="87"/>
    </row>
    <row r="1378" spans="21:77" x14ac:dyDescent="0.3">
      <c r="U1378" s="19"/>
      <c r="V1378" s="87"/>
      <c r="W1378" s="87"/>
      <c r="X1378" s="87"/>
      <c r="Y1378" s="87"/>
      <c r="Z1378" s="87"/>
      <c r="AA1378" s="87"/>
      <c r="AB1378" s="87"/>
      <c r="AC1378" s="87"/>
      <c r="AD1378" s="87"/>
      <c r="AE1378" s="87"/>
      <c r="AF1378" s="87"/>
      <c r="AG1378" s="87"/>
      <c r="AH1378" s="87"/>
      <c r="AI1378" s="87"/>
      <c r="AJ1378" s="87"/>
      <c r="AK1378" s="87"/>
      <c r="AL1378" s="87"/>
      <c r="AM1378" s="87"/>
      <c r="AN1378" s="87"/>
      <c r="AO1378" s="87"/>
      <c r="AP1378" s="87"/>
      <c r="AQ1378" s="87"/>
      <c r="AR1378" s="87"/>
      <c r="AS1378" s="87"/>
      <c r="AT1378" s="87"/>
      <c r="AU1378" s="87"/>
      <c r="AV1378" s="87"/>
      <c r="AW1378" s="87"/>
      <c r="AX1378" s="87"/>
      <c r="AY1378" s="87"/>
      <c r="AZ1378" s="87"/>
      <c r="BA1378" s="87"/>
      <c r="BB1378" s="87"/>
      <c r="BC1378" s="87"/>
      <c r="BD1378" s="87"/>
      <c r="BE1378" s="87"/>
      <c r="BF1378" s="87"/>
      <c r="BG1378" s="87"/>
      <c r="BH1378" s="87"/>
      <c r="BI1378" s="87"/>
      <c r="BJ1378" s="87"/>
      <c r="BK1378" s="87"/>
      <c r="BL1378" s="87"/>
      <c r="BM1378" s="87"/>
      <c r="BN1378" s="87"/>
      <c r="BO1378" s="87"/>
      <c r="BP1378" s="87"/>
      <c r="BQ1378" s="87"/>
      <c r="BR1378" s="87"/>
      <c r="BS1378" s="87"/>
      <c r="BT1378" s="87"/>
      <c r="BU1378" s="87"/>
      <c r="BV1378" s="87"/>
      <c r="BW1378" s="87"/>
      <c r="BX1378" s="87"/>
      <c r="BY1378" s="87"/>
    </row>
    <row r="1379" spans="21:77" x14ac:dyDescent="0.3">
      <c r="U1379" s="19"/>
      <c r="V1379" s="87"/>
      <c r="W1379" s="87"/>
      <c r="X1379" s="87"/>
      <c r="Y1379" s="87"/>
      <c r="Z1379" s="87"/>
      <c r="AA1379" s="87"/>
      <c r="AB1379" s="87"/>
      <c r="AC1379" s="87"/>
      <c r="AD1379" s="87"/>
      <c r="AE1379" s="87"/>
      <c r="AF1379" s="87"/>
      <c r="AG1379" s="87"/>
      <c r="AH1379" s="87"/>
      <c r="AI1379" s="87"/>
      <c r="AJ1379" s="87"/>
      <c r="AK1379" s="87"/>
      <c r="AL1379" s="87"/>
      <c r="AM1379" s="87"/>
      <c r="AN1379" s="87"/>
      <c r="AO1379" s="87"/>
      <c r="AP1379" s="87"/>
      <c r="AQ1379" s="87"/>
      <c r="AR1379" s="87"/>
      <c r="AS1379" s="87"/>
      <c r="AT1379" s="87"/>
      <c r="AU1379" s="87"/>
      <c r="AV1379" s="87"/>
      <c r="AW1379" s="87"/>
      <c r="AX1379" s="87"/>
      <c r="AY1379" s="87"/>
      <c r="AZ1379" s="87"/>
      <c r="BA1379" s="87"/>
      <c r="BB1379" s="87"/>
      <c r="BC1379" s="87"/>
      <c r="BD1379" s="87"/>
      <c r="BE1379" s="87"/>
      <c r="BF1379" s="87"/>
      <c r="BG1379" s="87"/>
      <c r="BH1379" s="87"/>
      <c r="BI1379" s="87"/>
      <c r="BJ1379" s="87"/>
      <c r="BK1379" s="87"/>
      <c r="BL1379" s="87"/>
      <c r="BM1379" s="87"/>
      <c r="BN1379" s="87"/>
      <c r="BO1379" s="87"/>
      <c r="BP1379" s="87"/>
      <c r="BQ1379" s="87"/>
      <c r="BR1379" s="87"/>
      <c r="BS1379" s="87"/>
      <c r="BT1379" s="87"/>
      <c r="BU1379" s="87"/>
      <c r="BV1379" s="87"/>
      <c r="BW1379" s="87"/>
      <c r="BX1379" s="87"/>
      <c r="BY1379" s="87"/>
    </row>
    <row r="1380" spans="21:77" x14ac:dyDescent="0.3">
      <c r="U1380" s="19"/>
      <c r="V1380" s="87"/>
      <c r="W1380" s="87"/>
      <c r="X1380" s="87"/>
      <c r="Y1380" s="87"/>
      <c r="Z1380" s="87"/>
      <c r="AA1380" s="87"/>
      <c r="AB1380" s="87"/>
      <c r="AC1380" s="87"/>
      <c r="AD1380" s="87"/>
      <c r="AE1380" s="87"/>
      <c r="AF1380" s="87"/>
      <c r="AG1380" s="87"/>
      <c r="AH1380" s="87"/>
      <c r="AI1380" s="87"/>
      <c r="AJ1380" s="87"/>
      <c r="AK1380" s="87"/>
      <c r="AL1380" s="87"/>
      <c r="AM1380" s="87"/>
      <c r="AN1380" s="87"/>
      <c r="AO1380" s="87"/>
      <c r="AP1380" s="87"/>
      <c r="AQ1380" s="87"/>
      <c r="AR1380" s="87"/>
      <c r="AS1380" s="87"/>
      <c r="AT1380" s="87"/>
      <c r="AU1380" s="87"/>
      <c r="AV1380" s="87"/>
      <c r="AW1380" s="87"/>
      <c r="AX1380" s="87"/>
      <c r="AY1380" s="87"/>
      <c r="AZ1380" s="87"/>
      <c r="BA1380" s="87"/>
      <c r="BB1380" s="87"/>
      <c r="BC1380" s="87"/>
      <c r="BD1380" s="87"/>
      <c r="BE1380" s="87"/>
      <c r="BF1380" s="87"/>
      <c r="BG1380" s="87"/>
      <c r="BH1380" s="87"/>
      <c r="BI1380" s="87"/>
      <c r="BJ1380" s="87"/>
      <c r="BK1380" s="87"/>
      <c r="BL1380" s="87"/>
      <c r="BM1380" s="87"/>
      <c r="BN1380" s="87"/>
      <c r="BO1380" s="87"/>
      <c r="BP1380" s="87"/>
      <c r="BQ1380" s="87"/>
      <c r="BR1380" s="87"/>
      <c r="BS1380" s="87"/>
      <c r="BT1380" s="87"/>
      <c r="BU1380" s="87"/>
      <c r="BV1380" s="87"/>
      <c r="BW1380" s="87"/>
      <c r="BX1380" s="87"/>
      <c r="BY1380" s="87"/>
    </row>
    <row r="1381" spans="21:77" x14ac:dyDescent="0.3">
      <c r="U1381" s="19"/>
      <c r="V1381" s="87"/>
      <c r="W1381" s="87"/>
      <c r="X1381" s="87"/>
      <c r="Y1381" s="87"/>
      <c r="Z1381" s="87"/>
      <c r="AA1381" s="87"/>
      <c r="AB1381" s="87"/>
      <c r="AC1381" s="87"/>
      <c r="AD1381" s="87"/>
      <c r="AE1381" s="87"/>
      <c r="AF1381" s="87"/>
      <c r="AG1381" s="87"/>
      <c r="AH1381" s="87"/>
      <c r="AI1381" s="87"/>
      <c r="AJ1381" s="87"/>
      <c r="AK1381" s="87"/>
      <c r="AL1381" s="87"/>
      <c r="AM1381" s="87"/>
      <c r="AN1381" s="87"/>
      <c r="AO1381" s="87"/>
      <c r="AP1381" s="87"/>
      <c r="AQ1381" s="87"/>
      <c r="AR1381" s="87"/>
      <c r="AS1381" s="87"/>
      <c r="AT1381" s="87"/>
      <c r="AU1381" s="87"/>
      <c r="AV1381" s="87"/>
      <c r="AW1381" s="87"/>
      <c r="AX1381" s="87"/>
      <c r="AY1381" s="87"/>
      <c r="AZ1381" s="87"/>
      <c r="BA1381" s="87"/>
      <c r="BB1381" s="87"/>
      <c r="BC1381" s="87"/>
      <c r="BD1381" s="87"/>
      <c r="BE1381" s="87"/>
      <c r="BF1381" s="87"/>
      <c r="BG1381" s="87"/>
      <c r="BH1381" s="87"/>
      <c r="BI1381" s="87"/>
      <c r="BJ1381" s="87"/>
      <c r="BK1381" s="87"/>
      <c r="BL1381" s="87"/>
      <c r="BM1381" s="87"/>
      <c r="BN1381" s="87"/>
      <c r="BO1381" s="87"/>
      <c r="BP1381" s="87"/>
      <c r="BQ1381" s="87"/>
      <c r="BR1381" s="87"/>
      <c r="BS1381" s="87"/>
      <c r="BT1381" s="87"/>
      <c r="BU1381" s="87"/>
      <c r="BV1381" s="87"/>
      <c r="BW1381" s="87"/>
      <c r="BX1381" s="87"/>
      <c r="BY1381" s="87"/>
    </row>
    <row r="1382" spans="21:77" x14ac:dyDescent="0.3">
      <c r="U1382" s="19"/>
      <c r="V1382" s="87"/>
      <c r="W1382" s="87"/>
      <c r="X1382" s="87"/>
      <c r="Y1382" s="87"/>
      <c r="Z1382" s="87"/>
      <c r="AA1382" s="87"/>
      <c r="AB1382" s="87"/>
      <c r="AC1382" s="87"/>
      <c r="AD1382" s="87"/>
      <c r="AE1382" s="87"/>
      <c r="AF1382" s="87"/>
      <c r="AG1382" s="87"/>
      <c r="AH1382" s="87"/>
      <c r="AI1382" s="87"/>
      <c r="AJ1382" s="87"/>
      <c r="AK1382" s="87"/>
      <c r="AL1382" s="87"/>
      <c r="AM1382" s="87"/>
      <c r="AN1382" s="87"/>
      <c r="AO1382" s="87"/>
      <c r="AP1382" s="87"/>
      <c r="AQ1382" s="87"/>
      <c r="AR1382" s="87"/>
      <c r="AS1382" s="87"/>
      <c r="AT1382" s="87"/>
      <c r="AU1382" s="87"/>
      <c r="AV1382" s="87"/>
      <c r="AW1382" s="87"/>
      <c r="AX1382" s="87"/>
      <c r="AY1382" s="87"/>
      <c r="AZ1382" s="87"/>
      <c r="BA1382" s="87"/>
      <c r="BB1382" s="87"/>
      <c r="BC1382" s="87"/>
      <c r="BD1382" s="87"/>
      <c r="BE1382" s="87"/>
      <c r="BF1382" s="87"/>
      <c r="BG1382" s="87"/>
      <c r="BH1382" s="87"/>
      <c r="BI1382" s="87"/>
      <c r="BJ1382" s="87"/>
      <c r="BK1382" s="87"/>
      <c r="BL1382" s="87"/>
      <c r="BM1382" s="87"/>
      <c r="BN1382" s="87"/>
      <c r="BO1382" s="87"/>
      <c r="BP1382" s="87"/>
      <c r="BQ1382" s="87"/>
      <c r="BR1382" s="87"/>
      <c r="BS1382" s="87"/>
      <c r="BT1382" s="87"/>
      <c r="BU1382" s="87"/>
      <c r="BV1382" s="87"/>
      <c r="BW1382" s="87"/>
      <c r="BX1382" s="87"/>
      <c r="BY1382" s="87"/>
    </row>
    <row r="1383" spans="21:77" x14ac:dyDescent="0.3">
      <c r="U1383" s="19"/>
      <c r="V1383" s="87"/>
      <c r="W1383" s="87"/>
      <c r="X1383" s="87"/>
      <c r="Y1383" s="87"/>
      <c r="Z1383" s="87"/>
      <c r="AA1383" s="87"/>
      <c r="AB1383" s="87"/>
      <c r="AC1383" s="87"/>
      <c r="AD1383" s="87"/>
      <c r="AE1383" s="87"/>
      <c r="AF1383" s="87"/>
      <c r="AG1383" s="87"/>
      <c r="AH1383" s="87"/>
      <c r="AI1383" s="87"/>
      <c r="AJ1383" s="87"/>
      <c r="AK1383" s="87"/>
      <c r="AL1383" s="87"/>
      <c r="AM1383" s="87"/>
      <c r="AN1383" s="87"/>
      <c r="AO1383" s="87"/>
      <c r="AP1383" s="87"/>
      <c r="AQ1383" s="87"/>
      <c r="AR1383" s="87"/>
      <c r="AS1383" s="87"/>
      <c r="AT1383" s="87"/>
      <c r="AU1383" s="87"/>
      <c r="AV1383" s="87"/>
      <c r="AW1383" s="87"/>
      <c r="AX1383" s="87"/>
      <c r="AY1383" s="87"/>
      <c r="AZ1383" s="87"/>
      <c r="BA1383" s="87"/>
      <c r="BB1383" s="87"/>
      <c r="BC1383" s="87"/>
      <c r="BD1383" s="87"/>
      <c r="BE1383" s="87"/>
      <c r="BF1383" s="87"/>
      <c r="BG1383" s="87"/>
      <c r="BH1383" s="87"/>
      <c r="BI1383" s="87"/>
      <c r="BJ1383" s="87"/>
      <c r="BK1383" s="87"/>
      <c r="BL1383" s="87"/>
      <c r="BM1383" s="87"/>
      <c r="BN1383" s="87"/>
      <c r="BO1383" s="87"/>
      <c r="BP1383" s="87"/>
      <c r="BQ1383" s="87"/>
      <c r="BR1383" s="87"/>
      <c r="BS1383" s="87"/>
      <c r="BT1383" s="87"/>
      <c r="BU1383" s="87"/>
      <c r="BV1383" s="87"/>
      <c r="BW1383" s="87"/>
      <c r="BX1383" s="87"/>
      <c r="BY1383" s="87"/>
    </row>
    <row r="1384" spans="21:77" x14ac:dyDescent="0.3">
      <c r="U1384" s="19"/>
      <c r="V1384" s="87"/>
      <c r="W1384" s="87"/>
      <c r="X1384" s="87"/>
      <c r="Y1384" s="87"/>
      <c r="Z1384" s="87"/>
      <c r="AA1384" s="87"/>
      <c r="AB1384" s="87"/>
      <c r="AC1384" s="87"/>
      <c r="AD1384" s="87"/>
      <c r="AE1384" s="87"/>
      <c r="AF1384" s="87"/>
      <c r="AG1384" s="87"/>
      <c r="AH1384" s="87"/>
      <c r="AI1384" s="87"/>
      <c r="AJ1384" s="87"/>
      <c r="AK1384" s="87"/>
      <c r="AL1384" s="87"/>
      <c r="AM1384" s="87"/>
      <c r="AN1384" s="87"/>
      <c r="AO1384" s="87"/>
      <c r="AP1384" s="87"/>
      <c r="AQ1384" s="87"/>
      <c r="AR1384" s="87"/>
      <c r="AS1384" s="87"/>
      <c r="AT1384" s="87"/>
      <c r="AU1384" s="87"/>
      <c r="AV1384" s="87"/>
      <c r="AW1384" s="87"/>
      <c r="AX1384" s="87"/>
      <c r="AY1384" s="87"/>
      <c r="AZ1384" s="87"/>
      <c r="BA1384" s="87"/>
      <c r="BB1384" s="87"/>
      <c r="BC1384" s="87"/>
      <c r="BD1384" s="87"/>
      <c r="BE1384" s="87"/>
      <c r="BF1384" s="87"/>
      <c r="BG1384" s="87"/>
      <c r="BH1384" s="87"/>
      <c r="BI1384" s="87"/>
      <c r="BJ1384" s="87"/>
      <c r="BK1384" s="87"/>
      <c r="BL1384" s="87"/>
      <c r="BM1384" s="87"/>
      <c r="BN1384" s="87"/>
      <c r="BO1384" s="87"/>
      <c r="BP1384" s="87"/>
      <c r="BQ1384" s="87"/>
      <c r="BR1384" s="87"/>
      <c r="BS1384" s="87"/>
      <c r="BT1384" s="87"/>
      <c r="BU1384" s="87"/>
      <c r="BV1384" s="87"/>
      <c r="BW1384" s="87"/>
      <c r="BX1384" s="87"/>
      <c r="BY1384" s="87"/>
    </row>
    <row r="1385" spans="21:77" x14ac:dyDescent="0.3">
      <c r="U1385" s="19"/>
      <c r="V1385" s="87"/>
      <c r="W1385" s="87"/>
      <c r="X1385" s="87"/>
      <c r="Y1385" s="87"/>
      <c r="Z1385" s="87"/>
      <c r="AA1385" s="87"/>
      <c r="AB1385" s="87"/>
      <c r="AC1385" s="87"/>
      <c r="AD1385" s="87"/>
      <c r="AE1385" s="87"/>
      <c r="AF1385" s="87"/>
      <c r="AG1385" s="87"/>
      <c r="AH1385" s="87"/>
      <c r="AI1385" s="87"/>
      <c r="AJ1385" s="87"/>
      <c r="AK1385" s="87"/>
      <c r="AL1385" s="87"/>
      <c r="AM1385" s="87"/>
      <c r="AN1385" s="87"/>
      <c r="AO1385" s="87"/>
      <c r="AP1385" s="87"/>
      <c r="AQ1385" s="87"/>
      <c r="AR1385" s="87"/>
      <c r="AS1385" s="87"/>
      <c r="AT1385" s="87"/>
      <c r="AU1385" s="87"/>
      <c r="AV1385" s="87"/>
      <c r="AW1385" s="87"/>
      <c r="AX1385" s="87"/>
      <c r="AY1385" s="87"/>
      <c r="AZ1385" s="87"/>
      <c r="BA1385" s="87"/>
      <c r="BB1385" s="87"/>
      <c r="BC1385" s="87"/>
      <c r="BD1385" s="87"/>
      <c r="BE1385" s="87"/>
      <c r="BF1385" s="87"/>
      <c r="BG1385" s="87"/>
      <c r="BH1385" s="87"/>
      <c r="BI1385" s="87"/>
      <c r="BJ1385" s="87"/>
      <c r="BK1385" s="87"/>
      <c r="BL1385" s="87"/>
      <c r="BM1385" s="87"/>
      <c r="BN1385" s="87"/>
      <c r="BO1385" s="87"/>
      <c r="BP1385" s="87"/>
      <c r="BQ1385" s="87"/>
      <c r="BR1385" s="87"/>
      <c r="BS1385" s="87"/>
      <c r="BT1385" s="87"/>
      <c r="BU1385" s="87"/>
      <c r="BV1385" s="87"/>
      <c r="BW1385" s="87"/>
      <c r="BX1385" s="87"/>
      <c r="BY1385" s="87"/>
    </row>
    <row r="1386" spans="21:77" x14ac:dyDescent="0.3">
      <c r="U1386" s="19"/>
      <c r="V1386" s="87"/>
      <c r="W1386" s="87"/>
      <c r="X1386" s="87"/>
      <c r="Y1386" s="87"/>
      <c r="Z1386" s="87"/>
      <c r="AA1386" s="87"/>
      <c r="AB1386" s="87"/>
      <c r="AC1386" s="87"/>
      <c r="AD1386" s="87"/>
      <c r="AE1386" s="87"/>
      <c r="AF1386" s="87"/>
      <c r="AG1386" s="87"/>
      <c r="AH1386" s="87"/>
      <c r="AI1386" s="87"/>
      <c r="AJ1386" s="87"/>
      <c r="AK1386" s="87"/>
      <c r="AL1386" s="87"/>
      <c r="AM1386" s="87"/>
      <c r="AN1386" s="87"/>
      <c r="AO1386" s="87"/>
      <c r="AP1386" s="87"/>
      <c r="AQ1386" s="87"/>
      <c r="AR1386" s="87"/>
      <c r="AS1386" s="87"/>
      <c r="AT1386" s="87"/>
      <c r="AU1386" s="87"/>
      <c r="AV1386" s="87"/>
      <c r="AW1386" s="87"/>
      <c r="AX1386" s="87"/>
      <c r="AY1386" s="87"/>
      <c r="AZ1386" s="87"/>
      <c r="BA1386" s="87"/>
      <c r="BB1386" s="87"/>
      <c r="BC1386" s="87"/>
      <c r="BD1386" s="87"/>
      <c r="BE1386" s="87"/>
      <c r="BF1386" s="87"/>
      <c r="BG1386" s="87"/>
      <c r="BH1386" s="87"/>
      <c r="BI1386" s="87"/>
      <c r="BJ1386" s="87"/>
      <c r="BK1386" s="87"/>
      <c r="BL1386" s="87"/>
      <c r="BM1386" s="87"/>
      <c r="BN1386" s="87"/>
      <c r="BO1386" s="87"/>
      <c r="BP1386" s="87"/>
      <c r="BQ1386" s="87"/>
      <c r="BR1386" s="87"/>
      <c r="BS1386" s="87"/>
      <c r="BT1386" s="87"/>
      <c r="BU1386" s="87"/>
      <c r="BV1386" s="87"/>
      <c r="BW1386" s="87"/>
      <c r="BX1386" s="87"/>
      <c r="BY1386" s="87"/>
    </row>
    <row r="1387" spans="21:77" x14ac:dyDescent="0.3">
      <c r="U1387" s="19"/>
      <c r="V1387" s="87"/>
      <c r="W1387" s="87"/>
      <c r="X1387" s="87"/>
      <c r="Y1387" s="87"/>
      <c r="Z1387" s="87"/>
      <c r="AA1387" s="87"/>
      <c r="AB1387" s="87"/>
      <c r="AC1387" s="87"/>
      <c r="AD1387" s="87"/>
      <c r="AE1387" s="87"/>
      <c r="AF1387" s="87"/>
      <c r="AG1387" s="87"/>
      <c r="AH1387" s="87"/>
      <c r="AI1387" s="87"/>
      <c r="AJ1387" s="87"/>
      <c r="AK1387" s="87"/>
      <c r="AL1387" s="87"/>
      <c r="AM1387" s="87"/>
      <c r="AN1387" s="87"/>
      <c r="AO1387" s="87"/>
      <c r="AP1387" s="87"/>
      <c r="AQ1387" s="87"/>
      <c r="AR1387" s="87"/>
      <c r="AS1387" s="87"/>
      <c r="AT1387" s="87"/>
      <c r="AU1387" s="87"/>
      <c r="AV1387" s="87"/>
      <c r="AW1387" s="87"/>
      <c r="AX1387" s="87"/>
      <c r="AY1387" s="87"/>
      <c r="AZ1387" s="87"/>
      <c r="BA1387" s="87"/>
      <c r="BB1387" s="87"/>
      <c r="BC1387" s="87"/>
      <c r="BD1387" s="87"/>
      <c r="BE1387" s="87"/>
      <c r="BF1387" s="87"/>
      <c r="BG1387" s="87"/>
      <c r="BH1387" s="87"/>
      <c r="BI1387" s="87"/>
      <c r="BJ1387" s="87"/>
      <c r="BK1387" s="87"/>
      <c r="BL1387" s="87"/>
      <c r="BM1387" s="87"/>
      <c r="BN1387" s="87"/>
      <c r="BO1387" s="87"/>
      <c r="BP1387" s="87"/>
      <c r="BQ1387" s="87"/>
      <c r="BR1387" s="87"/>
      <c r="BS1387" s="87"/>
      <c r="BT1387" s="87"/>
      <c r="BU1387" s="87"/>
      <c r="BV1387" s="87"/>
      <c r="BW1387" s="87"/>
      <c r="BX1387" s="87"/>
      <c r="BY1387" s="87"/>
    </row>
    <row r="1388" spans="21:77" x14ac:dyDescent="0.3">
      <c r="U1388" s="19"/>
      <c r="V1388" s="87"/>
      <c r="W1388" s="87"/>
      <c r="X1388" s="87"/>
      <c r="Y1388" s="87"/>
      <c r="Z1388" s="87"/>
      <c r="AA1388" s="87"/>
      <c r="AB1388" s="87"/>
      <c r="AC1388" s="87"/>
      <c r="AD1388" s="87"/>
      <c r="AE1388" s="87"/>
      <c r="AF1388" s="87"/>
      <c r="AG1388" s="87"/>
      <c r="AH1388" s="87"/>
      <c r="AI1388" s="87"/>
      <c r="AJ1388" s="87"/>
      <c r="AK1388" s="87"/>
      <c r="AL1388" s="87"/>
      <c r="AM1388" s="87"/>
      <c r="AN1388" s="87"/>
      <c r="AO1388" s="87"/>
      <c r="AP1388" s="87"/>
      <c r="AQ1388" s="87"/>
      <c r="AR1388" s="87"/>
      <c r="AS1388" s="87"/>
      <c r="AT1388" s="87"/>
      <c r="AU1388" s="87"/>
      <c r="AV1388" s="87"/>
      <c r="AW1388" s="87"/>
      <c r="AX1388" s="87"/>
      <c r="AY1388" s="87"/>
      <c r="AZ1388" s="87"/>
      <c r="BA1388" s="87"/>
      <c r="BB1388" s="87"/>
      <c r="BC1388" s="87"/>
      <c r="BD1388" s="87"/>
      <c r="BE1388" s="87"/>
      <c r="BF1388" s="87"/>
      <c r="BG1388" s="87"/>
      <c r="BH1388" s="87"/>
      <c r="BI1388" s="87"/>
      <c r="BJ1388" s="87"/>
      <c r="BK1388" s="87"/>
      <c r="BL1388" s="87"/>
      <c r="BM1388" s="87"/>
      <c r="BN1388" s="87"/>
      <c r="BO1388" s="87"/>
      <c r="BP1388" s="87"/>
      <c r="BQ1388" s="87"/>
      <c r="BR1388" s="87"/>
      <c r="BS1388" s="87"/>
      <c r="BT1388" s="87"/>
      <c r="BU1388" s="87"/>
      <c r="BV1388" s="87"/>
      <c r="BW1388" s="87"/>
      <c r="BX1388" s="87"/>
      <c r="BY1388" s="87"/>
    </row>
    <row r="1389" spans="21:77" x14ac:dyDescent="0.3">
      <c r="U1389" s="19"/>
      <c r="V1389" s="87"/>
      <c r="W1389" s="87"/>
      <c r="X1389" s="87"/>
      <c r="Y1389" s="87"/>
      <c r="Z1389" s="87"/>
      <c r="AA1389" s="87"/>
      <c r="AB1389" s="87"/>
      <c r="AC1389" s="87"/>
      <c r="AD1389" s="87"/>
      <c r="AE1389" s="87"/>
      <c r="AF1389" s="87"/>
      <c r="AG1389" s="87"/>
      <c r="AH1389" s="87"/>
      <c r="AI1389" s="87"/>
      <c r="AJ1389" s="87"/>
      <c r="AK1389" s="87"/>
      <c r="AL1389" s="87"/>
      <c r="AM1389" s="87"/>
      <c r="AN1389" s="87"/>
      <c r="AO1389" s="87"/>
      <c r="AP1389" s="87"/>
      <c r="AQ1389" s="87"/>
      <c r="AR1389" s="87"/>
      <c r="AS1389" s="87"/>
      <c r="AT1389" s="87"/>
      <c r="AU1389" s="87"/>
      <c r="AV1389" s="87"/>
      <c r="AW1389" s="87"/>
      <c r="AX1389" s="87"/>
      <c r="AY1389" s="87"/>
      <c r="AZ1389" s="87"/>
      <c r="BA1389" s="87"/>
      <c r="BB1389" s="87"/>
      <c r="BC1389" s="87"/>
      <c r="BD1389" s="87"/>
      <c r="BE1389" s="87"/>
      <c r="BF1389" s="87"/>
      <c r="BG1389" s="87"/>
      <c r="BH1389" s="87"/>
      <c r="BI1389" s="87"/>
      <c r="BJ1389" s="87"/>
      <c r="BK1389" s="87"/>
      <c r="BL1389" s="87"/>
      <c r="BM1389" s="87"/>
      <c r="BN1389" s="87"/>
      <c r="BO1389" s="87"/>
      <c r="BP1389" s="87"/>
      <c r="BQ1389" s="87"/>
      <c r="BR1389" s="87"/>
      <c r="BS1389" s="87"/>
      <c r="BT1389" s="87"/>
      <c r="BU1389" s="87"/>
      <c r="BV1389" s="87"/>
      <c r="BW1389" s="87"/>
      <c r="BX1389" s="87"/>
      <c r="BY1389" s="87"/>
    </row>
    <row r="1390" spans="21:77" x14ac:dyDescent="0.3">
      <c r="U1390" s="19"/>
      <c r="V1390" s="87"/>
      <c r="W1390" s="87"/>
      <c r="X1390" s="87"/>
      <c r="Y1390" s="87"/>
      <c r="Z1390" s="87"/>
      <c r="AA1390" s="87"/>
      <c r="AB1390" s="87"/>
      <c r="AC1390" s="87"/>
      <c r="AD1390" s="87"/>
      <c r="AE1390" s="87"/>
      <c r="AF1390" s="87"/>
      <c r="AG1390" s="87"/>
      <c r="AH1390" s="87"/>
      <c r="AI1390" s="87"/>
      <c r="AJ1390" s="87"/>
      <c r="AK1390" s="87"/>
      <c r="AL1390" s="87"/>
      <c r="AM1390" s="87"/>
      <c r="AN1390" s="87"/>
      <c r="AO1390" s="87"/>
      <c r="AP1390" s="87"/>
      <c r="AQ1390" s="87"/>
      <c r="AR1390" s="87"/>
      <c r="AS1390" s="87"/>
      <c r="AT1390" s="87"/>
      <c r="AU1390" s="87"/>
      <c r="AV1390" s="87"/>
      <c r="AW1390" s="87"/>
      <c r="AX1390" s="87"/>
      <c r="AY1390" s="87"/>
      <c r="AZ1390" s="87"/>
      <c r="BA1390" s="87"/>
      <c r="BB1390" s="87"/>
      <c r="BC1390" s="87"/>
      <c r="BD1390" s="87"/>
      <c r="BE1390" s="87"/>
      <c r="BF1390" s="87"/>
      <c r="BG1390" s="87"/>
      <c r="BH1390" s="87"/>
      <c r="BI1390" s="87"/>
      <c r="BJ1390" s="87"/>
      <c r="BK1390" s="87"/>
      <c r="BL1390" s="87"/>
      <c r="BM1390" s="87"/>
      <c r="BN1390" s="87"/>
      <c r="BO1390" s="87"/>
      <c r="BP1390" s="87"/>
      <c r="BQ1390" s="87"/>
      <c r="BR1390" s="87"/>
      <c r="BS1390" s="87"/>
      <c r="BT1390" s="87"/>
      <c r="BU1390" s="87"/>
      <c r="BV1390" s="87"/>
      <c r="BW1390" s="87"/>
      <c r="BX1390" s="87"/>
      <c r="BY1390" s="87"/>
    </row>
    <row r="1391" spans="21:77" x14ac:dyDescent="0.3">
      <c r="U1391" s="19"/>
      <c r="V1391" s="87"/>
      <c r="W1391" s="87"/>
      <c r="X1391" s="87"/>
      <c r="Y1391" s="87"/>
      <c r="Z1391" s="87"/>
      <c r="AA1391" s="87"/>
      <c r="AB1391" s="87"/>
      <c r="AC1391" s="87"/>
      <c r="AD1391" s="87"/>
      <c r="AE1391" s="87"/>
      <c r="AF1391" s="87"/>
      <c r="AG1391" s="87"/>
      <c r="AH1391" s="87"/>
      <c r="AI1391" s="87"/>
      <c r="AJ1391" s="87"/>
      <c r="AK1391" s="87"/>
      <c r="AL1391" s="87"/>
      <c r="AM1391" s="87"/>
      <c r="AN1391" s="87"/>
      <c r="AO1391" s="87"/>
      <c r="AP1391" s="87"/>
      <c r="AQ1391" s="87"/>
      <c r="AR1391" s="87"/>
      <c r="AS1391" s="87"/>
      <c r="AT1391" s="87"/>
      <c r="AU1391" s="87"/>
      <c r="AV1391" s="87"/>
      <c r="AW1391" s="87"/>
      <c r="AX1391" s="87"/>
      <c r="AY1391" s="87"/>
      <c r="AZ1391" s="87"/>
      <c r="BA1391" s="87"/>
      <c r="BB1391" s="87"/>
      <c r="BC1391" s="87"/>
      <c r="BD1391" s="87"/>
      <c r="BE1391" s="87"/>
      <c r="BF1391" s="87"/>
      <c r="BG1391" s="87"/>
      <c r="BH1391" s="87"/>
      <c r="BI1391" s="87"/>
      <c r="BJ1391" s="87"/>
      <c r="BK1391" s="87"/>
      <c r="BL1391" s="87"/>
      <c r="BM1391" s="87"/>
      <c r="BN1391" s="87"/>
      <c r="BO1391" s="87"/>
      <c r="BP1391" s="87"/>
      <c r="BQ1391" s="87"/>
      <c r="BR1391" s="87"/>
      <c r="BS1391" s="87"/>
      <c r="BT1391" s="87"/>
      <c r="BU1391" s="87"/>
      <c r="BV1391" s="87"/>
      <c r="BW1391" s="87"/>
      <c r="BX1391" s="87"/>
      <c r="BY1391" s="87"/>
    </row>
    <row r="1392" spans="21:77" x14ac:dyDescent="0.3">
      <c r="U1392" s="19"/>
      <c r="V1392" s="87"/>
      <c r="W1392" s="87"/>
      <c r="X1392" s="87"/>
      <c r="Y1392" s="87"/>
      <c r="Z1392" s="87"/>
      <c r="AA1392" s="87"/>
      <c r="AB1392" s="87"/>
      <c r="AC1392" s="87"/>
      <c r="AD1392" s="87"/>
      <c r="AE1392" s="87"/>
      <c r="AF1392" s="87"/>
      <c r="AG1392" s="87"/>
      <c r="AH1392" s="87"/>
      <c r="AI1392" s="87"/>
      <c r="AJ1392" s="87"/>
      <c r="AK1392" s="87"/>
      <c r="AL1392" s="87"/>
      <c r="AM1392" s="87"/>
      <c r="AN1392" s="87"/>
      <c r="AO1392" s="87"/>
      <c r="AP1392" s="87"/>
      <c r="AQ1392" s="87"/>
      <c r="AR1392" s="87"/>
      <c r="AS1392" s="87"/>
      <c r="AT1392" s="87"/>
      <c r="AU1392" s="87"/>
      <c r="AV1392" s="87"/>
      <c r="AW1392" s="87"/>
      <c r="AX1392" s="87"/>
      <c r="AY1392" s="87"/>
      <c r="AZ1392" s="87"/>
      <c r="BA1392" s="87"/>
      <c r="BB1392" s="87"/>
      <c r="BC1392" s="87"/>
      <c r="BD1392" s="87"/>
      <c r="BE1392" s="87"/>
      <c r="BF1392" s="87"/>
      <c r="BG1392" s="87"/>
      <c r="BH1392" s="87"/>
      <c r="BI1392" s="87"/>
      <c r="BJ1392" s="87"/>
      <c r="BK1392" s="87"/>
      <c r="BL1392" s="87"/>
      <c r="BM1392" s="87"/>
      <c r="BN1392" s="87"/>
      <c r="BO1392" s="87"/>
      <c r="BP1392" s="87"/>
      <c r="BQ1392" s="87"/>
      <c r="BR1392" s="87"/>
      <c r="BS1392" s="87"/>
      <c r="BT1392" s="87"/>
      <c r="BU1392" s="87"/>
      <c r="BV1392" s="87"/>
      <c r="BW1392" s="87"/>
      <c r="BX1392" s="87"/>
      <c r="BY1392" s="87"/>
    </row>
    <row r="1393" spans="21:77" x14ac:dyDescent="0.3">
      <c r="U1393" s="19"/>
      <c r="V1393" s="87"/>
      <c r="W1393" s="87"/>
      <c r="X1393" s="87"/>
      <c r="Y1393" s="87"/>
      <c r="Z1393" s="87"/>
      <c r="AA1393" s="87"/>
      <c r="AB1393" s="87"/>
      <c r="AC1393" s="87"/>
      <c r="AD1393" s="87"/>
      <c r="AE1393" s="87"/>
      <c r="AF1393" s="87"/>
      <c r="AG1393" s="87"/>
      <c r="AH1393" s="87"/>
      <c r="AI1393" s="87"/>
      <c r="AJ1393" s="87"/>
      <c r="AK1393" s="87"/>
      <c r="AL1393" s="87"/>
      <c r="AM1393" s="87"/>
      <c r="AN1393" s="87"/>
      <c r="AO1393" s="87"/>
      <c r="AP1393" s="87"/>
      <c r="AQ1393" s="87"/>
      <c r="AR1393" s="87"/>
      <c r="AS1393" s="87"/>
      <c r="AT1393" s="87"/>
      <c r="AU1393" s="87"/>
      <c r="AV1393" s="87"/>
      <c r="AW1393" s="87"/>
      <c r="AX1393" s="87"/>
      <c r="AY1393" s="87"/>
      <c r="AZ1393" s="87"/>
      <c r="BA1393" s="87"/>
      <c r="BB1393" s="87"/>
      <c r="BC1393" s="87"/>
      <c r="BD1393" s="87"/>
      <c r="BE1393" s="87"/>
      <c r="BF1393" s="87"/>
      <c r="BG1393" s="87"/>
      <c r="BH1393" s="87"/>
      <c r="BI1393" s="87"/>
      <c r="BJ1393" s="87"/>
      <c r="BK1393" s="87"/>
      <c r="BL1393" s="87"/>
      <c r="BM1393" s="87"/>
      <c r="BN1393" s="87"/>
      <c r="BO1393" s="87"/>
      <c r="BP1393" s="87"/>
      <c r="BQ1393" s="87"/>
      <c r="BR1393" s="87"/>
      <c r="BS1393" s="87"/>
      <c r="BT1393" s="87"/>
      <c r="BU1393" s="87"/>
      <c r="BV1393" s="87"/>
      <c r="BW1393" s="87"/>
      <c r="BX1393" s="87"/>
      <c r="BY1393" s="87"/>
    </row>
    <row r="1394" spans="21:77" x14ac:dyDescent="0.3">
      <c r="U1394" s="19"/>
      <c r="V1394" s="87"/>
      <c r="W1394" s="87"/>
      <c r="X1394" s="87"/>
      <c r="Y1394" s="87"/>
      <c r="Z1394" s="87"/>
      <c r="AA1394" s="87"/>
      <c r="AB1394" s="87"/>
      <c r="AC1394" s="87"/>
      <c r="AD1394" s="87"/>
      <c r="AE1394" s="87"/>
      <c r="AF1394" s="87"/>
      <c r="AG1394" s="87"/>
      <c r="AH1394" s="87"/>
      <c r="AI1394" s="87"/>
      <c r="AJ1394" s="87"/>
      <c r="AK1394" s="87"/>
      <c r="AL1394" s="87"/>
      <c r="AM1394" s="87"/>
      <c r="AN1394" s="87"/>
      <c r="AO1394" s="87"/>
      <c r="AP1394" s="87"/>
      <c r="AQ1394" s="87"/>
      <c r="AR1394" s="87"/>
      <c r="AS1394" s="87"/>
      <c r="AT1394" s="87"/>
      <c r="AU1394" s="87"/>
      <c r="AV1394" s="87"/>
      <c r="AW1394" s="87"/>
      <c r="AX1394" s="87"/>
      <c r="AY1394" s="87"/>
      <c r="AZ1394" s="87"/>
      <c r="BA1394" s="87"/>
      <c r="BB1394" s="87"/>
      <c r="BC1394" s="87"/>
      <c r="BD1394" s="87"/>
      <c r="BE1394" s="87"/>
      <c r="BF1394" s="87"/>
      <c r="BG1394" s="87"/>
      <c r="BH1394" s="87"/>
      <c r="BI1394" s="87"/>
      <c r="BJ1394" s="87"/>
      <c r="BK1394" s="87"/>
      <c r="BL1394" s="87"/>
      <c r="BM1394" s="87"/>
      <c r="BN1394" s="87"/>
      <c r="BO1394" s="87"/>
      <c r="BP1394" s="87"/>
      <c r="BQ1394" s="87"/>
      <c r="BR1394" s="87"/>
      <c r="BS1394" s="87"/>
      <c r="BT1394" s="87"/>
      <c r="BU1394" s="87"/>
      <c r="BV1394" s="87"/>
      <c r="BW1394" s="87"/>
      <c r="BX1394" s="87"/>
      <c r="BY1394" s="87"/>
    </row>
    <row r="1395" spans="21:77" x14ac:dyDescent="0.3">
      <c r="U1395" s="19"/>
      <c r="V1395" s="87"/>
      <c r="W1395" s="87"/>
      <c r="X1395" s="87"/>
      <c r="Y1395" s="87"/>
      <c r="Z1395" s="87"/>
      <c r="AA1395" s="87"/>
      <c r="AB1395" s="87"/>
      <c r="AC1395" s="87"/>
      <c r="AD1395" s="87"/>
      <c r="AE1395" s="87"/>
      <c r="AF1395" s="87"/>
      <c r="AG1395" s="87"/>
      <c r="AH1395" s="87"/>
      <c r="AI1395" s="87"/>
      <c r="AJ1395" s="87"/>
      <c r="AK1395" s="87"/>
      <c r="AL1395" s="87"/>
      <c r="AM1395" s="87"/>
      <c r="AN1395" s="87"/>
      <c r="AO1395" s="87"/>
      <c r="AP1395" s="87"/>
      <c r="AQ1395" s="87"/>
      <c r="AR1395" s="87"/>
      <c r="AS1395" s="87"/>
      <c r="AT1395" s="87"/>
      <c r="AU1395" s="87"/>
      <c r="AV1395" s="87"/>
      <c r="AW1395" s="87"/>
      <c r="AX1395" s="87"/>
      <c r="AY1395" s="87"/>
      <c r="AZ1395" s="87"/>
      <c r="BA1395" s="87"/>
      <c r="BB1395" s="87"/>
      <c r="BC1395" s="87"/>
      <c r="BD1395" s="87"/>
      <c r="BE1395" s="87"/>
      <c r="BF1395" s="87"/>
      <c r="BG1395" s="87"/>
      <c r="BH1395" s="87"/>
      <c r="BI1395" s="87"/>
      <c r="BJ1395" s="87"/>
      <c r="BK1395" s="87"/>
      <c r="BL1395" s="87"/>
      <c r="BM1395" s="87"/>
      <c r="BN1395" s="87"/>
      <c r="BO1395" s="87"/>
      <c r="BP1395" s="87"/>
      <c r="BQ1395" s="87"/>
      <c r="BR1395" s="87"/>
      <c r="BS1395" s="87"/>
      <c r="BT1395" s="87"/>
      <c r="BU1395" s="87"/>
      <c r="BV1395" s="87"/>
      <c r="BW1395" s="87"/>
      <c r="BX1395" s="87"/>
      <c r="BY1395" s="87"/>
    </row>
    <row r="1396" spans="21:77" x14ac:dyDescent="0.3">
      <c r="U1396" s="19"/>
      <c r="V1396" s="87"/>
      <c r="W1396" s="87"/>
      <c r="X1396" s="87"/>
      <c r="Y1396" s="87"/>
      <c r="Z1396" s="87"/>
      <c r="AA1396" s="87"/>
      <c r="AB1396" s="87"/>
      <c r="AC1396" s="87"/>
      <c r="AD1396" s="87"/>
      <c r="AE1396" s="87"/>
      <c r="AF1396" s="87"/>
      <c r="AG1396" s="87"/>
      <c r="AH1396" s="87"/>
      <c r="AI1396" s="87"/>
      <c r="AJ1396" s="87"/>
      <c r="AK1396" s="87"/>
      <c r="AL1396" s="87"/>
      <c r="AM1396" s="87"/>
      <c r="AN1396" s="87"/>
      <c r="AO1396" s="87"/>
      <c r="AP1396" s="87"/>
      <c r="AQ1396" s="87"/>
      <c r="AR1396" s="87"/>
      <c r="AS1396" s="87"/>
      <c r="AT1396" s="87"/>
      <c r="AU1396" s="87"/>
      <c r="AV1396" s="87"/>
      <c r="AW1396" s="87"/>
      <c r="AX1396" s="87"/>
      <c r="AY1396" s="87"/>
      <c r="AZ1396" s="87"/>
      <c r="BA1396" s="87"/>
      <c r="BB1396" s="87"/>
      <c r="BC1396" s="87"/>
      <c r="BD1396" s="87"/>
      <c r="BE1396" s="87"/>
      <c r="BF1396" s="87"/>
      <c r="BG1396" s="87"/>
      <c r="BH1396" s="87"/>
      <c r="BI1396" s="87"/>
      <c r="BJ1396" s="87"/>
      <c r="BK1396" s="87"/>
      <c r="BL1396" s="87"/>
      <c r="BM1396" s="87"/>
      <c r="BN1396" s="87"/>
      <c r="BO1396" s="87"/>
      <c r="BP1396" s="87"/>
      <c r="BQ1396" s="87"/>
      <c r="BR1396" s="87"/>
      <c r="BS1396" s="87"/>
      <c r="BT1396" s="87"/>
      <c r="BU1396" s="87"/>
      <c r="BV1396" s="87"/>
      <c r="BW1396" s="87"/>
      <c r="BX1396" s="87"/>
      <c r="BY1396" s="87"/>
    </row>
    <row r="1397" spans="21:77" x14ac:dyDescent="0.3">
      <c r="U1397" s="19"/>
      <c r="V1397" s="87"/>
      <c r="W1397" s="87"/>
      <c r="X1397" s="87"/>
      <c r="Y1397" s="87"/>
      <c r="Z1397" s="87"/>
      <c r="AA1397" s="87"/>
      <c r="AB1397" s="87"/>
      <c r="AC1397" s="87"/>
      <c r="AD1397" s="87"/>
      <c r="AE1397" s="87"/>
      <c r="AF1397" s="87"/>
      <c r="AG1397" s="87"/>
      <c r="AH1397" s="87"/>
      <c r="AI1397" s="87"/>
      <c r="AJ1397" s="87"/>
      <c r="AK1397" s="87"/>
      <c r="AL1397" s="87"/>
      <c r="AM1397" s="87"/>
      <c r="AN1397" s="87"/>
      <c r="AO1397" s="87"/>
      <c r="AP1397" s="87"/>
      <c r="AQ1397" s="87"/>
      <c r="AR1397" s="87"/>
      <c r="AS1397" s="87"/>
      <c r="AT1397" s="87"/>
      <c r="AU1397" s="87"/>
      <c r="AV1397" s="87"/>
      <c r="AW1397" s="87"/>
      <c r="AX1397" s="87"/>
      <c r="AY1397" s="87"/>
      <c r="AZ1397" s="87"/>
      <c r="BA1397" s="87"/>
      <c r="BB1397" s="87"/>
      <c r="BC1397" s="87"/>
      <c r="BD1397" s="87"/>
      <c r="BE1397" s="87"/>
      <c r="BF1397" s="87"/>
      <c r="BG1397" s="87"/>
      <c r="BH1397" s="87"/>
      <c r="BI1397" s="87"/>
      <c r="BJ1397" s="87"/>
      <c r="BK1397" s="87"/>
      <c r="BL1397" s="87"/>
      <c r="BM1397" s="87"/>
      <c r="BN1397" s="87"/>
      <c r="BO1397" s="87"/>
      <c r="BP1397" s="87"/>
      <c r="BQ1397" s="87"/>
      <c r="BR1397" s="87"/>
      <c r="BS1397" s="87"/>
      <c r="BT1397" s="87"/>
      <c r="BU1397" s="87"/>
      <c r="BV1397" s="87"/>
      <c r="BW1397" s="87"/>
      <c r="BX1397" s="87"/>
      <c r="BY1397" s="87"/>
    </row>
    <row r="1398" spans="21:77" x14ac:dyDescent="0.3">
      <c r="U1398" s="19"/>
      <c r="V1398" s="87"/>
      <c r="W1398" s="87"/>
      <c r="X1398" s="87"/>
      <c r="Y1398" s="87"/>
      <c r="Z1398" s="87"/>
      <c r="AA1398" s="87"/>
      <c r="AB1398" s="87"/>
      <c r="AC1398" s="87"/>
      <c r="AD1398" s="87"/>
      <c r="AE1398" s="87"/>
      <c r="AF1398" s="87"/>
      <c r="AG1398" s="87"/>
      <c r="AH1398" s="87"/>
      <c r="AI1398" s="87"/>
      <c r="AJ1398" s="87"/>
      <c r="AK1398" s="87"/>
      <c r="AL1398" s="87"/>
      <c r="AM1398" s="87"/>
      <c r="AN1398" s="87"/>
      <c r="AO1398" s="87"/>
      <c r="AP1398" s="87"/>
      <c r="AQ1398" s="87"/>
      <c r="AR1398" s="87"/>
      <c r="AS1398" s="87"/>
      <c r="AT1398" s="87"/>
      <c r="AU1398" s="87"/>
      <c r="AV1398" s="87"/>
      <c r="AW1398" s="87"/>
      <c r="AX1398" s="87"/>
      <c r="AY1398" s="87"/>
      <c r="AZ1398" s="87"/>
      <c r="BA1398" s="87"/>
      <c r="BB1398" s="87"/>
      <c r="BC1398" s="87"/>
      <c r="BD1398" s="87"/>
      <c r="BE1398" s="87"/>
      <c r="BF1398" s="87"/>
      <c r="BG1398" s="87"/>
      <c r="BH1398" s="87"/>
      <c r="BI1398" s="87"/>
      <c r="BJ1398" s="87"/>
      <c r="BK1398" s="87"/>
      <c r="BL1398" s="87"/>
      <c r="BM1398" s="87"/>
      <c r="BN1398" s="87"/>
      <c r="BO1398" s="87"/>
      <c r="BP1398" s="87"/>
      <c r="BQ1398" s="87"/>
      <c r="BR1398" s="87"/>
      <c r="BS1398" s="87"/>
      <c r="BT1398" s="87"/>
      <c r="BU1398" s="87"/>
      <c r="BV1398" s="87"/>
      <c r="BW1398" s="87"/>
      <c r="BX1398" s="87"/>
      <c r="BY1398" s="87"/>
    </row>
    <row r="1399" spans="21:77" x14ac:dyDescent="0.3">
      <c r="U1399" s="19"/>
      <c r="V1399" s="87"/>
      <c r="W1399" s="87"/>
      <c r="X1399" s="87"/>
      <c r="Y1399" s="87"/>
      <c r="Z1399" s="87"/>
      <c r="AA1399" s="87"/>
      <c r="AB1399" s="87"/>
      <c r="AC1399" s="87"/>
      <c r="AD1399" s="87"/>
      <c r="AE1399" s="87"/>
      <c r="AF1399" s="87"/>
      <c r="AG1399" s="87"/>
      <c r="AH1399" s="87"/>
      <c r="AI1399" s="87"/>
      <c r="AJ1399" s="87"/>
      <c r="AK1399" s="87"/>
      <c r="AL1399" s="87"/>
      <c r="AM1399" s="87"/>
      <c r="AN1399" s="87"/>
      <c r="AO1399" s="87"/>
      <c r="AP1399" s="87"/>
      <c r="AQ1399" s="87"/>
      <c r="AR1399" s="87"/>
      <c r="AS1399" s="87"/>
      <c r="AT1399" s="87"/>
      <c r="AU1399" s="87"/>
      <c r="AV1399" s="87"/>
      <c r="AW1399" s="87"/>
      <c r="AX1399" s="87"/>
      <c r="AY1399" s="87"/>
      <c r="AZ1399" s="87"/>
      <c r="BA1399" s="87"/>
      <c r="BB1399" s="87"/>
      <c r="BC1399" s="87"/>
      <c r="BD1399" s="87"/>
      <c r="BE1399" s="87"/>
      <c r="BF1399" s="87"/>
      <c r="BG1399" s="87"/>
      <c r="BH1399" s="87"/>
      <c r="BI1399" s="87"/>
      <c r="BJ1399" s="87"/>
      <c r="BK1399" s="87"/>
      <c r="BL1399" s="87"/>
      <c r="BM1399" s="87"/>
      <c r="BN1399" s="87"/>
      <c r="BO1399" s="87"/>
      <c r="BP1399" s="87"/>
      <c r="BQ1399" s="87"/>
      <c r="BR1399" s="87"/>
      <c r="BS1399" s="87"/>
      <c r="BT1399" s="87"/>
      <c r="BU1399" s="87"/>
      <c r="BV1399" s="87"/>
      <c r="BW1399" s="87"/>
      <c r="BX1399" s="87"/>
      <c r="BY1399" s="87"/>
    </row>
    <row r="1400" spans="21:77" x14ac:dyDescent="0.3">
      <c r="U1400" s="19"/>
      <c r="V1400" s="87"/>
      <c r="W1400" s="87"/>
      <c r="X1400" s="87"/>
      <c r="Y1400" s="87"/>
      <c r="Z1400" s="87"/>
      <c r="AA1400" s="87"/>
      <c r="AB1400" s="87"/>
      <c r="AC1400" s="87"/>
      <c r="AD1400" s="87"/>
      <c r="AE1400" s="87"/>
      <c r="AF1400" s="87"/>
      <c r="AG1400" s="87"/>
      <c r="AH1400" s="87"/>
      <c r="AI1400" s="87"/>
      <c r="AJ1400" s="87"/>
      <c r="AK1400" s="87"/>
      <c r="AL1400" s="87"/>
      <c r="AM1400" s="87"/>
      <c r="AN1400" s="87"/>
      <c r="AO1400" s="87"/>
      <c r="AP1400" s="87"/>
      <c r="AQ1400" s="87"/>
      <c r="AR1400" s="87"/>
      <c r="AS1400" s="87"/>
      <c r="AT1400" s="87"/>
      <c r="AU1400" s="87"/>
      <c r="AV1400" s="87"/>
      <c r="AW1400" s="87"/>
      <c r="AX1400" s="87"/>
      <c r="AY1400" s="87"/>
      <c r="AZ1400" s="87"/>
      <c r="BA1400" s="87"/>
      <c r="BB1400" s="87"/>
      <c r="BC1400" s="87"/>
      <c r="BD1400" s="87"/>
      <c r="BE1400" s="87"/>
      <c r="BF1400" s="87"/>
      <c r="BG1400" s="87"/>
      <c r="BH1400" s="87"/>
      <c r="BI1400" s="87"/>
      <c r="BJ1400" s="87"/>
      <c r="BK1400" s="87"/>
      <c r="BL1400" s="87"/>
      <c r="BM1400" s="87"/>
      <c r="BN1400" s="87"/>
      <c r="BO1400" s="87"/>
      <c r="BP1400" s="87"/>
      <c r="BQ1400" s="87"/>
      <c r="BR1400" s="87"/>
      <c r="BS1400" s="87"/>
      <c r="BT1400" s="87"/>
      <c r="BU1400" s="87"/>
      <c r="BV1400" s="87"/>
      <c r="BW1400" s="87"/>
      <c r="BX1400" s="87"/>
      <c r="BY1400" s="87"/>
    </row>
    <row r="1401" spans="21:77" x14ac:dyDescent="0.3">
      <c r="U1401" s="19"/>
      <c r="V1401" s="87"/>
      <c r="W1401" s="87"/>
      <c r="X1401" s="87"/>
      <c r="Y1401" s="87"/>
      <c r="Z1401" s="87"/>
      <c r="AA1401" s="87"/>
      <c r="AB1401" s="87"/>
      <c r="AC1401" s="87"/>
      <c r="AD1401" s="87"/>
      <c r="AE1401" s="87"/>
      <c r="AF1401" s="87"/>
      <c r="AG1401" s="87"/>
      <c r="AH1401" s="87"/>
      <c r="AI1401" s="87"/>
      <c r="AJ1401" s="87"/>
      <c r="AK1401" s="87"/>
      <c r="AL1401" s="87"/>
      <c r="AM1401" s="87"/>
      <c r="AN1401" s="87"/>
      <c r="AO1401" s="87"/>
      <c r="AP1401" s="87"/>
      <c r="AQ1401" s="87"/>
      <c r="AR1401" s="87"/>
      <c r="AS1401" s="87"/>
      <c r="AT1401" s="87"/>
      <c r="AU1401" s="87"/>
      <c r="AV1401" s="87"/>
      <c r="AW1401" s="87"/>
      <c r="AX1401" s="87"/>
      <c r="AY1401" s="87"/>
      <c r="AZ1401" s="87"/>
      <c r="BA1401" s="87"/>
      <c r="BB1401" s="87"/>
      <c r="BC1401" s="87"/>
      <c r="BD1401" s="87"/>
      <c r="BE1401" s="87"/>
      <c r="BF1401" s="87"/>
      <c r="BG1401" s="87"/>
      <c r="BH1401" s="87"/>
      <c r="BI1401" s="87"/>
      <c r="BJ1401" s="87"/>
      <c r="BK1401" s="87"/>
      <c r="BL1401" s="87"/>
      <c r="BM1401" s="87"/>
      <c r="BN1401" s="87"/>
      <c r="BO1401" s="87"/>
      <c r="BP1401" s="87"/>
      <c r="BQ1401" s="87"/>
      <c r="BR1401" s="87"/>
      <c r="BS1401" s="87"/>
      <c r="BT1401" s="87"/>
      <c r="BU1401" s="87"/>
      <c r="BV1401" s="87"/>
      <c r="BW1401" s="87"/>
      <c r="BX1401" s="87"/>
      <c r="BY1401" s="87"/>
    </row>
    <row r="1402" spans="21:77" x14ac:dyDescent="0.3">
      <c r="U1402" s="19"/>
      <c r="V1402" s="87"/>
      <c r="W1402" s="87"/>
      <c r="X1402" s="87"/>
      <c r="Y1402" s="87"/>
      <c r="Z1402" s="87"/>
      <c r="AA1402" s="87"/>
      <c r="AB1402" s="87"/>
      <c r="AC1402" s="87"/>
      <c r="AD1402" s="87"/>
      <c r="AE1402" s="87"/>
      <c r="AF1402" s="87"/>
      <c r="AG1402" s="87"/>
      <c r="AH1402" s="87"/>
      <c r="AI1402" s="87"/>
      <c r="AJ1402" s="87"/>
      <c r="AK1402" s="87"/>
      <c r="AL1402" s="87"/>
      <c r="AM1402" s="87"/>
      <c r="AN1402" s="87"/>
      <c r="AO1402" s="87"/>
      <c r="AP1402" s="87"/>
      <c r="AQ1402" s="87"/>
      <c r="AR1402" s="87"/>
      <c r="AS1402" s="87"/>
      <c r="AT1402" s="87"/>
      <c r="AU1402" s="87"/>
      <c r="AV1402" s="87"/>
      <c r="AW1402" s="87"/>
      <c r="AX1402" s="87"/>
      <c r="AY1402" s="87"/>
      <c r="AZ1402" s="87"/>
      <c r="BA1402" s="87"/>
      <c r="BB1402" s="87"/>
      <c r="BC1402" s="87"/>
      <c r="BD1402" s="87"/>
      <c r="BE1402" s="87"/>
      <c r="BF1402" s="87"/>
      <c r="BG1402" s="87"/>
      <c r="BH1402" s="87"/>
      <c r="BI1402" s="87"/>
      <c r="BJ1402" s="87"/>
      <c r="BK1402" s="87"/>
      <c r="BL1402" s="87"/>
      <c r="BM1402" s="87"/>
      <c r="BN1402" s="87"/>
      <c r="BO1402" s="87"/>
      <c r="BP1402" s="87"/>
      <c r="BQ1402" s="87"/>
      <c r="BR1402" s="87"/>
      <c r="BS1402" s="87"/>
      <c r="BT1402" s="87"/>
      <c r="BU1402" s="87"/>
      <c r="BV1402" s="87"/>
      <c r="BW1402" s="87"/>
      <c r="BX1402" s="87"/>
      <c r="BY1402" s="87"/>
    </row>
    <row r="1403" spans="21:77" x14ac:dyDescent="0.3">
      <c r="U1403" s="19"/>
      <c r="V1403" s="87"/>
      <c r="W1403" s="87"/>
      <c r="X1403" s="87"/>
      <c r="Y1403" s="87"/>
      <c r="Z1403" s="87"/>
      <c r="AA1403" s="87"/>
      <c r="AB1403" s="87"/>
      <c r="AC1403" s="87"/>
      <c r="AD1403" s="87"/>
      <c r="AE1403" s="87"/>
      <c r="AF1403" s="87"/>
      <c r="AG1403" s="87"/>
      <c r="AH1403" s="87"/>
      <c r="AI1403" s="87"/>
      <c r="AJ1403" s="87"/>
      <c r="AK1403" s="87"/>
      <c r="AL1403" s="87"/>
      <c r="AM1403" s="87"/>
      <c r="AN1403" s="87"/>
      <c r="AO1403" s="87"/>
      <c r="AP1403" s="87"/>
      <c r="AQ1403" s="87"/>
      <c r="AR1403" s="87"/>
      <c r="AS1403" s="87"/>
      <c r="AT1403" s="87"/>
      <c r="AU1403" s="87"/>
      <c r="AV1403" s="87"/>
      <c r="AW1403" s="87"/>
      <c r="AX1403" s="87"/>
      <c r="AY1403" s="87"/>
      <c r="AZ1403" s="87"/>
      <c r="BA1403" s="87"/>
      <c r="BB1403" s="87"/>
      <c r="BC1403" s="87"/>
      <c r="BD1403" s="87"/>
      <c r="BE1403" s="87"/>
      <c r="BF1403" s="87"/>
      <c r="BG1403" s="87"/>
      <c r="BH1403" s="87"/>
      <c r="BI1403" s="87"/>
      <c r="BJ1403" s="87"/>
      <c r="BK1403" s="87"/>
      <c r="BL1403" s="87"/>
      <c r="BM1403" s="87"/>
      <c r="BN1403" s="87"/>
      <c r="BO1403" s="87"/>
      <c r="BP1403" s="87"/>
      <c r="BQ1403" s="87"/>
      <c r="BR1403" s="87"/>
      <c r="BS1403" s="87"/>
      <c r="BT1403" s="87"/>
      <c r="BU1403" s="87"/>
      <c r="BV1403" s="87"/>
      <c r="BW1403" s="87"/>
      <c r="BX1403" s="87"/>
      <c r="BY1403" s="87"/>
    </row>
    <row r="1404" spans="21:77" x14ac:dyDescent="0.3">
      <c r="U1404" s="19"/>
      <c r="V1404" s="87"/>
      <c r="W1404" s="87"/>
      <c r="X1404" s="87"/>
      <c r="Y1404" s="87"/>
      <c r="Z1404" s="87"/>
      <c r="AA1404" s="87"/>
      <c r="AB1404" s="87"/>
      <c r="AC1404" s="87"/>
      <c r="AD1404" s="87"/>
      <c r="AE1404" s="87"/>
      <c r="AF1404" s="87"/>
      <c r="AG1404" s="87"/>
      <c r="AH1404" s="87"/>
      <c r="AI1404" s="87"/>
      <c r="AJ1404" s="87"/>
      <c r="AK1404" s="87"/>
      <c r="AL1404" s="87"/>
      <c r="AM1404" s="87"/>
      <c r="AN1404" s="87"/>
      <c r="AO1404" s="87"/>
      <c r="AP1404" s="87"/>
      <c r="AQ1404" s="87"/>
      <c r="AR1404" s="87"/>
      <c r="AS1404" s="87"/>
      <c r="AT1404" s="87"/>
      <c r="AU1404" s="87"/>
      <c r="AV1404" s="87"/>
      <c r="AW1404" s="87"/>
      <c r="AX1404" s="87"/>
      <c r="AY1404" s="87"/>
      <c r="AZ1404" s="87"/>
      <c r="BA1404" s="87"/>
      <c r="BB1404" s="87"/>
      <c r="BC1404" s="87"/>
      <c r="BD1404" s="87"/>
      <c r="BE1404" s="87"/>
      <c r="BF1404" s="87"/>
      <c r="BG1404" s="87"/>
      <c r="BH1404" s="87"/>
      <c r="BI1404" s="87"/>
      <c r="BJ1404" s="87"/>
      <c r="BK1404" s="87"/>
      <c r="BL1404" s="87"/>
      <c r="BM1404" s="87"/>
      <c r="BN1404" s="87"/>
      <c r="BO1404" s="87"/>
      <c r="BP1404" s="87"/>
      <c r="BQ1404" s="87"/>
      <c r="BR1404" s="87"/>
      <c r="BS1404" s="87"/>
      <c r="BT1404" s="87"/>
      <c r="BU1404" s="87"/>
      <c r="BV1404" s="87"/>
      <c r="BW1404" s="87"/>
      <c r="BX1404" s="87"/>
      <c r="BY1404" s="87"/>
    </row>
    <row r="1405" spans="21:77" x14ac:dyDescent="0.3">
      <c r="U1405" s="19"/>
      <c r="V1405" s="87"/>
      <c r="W1405" s="87"/>
      <c r="X1405" s="87"/>
      <c r="Y1405" s="87"/>
      <c r="Z1405" s="87"/>
      <c r="AA1405" s="87"/>
      <c r="AB1405" s="87"/>
      <c r="AC1405" s="87"/>
      <c r="AD1405" s="87"/>
      <c r="AE1405" s="87"/>
      <c r="AF1405" s="87"/>
      <c r="AG1405" s="87"/>
      <c r="AH1405" s="87"/>
      <c r="AI1405" s="87"/>
      <c r="AJ1405" s="87"/>
      <c r="AK1405" s="87"/>
      <c r="AL1405" s="87"/>
      <c r="AM1405" s="87"/>
      <c r="AN1405" s="87"/>
      <c r="AO1405" s="87"/>
      <c r="AP1405" s="87"/>
      <c r="AQ1405" s="87"/>
      <c r="AR1405" s="87"/>
      <c r="AS1405" s="87"/>
      <c r="AT1405" s="87"/>
      <c r="AU1405" s="87"/>
      <c r="AV1405" s="87"/>
      <c r="AW1405" s="87"/>
      <c r="AX1405" s="87"/>
      <c r="AY1405" s="87"/>
      <c r="AZ1405" s="87"/>
      <c r="BA1405" s="87"/>
      <c r="BB1405" s="87"/>
      <c r="BC1405" s="87"/>
      <c r="BD1405" s="87"/>
      <c r="BE1405" s="87"/>
      <c r="BF1405" s="87"/>
      <c r="BG1405" s="87"/>
      <c r="BH1405" s="87"/>
      <c r="BI1405" s="87"/>
      <c r="BJ1405" s="87"/>
      <c r="BK1405" s="87"/>
      <c r="BL1405" s="87"/>
      <c r="BM1405" s="87"/>
      <c r="BN1405" s="87"/>
      <c r="BO1405" s="87"/>
      <c r="BP1405" s="87"/>
      <c r="BQ1405" s="87"/>
      <c r="BR1405" s="87"/>
      <c r="BS1405" s="87"/>
      <c r="BT1405" s="87"/>
      <c r="BU1405" s="87"/>
      <c r="BV1405" s="87"/>
      <c r="BW1405" s="87"/>
      <c r="BX1405" s="87"/>
      <c r="BY1405" s="87"/>
    </row>
    <row r="1406" spans="21:77" x14ac:dyDescent="0.3">
      <c r="U1406" s="19"/>
      <c r="V1406" s="87"/>
      <c r="W1406" s="87"/>
      <c r="X1406" s="87"/>
      <c r="Y1406" s="87"/>
      <c r="Z1406" s="87"/>
      <c r="AA1406" s="87"/>
      <c r="AB1406" s="87"/>
      <c r="AC1406" s="87"/>
      <c r="AD1406" s="87"/>
      <c r="AE1406" s="87"/>
      <c r="AF1406" s="87"/>
      <c r="AG1406" s="87"/>
      <c r="AH1406" s="87"/>
      <c r="AI1406" s="87"/>
      <c r="AJ1406" s="87"/>
      <c r="AK1406" s="87"/>
      <c r="AL1406" s="87"/>
      <c r="AM1406" s="87"/>
      <c r="AN1406" s="87"/>
      <c r="AO1406" s="87"/>
      <c r="AP1406" s="87"/>
      <c r="AQ1406" s="87"/>
      <c r="AR1406" s="87"/>
      <c r="AS1406" s="87"/>
      <c r="AT1406" s="87"/>
      <c r="AU1406" s="87"/>
      <c r="AV1406" s="87"/>
      <c r="AW1406" s="87"/>
      <c r="AX1406" s="87"/>
      <c r="AY1406" s="87"/>
      <c r="AZ1406" s="87"/>
      <c r="BA1406" s="87"/>
      <c r="BB1406" s="87"/>
      <c r="BC1406" s="87"/>
      <c r="BD1406" s="87"/>
      <c r="BE1406" s="87"/>
      <c r="BF1406" s="87"/>
      <c r="BG1406" s="87"/>
      <c r="BH1406" s="87"/>
      <c r="BI1406" s="87"/>
      <c r="BJ1406" s="87"/>
      <c r="BK1406" s="87"/>
      <c r="BL1406" s="87"/>
      <c r="BM1406" s="87"/>
      <c r="BN1406" s="87"/>
      <c r="BO1406" s="87"/>
      <c r="BP1406" s="87"/>
      <c r="BQ1406" s="87"/>
      <c r="BR1406" s="87"/>
      <c r="BS1406" s="87"/>
      <c r="BT1406" s="87"/>
      <c r="BU1406" s="87"/>
      <c r="BV1406" s="87"/>
      <c r="BW1406" s="87"/>
      <c r="BX1406" s="87"/>
      <c r="BY1406" s="87"/>
    </row>
    <row r="1407" spans="21:77" x14ac:dyDescent="0.3">
      <c r="U1407" s="19"/>
      <c r="V1407" s="87"/>
      <c r="W1407" s="87"/>
      <c r="X1407" s="87"/>
      <c r="Y1407" s="87"/>
      <c r="Z1407" s="87"/>
      <c r="AA1407" s="87"/>
      <c r="AB1407" s="87"/>
      <c r="AC1407" s="87"/>
      <c r="AD1407" s="87"/>
      <c r="AE1407" s="87"/>
      <c r="AF1407" s="87"/>
      <c r="AG1407" s="87"/>
      <c r="AH1407" s="87"/>
      <c r="AI1407" s="87"/>
      <c r="AJ1407" s="87"/>
      <c r="AK1407" s="87"/>
      <c r="AL1407" s="87"/>
      <c r="AM1407" s="87"/>
      <c r="AN1407" s="87"/>
      <c r="AO1407" s="87"/>
      <c r="AP1407" s="87"/>
      <c r="AQ1407" s="87"/>
      <c r="AR1407" s="87"/>
      <c r="AS1407" s="87"/>
      <c r="AT1407" s="87"/>
      <c r="AU1407" s="87"/>
      <c r="AV1407" s="87"/>
      <c r="AW1407" s="87"/>
      <c r="AX1407" s="87"/>
      <c r="AY1407" s="87"/>
      <c r="AZ1407" s="87"/>
      <c r="BA1407" s="87"/>
      <c r="BB1407" s="87"/>
      <c r="BC1407" s="87"/>
      <c r="BD1407" s="87"/>
      <c r="BE1407" s="87"/>
      <c r="BF1407" s="87"/>
      <c r="BG1407" s="87"/>
      <c r="BH1407" s="87"/>
      <c r="BI1407" s="87"/>
      <c r="BJ1407" s="87"/>
      <c r="BK1407" s="87"/>
      <c r="BL1407" s="87"/>
      <c r="BM1407" s="87"/>
      <c r="BN1407" s="87"/>
      <c r="BO1407" s="87"/>
      <c r="BP1407" s="87"/>
      <c r="BQ1407" s="87"/>
      <c r="BR1407" s="87"/>
      <c r="BS1407" s="87"/>
      <c r="BT1407" s="87"/>
      <c r="BU1407" s="87"/>
      <c r="BV1407" s="87"/>
      <c r="BW1407" s="87"/>
      <c r="BX1407" s="87"/>
      <c r="BY1407" s="87"/>
    </row>
    <row r="1408" spans="21:77" x14ac:dyDescent="0.3">
      <c r="U1408" s="19"/>
      <c r="V1408" s="87"/>
      <c r="W1408" s="87"/>
      <c r="X1408" s="87"/>
      <c r="Y1408" s="87"/>
      <c r="Z1408" s="87"/>
      <c r="AA1408" s="87"/>
      <c r="AB1408" s="87"/>
      <c r="AC1408" s="87"/>
      <c r="AD1408" s="87"/>
      <c r="AE1408" s="87"/>
      <c r="AF1408" s="87"/>
      <c r="AG1408" s="87"/>
      <c r="AH1408" s="87"/>
      <c r="AI1408" s="87"/>
      <c r="AJ1408" s="87"/>
      <c r="AK1408" s="87"/>
      <c r="AL1408" s="87"/>
      <c r="AM1408" s="87"/>
      <c r="AN1408" s="87"/>
      <c r="AO1408" s="87"/>
      <c r="AP1408" s="87"/>
      <c r="AQ1408" s="87"/>
      <c r="AR1408" s="87"/>
      <c r="AS1408" s="87"/>
      <c r="AT1408" s="87"/>
      <c r="AU1408" s="87"/>
      <c r="AV1408" s="87"/>
      <c r="AW1408" s="87"/>
      <c r="AX1408" s="87"/>
      <c r="AY1408" s="87"/>
      <c r="AZ1408" s="87"/>
      <c r="BA1408" s="87"/>
      <c r="BB1408" s="87"/>
      <c r="BC1408" s="87"/>
      <c r="BD1408" s="87"/>
      <c r="BE1408" s="87"/>
      <c r="BF1408" s="87"/>
      <c r="BG1408" s="87"/>
      <c r="BH1408" s="87"/>
      <c r="BI1408" s="87"/>
      <c r="BJ1408" s="87"/>
      <c r="BK1408" s="87"/>
      <c r="BL1408" s="87"/>
      <c r="BM1408" s="87"/>
      <c r="BN1408" s="87"/>
      <c r="BO1408" s="87"/>
      <c r="BP1408" s="87"/>
      <c r="BQ1408" s="87"/>
      <c r="BR1408" s="87"/>
      <c r="BS1408" s="87"/>
      <c r="BT1408" s="87"/>
      <c r="BU1408" s="87"/>
      <c r="BV1408" s="87"/>
      <c r="BW1408" s="87"/>
      <c r="BX1408" s="87"/>
      <c r="BY1408" s="87"/>
    </row>
    <row r="1409" spans="21:77" x14ac:dyDescent="0.3">
      <c r="U1409" s="19"/>
      <c r="V1409" s="87"/>
      <c r="W1409" s="87"/>
      <c r="X1409" s="87"/>
      <c r="Y1409" s="87"/>
      <c r="Z1409" s="87"/>
      <c r="AA1409" s="87"/>
      <c r="AB1409" s="87"/>
      <c r="AC1409" s="87"/>
      <c r="AD1409" s="87"/>
      <c r="AE1409" s="87"/>
      <c r="AF1409" s="87"/>
      <c r="AG1409" s="87"/>
      <c r="AH1409" s="87"/>
      <c r="AI1409" s="87"/>
      <c r="AJ1409" s="87"/>
      <c r="AK1409" s="87"/>
      <c r="AL1409" s="87"/>
      <c r="AM1409" s="87"/>
      <c r="AN1409" s="87"/>
      <c r="AO1409" s="87"/>
      <c r="AP1409" s="87"/>
      <c r="AQ1409" s="87"/>
      <c r="AR1409" s="87"/>
      <c r="AS1409" s="87"/>
      <c r="AT1409" s="87"/>
      <c r="AU1409" s="87"/>
      <c r="AV1409" s="87"/>
      <c r="AW1409" s="87"/>
      <c r="AX1409" s="87"/>
      <c r="AY1409" s="87"/>
      <c r="AZ1409" s="87"/>
      <c r="BA1409" s="87"/>
      <c r="BB1409" s="87"/>
      <c r="BC1409" s="87"/>
      <c r="BD1409" s="87"/>
      <c r="BE1409" s="87"/>
      <c r="BF1409" s="87"/>
      <c r="BG1409" s="87"/>
      <c r="BH1409" s="87"/>
      <c r="BI1409" s="87"/>
      <c r="BJ1409" s="87"/>
      <c r="BK1409" s="87"/>
      <c r="BL1409" s="87"/>
      <c r="BM1409" s="87"/>
      <c r="BN1409" s="87"/>
      <c r="BO1409" s="87"/>
      <c r="BP1409" s="87"/>
      <c r="BQ1409" s="87"/>
      <c r="BR1409" s="87"/>
      <c r="BS1409" s="87"/>
      <c r="BT1409" s="87"/>
      <c r="BU1409" s="87"/>
      <c r="BV1409" s="87"/>
      <c r="BW1409" s="87"/>
      <c r="BX1409" s="87"/>
      <c r="BY1409" s="87"/>
    </row>
    <row r="1410" spans="21:77" x14ac:dyDescent="0.3">
      <c r="U1410" s="19"/>
      <c r="V1410" s="87"/>
      <c r="W1410" s="87"/>
      <c r="X1410" s="87"/>
      <c r="Y1410" s="87"/>
      <c r="Z1410" s="87"/>
      <c r="AA1410" s="87"/>
      <c r="AB1410" s="87"/>
      <c r="AC1410" s="87"/>
      <c r="AD1410" s="87"/>
      <c r="AE1410" s="87"/>
      <c r="AF1410" s="87"/>
      <c r="AG1410" s="87"/>
      <c r="AH1410" s="87"/>
      <c r="AI1410" s="87"/>
      <c r="AJ1410" s="87"/>
      <c r="AK1410" s="87"/>
      <c r="AL1410" s="87"/>
      <c r="AM1410" s="87"/>
      <c r="AN1410" s="87"/>
      <c r="AO1410" s="87"/>
      <c r="AP1410" s="87"/>
      <c r="AQ1410" s="87"/>
      <c r="AR1410" s="87"/>
      <c r="AS1410" s="87"/>
      <c r="AT1410" s="87"/>
      <c r="AU1410" s="87"/>
      <c r="AV1410" s="87"/>
      <c r="AW1410" s="87"/>
      <c r="AX1410" s="87"/>
      <c r="AY1410" s="87"/>
      <c r="AZ1410" s="87"/>
      <c r="BA1410" s="87"/>
      <c r="BB1410" s="87"/>
      <c r="BC1410" s="87"/>
      <c r="BD1410" s="87"/>
      <c r="BE1410" s="87"/>
      <c r="BF1410" s="87"/>
      <c r="BG1410" s="87"/>
      <c r="BH1410" s="87"/>
      <c r="BI1410" s="87"/>
      <c r="BJ1410" s="87"/>
      <c r="BK1410" s="87"/>
      <c r="BL1410" s="87"/>
      <c r="BM1410" s="87"/>
      <c r="BN1410" s="87"/>
      <c r="BO1410" s="87"/>
      <c r="BP1410" s="87"/>
      <c r="BQ1410" s="87"/>
      <c r="BR1410" s="87"/>
      <c r="BS1410" s="87"/>
      <c r="BT1410" s="87"/>
      <c r="BU1410" s="87"/>
      <c r="BV1410" s="87"/>
      <c r="BW1410" s="87"/>
      <c r="BX1410" s="87"/>
      <c r="BY1410" s="87"/>
    </row>
    <row r="1411" spans="21:77" x14ac:dyDescent="0.3">
      <c r="U1411" s="19"/>
      <c r="V1411" s="87"/>
      <c r="W1411" s="87"/>
      <c r="X1411" s="87"/>
      <c r="Y1411" s="87"/>
      <c r="Z1411" s="87"/>
      <c r="AA1411" s="87"/>
      <c r="AB1411" s="87"/>
      <c r="AC1411" s="87"/>
      <c r="AD1411" s="87"/>
      <c r="AE1411" s="87"/>
      <c r="AF1411" s="87"/>
      <c r="AG1411" s="87"/>
      <c r="AH1411" s="87"/>
      <c r="AI1411" s="87"/>
      <c r="AJ1411" s="87"/>
      <c r="AK1411" s="87"/>
      <c r="AL1411" s="87"/>
      <c r="AM1411" s="87"/>
      <c r="AN1411" s="87"/>
      <c r="AO1411" s="87"/>
      <c r="AP1411" s="87"/>
      <c r="AQ1411" s="87"/>
      <c r="AR1411" s="87"/>
      <c r="AS1411" s="87"/>
      <c r="AT1411" s="87"/>
      <c r="AU1411" s="87"/>
      <c r="AV1411" s="87"/>
      <c r="AW1411" s="87"/>
      <c r="AX1411" s="87"/>
      <c r="AY1411" s="87"/>
      <c r="AZ1411" s="87"/>
      <c r="BA1411" s="87"/>
      <c r="BB1411" s="87"/>
      <c r="BC1411" s="87"/>
      <c r="BD1411" s="87"/>
      <c r="BE1411" s="87"/>
      <c r="BF1411" s="87"/>
      <c r="BG1411" s="87"/>
      <c r="BH1411" s="87"/>
      <c r="BI1411" s="87"/>
      <c r="BJ1411" s="87"/>
      <c r="BK1411" s="87"/>
      <c r="BL1411" s="87"/>
      <c r="BM1411" s="87"/>
      <c r="BN1411" s="87"/>
      <c r="BO1411" s="87"/>
      <c r="BP1411" s="87"/>
      <c r="BQ1411" s="87"/>
      <c r="BR1411" s="87"/>
      <c r="BS1411" s="87"/>
      <c r="BT1411" s="87"/>
      <c r="BU1411" s="87"/>
      <c r="BV1411" s="87"/>
      <c r="BW1411" s="87"/>
      <c r="BX1411" s="87"/>
      <c r="BY1411" s="87"/>
    </row>
    <row r="1412" spans="21:77" x14ac:dyDescent="0.3">
      <c r="U1412" s="19"/>
      <c r="V1412" s="87"/>
      <c r="W1412" s="87"/>
      <c r="X1412" s="87"/>
      <c r="Y1412" s="87"/>
      <c r="Z1412" s="87"/>
      <c r="AA1412" s="87"/>
      <c r="AB1412" s="87"/>
      <c r="AC1412" s="87"/>
      <c r="AD1412" s="87"/>
      <c r="AE1412" s="87"/>
      <c r="AF1412" s="87"/>
      <c r="AG1412" s="87"/>
      <c r="AH1412" s="87"/>
      <c r="AI1412" s="87"/>
      <c r="AJ1412" s="87"/>
      <c r="AK1412" s="87"/>
      <c r="AL1412" s="87"/>
      <c r="AM1412" s="87"/>
      <c r="AN1412" s="87"/>
      <c r="AO1412" s="87"/>
      <c r="AP1412" s="87"/>
      <c r="AQ1412" s="87"/>
      <c r="AR1412" s="87"/>
      <c r="AS1412" s="87"/>
      <c r="AT1412" s="87"/>
      <c r="AU1412" s="87"/>
      <c r="AV1412" s="87"/>
      <c r="AW1412" s="87"/>
      <c r="AX1412" s="87"/>
      <c r="AY1412" s="87"/>
      <c r="AZ1412" s="87"/>
      <c r="BA1412" s="87"/>
      <c r="BB1412" s="87"/>
      <c r="BC1412" s="87"/>
      <c r="BD1412" s="87"/>
      <c r="BE1412" s="87"/>
      <c r="BF1412" s="87"/>
      <c r="BG1412" s="87"/>
      <c r="BH1412" s="87"/>
      <c r="BI1412" s="87"/>
      <c r="BJ1412" s="87"/>
      <c r="BK1412" s="87"/>
      <c r="BL1412" s="87"/>
      <c r="BM1412" s="87"/>
      <c r="BN1412" s="87"/>
      <c r="BO1412" s="87"/>
      <c r="BP1412" s="87"/>
      <c r="BQ1412" s="87"/>
      <c r="BR1412" s="87"/>
      <c r="BS1412" s="87"/>
      <c r="BT1412" s="87"/>
      <c r="BU1412" s="87"/>
      <c r="BV1412" s="87"/>
      <c r="BW1412" s="87"/>
      <c r="BX1412" s="87"/>
      <c r="BY1412" s="87"/>
    </row>
    <row r="1413" spans="21:77" x14ac:dyDescent="0.3">
      <c r="U1413" s="19"/>
      <c r="V1413" s="87"/>
      <c r="W1413" s="87"/>
      <c r="X1413" s="87"/>
      <c r="Y1413" s="87"/>
      <c r="Z1413" s="87"/>
      <c r="AA1413" s="87"/>
      <c r="AB1413" s="87"/>
      <c r="AC1413" s="87"/>
      <c r="AD1413" s="87"/>
      <c r="AE1413" s="87"/>
      <c r="AF1413" s="87"/>
      <c r="AG1413" s="87"/>
      <c r="AH1413" s="87"/>
      <c r="AI1413" s="87"/>
      <c r="AJ1413" s="87"/>
      <c r="AK1413" s="87"/>
      <c r="AL1413" s="87"/>
      <c r="AM1413" s="87"/>
      <c r="AN1413" s="87"/>
      <c r="AO1413" s="87"/>
      <c r="AP1413" s="87"/>
      <c r="AQ1413" s="87"/>
      <c r="AR1413" s="87"/>
      <c r="AS1413" s="87"/>
      <c r="AT1413" s="87"/>
      <c r="AU1413" s="87"/>
      <c r="AV1413" s="87"/>
      <c r="AW1413" s="87"/>
      <c r="AX1413" s="87"/>
      <c r="AY1413" s="87"/>
      <c r="AZ1413" s="87"/>
      <c r="BA1413" s="87"/>
      <c r="BB1413" s="87"/>
      <c r="BC1413" s="87"/>
      <c r="BD1413" s="87"/>
      <c r="BE1413" s="87"/>
      <c r="BF1413" s="87"/>
      <c r="BG1413" s="87"/>
      <c r="BH1413" s="87"/>
      <c r="BI1413" s="87"/>
      <c r="BJ1413" s="87"/>
      <c r="BK1413" s="87"/>
      <c r="BL1413" s="87"/>
      <c r="BM1413" s="87"/>
      <c r="BN1413" s="87"/>
      <c r="BO1413" s="87"/>
      <c r="BP1413" s="87"/>
      <c r="BQ1413" s="87"/>
      <c r="BR1413" s="87"/>
      <c r="BS1413" s="87"/>
      <c r="BT1413" s="87"/>
      <c r="BU1413" s="87"/>
      <c r="BV1413" s="87"/>
      <c r="BW1413" s="87"/>
      <c r="BX1413" s="87"/>
      <c r="BY1413" s="87"/>
    </row>
    <row r="1414" spans="21:77" x14ac:dyDescent="0.3">
      <c r="U1414" s="19"/>
      <c r="V1414" s="87"/>
      <c r="W1414" s="87"/>
      <c r="X1414" s="87"/>
      <c r="Y1414" s="87"/>
      <c r="Z1414" s="87"/>
      <c r="AA1414" s="87"/>
      <c r="AB1414" s="87"/>
      <c r="AC1414" s="87"/>
      <c r="AD1414" s="87"/>
      <c r="AE1414" s="87"/>
      <c r="AF1414" s="87"/>
      <c r="AG1414" s="87"/>
      <c r="AH1414" s="87"/>
      <c r="AI1414" s="87"/>
      <c r="AJ1414" s="87"/>
      <c r="AK1414" s="87"/>
      <c r="AL1414" s="87"/>
      <c r="AM1414" s="87"/>
      <c r="AN1414" s="87"/>
      <c r="AO1414" s="87"/>
      <c r="AP1414" s="87"/>
      <c r="AQ1414" s="87"/>
      <c r="AR1414" s="87"/>
      <c r="AS1414" s="87"/>
      <c r="AT1414" s="87"/>
      <c r="AU1414" s="87"/>
      <c r="AV1414" s="87"/>
      <c r="AW1414" s="87"/>
      <c r="AX1414" s="87"/>
      <c r="AY1414" s="87"/>
      <c r="AZ1414" s="87"/>
      <c r="BA1414" s="87"/>
      <c r="BB1414" s="87"/>
      <c r="BC1414" s="87"/>
      <c r="BD1414" s="87"/>
      <c r="BE1414" s="87"/>
      <c r="BF1414" s="87"/>
      <c r="BG1414" s="87"/>
      <c r="BH1414" s="87"/>
      <c r="BI1414" s="87"/>
      <c r="BJ1414" s="87"/>
      <c r="BK1414" s="87"/>
      <c r="BL1414" s="87"/>
      <c r="BM1414" s="87"/>
      <c r="BN1414" s="87"/>
      <c r="BO1414" s="87"/>
      <c r="BP1414" s="87"/>
      <c r="BQ1414" s="87"/>
      <c r="BR1414" s="87"/>
      <c r="BS1414" s="87"/>
      <c r="BT1414" s="87"/>
      <c r="BU1414" s="87"/>
      <c r="BV1414" s="87"/>
      <c r="BW1414" s="87"/>
      <c r="BX1414" s="87"/>
      <c r="BY1414" s="87"/>
    </row>
    <row r="1415" spans="21:77" x14ac:dyDescent="0.3">
      <c r="U1415" s="19"/>
      <c r="V1415" s="87"/>
      <c r="W1415" s="87"/>
      <c r="X1415" s="87"/>
      <c r="Y1415" s="87"/>
      <c r="Z1415" s="87"/>
      <c r="AA1415" s="87"/>
      <c r="AB1415" s="87"/>
      <c r="AC1415" s="87"/>
      <c r="AD1415" s="87"/>
      <c r="AE1415" s="87"/>
      <c r="AF1415" s="87"/>
      <c r="AG1415" s="87"/>
      <c r="AH1415" s="87"/>
      <c r="AI1415" s="87"/>
      <c r="AJ1415" s="87"/>
      <c r="AK1415" s="87"/>
      <c r="AL1415" s="87"/>
      <c r="AM1415" s="87"/>
      <c r="AN1415" s="87"/>
      <c r="AO1415" s="87"/>
      <c r="AP1415" s="87"/>
      <c r="AQ1415" s="87"/>
      <c r="AR1415" s="87"/>
      <c r="AS1415" s="87"/>
      <c r="AT1415" s="87"/>
      <c r="AU1415" s="87"/>
      <c r="AV1415" s="87"/>
      <c r="AW1415" s="87"/>
      <c r="AX1415" s="87"/>
      <c r="AY1415" s="87"/>
      <c r="AZ1415" s="87"/>
      <c r="BA1415" s="87"/>
      <c r="BB1415" s="87"/>
      <c r="BC1415" s="87"/>
      <c r="BD1415" s="87"/>
      <c r="BE1415" s="87"/>
      <c r="BF1415" s="87"/>
      <c r="BG1415" s="87"/>
      <c r="BH1415" s="87"/>
      <c r="BI1415" s="87"/>
      <c r="BJ1415" s="87"/>
      <c r="BK1415" s="87"/>
      <c r="BL1415" s="87"/>
      <c r="BM1415" s="87"/>
      <c r="BN1415" s="87"/>
      <c r="BO1415" s="87"/>
      <c r="BP1415" s="87"/>
      <c r="BQ1415" s="87"/>
      <c r="BR1415" s="87"/>
      <c r="BS1415" s="87"/>
      <c r="BT1415" s="87"/>
      <c r="BU1415" s="87"/>
      <c r="BV1415" s="87"/>
      <c r="BW1415" s="87"/>
      <c r="BX1415" s="87"/>
      <c r="BY1415" s="87"/>
    </row>
    <row r="1416" spans="21:77" x14ac:dyDescent="0.3">
      <c r="U1416" s="19"/>
      <c r="V1416" s="87"/>
      <c r="W1416" s="87"/>
      <c r="X1416" s="87"/>
      <c r="Y1416" s="87"/>
      <c r="Z1416" s="87"/>
      <c r="AA1416" s="87"/>
      <c r="AB1416" s="87"/>
      <c r="AC1416" s="87"/>
      <c r="AD1416" s="87"/>
      <c r="AE1416" s="87"/>
      <c r="AF1416" s="87"/>
      <c r="AG1416" s="87"/>
      <c r="AH1416" s="87"/>
      <c r="AI1416" s="87"/>
      <c r="AJ1416" s="87"/>
      <c r="AK1416" s="87"/>
      <c r="AL1416" s="87"/>
      <c r="AM1416" s="87"/>
      <c r="AN1416" s="87"/>
      <c r="AO1416" s="87"/>
      <c r="AP1416" s="87"/>
      <c r="AQ1416" s="87"/>
      <c r="AR1416" s="87"/>
      <c r="AS1416" s="87"/>
      <c r="AT1416" s="87"/>
      <c r="AU1416" s="87"/>
      <c r="AV1416" s="87"/>
      <c r="AW1416" s="87"/>
      <c r="AX1416" s="87"/>
      <c r="AY1416" s="87"/>
      <c r="AZ1416" s="87"/>
      <c r="BA1416" s="87"/>
      <c r="BB1416" s="87"/>
      <c r="BC1416" s="87"/>
      <c r="BD1416" s="87"/>
      <c r="BE1416" s="87"/>
      <c r="BF1416" s="87"/>
      <c r="BG1416" s="87"/>
      <c r="BH1416" s="87"/>
      <c r="BI1416" s="87"/>
      <c r="BJ1416" s="87"/>
      <c r="BK1416" s="87"/>
      <c r="BL1416" s="87"/>
      <c r="BM1416" s="87"/>
      <c r="BN1416" s="87"/>
      <c r="BO1416" s="87"/>
      <c r="BP1416" s="87"/>
      <c r="BQ1416" s="87"/>
      <c r="BR1416" s="87"/>
      <c r="BS1416" s="87"/>
      <c r="BT1416" s="87"/>
      <c r="BU1416" s="87"/>
      <c r="BV1416" s="87"/>
      <c r="BW1416" s="87"/>
      <c r="BX1416" s="87"/>
      <c r="BY1416" s="87"/>
    </row>
    <row r="1417" spans="21:77" x14ac:dyDescent="0.3">
      <c r="U1417" s="19"/>
      <c r="V1417" s="87"/>
      <c r="W1417" s="87"/>
      <c r="X1417" s="87"/>
      <c r="Y1417" s="87"/>
      <c r="Z1417" s="87"/>
      <c r="AA1417" s="87"/>
      <c r="AB1417" s="87"/>
      <c r="AC1417" s="87"/>
      <c r="AD1417" s="87"/>
      <c r="AE1417" s="87"/>
      <c r="AF1417" s="87"/>
      <c r="AG1417" s="87"/>
      <c r="AH1417" s="87"/>
      <c r="AI1417" s="87"/>
      <c r="AJ1417" s="87"/>
      <c r="AK1417" s="87"/>
      <c r="AL1417" s="87"/>
      <c r="AM1417" s="87"/>
      <c r="AN1417" s="87"/>
      <c r="AO1417" s="87"/>
      <c r="AP1417" s="87"/>
      <c r="AQ1417" s="87"/>
      <c r="AR1417" s="87"/>
      <c r="AS1417" s="87"/>
      <c r="AT1417" s="87"/>
      <c r="AU1417" s="87"/>
      <c r="AV1417" s="87"/>
      <c r="AW1417" s="87"/>
      <c r="AX1417" s="87"/>
      <c r="AY1417" s="87"/>
      <c r="AZ1417" s="87"/>
      <c r="BA1417" s="87"/>
      <c r="BB1417" s="87"/>
      <c r="BC1417" s="87"/>
      <c r="BD1417" s="87"/>
      <c r="BE1417" s="87"/>
      <c r="BF1417" s="87"/>
      <c r="BG1417" s="87"/>
      <c r="BH1417" s="87"/>
      <c r="BI1417" s="87"/>
      <c r="BJ1417" s="87"/>
      <c r="BK1417" s="87"/>
      <c r="BL1417" s="87"/>
      <c r="BM1417" s="87"/>
      <c r="BN1417" s="87"/>
      <c r="BO1417" s="87"/>
      <c r="BP1417" s="87"/>
      <c r="BQ1417" s="87"/>
      <c r="BR1417" s="87"/>
      <c r="BS1417" s="87"/>
      <c r="BT1417" s="87"/>
      <c r="BU1417" s="87"/>
      <c r="BV1417" s="87"/>
      <c r="BW1417" s="87"/>
      <c r="BX1417" s="87"/>
      <c r="BY1417" s="87"/>
    </row>
    <row r="1418" spans="21:77" x14ac:dyDescent="0.3">
      <c r="U1418" s="19"/>
      <c r="V1418" s="87"/>
      <c r="W1418" s="87"/>
      <c r="X1418" s="87"/>
      <c r="Y1418" s="87"/>
      <c r="Z1418" s="87"/>
      <c r="AA1418" s="87"/>
      <c r="AB1418" s="87"/>
      <c r="AC1418" s="87"/>
      <c r="AD1418" s="87"/>
      <c r="AE1418" s="87"/>
      <c r="AF1418" s="87"/>
      <c r="AG1418" s="87"/>
      <c r="AH1418" s="87"/>
      <c r="AI1418" s="87"/>
      <c r="AJ1418" s="87"/>
      <c r="AK1418" s="87"/>
      <c r="AL1418" s="87"/>
      <c r="AM1418" s="87"/>
      <c r="AN1418" s="87"/>
      <c r="AO1418" s="87"/>
      <c r="AP1418" s="87"/>
      <c r="AQ1418" s="87"/>
      <c r="AR1418" s="87"/>
      <c r="AS1418" s="87"/>
      <c r="AT1418" s="87"/>
      <c r="AU1418" s="87"/>
      <c r="AV1418" s="87"/>
      <c r="AW1418" s="87"/>
      <c r="AX1418" s="87"/>
      <c r="AY1418" s="87"/>
      <c r="AZ1418" s="87"/>
      <c r="BA1418" s="87"/>
      <c r="BB1418" s="87"/>
      <c r="BC1418" s="87"/>
      <c r="BD1418" s="87"/>
      <c r="BE1418" s="87"/>
      <c r="BF1418" s="87"/>
      <c r="BG1418" s="87"/>
      <c r="BH1418" s="87"/>
      <c r="BI1418" s="87"/>
      <c r="BJ1418" s="87"/>
      <c r="BK1418" s="87"/>
      <c r="BL1418" s="87"/>
      <c r="BM1418" s="87"/>
      <c r="BN1418" s="87"/>
      <c r="BO1418" s="87"/>
      <c r="BP1418" s="87"/>
      <c r="BQ1418" s="87"/>
      <c r="BR1418" s="87"/>
      <c r="BS1418" s="87"/>
      <c r="BT1418" s="87"/>
      <c r="BU1418" s="87"/>
      <c r="BV1418" s="87"/>
      <c r="BW1418" s="87"/>
      <c r="BX1418" s="87"/>
      <c r="BY1418" s="87"/>
    </row>
    <row r="1419" spans="21:77" x14ac:dyDescent="0.3">
      <c r="U1419" s="19"/>
      <c r="V1419" s="87"/>
      <c r="W1419" s="87"/>
      <c r="X1419" s="87"/>
      <c r="Y1419" s="87"/>
      <c r="Z1419" s="87"/>
      <c r="AA1419" s="87"/>
      <c r="AB1419" s="87"/>
      <c r="AC1419" s="87"/>
      <c r="AD1419" s="87"/>
      <c r="AE1419" s="87"/>
      <c r="AF1419" s="87"/>
      <c r="AG1419" s="87"/>
      <c r="AH1419" s="87"/>
      <c r="AI1419" s="87"/>
      <c r="AJ1419" s="87"/>
      <c r="AK1419" s="87"/>
      <c r="AL1419" s="87"/>
      <c r="AM1419" s="87"/>
      <c r="AN1419" s="87"/>
      <c r="AO1419" s="87"/>
      <c r="AP1419" s="87"/>
      <c r="AQ1419" s="87"/>
      <c r="AR1419" s="87"/>
      <c r="AS1419" s="87"/>
      <c r="AT1419" s="87"/>
      <c r="AU1419" s="87"/>
      <c r="AV1419" s="87"/>
      <c r="AW1419" s="87"/>
      <c r="AX1419" s="87"/>
      <c r="AY1419" s="87"/>
      <c r="AZ1419" s="87"/>
      <c r="BA1419" s="87"/>
      <c r="BB1419" s="87"/>
      <c r="BC1419" s="87"/>
      <c r="BD1419" s="87"/>
      <c r="BE1419" s="87"/>
      <c r="BF1419" s="87"/>
      <c r="BG1419" s="87"/>
      <c r="BH1419" s="87"/>
      <c r="BI1419" s="87"/>
      <c r="BJ1419" s="87"/>
      <c r="BK1419" s="87"/>
      <c r="BL1419" s="87"/>
      <c r="BM1419" s="87"/>
      <c r="BN1419" s="87"/>
      <c r="BO1419" s="87"/>
      <c r="BP1419" s="87"/>
      <c r="BQ1419" s="87"/>
      <c r="BR1419" s="87"/>
      <c r="BS1419" s="87"/>
      <c r="BT1419" s="87"/>
      <c r="BU1419" s="87"/>
      <c r="BV1419" s="87"/>
      <c r="BW1419" s="87"/>
      <c r="BX1419" s="87"/>
      <c r="BY1419" s="87"/>
    </row>
    <row r="1420" spans="21:77" x14ac:dyDescent="0.3">
      <c r="U1420" s="19"/>
      <c r="V1420" s="87"/>
      <c r="W1420" s="87"/>
      <c r="X1420" s="87"/>
      <c r="Y1420" s="87"/>
      <c r="Z1420" s="87"/>
      <c r="AA1420" s="87"/>
      <c r="AB1420" s="87"/>
      <c r="AC1420" s="87"/>
      <c r="AD1420" s="87"/>
      <c r="AE1420" s="87"/>
      <c r="AF1420" s="87"/>
      <c r="AG1420" s="87"/>
      <c r="AH1420" s="87"/>
      <c r="AI1420" s="87"/>
      <c r="AJ1420" s="87"/>
      <c r="AK1420" s="87"/>
      <c r="AL1420" s="87"/>
      <c r="AM1420" s="87"/>
      <c r="AN1420" s="87"/>
      <c r="AO1420" s="87"/>
      <c r="AP1420" s="87"/>
      <c r="AQ1420" s="87"/>
      <c r="AR1420" s="87"/>
      <c r="AS1420" s="87"/>
      <c r="AT1420" s="87"/>
      <c r="AU1420" s="87"/>
      <c r="AV1420" s="87"/>
      <c r="AW1420" s="87"/>
      <c r="AX1420" s="87"/>
      <c r="AY1420" s="87"/>
      <c r="AZ1420" s="87"/>
      <c r="BA1420" s="87"/>
      <c r="BB1420" s="87"/>
      <c r="BC1420" s="87"/>
      <c r="BD1420" s="87"/>
      <c r="BE1420" s="87"/>
      <c r="BF1420" s="87"/>
      <c r="BG1420" s="87"/>
      <c r="BH1420" s="87"/>
      <c r="BI1420" s="87"/>
      <c r="BJ1420" s="87"/>
      <c r="BK1420" s="87"/>
      <c r="BL1420" s="87"/>
      <c r="BM1420" s="87"/>
      <c r="BN1420" s="87"/>
      <c r="BO1420" s="87"/>
      <c r="BP1420" s="87"/>
      <c r="BQ1420" s="87"/>
      <c r="BR1420" s="87"/>
      <c r="BS1420" s="87"/>
      <c r="BT1420" s="87"/>
      <c r="BU1420" s="87"/>
      <c r="BV1420" s="87"/>
      <c r="BW1420" s="87"/>
      <c r="BX1420" s="87"/>
      <c r="BY1420" s="87"/>
    </row>
    <row r="1421" spans="21:77" x14ac:dyDescent="0.3">
      <c r="U1421" s="19"/>
      <c r="V1421" s="87"/>
      <c r="W1421" s="87"/>
      <c r="X1421" s="87"/>
      <c r="Y1421" s="87"/>
      <c r="Z1421" s="87"/>
      <c r="AA1421" s="87"/>
      <c r="AB1421" s="87"/>
      <c r="AC1421" s="87"/>
      <c r="AD1421" s="87"/>
      <c r="AE1421" s="87"/>
      <c r="AF1421" s="87"/>
      <c r="AG1421" s="87"/>
      <c r="AH1421" s="87"/>
      <c r="AI1421" s="87"/>
      <c r="AJ1421" s="87"/>
      <c r="AK1421" s="87"/>
      <c r="AL1421" s="87"/>
      <c r="AM1421" s="87"/>
      <c r="AN1421" s="87"/>
      <c r="AO1421" s="87"/>
      <c r="AP1421" s="87"/>
      <c r="AQ1421" s="87"/>
      <c r="AR1421" s="87"/>
      <c r="AS1421" s="87"/>
      <c r="AT1421" s="87"/>
      <c r="AU1421" s="87"/>
      <c r="AV1421" s="87"/>
      <c r="AW1421" s="87"/>
      <c r="AX1421" s="87"/>
      <c r="AY1421" s="87"/>
      <c r="AZ1421" s="87"/>
      <c r="BA1421" s="87"/>
      <c r="BB1421" s="87"/>
      <c r="BC1421" s="87"/>
      <c r="BD1421" s="87"/>
      <c r="BE1421" s="87"/>
      <c r="BF1421" s="87"/>
      <c r="BG1421" s="87"/>
      <c r="BH1421" s="87"/>
      <c r="BI1421" s="87"/>
      <c r="BJ1421" s="87"/>
      <c r="BK1421" s="87"/>
      <c r="BL1421" s="87"/>
      <c r="BM1421" s="87"/>
      <c r="BN1421" s="87"/>
      <c r="BO1421" s="87"/>
      <c r="BP1421" s="87"/>
      <c r="BQ1421" s="87"/>
      <c r="BR1421" s="87"/>
      <c r="BS1421" s="87"/>
      <c r="BT1421" s="87"/>
      <c r="BU1421" s="87"/>
      <c r="BV1421" s="87"/>
      <c r="BW1421" s="87"/>
      <c r="BX1421" s="87"/>
      <c r="BY1421" s="87"/>
    </row>
    <row r="1422" spans="21:77" x14ac:dyDescent="0.3">
      <c r="U1422" s="19"/>
      <c r="V1422" s="87"/>
      <c r="W1422" s="87"/>
      <c r="X1422" s="87"/>
      <c r="Y1422" s="87"/>
      <c r="Z1422" s="87"/>
      <c r="AA1422" s="87"/>
      <c r="AB1422" s="87"/>
      <c r="AC1422" s="87"/>
      <c r="AD1422" s="87"/>
      <c r="AE1422" s="87"/>
      <c r="AF1422" s="87"/>
      <c r="AG1422" s="87"/>
      <c r="AH1422" s="87"/>
      <c r="AI1422" s="87"/>
      <c r="AJ1422" s="87"/>
      <c r="AK1422" s="87"/>
      <c r="AL1422" s="87"/>
      <c r="AM1422" s="87"/>
      <c r="AN1422" s="87"/>
      <c r="AO1422" s="87"/>
      <c r="AP1422" s="87"/>
      <c r="AQ1422" s="87"/>
      <c r="AR1422" s="87"/>
      <c r="AS1422" s="87"/>
      <c r="AT1422" s="87"/>
      <c r="AU1422" s="87"/>
      <c r="AV1422" s="87"/>
      <c r="AW1422" s="87"/>
      <c r="AX1422" s="87"/>
      <c r="AY1422" s="87"/>
      <c r="AZ1422" s="87"/>
      <c r="BA1422" s="87"/>
      <c r="BB1422" s="87"/>
      <c r="BC1422" s="87"/>
      <c r="BD1422" s="87"/>
      <c r="BE1422" s="87"/>
      <c r="BF1422" s="87"/>
      <c r="BG1422" s="87"/>
      <c r="BH1422" s="87"/>
      <c r="BI1422" s="87"/>
      <c r="BJ1422" s="87"/>
      <c r="BK1422" s="87"/>
      <c r="BL1422" s="87"/>
      <c r="BM1422" s="87"/>
      <c r="BN1422" s="87"/>
      <c r="BO1422" s="87"/>
      <c r="BP1422" s="87"/>
      <c r="BQ1422" s="87"/>
      <c r="BR1422" s="87"/>
      <c r="BS1422" s="87"/>
      <c r="BT1422" s="87"/>
      <c r="BU1422" s="87"/>
      <c r="BV1422" s="87"/>
      <c r="BW1422" s="87"/>
      <c r="BX1422" s="87"/>
      <c r="BY1422" s="87"/>
    </row>
    <row r="1423" spans="21:77" x14ac:dyDescent="0.3">
      <c r="U1423" s="19"/>
      <c r="V1423" s="87"/>
      <c r="W1423" s="87"/>
      <c r="X1423" s="87"/>
      <c r="Y1423" s="87"/>
      <c r="Z1423" s="87"/>
      <c r="AA1423" s="87"/>
      <c r="AB1423" s="87"/>
      <c r="AC1423" s="87"/>
      <c r="AD1423" s="87"/>
      <c r="AE1423" s="87"/>
      <c r="AF1423" s="87"/>
      <c r="AG1423" s="87"/>
      <c r="AH1423" s="87"/>
      <c r="AI1423" s="87"/>
      <c r="AJ1423" s="87"/>
      <c r="AK1423" s="87"/>
      <c r="AL1423" s="87"/>
      <c r="AM1423" s="87"/>
      <c r="AN1423" s="87"/>
      <c r="AO1423" s="87"/>
      <c r="AP1423" s="87"/>
      <c r="AQ1423" s="87"/>
      <c r="AR1423" s="87"/>
      <c r="AS1423" s="87"/>
      <c r="AT1423" s="87"/>
      <c r="AU1423" s="87"/>
      <c r="AV1423" s="87"/>
      <c r="AW1423" s="87"/>
      <c r="AX1423" s="87"/>
      <c r="AY1423" s="87"/>
      <c r="AZ1423" s="87"/>
      <c r="BA1423" s="87"/>
      <c r="BB1423" s="87"/>
      <c r="BC1423" s="87"/>
      <c r="BD1423" s="87"/>
      <c r="BE1423" s="87"/>
      <c r="BF1423" s="87"/>
      <c r="BG1423" s="87"/>
      <c r="BH1423" s="87"/>
      <c r="BI1423" s="87"/>
      <c r="BJ1423" s="87"/>
      <c r="BK1423" s="87"/>
      <c r="BL1423" s="87"/>
      <c r="BM1423" s="87"/>
      <c r="BN1423" s="87"/>
      <c r="BO1423" s="87"/>
      <c r="BP1423" s="87"/>
      <c r="BQ1423" s="87"/>
      <c r="BR1423" s="87"/>
      <c r="BS1423" s="87"/>
      <c r="BT1423" s="87"/>
      <c r="BU1423" s="87"/>
      <c r="BV1423" s="87"/>
      <c r="BW1423" s="87"/>
      <c r="BX1423" s="87"/>
      <c r="BY1423" s="87"/>
    </row>
    <row r="1424" spans="21:77" x14ac:dyDescent="0.3">
      <c r="U1424" s="19"/>
      <c r="V1424" s="87"/>
      <c r="W1424" s="87"/>
      <c r="X1424" s="87"/>
      <c r="Y1424" s="87"/>
      <c r="Z1424" s="87"/>
      <c r="AA1424" s="87"/>
      <c r="AB1424" s="87"/>
      <c r="AC1424" s="87"/>
      <c r="AD1424" s="87"/>
      <c r="AE1424" s="87"/>
      <c r="AF1424" s="87"/>
      <c r="AG1424" s="87"/>
      <c r="AH1424" s="87"/>
      <c r="AI1424" s="87"/>
      <c r="AJ1424" s="87"/>
      <c r="AK1424" s="87"/>
      <c r="AL1424" s="87"/>
      <c r="AM1424" s="87"/>
      <c r="AN1424" s="87"/>
      <c r="AO1424" s="87"/>
      <c r="AP1424" s="87"/>
      <c r="AQ1424" s="87"/>
      <c r="AR1424" s="87"/>
      <c r="AS1424" s="87"/>
      <c r="AT1424" s="87"/>
      <c r="AU1424" s="87"/>
      <c r="AV1424" s="87"/>
      <c r="AW1424" s="87"/>
      <c r="AX1424" s="87"/>
      <c r="AY1424" s="87"/>
      <c r="AZ1424" s="87"/>
      <c r="BA1424" s="87"/>
      <c r="BB1424" s="87"/>
      <c r="BC1424" s="87"/>
      <c r="BD1424" s="87"/>
      <c r="BE1424" s="87"/>
      <c r="BF1424" s="87"/>
      <c r="BG1424" s="87"/>
      <c r="BH1424" s="87"/>
      <c r="BI1424" s="87"/>
      <c r="BJ1424" s="87"/>
      <c r="BK1424" s="87"/>
      <c r="BL1424" s="87"/>
      <c r="BM1424" s="87"/>
      <c r="BN1424" s="87"/>
      <c r="BO1424" s="87"/>
      <c r="BP1424" s="87"/>
      <c r="BQ1424" s="87"/>
      <c r="BR1424" s="87"/>
      <c r="BS1424" s="87"/>
      <c r="BT1424" s="87"/>
      <c r="BU1424" s="87"/>
      <c r="BV1424" s="87"/>
      <c r="BW1424" s="87"/>
      <c r="BX1424" s="87"/>
      <c r="BY1424" s="87"/>
    </row>
    <row r="1425" spans="21:77" x14ac:dyDescent="0.3">
      <c r="U1425" s="19"/>
      <c r="V1425" s="87"/>
      <c r="W1425" s="87"/>
      <c r="X1425" s="87"/>
      <c r="Y1425" s="87"/>
      <c r="Z1425" s="87"/>
      <c r="AA1425" s="87"/>
      <c r="AB1425" s="87"/>
      <c r="AC1425" s="87"/>
      <c r="AD1425" s="87"/>
      <c r="AE1425" s="87"/>
      <c r="AF1425" s="87"/>
      <c r="AG1425" s="87"/>
      <c r="AH1425" s="87"/>
      <c r="AI1425" s="87"/>
      <c r="AJ1425" s="87"/>
      <c r="AK1425" s="87"/>
      <c r="AL1425" s="87"/>
      <c r="AM1425" s="87"/>
      <c r="AN1425" s="87"/>
      <c r="AO1425" s="87"/>
      <c r="AP1425" s="87"/>
      <c r="AQ1425" s="87"/>
      <c r="AR1425" s="87"/>
      <c r="AS1425" s="87"/>
      <c r="AT1425" s="87"/>
      <c r="AU1425" s="87"/>
      <c r="AV1425" s="87"/>
      <c r="AW1425" s="87"/>
      <c r="AX1425" s="87"/>
      <c r="AY1425" s="87"/>
      <c r="AZ1425" s="87"/>
      <c r="BA1425" s="87"/>
      <c r="BB1425" s="87"/>
      <c r="BC1425" s="87"/>
      <c r="BD1425" s="87"/>
      <c r="BE1425" s="87"/>
      <c r="BF1425" s="87"/>
      <c r="BG1425" s="87"/>
      <c r="BH1425" s="87"/>
      <c r="BI1425" s="87"/>
      <c r="BJ1425" s="87"/>
      <c r="BK1425" s="87"/>
      <c r="BL1425" s="87"/>
      <c r="BM1425" s="87"/>
      <c r="BN1425" s="87"/>
      <c r="BO1425" s="87"/>
      <c r="BP1425" s="87"/>
      <c r="BQ1425" s="87"/>
      <c r="BR1425" s="87"/>
      <c r="BS1425" s="87"/>
      <c r="BT1425" s="87"/>
      <c r="BU1425" s="87"/>
      <c r="BV1425" s="87"/>
      <c r="BW1425" s="87"/>
      <c r="BX1425" s="87"/>
      <c r="BY1425" s="87"/>
    </row>
    <row r="1426" spans="21:77" x14ac:dyDescent="0.3">
      <c r="U1426" s="19"/>
      <c r="V1426" s="87"/>
      <c r="W1426" s="87"/>
      <c r="X1426" s="87"/>
      <c r="Y1426" s="87"/>
      <c r="Z1426" s="87"/>
      <c r="AA1426" s="87"/>
      <c r="AB1426" s="87"/>
      <c r="AC1426" s="87"/>
      <c r="AD1426" s="87"/>
      <c r="AE1426" s="87"/>
      <c r="AF1426" s="87"/>
      <c r="AG1426" s="87"/>
      <c r="AH1426" s="87"/>
      <c r="AI1426" s="87"/>
      <c r="AJ1426" s="87"/>
      <c r="AK1426" s="87"/>
      <c r="AL1426" s="87"/>
      <c r="AM1426" s="87"/>
      <c r="AN1426" s="87"/>
      <c r="AO1426" s="87"/>
      <c r="AP1426" s="87"/>
      <c r="AQ1426" s="87"/>
      <c r="AR1426" s="87"/>
      <c r="AS1426" s="87"/>
      <c r="AT1426" s="87"/>
      <c r="AU1426" s="87"/>
      <c r="AV1426" s="87"/>
      <c r="AW1426" s="87"/>
      <c r="AX1426" s="87"/>
      <c r="AY1426" s="87"/>
      <c r="AZ1426" s="87"/>
      <c r="BA1426" s="87"/>
      <c r="BB1426" s="87"/>
      <c r="BC1426" s="87"/>
      <c r="BD1426" s="87"/>
      <c r="BE1426" s="87"/>
      <c r="BF1426" s="87"/>
      <c r="BG1426" s="87"/>
      <c r="BH1426" s="87"/>
      <c r="BI1426" s="87"/>
      <c r="BJ1426" s="87"/>
      <c r="BK1426" s="87"/>
      <c r="BL1426" s="87"/>
      <c r="BM1426" s="87"/>
      <c r="BN1426" s="87"/>
      <c r="BO1426" s="87"/>
      <c r="BP1426" s="87"/>
      <c r="BQ1426" s="87"/>
      <c r="BR1426" s="87"/>
      <c r="BS1426" s="87"/>
      <c r="BT1426" s="87"/>
      <c r="BU1426" s="87"/>
      <c r="BV1426" s="87"/>
      <c r="BW1426" s="87"/>
      <c r="BX1426" s="87"/>
      <c r="BY1426" s="87"/>
    </row>
    <row r="1427" spans="21:77" x14ac:dyDescent="0.3">
      <c r="U1427" s="19"/>
      <c r="V1427" s="87"/>
      <c r="W1427" s="87"/>
      <c r="X1427" s="87"/>
      <c r="Y1427" s="87"/>
      <c r="Z1427" s="87"/>
      <c r="AA1427" s="87"/>
      <c r="AB1427" s="87"/>
      <c r="AC1427" s="87"/>
      <c r="AD1427" s="87"/>
      <c r="AE1427" s="87"/>
      <c r="AF1427" s="87"/>
      <c r="AG1427" s="87"/>
      <c r="AH1427" s="87"/>
      <c r="AI1427" s="87"/>
      <c r="AJ1427" s="87"/>
      <c r="AK1427" s="87"/>
      <c r="AL1427" s="87"/>
      <c r="AM1427" s="87"/>
      <c r="AN1427" s="87"/>
      <c r="AO1427" s="87"/>
      <c r="AP1427" s="87"/>
      <c r="AQ1427" s="87"/>
      <c r="AR1427" s="87"/>
      <c r="AS1427" s="87"/>
      <c r="AT1427" s="87"/>
      <c r="AU1427" s="87"/>
      <c r="AV1427" s="87"/>
      <c r="AW1427" s="87"/>
      <c r="AX1427" s="87"/>
      <c r="AY1427" s="87"/>
      <c r="AZ1427" s="87"/>
      <c r="BA1427" s="87"/>
      <c r="BB1427" s="87"/>
      <c r="BC1427" s="87"/>
      <c r="BD1427" s="87"/>
      <c r="BE1427" s="87"/>
      <c r="BF1427" s="87"/>
      <c r="BG1427" s="87"/>
      <c r="BH1427" s="87"/>
      <c r="BI1427" s="87"/>
      <c r="BJ1427" s="87"/>
      <c r="BK1427" s="87"/>
      <c r="BL1427" s="87"/>
      <c r="BM1427" s="87"/>
      <c r="BN1427" s="87"/>
      <c r="BO1427" s="87"/>
      <c r="BP1427" s="87"/>
      <c r="BQ1427" s="87"/>
      <c r="BR1427" s="87"/>
      <c r="BS1427" s="87"/>
      <c r="BT1427" s="87"/>
      <c r="BU1427" s="87"/>
      <c r="BV1427" s="87"/>
      <c r="BW1427" s="87"/>
      <c r="BX1427" s="87"/>
      <c r="BY1427" s="87"/>
    </row>
    <row r="1428" spans="21:77" x14ac:dyDescent="0.3">
      <c r="U1428" s="19"/>
      <c r="V1428" s="87"/>
      <c r="W1428" s="87"/>
      <c r="X1428" s="87"/>
      <c r="Y1428" s="87"/>
      <c r="Z1428" s="87"/>
      <c r="AA1428" s="87"/>
      <c r="AB1428" s="87"/>
      <c r="AC1428" s="87"/>
      <c r="AD1428" s="87"/>
      <c r="AE1428" s="87"/>
      <c r="AF1428" s="87"/>
      <c r="AG1428" s="87"/>
      <c r="AH1428" s="87"/>
      <c r="AI1428" s="87"/>
      <c r="AJ1428" s="87"/>
      <c r="AK1428" s="87"/>
      <c r="AL1428" s="87"/>
      <c r="AM1428" s="87"/>
      <c r="AN1428" s="87"/>
      <c r="AO1428" s="87"/>
      <c r="AP1428" s="87"/>
      <c r="AQ1428" s="87"/>
      <c r="AR1428" s="87"/>
      <c r="AS1428" s="87"/>
      <c r="AT1428" s="87"/>
      <c r="AU1428" s="87"/>
      <c r="AV1428" s="87"/>
      <c r="AW1428" s="87"/>
      <c r="AX1428" s="87"/>
      <c r="AY1428" s="87"/>
      <c r="AZ1428" s="87"/>
      <c r="BA1428" s="87"/>
      <c r="BB1428" s="87"/>
      <c r="BC1428" s="87"/>
      <c r="BD1428" s="87"/>
      <c r="BE1428" s="87"/>
      <c r="BF1428" s="87"/>
      <c r="BG1428" s="87"/>
      <c r="BH1428" s="87"/>
      <c r="BI1428" s="87"/>
      <c r="BJ1428" s="87"/>
      <c r="BK1428" s="87"/>
      <c r="BL1428" s="87"/>
      <c r="BM1428" s="87"/>
      <c r="BN1428" s="87"/>
      <c r="BO1428" s="87"/>
      <c r="BP1428" s="87"/>
      <c r="BQ1428" s="87"/>
      <c r="BR1428" s="87"/>
      <c r="BS1428" s="87"/>
      <c r="BT1428" s="87"/>
      <c r="BU1428" s="87"/>
      <c r="BV1428" s="87"/>
      <c r="BW1428" s="87"/>
      <c r="BX1428" s="87"/>
      <c r="BY1428" s="87"/>
    </row>
    <row r="1429" spans="21:77" x14ac:dyDescent="0.3">
      <c r="U1429" s="19"/>
      <c r="V1429" s="87"/>
      <c r="W1429" s="87"/>
      <c r="X1429" s="87"/>
      <c r="Y1429" s="87"/>
      <c r="Z1429" s="87"/>
      <c r="AA1429" s="87"/>
      <c r="AB1429" s="87"/>
      <c r="AC1429" s="87"/>
      <c r="AD1429" s="87"/>
      <c r="AE1429" s="87"/>
      <c r="AF1429" s="87"/>
      <c r="AG1429" s="87"/>
      <c r="AH1429" s="87"/>
      <c r="AI1429" s="87"/>
      <c r="AJ1429" s="87"/>
      <c r="AK1429" s="87"/>
      <c r="AL1429" s="87"/>
      <c r="AM1429" s="87"/>
      <c r="AN1429" s="87"/>
      <c r="AO1429" s="87"/>
      <c r="AP1429" s="87"/>
      <c r="AQ1429" s="87"/>
      <c r="AR1429" s="87"/>
      <c r="AS1429" s="87"/>
      <c r="AT1429" s="87"/>
      <c r="AU1429" s="87"/>
      <c r="AV1429" s="87"/>
      <c r="AW1429" s="87"/>
      <c r="AX1429" s="87"/>
      <c r="AY1429" s="87"/>
      <c r="AZ1429" s="87"/>
      <c r="BA1429" s="87"/>
      <c r="BB1429" s="87"/>
      <c r="BC1429" s="87"/>
      <c r="BD1429" s="87"/>
      <c r="BE1429" s="87"/>
      <c r="BF1429" s="87"/>
      <c r="BG1429" s="87"/>
      <c r="BH1429" s="87"/>
      <c r="BI1429" s="87"/>
      <c r="BJ1429" s="87"/>
      <c r="BK1429" s="87"/>
      <c r="BL1429" s="87"/>
      <c r="BM1429" s="87"/>
      <c r="BN1429" s="87"/>
      <c r="BO1429" s="87"/>
      <c r="BP1429" s="87"/>
      <c r="BQ1429" s="87"/>
      <c r="BR1429" s="87"/>
      <c r="BS1429" s="87"/>
      <c r="BT1429" s="87"/>
      <c r="BU1429" s="87"/>
      <c r="BV1429" s="87"/>
      <c r="BW1429" s="87"/>
      <c r="BX1429" s="87"/>
      <c r="BY1429" s="87"/>
    </row>
    <row r="1430" spans="21:77" x14ac:dyDescent="0.3">
      <c r="U1430" s="19"/>
      <c r="V1430" s="87"/>
      <c r="W1430" s="87"/>
      <c r="X1430" s="87"/>
      <c r="Y1430" s="87"/>
      <c r="Z1430" s="87"/>
      <c r="AA1430" s="87"/>
      <c r="AB1430" s="87"/>
      <c r="AC1430" s="87"/>
      <c r="AD1430" s="87"/>
      <c r="AE1430" s="87"/>
      <c r="AF1430" s="87"/>
      <c r="AG1430" s="87"/>
      <c r="AH1430" s="87"/>
      <c r="AI1430" s="87"/>
      <c r="AJ1430" s="87"/>
      <c r="AK1430" s="87"/>
      <c r="AL1430" s="87"/>
      <c r="AM1430" s="87"/>
      <c r="AN1430" s="87"/>
      <c r="AO1430" s="87"/>
      <c r="AP1430" s="87"/>
      <c r="AQ1430" s="87"/>
      <c r="AR1430" s="87"/>
      <c r="AS1430" s="87"/>
      <c r="AT1430" s="87"/>
      <c r="AU1430" s="87"/>
      <c r="AV1430" s="87"/>
      <c r="AW1430" s="87"/>
      <c r="AX1430" s="87"/>
      <c r="AY1430" s="87"/>
      <c r="AZ1430" s="87"/>
      <c r="BA1430" s="87"/>
      <c r="BB1430" s="87"/>
      <c r="BC1430" s="87"/>
      <c r="BD1430" s="87"/>
      <c r="BE1430" s="87"/>
      <c r="BF1430" s="87"/>
      <c r="BG1430" s="87"/>
      <c r="BH1430" s="87"/>
      <c r="BI1430" s="87"/>
      <c r="BJ1430" s="87"/>
      <c r="BK1430" s="87"/>
      <c r="BL1430" s="87"/>
      <c r="BM1430" s="87"/>
      <c r="BN1430" s="87"/>
      <c r="BO1430" s="87"/>
      <c r="BP1430" s="87"/>
      <c r="BQ1430" s="87"/>
      <c r="BR1430" s="87"/>
      <c r="BS1430" s="87"/>
      <c r="BT1430" s="87"/>
      <c r="BU1430" s="87"/>
      <c r="BV1430" s="87"/>
      <c r="BW1430" s="87"/>
      <c r="BX1430" s="87"/>
      <c r="BY1430" s="87"/>
    </row>
    <row r="1431" spans="21:77" x14ac:dyDescent="0.3">
      <c r="U1431" s="19"/>
      <c r="V1431" s="87"/>
      <c r="W1431" s="87"/>
      <c r="X1431" s="87"/>
      <c r="Y1431" s="87"/>
      <c r="Z1431" s="87"/>
      <c r="AA1431" s="87"/>
      <c r="AB1431" s="87"/>
      <c r="AC1431" s="87"/>
      <c r="AD1431" s="87"/>
      <c r="AE1431" s="87"/>
      <c r="AF1431" s="87"/>
      <c r="AG1431" s="87"/>
      <c r="AH1431" s="87"/>
      <c r="AI1431" s="87"/>
      <c r="AJ1431" s="87"/>
      <c r="AK1431" s="87"/>
      <c r="AL1431" s="87"/>
      <c r="AM1431" s="87"/>
      <c r="AN1431" s="87"/>
      <c r="AO1431" s="87"/>
      <c r="AP1431" s="87"/>
      <c r="AQ1431" s="87"/>
      <c r="AR1431" s="87"/>
      <c r="AS1431" s="87"/>
      <c r="AT1431" s="87"/>
      <c r="AU1431" s="87"/>
      <c r="AV1431" s="87"/>
      <c r="AW1431" s="87"/>
      <c r="AX1431" s="87"/>
      <c r="AY1431" s="87"/>
      <c r="AZ1431" s="87"/>
      <c r="BA1431" s="87"/>
      <c r="BB1431" s="87"/>
      <c r="BC1431" s="87"/>
      <c r="BD1431" s="87"/>
      <c r="BE1431" s="87"/>
      <c r="BF1431" s="87"/>
      <c r="BG1431" s="87"/>
      <c r="BH1431" s="87"/>
      <c r="BI1431" s="87"/>
      <c r="BJ1431" s="87"/>
      <c r="BK1431" s="87"/>
      <c r="BL1431" s="87"/>
      <c r="BM1431" s="87"/>
      <c r="BN1431" s="87"/>
      <c r="BO1431" s="87"/>
      <c r="BP1431" s="87"/>
      <c r="BQ1431" s="87"/>
      <c r="BR1431" s="87"/>
      <c r="BS1431" s="87"/>
      <c r="BT1431" s="87"/>
      <c r="BU1431" s="87"/>
      <c r="BV1431" s="87"/>
      <c r="BW1431" s="87"/>
      <c r="BX1431" s="87"/>
      <c r="BY1431" s="87"/>
    </row>
    <row r="1432" spans="21:77" x14ac:dyDescent="0.3">
      <c r="U1432" s="19"/>
      <c r="V1432" s="87"/>
      <c r="W1432" s="87"/>
      <c r="X1432" s="87"/>
      <c r="Y1432" s="87"/>
      <c r="Z1432" s="87"/>
      <c r="AA1432" s="87"/>
      <c r="AB1432" s="87"/>
      <c r="AC1432" s="87"/>
      <c r="AD1432" s="87"/>
      <c r="AE1432" s="87"/>
      <c r="AF1432" s="87"/>
      <c r="AG1432" s="87"/>
      <c r="AH1432" s="87"/>
      <c r="AI1432" s="87"/>
      <c r="AJ1432" s="87"/>
      <c r="AK1432" s="87"/>
      <c r="AL1432" s="87"/>
      <c r="AM1432" s="87"/>
      <c r="AN1432" s="87"/>
      <c r="AO1432" s="87"/>
      <c r="AP1432" s="87"/>
      <c r="AQ1432" s="87"/>
      <c r="AR1432" s="87"/>
      <c r="AS1432" s="87"/>
      <c r="AT1432" s="87"/>
      <c r="AU1432" s="87"/>
      <c r="AV1432" s="87"/>
      <c r="AW1432" s="87"/>
      <c r="AX1432" s="87"/>
      <c r="AY1432" s="87"/>
      <c r="AZ1432" s="87"/>
      <c r="BA1432" s="87"/>
      <c r="BB1432" s="87"/>
      <c r="BC1432" s="87"/>
      <c r="BD1432" s="87"/>
      <c r="BE1432" s="87"/>
      <c r="BF1432" s="87"/>
      <c r="BG1432" s="87"/>
      <c r="BH1432" s="87"/>
      <c r="BI1432" s="87"/>
      <c r="BJ1432" s="87"/>
      <c r="BK1432" s="87"/>
      <c r="BL1432" s="87"/>
      <c r="BM1432" s="87"/>
      <c r="BN1432" s="87"/>
      <c r="BO1432" s="87"/>
      <c r="BP1432" s="87"/>
      <c r="BQ1432" s="87"/>
      <c r="BR1432" s="87"/>
      <c r="BS1432" s="87"/>
      <c r="BT1432" s="87"/>
      <c r="BU1432" s="87"/>
      <c r="BV1432" s="87"/>
      <c r="BW1432" s="87"/>
      <c r="BX1432" s="87"/>
      <c r="BY1432" s="87"/>
    </row>
    <row r="1433" spans="21:77" x14ac:dyDescent="0.3">
      <c r="U1433" s="19"/>
      <c r="V1433" s="87"/>
      <c r="W1433" s="87"/>
      <c r="X1433" s="87"/>
      <c r="Y1433" s="87"/>
      <c r="Z1433" s="87"/>
      <c r="AA1433" s="87"/>
      <c r="AB1433" s="87"/>
      <c r="AC1433" s="87"/>
      <c r="AD1433" s="87"/>
      <c r="AE1433" s="87"/>
      <c r="AF1433" s="87"/>
      <c r="AG1433" s="87"/>
      <c r="AH1433" s="87"/>
      <c r="AI1433" s="87"/>
      <c r="AJ1433" s="87"/>
      <c r="AK1433" s="87"/>
      <c r="AL1433" s="87"/>
      <c r="AM1433" s="87"/>
      <c r="AN1433" s="87"/>
      <c r="AO1433" s="87"/>
      <c r="AP1433" s="87"/>
      <c r="AQ1433" s="87"/>
      <c r="AR1433" s="87"/>
      <c r="AS1433" s="87"/>
      <c r="AT1433" s="87"/>
      <c r="AU1433" s="87"/>
      <c r="AV1433" s="87"/>
      <c r="AW1433" s="87"/>
      <c r="AX1433" s="87"/>
      <c r="AY1433" s="87"/>
      <c r="AZ1433" s="87"/>
      <c r="BA1433" s="87"/>
      <c r="BB1433" s="87"/>
      <c r="BC1433" s="87"/>
      <c r="BD1433" s="87"/>
      <c r="BE1433" s="87"/>
      <c r="BF1433" s="87"/>
      <c r="BG1433" s="87"/>
      <c r="BH1433" s="87"/>
      <c r="BI1433" s="87"/>
      <c r="BJ1433" s="87"/>
      <c r="BK1433" s="87"/>
      <c r="BL1433" s="87"/>
      <c r="BM1433" s="87"/>
      <c r="BN1433" s="87"/>
      <c r="BO1433" s="87"/>
      <c r="BP1433" s="87"/>
      <c r="BQ1433" s="87"/>
      <c r="BR1433" s="87"/>
      <c r="BS1433" s="87"/>
      <c r="BT1433" s="87"/>
      <c r="BU1433" s="87"/>
      <c r="BV1433" s="87"/>
      <c r="BW1433" s="87"/>
      <c r="BX1433" s="87"/>
      <c r="BY1433" s="87"/>
    </row>
    <row r="1434" spans="21:77" x14ac:dyDescent="0.3">
      <c r="U1434" s="19"/>
      <c r="V1434" s="87"/>
      <c r="W1434" s="87"/>
      <c r="X1434" s="87"/>
      <c r="Y1434" s="87"/>
      <c r="Z1434" s="87"/>
      <c r="AA1434" s="87"/>
      <c r="AB1434" s="87"/>
      <c r="AC1434" s="87"/>
      <c r="AD1434" s="87"/>
      <c r="AE1434" s="87"/>
      <c r="AF1434" s="87"/>
      <c r="AG1434" s="87"/>
      <c r="AH1434" s="87"/>
      <c r="AI1434" s="87"/>
      <c r="AJ1434" s="87"/>
      <c r="AK1434" s="87"/>
      <c r="AL1434" s="87"/>
      <c r="AM1434" s="87"/>
      <c r="AN1434" s="87"/>
      <c r="AO1434" s="87"/>
      <c r="AP1434" s="87"/>
      <c r="AQ1434" s="87"/>
      <c r="AR1434" s="87"/>
      <c r="AS1434" s="87"/>
      <c r="AT1434" s="87"/>
      <c r="AU1434" s="87"/>
      <c r="AV1434" s="87"/>
      <c r="AW1434" s="87"/>
      <c r="AX1434" s="87"/>
      <c r="AY1434" s="87"/>
      <c r="AZ1434" s="87"/>
      <c r="BA1434" s="87"/>
      <c r="BB1434" s="87"/>
      <c r="BC1434" s="87"/>
      <c r="BD1434" s="87"/>
      <c r="BE1434" s="87"/>
      <c r="BF1434" s="87"/>
      <c r="BG1434" s="87"/>
      <c r="BH1434" s="87"/>
      <c r="BI1434" s="87"/>
      <c r="BJ1434" s="87"/>
      <c r="BK1434" s="87"/>
      <c r="BL1434" s="87"/>
      <c r="BM1434" s="87"/>
      <c r="BN1434" s="87"/>
      <c r="BO1434" s="87"/>
      <c r="BP1434" s="87"/>
      <c r="BQ1434" s="87"/>
      <c r="BR1434" s="87"/>
      <c r="BS1434" s="87"/>
      <c r="BT1434" s="87"/>
      <c r="BU1434" s="87"/>
      <c r="BV1434" s="87"/>
      <c r="BW1434" s="87"/>
      <c r="BX1434" s="87"/>
      <c r="BY1434" s="87"/>
    </row>
    <row r="1435" spans="21:77" x14ac:dyDescent="0.3">
      <c r="U1435" s="19"/>
      <c r="V1435" s="87"/>
      <c r="W1435" s="87"/>
      <c r="X1435" s="87"/>
      <c r="Y1435" s="87"/>
      <c r="Z1435" s="87"/>
      <c r="AA1435" s="87"/>
      <c r="AB1435" s="87"/>
      <c r="AC1435" s="87"/>
      <c r="AD1435" s="87"/>
      <c r="AE1435" s="87"/>
      <c r="AF1435" s="87"/>
      <c r="AG1435" s="87"/>
      <c r="AH1435" s="87"/>
      <c r="AI1435" s="87"/>
      <c r="AJ1435" s="87"/>
      <c r="AK1435" s="87"/>
      <c r="AL1435" s="87"/>
      <c r="AM1435" s="87"/>
      <c r="AN1435" s="87"/>
      <c r="AO1435" s="87"/>
      <c r="AP1435" s="87"/>
      <c r="AQ1435" s="87"/>
      <c r="AR1435" s="87"/>
      <c r="AS1435" s="87"/>
      <c r="AT1435" s="87"/>
      <c r="AU1435" s="87"/>
      <c r="AV1435" s="87"/>
      <c r="AW1435" s="87"/>
      <c r="AX1435" s="87"/>
      <c r="AY1435" s="87"/>
      <c r="AZ1435" s="87"/>
      <c r="BA1435" s="87"/>
      <c r="BB1435" s="87"/>
      <c r="BC1435" s="87"/>
      <c r="BD1435" s="87"/>
      <c r="BE1435" s="87"/>
      <c r="BF1435" s="87"/>
      <c r="BG1435" s="87"/>
      <c r="BH1435" s="87"/>
      <c r="BI1435" s="87"/>
      <c r="BJ1435" s="87"/>
      <c r="BK1435" s="87"/>
      <c r="BL1435" s="87"/>
      <c r="BM1435" s="87"/>
      <c r="BN1435" s="87"/>
      <c r="BO1435" s="87"/>
      <c r="BP1435" s="87"/>
      <c r="BQ1435" s="87"/>
      <c r="BR1435" s="87"/>
      <c r="BS1435" s="87"/>
      <c r="BT1435" s="87"/>
      <c r="BU1435" s="87"/>
      <c r="BV1435" s="87"/>
      <c r="BW1435" s="87"/>
      <c r="BX1435" s="87"/>
      <c r="BY1435" s="87"/>
    </row>
    <row r="1436" spans="21:77" x14ac:dyDescent="0.3">
      <c r="U1436" s="19"/>
      <c r="V1436" s="87"/>
      <c r="W1436" s="87"/>
      <c r="X1436" s="87"/>
      <c r="Y1436" s="87"/>
      <c r="Z1436" s="87"/>
      <c r="AA1436" s="87"/>
      <c r="AB1436" s="87"/>
      <c r="AC1436" s="87"/>
      <c r="AD1436" s="87"/>
      <c r="AE1436" s="87"/>
      <c r="AF1436" s="87"/>
      <c r="AG1436" s="87"/>
      <c r="AH1436" s="87"/>
      <c r="AI1436" s="87"/>
      <c r="AJ1436" s="87"/>
      <c r="AK1436" s="87"/>
      <c r="AL1436" s="87"/>
      <c r="AM1436" s="87"/>
      <c r="AN1436" s="87"/>
      <c r="AO1436" s="87"/>
      <c r="AP1436" s="87"/>
      <c r="AQ1436" s="87"/>
      <c r="AR1436" s="87"/>
      <c r="AS1436" s="87"/>
      <c r="AT1436" s="87"/>
      <c r="AU1436" s="87"/>
      <c r="AV1436" s="87"/>
      <c r="AW1436" s="87"/>
      <c r="AX1436" s="87"/>
      <c r="AY1436" s="87"/>
      <c r="AZ1436" s="87"/>
      <c r="BA1436" s="87"/>
      <c r="BB1436" s="87"/>
      <c r="BC1436" s="87"/>
      <c r="BD1436" s="87"/>
      <c r="BE1436" s="87"/>
      <c r="BF1436" s="87"/>
      <c r="BG1436" s="87"/>
      <c r="BH1436" s="87"/>
      <c r="BI1436" s="87"/>
      <c r="BJ1436" s="87"/>
      <c r="BK1436" s="87"/>
      <c r="BL1436" s="87"/>
      <c r="BM1436" s="87"/>
      <c r="BN1436" s="87"/>
      <c r="BO1436" s="87"/>
      <c r="BP1436" s="87"/>
      <c r="BQ1436" s="87"/>
      <c r="BR1436" s="87"/>
      <c r="BS1436" s="87"/>
      <c r="BT1436" s="87"/>
      <c r="BU1436" s="87"/>
      <c r="BV1436" s="87"/>
      <c r="BW1436" s="87"/>
      <c r="BX1436" s="87"/>
      <c r="BY1436" s="87"/>
    </row>
    <row r="1437" spans="21:77" x14ac:dyDescent="0.3">
      <c r="U1437" s="19"/>
      <c r="V1437" s="87"/>
      <c r="W1437" s="87"/>
      <c r="X1437" s="87"/>
      <c r="Y1437" s="87"/>
      <c r="Z1437" s="87"/>
      <c r="AA1437" s="87"/>
      <c r="AB1437" s="87"/>
      <c r="AC1437" s="87"/>
      <c r="AD1437" s="87"/>
      <c r="AE1437" s="87"/>
      <c r="AF1437" s="87"/>
      <c r="AG1437" s="87"/>
      <c r="AH1437" s="87"/>
      <c r="AI1437" s="87"/>
      <c r="AJ1437" s="87"/>
      <c r="AK1437" s="87"/>
      <c r="AL1437" s="87"/>
      <c r="AM1437" s="87"/>
      <c r="AN1437" s="87"/>
      <c r="AO1437" s="87"/>
      <c r="AP1437" s="87"/>
      <c r="AQ1437" s="87"/>
      <c r="AR1437" s="87"/>
      <c r="AS1437" s="87"/>
      <c r="AT1437" s="87"/>
      <c r="AU1437" s="87"/>
      <c r="AV1437" s="87"/>
      <c r="AW1437" s="87"/>
      <c r="AX1437" s="87"/>
      <c r="AY1437" s="87"/>
      <c r="AZ1437" s="87"/>
      <c r="BA1437" s="87"/>
      <c r="BB1437" s="87"/>
      <c r="BC1437" s="87"/>
      <c r="BD1437" s="87"/>
      <c r="BE1437" s="87"/>
      <c r="BF1437" s="87"/>
      <c r="BG1437" s="87"/>
      <c r="BH1437" s="87"/>
      <c r="BI1437" s="87"/>
      <c r="BJ1437" s="87"/>
      <c r="BK1437" s="87"/>
      <c r="BL1437" s="87"/>
      <c r="BM1437" s="87"/>
      <c r="BN1437" s="87"/>
      <c r="BO1437" s="87"/>
      <c r="BP1437" s="87"/>
      <c r="BQ1437" s="87"/>
      <c r="BR1437" s="87"/>
      <c r="BS1437" s="87"/>
      <c r="BT1437" s="87"/>
      <c r="BU1437" s="87"/>
      <c r="BV1437" s="87"/>
      <c r="BW1437" s="87"/>
      <c r="BX1437" s="87"/>
      <c r="BY1437" s="87"/>
    </row>
    <row r="1438" spans="21:77" x14ac:dyDescent="0.3">
      <c r="U1438" s="19"/>
      <c r="V1438" s="87"/>
      <c r="W1438" s="87"/>
      <c r="X1438" s="87"/>
      <c r="Y1438" s="87"/>
      <c r="Z1438" s="87"/>
      <c r="AA1438" s="87"/>
      <c r="AB1438" s="87"/>
      <c r="AC1438" s="87"/>
      <c r="AD1438" s="87"/>
      <c r="AE1438" s="87"/>
      <c r="AF1438" s="87"/>
      <c r="AG1438" s="87"/>
      <c r="AH1438" s="87"/>
      <c r="AI1438" s="87"/>
      <c r="AJ1438" s="87"/>
      <c r="AK1438" s="87"/>
      <c r="AL1438" s="87"/>
      <c r="AM1438" s="87"/>
      <c r="AN1438" s="87"/>
      <c r="AO1438" s="87"/>
      <c r="AP1438" s="87"/>
      <c r="AQ1438" s="87"/>
      <c r="AR1438" s="87"/>
      <c r="AS1438" s="87"/>
      <c r="AT1438" s="87"/>
      <c r="AU1438" s="87"/>
      <c r="AV1438" s="87"/>
      <c r="AW1438" s="87"/>
      <c r="AX1438" s="87"/>
      <c r="AY1438" s="87"/>
      <c r="AZ1438" s="87"/>
      <c r="BA1438" s="87"/>
      <c r="BB1438" s="87"/>
      <c r="BC1438" s="87"/>
      <c r="BD1438" s="87"/>
      <c r="BE1438" s="87"/>
      <c r="BF1438" s="87"/>
      <c r="BG1438" s="87"/>
      <c r="BH1438" s="87"/>
      <c r="BI1438" s="87"/>
      <c r="BJ1438" s="87"/>
      <c r="BK1438" s="87"/>
      <c r="BL1438" s="87"/>
      <c r="BM1438" s="87"/>
      <c r="BN1438" s="87"/>
      <c r="BO1438" s="87"/>
      <c r="BP1438" s="87"/>
      <c r="BQ1438" s="87"/>
      <c r="BR1438" s="87"/>
      <c r="BS1438" s="87"/>
      <c r="BT1438" s="87"/>
      <c r="BU1438" s="87"/>
      <c r="BV1438" s="87"/>
      <c r="BW1438" s="87"/>
      <c r="BX1438" s="87"/>
      <c r="BY1438" s="87"/>
    </row>
    <row r="1439" spans="21:77" x14ac:dyDescent="0.3">
      <c r="U1439" s="19"/>
      <c r="V1439" s="87"/>
      <c r="W1439" s="87"/>
      <c r="X1439" s="87"/>
      <c r="Y1439" s="87"/>
      <c r="Z1439" s="87"/>
      <c r="AA1439" s="87"/>
      <c r="AB1439" s="87"/>
      <c r="AC1439" s="87"/>
      <c r="AD1439" s="87"/>
      <c r="AE1439" s="87"/>
      <c r="AF1439" s="87"/>
      <c r="AG1439" s="87"/>
      <c r="AH1439" s="87"/>
      <c r="AI1439" s="87"/>
      <c r="AJ1439" s="87"/>
      <c r="AK1439" s="87"/>
      <c r="AL1439" s="87"/>
      <c r="AM1439" s="87"/>
      <c r="AN1439" s="87"/>
      <c r="AO1439" s="87"/>
      <c r="AP1439" s="87"/>
      <c r="AQ1439" s="87"/>
      <c r="AR1439" s="87"/>
      <c r="AS1439" s="87"/>
      <c r="AT1439" s="87"/>
      <c r="AU1439" s="87"/>
      <c r="AV1439" s="87"/>
      <c r="AW1439" s="87"/>
      <c r="AX1439" s="87"/>
      <c r="AY1439" s="87"/>
      <c r="AZ1439" s="87"/>
      <c r="BA1439" s="87"/>
      <c r="BB1439" s="87"/>
      <c r="BC1439" s="87"/>
      <c r="BD1439" s="87"/>
      <c r="BE1439" s="87"/>
      <c r="BF1439" s="87"/>
      <c r="BG1439" s="87"/>
      <c r="BH1439" s="87"/>
      <c r="BI1439" s="87"/>
      <c r="BJ1439" s="87"/>
      <c r="BK1439" s="87"/>
      <c r="BL1439" s="87"/>
      <c r="BM1439" s="87"/>
      <c r="BN1439" s="87"/>
      <c r="BO1439" s="87"/>
      <c r="BP1439" s="87"/>
      <c r="BQ1439" s="87"/>
      <c r="BR1439" s="87"/>
      <c r="BS1439" s="87"/>
      <c r="BT1439" s="87"/>
      <c r="BU1439" s="87"/>
      <c r="BV1439" s="87"/>
      <c r="BW1439" s="87"/>
      <c r="BX1439" s="87"/>
      <c r="BY1439" s="87"/>
    </row>
    <row r="1440" spans="21:77" x14ac:dyDescent="0.3">
      <c r="U1440" s="19"/>
      <c r="V1440" s="87"/>
      <c r="W1440" s="87"/>
      <c r="X1440" s="87"/>
      <c r="Y1440" s="87"/>
      <c r="Z1440" s="87"/>
      <c r="AA1440" s="87"/>
      <c r="AB1440" s="87"/>
      <c r="AC1440" s="87"/>
      <c r="AD1440" s="87"/>
      <c r="AE1440" s="87"/>
      <c r="AF1440" s="87"/>
      <c r="AG1440" s="87"/>
      <c r="AH1440" s="87"/>
      <c r="AI1440" s="87"/>
      <c r="AJ1440" s="87"/>
      <c r="AK1440" s="87"/>
      <c r="AL1440" s="87"/>
      <c r="AM1440" s="87"/>
      <c r="AN1440" s="87"/>
      <c r="AO1440" s="87"/>
      <c r="AP1440" s="87"/>
      <c r="AQ1440" s="87"/>
      <c r="AR1440" s="87"/>
      <c r="AS1440" s="87"/>
      <c r="AT1440" s="87"/>
      <c r="AU1440" s="87"/>
      <c r="AV1440" s="87"/>
      <c r="AW1440" s="87"/>
      <c r="AX1440" s="87"/>
      <c r="AY1440" s="87"/>
      <c r="AZ1440" s="87"/>
      <c r="BA1440" s="87"/>
      <c r="BB1440" s="87"/>
      <c r="BC1440" s="87"/>
      <c r="BD1440" s="87"/>
      <c r="BE1440" s="87"/>
      <c r="BF1440" s="87"/>
      <c r="BG1440" s="87"/>
      <c r="BH1440" s="87"/>
      <c r="BI1440" s="87"/>
      <c r="BJ1440" s="87"/>
      <c r="BK1440" s="87"/>
      <c r="BL1440" s="87"/>
      <c r="BM1440" s="87"/>
      <c r="BN1440" s="87"/>
      <c r="BO1440" s="87"/>
      <c r="BP1440" s="87"/>
      <c r="BQ1440" s="87"/>
      <c r="BR1440" s="87"/>
      <c r="BS1440" s="87"/>
      <c r="BT1440" s="87"/>
      <c r="BU1440" s="87"/>
      <c r="BV1440" s="87"/>
      <c r="BW1440" s="87"/>
      <c r="BX1440" s="87"/>
      <c r="BY1440" s="87"/>
    </row>
    <row r="1441" spans="21:77" x14ac:dyDescent="0.3">
      <c r="U1441" s="19"/>
      <c r="V1441" s="87"/>
      <c r="W1441" s="87"/>
      <c r="X1441" s="87"/>
      <c r="Y1441" s="87"/>
      <c r="Z1441" s="87"/>
      <c r="AA1441" s="87"/>
      <c r="AB1441" s="87"/>
      <c r="AC1441" s="87"/>
      <c r="AD1441" s="87"/>
      <c r="AE1441" s="87"/>
      <c r="AF1441" s="87"/>
      <c r="AG1441" s="87"/>
      <c r="AH1441" s="87"/>
      <c r="AI1441" s="87"/>
      <c r="AJ1441" s="87"/>
      <c r="AK1441" s="87"/>
      <c r="AL1441" s="87"/>
      <c r="AM1441" s="87"/>
      <c r="AN1441" s="87"/>
      <c r="AO1441" s="87"/>
      <c r="AP1441" s="87"/>
      <c r="AQ1441" s="87"/>
      <c r="AR1441" s="87"/>
      <c r="AS1441" s="87"/>
      <c r="AT1441" s="87"/>
      <c r="AU1441" s="87"/>
      <c r="AV1441" s="87"/>
      <c r="AW1441" s="87"/>
      <c r="AX1441" s="87"/>
      <c r="AY1441" s="87"/>
      <c r="AZ1441" s="87"/>
      <c r="BA1441" s="87"/>
      <c r="BB1441" s="87"/>
      <c r="BC1441" s="87"/>
      <c r="BD1441" s="87"/>
      <c r="BE1441" s="87"/>
      <c r="BF1441" s="87"/>
      <c r="BG1441" s="87"/>
      <c r="BH1441" s="87"/>
      <c r="BI1441" s="87"/>
      <c r="BJ1441" s="87"/>
      <c r="BK1441" s="87"/>
      <c r="BL1441" s="87"/>
      <c r="BM1441" s="87"/>
      <c r="BN1441" s="87"/>
      <c r="BO1441" s="87"/>
      <c r="BP1441" s="87"/>
      <c r="BQ1441" s="87"/>
      <c r="BR1441" s="87"/>
      <c r="BS1441" s="87"/>
      <c r="BT1441" s="87"/>
      <c r="BU1441" s="87"/>
      <c r="BV1441" s="87"/>
      <c r="BW1441" s="87"/>
      <c r="BX1441" s="87"/>
      <c r="BY1441" s="87"/>
    </row>
    <row r="1442" spans="21:77" x14ac:dyDescent="0.3">
      <c r="U1442" s="19"/>
      <c r="V1442" s="87"/>
      <c r="W1442" s="87"/>
      <c r="X1442" s="87"/>
      <c r="Y1442" s="87"/>
      <c r="Z1442" s="87"/>
      <c r="AA1442" s="87"/>
      <c r="AB1442" s="87"/>
      <c r="AC1442" s="87"/>
      <c r="AD1442" s="87"/>
      <c r="AE1442" s="87"/>
      <c r="AF1442" s="87"/>
      <c r="AG1442" s="87"/>
      <c r="AH1442" s="87"/>
      <c r="AI1442" s="87"/>
      <c r="AJ1442" s="87"/>
      <c r="AK1442" s="87"/>
      <c r="AL1442" s="87"/>
      <c r="AM1442" s="87"/>
      <c r="AN1442" s="87"/>
      <c r="AO1442" s="87"/>
      <c r="AP1442" s="87"/>
      <c r="AQ1442" s="87"/>
      <c r="AR1442" s="87"/>
      <c r="AS1442" s="87"/>
      <c r="AT1442" s="87"/>
      <c r="AU1442" s="87"/>
      <c r="AV1442" s="87"/>
      <c r="AW1442" s="87"/>
      <c r="AX1442" s="87"/>
      <c r="AY1442" s="87"/>
      <c r="AZ1442" s="87"/>
      <c r="BA1442" s="87"/>
      <c r="BB1442" s="87"/>
      <c r="BC1442" s="87"/>
      <c r="BD1442" s="87"/>
      <c r="BE1442" s="87"/>
      <c r="BF1442" s="87"/>
      <c r="BG1442" s="87"/>
      <c r="BH1442" s="87"/>
      <c r="BI1442" s="87"/>
      <c r="BJ1442" s="87"/>
      <c r="BK1442" s="87"/>
      <c r="BL1442" s="87"/>
      <c r="BM1442" s="87"/>
      <c r="BN1442" s="87"/>
      <c r="BO1442" s="87"/>
      <c r="BP1442" s="87"/>
      <c r="BQ1442" s="87"/>
      <c r="BR1442" s="87"/>
      <c r="BS1442" s="87"/>
      <c r="BT1442" s="87"/>
      <c r="BU1442" s="87"/>
      <c r="BV1442" s="87"/>
      <c r="BW1442" s="87"/>
      <c r="BX1442" s="87"/>
      <c r="BY1442" s="87"/>
    </row>
    <row r="1443" spans="21:77" x14ac:dyDescent="0.3">
      <c r="U1443" s="19"/>
      <c r="V1443" s="87"/>
      <c r="W1443" s="87"/>
      <c r="X1443" s="87"/>
      <c r="Y1443" s="87"/>
      <c r="Z1443" s="87"/>
      <c r="AA1443" s="87"/>
      <c r="AB1443" s="87"/>
      <c r="AC1443" s="87"/>
      <c r="AD1443" s="87"/>
      <c r="AE1443" s="87"/>
      <c r="AF1443" s="87"/>
      <c r="AG1443" s="87"/>
      <c r="AH1443" s="87"/>
      <c r="AI1443" s="87"/>
      <c r="AJ1443" s="87"/>
      <c r="AK1443" s="87"/>
      <c r="AL1443" s="87"/>
      <c r="AM1443" s="87"/>
      <c r="AN1443" s="87"/>
      <c r="AO1443" s="87"/>
      <c r="AP1443" s="87"/>
      <c r="AQ1443" s="87"/>
      <c r="AR1443" s="87"/>
      <c r="AS1443" s="87"/>
      <c r="AT1443" s="87"/>
      <c r="AU1443" s="87"/>
      <c r="AV1443" s="87"/>
      <c r="AW1443" s="87"/>
      <c r="AX1443" s="87"/>
      <c r="AY1443" s="87"/>
      <c r="AZ1443" s="87"/>
      <c r="BA1443" s="87"/>
      <c r="BB1443" s="87"/>
      <c r="BC1443" s="87"/>
      <c r="BD1443" s="87"/>
      <c r="BE1443" s="87"/>
      <c r="BF1443" s="87"/>
      <c r="BG1443" s="87"/>
      <c r="BH1443" s="87"/>
      <c r="BI1443" s="87"/>
      <c r="BJ1443" s="87"/>
      <c r="BK1443" s="87"/>
      <c r="BL1443" s="87"/>
      <c r="BM1443" s="87"/>
      <c r="BN1443" s="87"/>
      <c r="BO1443" s="87"/>
      <c r="BP1443" s="87"/>
      <c r="BQ1443" s="87"/>
      <c r="BR1443" s="87"/>
      <c r="BS1443" s="87"/>
      <c r="BT1443" s="87"/>
      <c r="BU1443" s="87"/>
      <c r="BV1443" s="87"/>
      <c r="BW1443" s="87"/>
      <c r="BX1443" s="87"/>
      <c r="BY1443" s="87"/>
    </row>
    <row r="1444" spans="21:77" x14ac:dyDescent="0.3">
      <c r="U1444" s="19"/>
      <c r="V1444" s="87"/>
      <c r="W1444" s="87"/>
      <c r="X1444" s="87"/>
      <c r="Y1444" s="87"/>
      <c r="Z1444" s="87"/>
      <c r="AA1444" s="87"/>
      <c r="AB1444" s="87"/>
      <c r="AC1444" s="87"/>
      <c r="AD1444" s="87"/>
      <c r="AE1444" s="87"/>
      <c r="AF1444" s="87"/>
      <c r="AG1444" s="87"/>
      <c r="AH1444" s="87"/>
      <c r="AI1444" s="87"/>
      <c r="AJ1444" s="87"/>
      <c r="AK1444" s="87"/>
      <c r="AL1444" s="87"/>
      <c r="AM1444" s="87"/>
      <c r="AN1444" s="87"/>
      <c r="AO1444" s="87"/>
      <c r="AP1444" s="87"/>
      <c r="AQ1444" s="87"/>
      <c r="AR1444" s="87"/>
      <c r="AS1444" s="87"/>
      <c r="AT1444" s="87"/>
      <c r="AU1444" s="87"/>
      <c r="AV1444" s="87"/>
      <c r="AW1444" s="87"/>
      <c r="AX1444" s="87"/>
      <c r="AY1444" s="87"/>
      <c r="AZ1444" s="87"/>
      <c r="BA1444" s="87"/>
      <c r="BB1444" s="87"/>
      <c r="BC1444" s="87"/>
      <c r="BD1444" s="87"/>
      <c r="BE1444" s="87"/>
      <c r="BF1444" s="87"/>
      <c r="BG1444" s="87"/>
      <c r="BH1444" s="87"/>
      <c r="BI1444" s="87"/>
      <c r="BJ1444" s="87"/>
      <c r="BK1444" s="87"/>
      <c r="BL1444" s="87"/>
      <c r="BM1444" s="87"/>
      <c r="BN1444" s="87"/>
      <c r="BO1444" s="87"/>
      <c r="BP1444" s="87"/>
      <c r="BQ1444" s="87"/>
      <c r="BR1444" s="87"/>
      <c r="BS1444" s="87"/>
      <c r="BT1444" s="87"/>
      <c r="BU1444" s="87"/>
      <c r="BV1444" s="87"/>
      <c r="BW1444" s="87"/>
      <c r="BX1444" s="87"/>
      <c r="BY1444" s="87"/>
    </row>
    <row r="1445" spans="21:77" x14ac:dyDescent="0.3">
      <c r="U1445" s="19"/>
      <c r="V1445" s="87"/>
      <c r="W1445" s="87"/>
      <c r="X1445" s="87"/>
      <c r="Y1445" s="87"/>
      <c r="Z1445" s="87"/>
      <c r="AA1445" s="87"/>
      <c r="AB1445" s="87"/>
      <c r="AC1445" s="87"/>
      <c r="AD1445" s="87"/>
      <c r="AE1445" s="87"/>
      <c r="AF1445" s="87"/>
      <c r="AG1445" s="87"/>
      <c r="AH1445" s="87"/>
      <c r="AI1445" s="87"/>
      <c r="AJ1445" s="87"/>
      <c r="AK1445" s="87"/>
      <c r="AL1445" s="87"/>
      <c r="AM1445" s="87"/>
      <c r="AN1445" s="87"/>
      <c r="AO1445" s="87"/>
      <c r="AP1445" s="87"/>
      <c r="AQ1445" s="87"/>
      <c r="AR1445" s="87"/>
      <c r="AS1445" s="87"/>
      <c r="AT1445" s="87"/>
      <c r="AU1445" s="87"/>
      <c r="AV1445" s="87"/>
      <c r="AW1445" s="87"/>
      <c r="AX1445" s="87"/>
      <c r="AY1445" s="87"/>
      <c r="AZ1445" s="87"/>
      <c r="BA1445" s="87"/>
      <c r="BB1445" s="87"/>
      <c r="BC1445" s="87"/>
      <c r="BD1445" s="87"/>
      <c r="BE1445" s="87"/>
      <c r="BF1445" s="87"/>
      <c r="BG1445" s="87"/>
      <c r="BH1445" s="87"/>
      <c r="BI1445" s="87"/>
      <c r="BJ1445" s="87"/>
      <c r="BK1445" s="87"/>
      <c r="BL1445" s="87"/>
      <c r="BM1445" s="87"/>
      <c r="BN1445" s="87"/>
      <c r="BO1445" s="87"/>
      <c r="BP1445" s="87"/>
      <c r="BQ1445" s="87"/>
      <c r="BR1445" s="87"/>
      <c r="BS1445" s="87"/>
      <c r="BT1445" s="87"/>
      <c r="BU1445" s="87"/>
      <c r="BV1445" s="87"/>
      <c r="BW1445" s="87"/>
      <c r="BX1445" s="87"/>
      <c r="BY1445" s="87"/>
    </row>
    <row r="1446" spans="21:77" x14ac:dyDescent="0.3">
      <c r="U1446" s="19"/>
      <c r="V1446" s="87"/>
      <c r="W1446" s="87"/>
      <c r="X1446" s="87"/>
      <c r="Y1446" s="87"/>
      <c r="Z1446" s="87"/>
      <c r="AA1446" s="87"/>
      <c r="AB1446" s="87"/>
      <c r="AC1446" s="87"/>
      <c r="AD1446" s="87"/>
      <c r="AE1446" s="87"/>
      <c r="AF1446" s="87"/>
      <c r="AG1446" s="87"/>
      <c r="AH1446" s="87"/>
      <c r="AI1446" s="87"/>
      <c r="AJ1446" s="87"/>
      <c r="AK1446" s="87"/>
      <c r="AL1446" s="87"/>
      <c r="AM1446" s="87"/>
      <c r="AN1446" s="87"/>
      <c r="AO1446" s="87"/>
      <c r="AP1446" s="87"/>
      <c r="AQ1446" s="87"/>
      <c r="AR1446" s="87"/>
      <c r="AS1446" s="87"/>
      <c r="AT1446" s="87"/>
      <c r="AU1446" s="87"/>
      <c r="AV1446" s="87"/>
      <c r="AW1446" s="87"/>
      <c r="AX1446" s="87"/>
      <c r="AY1446" s="87"/>
      <c r="AZ1446" s="87"/>
      <c r="BA1446" s="87"/>
      <c r="BB1446" s="87"/>
      <c r="BC1446" s="87"/>
      <c r="BD1446" s="87"/>
      <c r="BE1446" s="87"/>
      <c r="BF1446" s="87"/>
      <c r="BG1446" s="87"/>
      <c r="BH1446" s="87"/>
      <c r="BI1446" s="87"/>
      <c r="BJ1446" s="87"/>
      <c r="BK1446" s="87"/>
      <c r="BL1446" s="87"/>
      <c r="BM1446" s="87"/>
      <c r="BN1446" s="87"/>
      <c r="BO1446" s="87"/>
      <c r="BP1446" s="87"/>
      <c r="BQ1446" s="87"/>
      <c r="BR1446" s="87"/>
      <c r="BS1446" s="87"/>
      <c r="BT1446" s="87"/>
      <c r="BU1446" s="87"/>
      <c r="BV1446" s="87"/>
      <c r="BW1446" s="87"/>
      <c r="BX1446" s="87"/>
      <c r="BY1446" s="87"/>
    </row>
    <row r="1447" spans="21:77" x14ac:dyDescent="0.3">
      <c r="U1447" s="19"/>
      <c r="V1447" s="87"/>
      <c r="W1447" s="87"/>
      <c r="X1447" s="87"/>
      <c r="Y1447" s="87"/>
      <c r="Z1447" s="87"/>
      <c r="AA1447" s="87"/>
      <c r="AB1447" s="87"/>
      <c r="AC1447" s="87"/>
      <c r="AD1447" s="87"/>
      <c r="AE1447" s="87"/>
      <c r="AF1447" s="87"/>
      <c r="AG1447" s="87"/>
      <c r="AH1447" s="87"/>
      <c r="AI1447" s="87"/>
      <c r="AJ1447" s="87"/>
      <c r="AK1447" s="87"/>
      <c r="AL1447" s="87"/>
      <c r="AM1447" s="87"/>
      <c r="AN1447" s="87"/>
      <c r="AO1447" s="87"/>
      <c r="AP1447" s="87"/>
      <c r="AQ1447" s="87"/>
      <c r="AR1447" s="87"/>
      <c r="AS1447" s="87"/>
      <c r="AT1447" s="87"/>
      <c r="AU1447" s="87"/>
      <c r="AV1447" s="87"/>
      <c r="AW1447" s="87"/>
      <c r="AX1447" s="87"/>
      <c r="AY1447" s="87"/>
      <c r="AZ1447" s="87"/>
      <c r="BA1447" s="87"/>
      <c r="BB1447" s="87"/>
      <c r="BC1447" s="87"/>
      <c r="BD1447" s="87"/>
      <c r="BE1447" s="87"/>
      <c r="BF1447" s="87"/>
      <c r="BG1447" s="87"/>
      <c r="BH1447" s="87"/>
      <c r="BI1447" s="87"/>
      <c r="BJ1447" s="87"/>
      <c r="BK1447" s="87"/>
      <c r="BL1447" s="87"/>
      <c r="BM1447" s="87"/>
      <c r="BN1447" s="87"/>
      <c r="BO1447" s="87"/>
      <c r="BP1447" s="87"/>
      <c r="BQ1447" s="87"/>
      <c r="BR1447" s="87"/>
      <c r="BS1447" s="87"/>
      <c r="BT1447" s="87"/>
      <c r="BU1447" s="87"/>
      <c r="BV1447" s="87"/>
      <c r="BW1447" s="87"/>
      <c r="BX1447" s="87"/>
      <c r="BY1447" s="87"/>
    </row>
    <row r="1448" spans="21:77" x14ac:dyDescent="0.3">
      <c r="U1448" s="19"/>
      <c r="V1448" s="87"/>
      <c r="W1448" s="87"/>
      <c r="X1448" s="87"/>
      <c r="Y1448" s="87"/>
      <c r="Z1448" s="87"/>
      <c r="AA1448" s="87"/>
      <c r="AB1448" s="87"/>
      <c r="AC1448" s="87"/>
      <c r="AD1448" s="87"/>
      <c r="AE1448" s="87"/>
      <c r="AF1448" s="87"/>
      <c r="AG1448" s="87"/>
      <c r="AH1448" s="87"/>
      <c r="AI1448" s="87"/>
      <c r="AJ1448" s="87"/>
      <c r="AK1448" s="87"/>
      <c r="AL1448" s="87"/>
      <c r="AM1448" s="87"/>
      <c r="AN1448" s="87"/>
      <c r="AO1448" s="87"/>
      <c r="AP1448" s="87"/>
      <c r="AQ1448" s="87"/>
      <c r="AR1448" s="87"/>
      <c r="AS1448" s="87"/>
      <c r="AT1448" s="87"/>
      <c r="AU1448" s="87"/>
      <c r="AV1448" s="87"/>
      <c r="AW1448" s="87"/>
      <c r="AX1448" s="87"/>
      <c r="AY1448" s="87"/>
      <c r="AZ1448" s="87"/>
      <c r="BA1448" s="87"/>
      <c r="BB1448" s="87"/>
      <c r="BC1448" s="87"/>
      <c r="BD1448" s="87"/>
      <c r="BE1448" s="87"/>
      <c r="BF1448" s="87"/>
      <c r="BG1448" s="87"/>
      <c r="BH1448" s="87"/>
      <c r="BI1448" s="87"/>
      <c r="BJ1448" s="87"/>
      <c r="BK1448" s="87"/>
      <c r="BL1448" s="87"/>
      <c r="BM1448" s="87"/>
      <c r="BN1448" s="87"/>
      <c r="BO1448" s="87"/>
      <c r="BP1448" s="87"/>
      <c r="BQ1448" s="87"/>
      <c r="BR1448" s="87"/>
      <c r="BS1448" s="87"/>
      <c r="BT1448" s="87"/>
      <c r="BU1448" s="87"/>
      <c r="BV1448" s="87"/>
      <c r="BW1448" s="87"/>
      <c r="BX1448" s="87"/>
      <c r="BY1448" s="87"/>
    </row>
    <row r="1449" spans="21:77" x14ac:dyDescent="0.3">
      <c r="U1449" s="19"/>
      <c r="V1449" s="87"/>
      <c r="W1449" s="87"/>
      <c r="X1449" s="87"/>
      <c r="Y1449" s="87"/>
      <c r="Z1449" s="87"/>
      <c r="AA1449" s="87"/>
      <c r="AB1449" s="87"/>
      <c r="AC1449" s="87"/>
      <c r="AD1449" s="87"/>
      <c r="AE1449" s="87"/>
      <c r="AF1449" s="87"/>
      <c r="AG1449" s="87"/>
      <c r="AH1449" s="87"/>
      <c r="AI1449" s="87"/>
      <c r="AJ1449" s="87"/>
      <c r="AK1449" s="87"/>
      <c r="AL1449" s="87"/>
      <c r="AM1449" s="87"/>
      <c r="AN1449" s="87"/>
      <c r="AO1449" s="87"/>
      <c r="AP1449" s="87"/>
      <c r="AQ1449" s="87"/>
      <c r="AR1449" s="87"/>
      <c r="AS1449" s="87"/>
      <c r="AT1449" s="87"/>
      <c r="AU1449" s="87"/>
      <c r="AV1449" s="87"/>
      <c r="AW1449" s="87"/>
      <c r="AX1449" s="87"/>
      <c r="AY1449" s="87"/>
      <c r="AZ1449" s="87"/>
      <c r="BA1449" s="87"/>
      <c r="BB1449" s="87"/>
      <c r="BC1449" s="87"/>
      <c r="BD1449" s="87"/>
      <c r="BE1449" s="87"/>
      <c r="BF1449" s="87"/>
      <c r="BG1449" s="87"/>
      <c r="BH1449" s="87"/>
      <c r="BI1449" s="87"/>
      <c r="BJ1449" s="87"/>
      <c r="BK1449" s="87"/>
      <c r="BL1449" s="87"/>
      <c r="BM1449" s="87"/>
      <c r="BN1449" s="87"/>
      <c r="BO1449" s="87"/>
      <c r="BP1449" s="87"/>
      <c r="BQ1449" s="87"/>
      <c r="BR1449" s="87"/>
      <c r="BS1449" s="87"/>
      <c r="BT1449" s="87"/>
      <c r="BU1449" s="87"/>
      <c r="BV1449" s="87"/>
      <c r="BW1449" s="87"/>
      <c r="BX1449" s="87"/>
      <c r="BY1449" s="87"/>
    </row>
    <row r="1450" spans="21:77" x14ac:dyDescent="0.3">
      <c r="U1450" s="19"/>
      <c r="V1450" s="87"/>
      <c r="W1450" s="87"/>
      <c r="X1450" s="87"/>
      <c r="Y1450" s="87"/>
      <c r="Z1450" s="87"/>
      <c r="AA1450" s="87"/>
      <c r="AB1450" s="87"/>
      <c r="AC1450" s="87"/>
      <c r="AD1450" s="87"/>
      <c r="AE1450" s="87"/>
      <c r="AF1450" s="87"/>
      <c r="AG1450" s="87"/>
      <c r="AH1450" s="87"/>
      <c r="AI1450" s="87"/>
      <c r="AJ1450" s="87"/>
      <c r="AK1450" s="87"/>
      <c r="AL1450" s="87"/>
      <c r="AM1450" s="87"/>
      <c r="AN1450" s="87"/>
      <c r="AO1450" s="87"/>
      <c r="AP1450" s="87"/>
      <c r="AQ1450" s="87"/>
      <c r="AR1450" s="87"/>
      <c r="AS1450" s="87"/>
      <c r="AT1450" s="87"/>
      <c r="AU1450" s="87"/>
      <c r="AV1450" s="87"/>
      <c r="AW1450" s="87"/>
      <c r="AX1450" s="87"/>
      <c r="AY1450" s="87"/>
      <c r="AZ1450" s="87"/>
      <c r="BA1450" s="87"/>
      <c r="BB1450" s="87"/>
      <c r="BC1450" s="87"/>
      <c r="BD1450" s="87"/>
      <c r="BE1450" s="87"/>
      <c r="BF1450" s="87"/>
      <c r="BG1450" s="87"/>
      <c r="BH1450" s="87"/>
      <c r="BI1450" s="87"/>
      <c r="BJ1450" s="87"/>
      <c r="BK1450" s="87"/>
      <c r="BL1450" s="87"/>
      <c r="BM1450" s="87"/>
      <c r="BN1450" s="87"/>
      <c r="BO1450" s="87"/>
      <c r="BP1450" s="87"/>
      <c r="BQ1450" s="87"/>
      <c r="BR1450" s="87"/>
      <c r="BS1450" s="87"/>
      <c r="BT1450" s="87"/>
      <c r="BU1450" s="87"/>
      <c r="BV1450" s="87"/>
      <c r="BW1450" s="87"/>
      <c r="BX1450" s="87"/>
      <c r="BY1450" s="87"/>
    </row>
    <row r="1451" spans="21:77" x14ac:dyDescent="0.3">
      <c r="U1451" s="19"/>
      <c r="V1451" s="87"/>
      <c r="W1451" s="87"/>
      <c r="X1451" s="87"/>
      <c r="Y1451" s="87"/>
      <c r="Z1451" s="87"/>
      <c r="AA1451" s="87"/>
      <c r="AB1451" s="87"/>
      <c r="AC1451" s="87"/>
      <c r="AD1451" s="87"/>
      <c r="AE1451" s="87"/>
      <c r="AF1451" s="87"/>
      <c r="AG1451" s="87"/>
      <c r="AH1451" s="87"/>
      <c r="AI1451" s="87"/>
      <c r="AJ1451" s="87"/>
      <c r="AK1451" s="87"/>
      <c r="AL1451" s="87"/>
      <c r="AM1451" s="87"/>
      <c r="AN1451" s="87"/>
      <c r="AO1451" s="87"/>
      <c r="AP1451" s="87"/>
      <c r="AQ1451" s="87"/>
      <c r="AR1451" s="87"/>
      <c r="AS1451" s="87"/>
      <c r="AT1451" s="87"/>
      <c r="AU1451" s="87"/>
      <c r="AV1451" s="87"/>
      <c r="AW1451" s="87"/>
      <c r="AX1451" s="87"/>
      <c r="AY1451" s="87"/>
      <c r="AZ1451" s="87"/>
      <c r="BA1451" s="87"/>
      <c r="BB1451" s="87"/>
      <c r="BC1451" s="87"/>
      <c r="BD1451" s="87"/>
      <c r="BE1451" s="87"/>
      <c r="BF1451" s="87"/>
      <c r="BG1451" s="87"/>
      <c r="BH1451" s="87"/>
      <c r="BI1451" s="87"/>
      <c r="BJ1451" s="87"/>
      <c r="BK1451" s="87"/>
      <c r="BL1451" s="87"/>
      <c r="BM1451" s="87"/>
      <c r="BN1451" s="87"/>
      <c r="BO1451" s="87"/>
      <c r="BP1451" s="87"/>
      <c r="BQ1451" s="87"/>
      <c r="BR1451" s="87"/>
      <c r="BS1451" s="87"/>
      <c r="BT1451" s="87"/>
      <c r="BU1451" s="87"/>
      <c r="BV1451" s="87"/>
      <c r="BW1451" s="87"/>
      <c r="BX1451" s="87"/>
      <c r="BY1451" s="87"/>
    </row>
    <row r="1452" spans="21:77" x14ac:dyDescent="0.3">
      <c r="U1452" s="19"/>
      <c r="V1452" s="87"/>
      <c r="W1452" s="87"/>
      <c r="X1452" s="87"/>
      <c r="Y1452" s="87"/>
      <c r="Z1452" s="87"/>
      <c r="AA1452" s="87"/>
      <c r="AB1452" s="87"/>
      <c r="AC1452" s="87"/>
      <c r="AD1452" s="87"/>
      <c r="AE1452" s="87"/>
      <c r="AF1452" s="87"/>
      <c r="AG1452" s="87"/>
      <c r="AH1452" s="87"/>
      <c r="AI1452" s="87"/>
      <c r="AJ1452" s="87"/>
      <c r="AK1452" s="87"/>
      <c r="AL1452" s="87"/>
      <c r="AM1452" s="87"/>
      <c r="AN1452" s="87"/>
      <c r="AO1452" s="87"/>
      <c r="AP1452" s="87"/>
      <c r="AQ1452" s="87"/>
      <c r="AR1452" s="87"/>
      <c r="AS1452" s="87"/>
      <c r="AT1452" s="87"/>
      <c r="AU1452" s="87"/>
      <c r="AV1452" s="87"/>
      <c r="AW1452" s="87"/>
      <c r="AX1452" s="87"/>
      <c r="AY1452" s="87"/>
      <c r="AZ1452" s="87"/>
      <c r="BA1452" s="87"/>
      <c r="BB1452" s="87"/>
      <c r="BC1452" s="87"/>
      <c r="BD1452" s="87"/>
      <c r="BE1452" s="87"/>
      <c r="BF1452" s="87"/>
      <c r="BG1452" s="87"/>
      <c r="BH1452" s="87"/>
      <c r="BI1452" s="87"/>
      <c r="BJ1452" s="87"/>
      <c r="BK1452" s="87"/>
      <c r="BL1452" s="87"/>
      <c r="BM1452" s="87"/>
      <c r="BN1452" s="87"/>
      <c r="BO1452" s="87"/>
      <c r="BP1452" s="87"/>
      <c r="BQ1452" s="87"/>
      <c r="BR1452" s="87"/>
      <c r="BS1452" s="87"/>
      <c r="BT1452" s="87"/>
      <c r="BU1452" s="87"/>
      <c r="BV1452" s="87"/>
      <c r="BW1452" s="87"/>
      <c r="BX1452" s="87"/>
      <c r="BY1452" s="87"/>
    </row>
    <row r="1453" spans="21:77" x14ac:dyDescent="0.3">
      <c r="U1453" s="19"/>
      <c r="V1453" s="87"/>
      <c r="W1453" s="87"/>
      <c r="X1453" s="87"/>
      <c r="Y1453" s="87"/>
      <c r="Z1453" s="87"/>
      <c r="AA1453" s="87"/>
      <c r="AB1453" s="87"/>
      <c r="AC1453" s="87"/>
      <c r="AD1453" s="87"/>
      <c r="AE1453" s="87"/>
      <c r="AF1453" s="87"/>
      <c r="AG1453" s="87"/>
      <c r="AH1453" s="87"/>
      <c r="AI1453" s="87"/>
      <c r="AJ1453" s="87"/>
      <c r="AK1453" s="87"/>
      <c r="AL1453" s="87"/>
      <c r="AM1453" s="87"/>
      <c r="AN1453" s="87"/>
      <c r="AO1453" s="87"/>
      <c r="AP1453" s="87"/>
      <c r="AQ1453" s="87"/>
      <c r="AR1453" s="87"/>
      <c r="AS1453" s="87"/>
      <c r="AT1453" s="87"/>
      <c r="AU1453" s="87"/>
      <c r="AV1453" s="87"/>
      <c r="AW1453" s="87"/>
      <c r="AX1453" s="87"/>
      <c r="AY1453" s="87"/>
      <c r="AZ1453" s="87"/>
      <c r="BA1453" s="87"/>
      <c r="BB1453" s="87"/>
      <c r="BC1453" s="87"/>
      <c r="BD1453" s="87"/>
      <c r="BE1453" s="87"/>
      <c r="BF1453" s="87"/>
      <c r="BG1453" s="87"/>
      <c r="BH1453" s="87"/>
      <c r="BI1453" s="87"/>
      <c r="BJ1453" s="87"/>
      <c r="BK1453" s="87"/>
      <c r="BL1453" s="87"/>
      <c r="BM1453" s="87"/>
      <c r="BN1453" s="87"/>
      <c r="BO1453" s="87"/>
      <c r="BP1453" s="87"/>
      <c r="BQ1453" s="87"/>
      <c r="BR1453" s="87"/>
      <c r="BS1453" s="87"/>
      <c r="BT1453" s="87"/>
      <c r="BU1453" s="87"/>
      <c r="BV1453" s="87"/>
      <c r="BW1453" s="87"/>
      <c r="BX1453" s="87"/>
      <c r="BY1453" s="87"/>
    </row>
    <row r="1454" spans="21:77" x14ac:dyDescent="0.3">
      <c r="U1454" s="19"/>
      <c r="V1454" s="87"/>
      <c r="W1454" s="87"/>
      <c r="X1454" s="87"/>
      <c r="Y1454" s="87"/>
      <c r="Z1454" s="87"/>
      <c r="AA1454" s="87"/>
      <c r="AB1454" s="87"/>
      <c r="AC1454" s="87"/>
      <c r="AD1454" s="87"/>
      <c r="AE1454" s="87"/>
      <c r="AF1454" s="87"/>
      <c r="AG1454" s="87"/>
      <c r="AH1454" s="87"/>
      <c r="AI1454" s="87"/>
      <c r="AJ1454" s="87"/>
      <c r="AK1454" s="87"/>
      <c r="AL1454" s="87"/>
      <c r="AM1454" s="87"/>
      <c r="AN1454" s="87"/>
      <c r="AO1454" s="87"/>
      <c r="AP1454" s="87"/>
      <c r="AQ1454" s="87"/>
      <c r="AR1454" s="87"/>
      <c r="AS1454" s="87"/>
      <c r="AT1454" s="87"/>
      <c r="AU1454" s="87"/>
      <c r="AV1454" s="87"/>
      <c r="AW1454" s="87"/>
      <c r="AX1454" s="87"/>
      <c r="AY1454" s="87"/>
      <c r="AZ1454" s="87"/>
      <c r="BA1454" s="87"/>
      <c r="BB1454" s="87"/>
      <c r="BC1454" s="87"/>
      <c r="BD1454" s="87"/>
      <c r="BE1454" s="87"/>
      <c r="BF1454" s="87"/>
      <c r="BG1454" s="87"/>
      <c r="BH1454" s="87"/>
      <c r="BI1454" s="87"/>
      <c r="BJ1454" s="87"/>
      <c r="BK1454" s="87"/>
      <c r="BL1454" s="87"/>
      <c r="BM1454" s="87"/>
      <c r="BN1454" s="87"/>
      <c r="BO1454" s="87"/>
      <c r="BP1454" s="87"/>
      <c r="BQ1454" s="87"/>
      <c r="BR1454" s="87"/>
      <c r="BS1454" s="87"/>
      <c r="BT1454" s="87"/>
      <c r="BU1454" s="87"/>
      <c r="BV1454" s="87"/>
      <c r="BW1454" s="87"/>
      <c r="BX1454" s="87"/>
      <c r="BY1454" s="87"/>
    </row>
    <row r="1455" spans="21:77" x14ac:dyDescent="0.3">
      <c r="U1455" s="19"/>
      <c r="V1455" s="87"/>
      <c r="W1455" s="87"/>
      <c r="X1455" s="87"/>
      <c r="Y1455" s="87"/>
      <c r="Z1455" s="87"/>
      <c r="AA1455" s="87"/>
      <c r="AB1455" s="87"/>
      <c r="AC1455" s="87"/>
      <c r="AD1455" s="87"/>
      <c r="AE1455" s="87"/>
      <c r="AF1455" s="87"/>
      <c r="AG1455" s="87"/>
      <c r="AH1455" s="87"/>
      <c r="AI1455" s="87"/>
      <c r="AJ1455" s="87"/>
      <c r="AK1455" s="87"/>
      <c r="AL1455" s="87"/>
      <c r="AM1455" s="87"/>
      <c r="AN1455" s="87"/>
      <c r="AO1455" s="87"/>
      <c r="AP1455" s="87"/>
      <c r="AQ1455" s="87"/>
      <c r="AR1455" s="87"/>
      <c r="AS1455" s="87"/>
      <c r="AT1455" s="87"/>
      <c r="AU1455" s="87"/>
      <c r="AV1455" s="87"/>
      <c r="AW1455" s="87"/>
      <c r="AX1455" s="87"/>
      <c r="AY1455" s="87"/>
      <c r="AZ1455" s="87"/>
      <c r="BA1455" s="87"/>
      <c r="BB1455" s="87"/>
      <c r="BC1455" s="87"/>
      <c r="BD1455" s="87"/>
      <c r="BE1455" s="87"/>
      <c r="BF1455" s="87"/>
      <c r="BG1455" s="87"/>
      <c r="BH1455" s="87"/>
      <c r="BI1455" s="87"/>
      <c r="BJ1455" s="87"/>
      <c r="BK1455" s="87"/>
      <c r="BL1455" s="87"/>
      <c r="BM1455" s="87"/>
      <c r="BN1455" s="87"/>
      <c r="BO1455" s="87"/>
      <c r="BP1455" s="87"/>
      <c r="BQ1455" s="87"/>
      <c r="BR1455" s="87"/>
      <c r="BS1455" s="87"/>
      <c r="BT1455" s="87"/>
      <c r="BU1455" s="87"/>
      <c r="BV1455" s="87"/>
      <c r="BW1455" s="87"/>
      <c r="BX1455" s="87"/>
      <c r="BY1455" s="87"/>
    </row>
    <row r="1456" spans="21:77" x14ac:dyDescent="0.3">
      <c r="U1456" s="19"/>
      <c r="V1456" s="87"/>
      <c r="W1456" s="87"/>
      <c r="X1456" s="87"/>
      <c r="Y1456" s="87"/>
      <c r="Z1456" s="87"/>
      <c r="AA1456" s="87"/>
      <c r="AB1456" s="87"/>
      <c r="AC1456" s="87"/>
      <c r="AD1456" s="87"/>
      <c r="AE1456" s="87"/>
      <c r="AF1456" s="87"/>
      <c r="AG1456" s="87"/>
      <c r="AH1456" s="87"/>
      <c r="AI1456" s="87"/>
      <c r="AJ1456" s="87"/>
      <c r="AK1456" s="87"/>
      <c r="AL1456" s="87"/>
      <c r="AM1456" s="87"/>
      <c r="AN1456" s="87"/>
      <c r="AO1456" s="87"/>
      <c r="AP1456" s="87"/>
      <c r="AQ1456" s="87"/>
      <c r="AR1456" s="87"/>
      <c r="AS1456" s="87"/>
      <c r="AT1456" s="87"/>
      <c r="AU1456" s="87"/>
      <c r="AV1456" s="87"/>
      <c r="AW1456" s="87"/>
      <c r="AX1456" s="87"/>
      <c r="AY1456" s="87"/>
      <c r="AZ1456" s="87"/>
      <c r="BA1456" s="87"/>
      <c r="BB1456" s="87"/>
      <c r="BC1456" s="87"/>
      <c r="BD1456" s="87"/>
      <c r="BE1456" s="87"/>
      <c r="BF1456" s="87"/>
      <c r="BG1456" s="87"/>
      <c r="BH1456" s="87"/>
      <c r="BI1456" s="87"/>
      <c r="BJ1456" s="87"/>
      <c r="BK1456" s="87"/>
      <c r="BL1456" s="87"/>
      <c r="BM1456" s="87"/>
      <c r="BN1456" s="87"/>
      <c r="BO1456" s="87"/>
      <c r="BP1456" s="87"/>
      <c r="BQ1456" s="87"/>
      <c r="BR1456" s="87"/>
      <c r="BS1456" s="87"/>
      <c r="BT1456" s="87"/>
      <c r="BU1456" s="87"/>
      <c r="BV1456" s="87"/>
      <c r="BW1456" s="87"/>
      <c r="BX1456" s="87"/>
      <c r="BY1456" s="87"/>
    </row>
    <row r="1457" spans="21:77" x14ac:dyDescent="0.3">
      <c r="U1457" s="19"/>
      <c r="V1457" s="87"/>
      <c r="W1457" s="87"/>
      <c r="X1457" s="87"/>
      <c r="Y1457" s="87"/>
      <c r="Z1457" s="87"/>
      <c r="AA1457" s="87"/>
      <c r="AB1457" s="87"/>
      <c r="AC1457" s="87"/>
      <c r="AD1457" s="87"/>
      <c r="AE1457" s="87"/>
      <c r="AF1457" s="87"/>
      <c r="AG1457" s="87"/>
      <c r="AH1457" s="87"/>
      <c r="AI1457" s="87"/>
      <c r="AJ1457" s="87"/>
      <c r="AK1457" s="87"/>
      <c r="AL1457" s="87"/>
      <c r="AM1457" s="87"/>
      <c r="AN1457" s="87"/>
      <c r="AO1457" s="87"/>
      <c r="AP1457" s="87"/>
      <c r="AQ1457" s="87"/>
      <c r="AR1457" s="87"/>
      <c r="AS1457" s="87"/>
      <c r="AT1457" s="87"/>
      <c r="AU1457" s="87"/>
      <c r="AV1457" s="87"/>
      <c r="AW1457" s="87"/>
      <c r="AX1457" s="87"/>
      <c r="AY1457" s="87"/>
      <c r="AZ1457" s="87"/>
      <c r="BA1457" s="87"/>
      <c r="BB1457" s="87"/>
      <c r="BC1457" s="87"/>
      <c r="BD1457" s="87"/>
      <c r="BE1457" s="87"/>
      <c r="BF1457" s="87"/>
      <c r="BG1457" s="87"/>
      <c r="BH1457" s="87"/>
      <c r="BI1457" s="87"/>
      <c r="BJ1457" s="87"/>
      <c r="BK1457" s="87"/>
      <c r="BL1457" s="87"/>
      <c r="BM1457" s="87"/>
      <c r="BN1457" s="87"/>
      <c r="BO1457" s="87"/>
      <c r="BP1457" s="87"/>
      <c r="BQ1457" s="87"/>
      <c r="BR1457" s="87"/>
      <c r="BS1457" s="87"/>
      <c r="BT1457" s="87"/>
      <c r="BU1457" s="87"/>
      <c r="BV1457" s="87"/>
      <c r="BW1457" s="87"/>
      <c r="BX1457" s="87"/>
      <c r="BY1457" s="87"/>
    </row>
    <row r="1458" spans="21:77" x14ac:dyDescent="0.3">
      <c r="U1458" s="19"/>
      <c r="V1458" s="87"/>
      <c r="W1458" s="87"/>
      <c r="X1458" s="87"/>
      <c r="Y1458" s="87"/>
      <c r="Z1458" s="87"/>
      <c r="AA1458" s="87"/>
      <c r="AB1458" s="87"/>
      <c r="AC1458" s="87"/>
      <c r="AD1458" s="87"/>
      <c r="AE1458" s="87"/>
      <c r="AF1458" s="87"/>
      <c r="AG1458" s="87"/>
      <c r="AH1458" s="87"/>
      <c r="AI1458" s="87"/>
      <c r="AJ1458" s="87"/>
      <c r="AK1458" s="87"/>
      <c r="AL1458" s="87"/>
      <c r="AM1458" s="87"/>
      <c r="AN1458" s="87"/>
      <c r="AO1458" s="87"/>
      <c r="AP1458" s="87"/>
      <c r="AQ1458" s="87"/>
      <c r="AR1458" s="87"/>
      <c r="AS1458" s="87"/>
      <c r="AT1458" s="87"/>
      <c r="AU1458" s="87"/>
      <c r="AV1458" s="87"/>
      <c r="AW1458" s="87"/>
      <c r="AX1458" s="87"/>
      <c r="AY1458" s="87"/>
      <c r="AZ1458" s="87"/>
      <c r="BA1458" s="87"/>
      <c r="BB1458" s="87"/>
      <c r="BC1458" s="87"/>
      <c r="BD1458" s="87"/>
      <c r="BE1458" s="87"/>
      <c r="BF1458" s="87"/>
      <c r="BG1458" s="87"/>
      <c r="BH1458" s="87"/>
      <c r="BI1458" s="87"/>
      <c r="BJ1458" s="87"/>
      <c r="BK1458" s="87"/>
      <c r="BL1458" s="87"/>
      <c r="BM1458" s="87"/>
      <c r="BN1458" s="87"/>
      <c r="BO1458" s="87"/>
      <c r="BP1458" s="87"/>
      <c r="BQ1458" s="87"/>
      <c r="BR1458" s="87"/>
      <c r="BS1458" s="87"/>
      <c r="BT1458" s="87"/>
      <c r="BU1458" s="87"/>
      <c r="BV1458" s="87"/>
      <c r="BW1458" s="87"/>
      <c r="BX1458" s="87"/>
      <c r="BY1458" s="87"/>
    </row>
    <row r="1459" spans="21:77" x14ac:dyDescent="0.3">
      <c r="U1459" s="19"/>
      <c r="V1459" s="87"/>
      <c r="W1459" s="87"/>
      <c r="X1459" s="87"/>
      <c r="Y1459" s="87"/>
      <c r="Z1459" s="87"/>
      <c r="AA1459" s="87"/>
      <c r="AB1459" s="87"/>
      <c r="AC1459" s="87"/>
      <c r="AD1459" s="87"/>
      <c r="AE1459" s="87"/>
      <c r="AF1459" s="87"/>
      <c r="AG1459" s="87"/>
      <c r="AH1459" s="87"/>
      <c r="AI1459" s="87"/>
      <c r="AJ1459" s="87"/>
      <c r="AK1459" s="87"/>
      <c r="AL1459" s="87"/>
      <c r="AM1459" s="87"/>
      <c r="AN1459" s="87"/>
      <c r="AO1459" s="87"/>
      <c r="AP1459" s="87"/>
      <c r="AQ1459" s="87"/>
      <c r="AR1459" s="87"/>
      <c r="AS1459" s="87"/>
      <c r="AT1459" s="87"/>
      <c r="AU1459" s="87"/>
      <c r="AV1459" s="87"/>
      <c r="AW1459" s="87"/>
      <c r="AX1459" s="87"/>
      <c r="AY1459" s="87"/>
      <c r="AZ1459" s="87"/>
      <c r="BA1459" s="87"/>
      <c r="BB1459" s="87"/>
      <c r="BC1459" s="87"/>
      <c r="BD1459" s="87"/>
      <c r="BE1459" s="87"/>
      <c r="BF1459" s="87"/>
      <c r="BG1459" s="87"/>
      <c r="BH1459" s="87"/>
      <c r="BI1459" s="87"/>
      <c r="BJ1459" s="87"/>
      <c r="BK1459" s="87"/>
      <c r="BL1459" s="87"/>
      <c r="BM1459" s="87"/>
      <c r="BN1459" s="87"/>
      <c r="BO1459" s="87"/>
      <c r="BP1459" s="87"/>
      <c r="BQ1459" s="87"/>
      <c r="BR1459" s="87"/>
      <c r="BS1459" s="87"/>
      <c r="BT1459" s="87"/>
      <c r="BU1459" s="87"/>
      <c r="BV1459" s="87"/>
      <c r="BW1459" s="87"/>
      <c r="BX1459" s="87"/>
      <c r="BY1459" s="87"/>
    </row>
    <row r="1460" spans="21:77" x14ac:dyDescent="0.3">
      <c r="U1460" s="19"/>
      <c r="V1460" s="87"/>
      <c r="W1460" s="87"/>
      <c r="X1460" s="87"/>
      <c r="Y1460" s="87"/>
      <c r="Z1460" s="87"/>
      <c r="AA1460" s="87"/>
      <c r="AB1460" s="87"/>
      <c r="AC1460" s="87"/>
      <c r="AD1460" s="87"/>
      <c r="AE1460" s="87"/>
      <c r="AF1460" s="87"/>
      <c r="AG1460" s="87"/>
      <c r="AH1460" s="87"/>
      <c r="AI1460" s="87"/>
      <c r="AJ1460" s="87"/>
      <c r="AK1460" s="87"/>
      <c r="AL1460" s="87"/>
      <c r="AM1460" s="87"/>
      <c r="AN1460" s="87"/>
      <c r="AO1460" s="87"/>
      <c r="AP1460" s="87"/>
      <c r="AQ1460" s="87"/>
      <c r="AR1460" s="87"/>
      <c r="AS1460" s="87"/>
      <c r="AT1460" s="87"/>
      <c r="AU1460" s="87"/>
      <c r="AV1460" s="87"/>
      <c r="AW1460" s="87"/>
      <c r="AX1460" s="87"/>
      <c r="AY1460" s="87"/>
      <c r="AZ1460" s="87"/>
      <c r="BA1460" s="87"/>
      <c r="BB1460" s="87"/>
      <c r="BC1460" s="87"/>
      <c r="BD1460" s="87"/>
      <c r="BE1460" s="87"/>
      <c r="BF1460" s="87"/>
      <c r="BG1460" s="87"/>
      <c r="BH1460" s="87"/>
      <c r="BI1460" s="87"/>
      <c r="BJ1460" s="87"/>
      <c r="BK1460" s="87"/>
      <c r="BL1460" s="87"/>
      <c r="BM1460" s="87"/>
      <c r="BN1460" s="87"/>
      <c r="BO1460" s="87"/>
      <c r="BP1460" s="87"/>
      <c r="BQ1460" s="87"/>
      <c r="BR1460" s="87"/>
      <c r="BS1460" s="87"/>
      <c r="BT1460" s="87"/>
      <c r="BU1460" s="87"/>
      <c r="BV1460" s="87"/>
      <c r="BW1460" s="87"/>
      <c r="BX1460" s="87"/>
      <c r="BY1460" s="87"/>
    </row>
    <row r="1461" spans="21:77" x14ac:dyDescent="0.3">
      <c r="U1461" s="19"/>
      <c r="V1461" s="87"/>
      <c r="W1461" s="87"/>
      <c r="X1461" s="87"/>
      <c r="Y1461" s="87"/>
      <c r="Z1461" s="87"/>
      <c r="AA1461" s="87"/>
      <c r="AB1461" s="87"/>
      <c r="AC1461" s="87"/>
      <c r="AD1461" s="87"/>
      <c r="AE1461" s="87"/>
      <c r="AF1461" s="87"/>
      <c r="AG1461" s="87"/>
      <c r="AH1461" s="87"/>
      <c r="AI1461" s="87"/>
      <c r="AJ1461" s="87"/>
      <c r="AK1461" s="87"/>
      <c r="AL1461" s="87"/>
      <c r="AM1461" s="87"/>
      <c r="AN1461" s="87"/>
      <c r="AO1461" s="87"/>
      <c r="AP1461" s="87"/>
      <c r="AQ1461" s="87"/>
      <c r="AR1461" s="87"/>
      <c r="AS1461" s="87"/>
      <c r="AT1461" s="87"/>
      <c r="AU1461" s="87"/>
      <c r="AV1461" s="87"/>
      <c r="AW1461" s="87"/>
      <c r="AX1461" s="87"/>
      <c r="AY1461" s="87"/>
      <c r="AZ1461" s="87"/>
      <c r="BA1461" s="87"/>
      <c r="BB1461" s="87"/>
      <c r="BC1461" s="87"/>
      <c r="BD1461" s="87"/>
      <c r="BE1461" s="87"/>
      <c r="BF1461" s="87"/>
      <c r="BG1461" s="87"/>
      <c r="BH1461" s="87"/>
      <c r="BI1461" s="87"/>
      <c r="BJ1461" s="87"/>
      <c r="BK1461" s="87"/>
      <c r="BL1461" s="87"/>
      <c r="BM1461" s="87"/>
      <c r="BN1461" s="87"/>
      <c r="BO1461" s="87"/>
      <c r="BP1461" s="87"/>
      <c r="BQ1461" s="87"/>
      <c r="BR1461" s="87"/>
      <c r="BS1461" s="87"/>
      <c r="BT1461" s="87"/>
      <c r="BU1461" s="87"/>
      <c r="BV1461" s="87"/>
      <c r="BW1461" s="87"/>
      <c r="BX1461" s="87"/>
      <c r="BY1461" s="87"/>
    </row>
    <row r="1462" spans="21:77" x14ac:dyDescent="0.3">
      <c r="U1462" s="19"/>
      <c r="V1462" s="87"/>
      <c r="W1462" s="87"/>
      <c r="X1462" s="87"/>
      <c r="Y1462" s="87"/>
      <c r="Z1462" s="87"/>
      <c r="AA1462" s="87"/>
      <c r="AB1462" s="87"/>
      <c r="AC1462" s="87"/>
      <c r="AD1462" s="87"/>
      <c r="AE1462" s="87"/>
      <c r="AF1462" s="87"/>
      <c r="AG1462" s="87"/>
      <c r="AH1462" s="87"/>
      <c r="AI1462" s="87"/>
      <c r="AJ1462" s="87"/>
      <c r="AK1462" s="87"/>
      <c r="AL1462" s="87"/>
      <c r="AM1462" s="87"/>
      <c r="AN1462" s="87"/>
      <c r="AO1462" s="87"/>
      <c r="AP1462" s="87"/>
      <c r="AQ1462" s="87"/>
      <c r="AR1462" s="87"/>
      <c r="AS1462" s="87"/>
      <c r="AT1462" s="87"/>
      <c r="AU1462" s="87"/>
      <c r="AV1462" s="87"/>
      <c r="AW1462" s="87"/>
      <c r="AX1462" s="87"/>
      <c r="AY1462" s="87"/>
      <c r="AZ1462" s="87"/>
      <c r="BA1462" s="87"/>
      <c r="BB1462" s="87"/>
      <c r="BC1462" s="87"/>
      <c r="BD1462" s="87"/>
      <c r="BE1462" s="87"/>
      <c r="BF1462" s="87"/>
      <c r="BG1462" s="87"/>
      <c r="BH1462" s="87"/>
      <c r="BI1462" s="87"/>
      <c r="BJ1462" s="87"/>
      <c r="BK1462" s="87"/>
      <c r="BL1462" s="87"/>
      <c r="BM1462" s="87"/>
      <c r="BN1462" s="87"/>
      <c r="BO1462" s="87"/>
      <c r="BP1462" s="87"/>
      <c r="BQ1462" s="87"/>
      <c r="BR1462" s="87"/>
      <c r="BS1462" s="87"/>
      <c r="BT1462" s="87"/>
      <c r="BU1462" s="87"/>
      <c r="BV1462" s="87"/>
      <c r="BW1462" s="87"/>
      <c r="BX1462" s="87"/>
      <c r="BY1462" s="87"/>
    </row>
    <row r="1463" spans="21:77" x14ac:dyDescent="0.3">
      <c r="U1463" s="19"/>
      <c r="V1463" s="87"/>
      <c r="W1463" s="87"/>
      <c r="X1463" s="87"/>
      <c r="Y1463" s="87"/>
      <c r="Z1463" s="87"/>
      <c r="AA1463" s="87"/>
      <c r="AB1463" s="87"/>
      <c r="AC1463" s="87"/>
      <c r="AD1463" s="87"/>
      <c r="AE1463" s="87"/>
      <c r="AF1463" s="87"/>
      <c r="AG1463" s="87"/>
      <c r="AH1463" s="87"/>
      <c r="AI1463" s="87"/>
      <c r="AJ1463" s="87"/>
      <c r="AK1463" s="87"/>
      <c r="AL1463" s="87"/>
      <c r="AM1463" s="87"/>
      <c r="AN1463" s="87"/>
      <c r="AO1463" s="87"/>
      <c r="AP1463" s="87"/>
      <c r="AQ1463" s="87"/>
      <c r="AR1463" s="87"/>
      <c r="AS1463" s="87"/>
      <c r="AT1463" s="87"/>
      <c r="AU1463" s="87"/>
      <c r="AV1463" s="87"/>
      <c r="AW1463" s="87"/>
      <c r="AX1463" s="87"/>
      <c r="AY1463" s="87"/>
      <c r="AZ1463" s="87"/>
      <c r="BA1463" s="87"/>
      <c r="BB1463" s="87"/>
      <c r="BC1463" s="87"/>
      <c r="BD1463" s="87"/>
      <c r="BE1463" s="87"/>
      <c r="BF1463" s="87"/>
      <c r="BG1463" s="87"/>
      <c r="BH1463" s="87"/>
      <c r="BI1463" s="87"/>
      <c r="BJ1463" s="87"/>
      <c r="BK1463" s="87"/>
      <c r="BL1463" s="87"/>
      <c r="BM1463" s="87"/>
      <c r="BN1463" s="87"/>
      <c r="BO1463" s="87"/>
      <c r="BP1463" s="87"/>
      <c r="BQ1463" s="87"/>
      <c r="BR1463" s="87"/>
      <c r="BS1463" s="87"/>
      <c r="BT1463" s="87"/>
      <c r="BU1463" s="87"/>
      <c r="BV1463" s="87"/>
      <c r="BW1463" s="87"/>
      <c r="BX1463" s="87"/>
      <c r="BY1463" s="87"/>
    </row>
    <row r="1464" spans="21:77" x14ac:dyDescent="0.3">
      <c r="U1464" s="19"/>
      <c r="V1464" s="87"/>
      <c r="W1464" s="87"/>
      <c r="X1464" s="87"/>
      <c r="Y1464" s="87"/>
      <c r="Z1464" s="87"/>
      <c r="AA1464" s="87"/>
      <c r="AB1464" s="87"/>
      <c r="AC1464" s="87"/>
      <c r="AD1464" s="87"/>
      <c r="AE1464" s="87"/>
      <c r="AF1464" s="87"/>
      <c r="AG1464" s="87"/>
      <c r="AH1464" s="87"/>
      <c r="AI1464" s="87"/>
      <c r="AJ1464" s="87"/>
      <c r="AK1464" s="87"/>
      <c r="AL1464" s="87"/>
      <c r="AM1464" s="87"/>
      <c r="AN1464" s="87"/>
      <c r="AO1464" s="87"/>
      <c r="AP1464" s="87"/>
      <c r="AQ1464" s="87"/>
      <c r="AR1464" s="87"/>
      <c r="AS1464" s="87"/>
      <c r="AT1464" s="87"/>
      <c r="AU1464" s="87"/>
      <c r="AV1464" s="87"/>
      <c r="AW1464" s="87"/>
      <c r="AX1464" s="87"/>
      <c r="AY1464" s="87"/>
      <c r="AZ1464" s="87"/>
      <c r="BA1464" s="87"/>
      <c r="BB1464" s="87"/>
      <c r="BC1464" s="87"/>
      <c r="BD1464" s="87"/>
      <c r="BE1464" s="87"/>
      <c r="BF1464" s="87"/>
      <c r="BG1464" s="87"/>
      <c r="BH1464" s="87"/>
      <c r="BI1464" s="87"/>
      <c r="BJ1464" s="87"/>
      <c r="BK1464" s="87"/>
      <c r="BL1464" s="87"/>
      <c r="BM1464" s="87"/>
      <c r="BN1464" s="87"/>
      <c r="BO1464" s="87"/>
      <c r="BP1464" s="87"/>
      <c r="BQ1464" s="87"/>
      <c r="BR1464" s="87"/>
      <c r="BS1464" s="87"/>
      <c r="BT1464" s="87"/>
      <c r="BU1464" s="87"/>
      <c r="BV1464" s="87"/>
      <c r="BW1464" s="87"/>
      <c r="BX1464" s="87"/>
      <c r="BY1464" s="87"/>
    </row>
    <row r="1465" spans="21:77" x14ac:dyDescent="0.3">
      <c r="U1465" s="19"/>
      <c r="V1465" s="87"/>
      <c r="W1465" s="87"/>
      <c r="X1465" s="87"/>
      <c r="Y1465" s="87"/>
      <c r="Z1465" s="87"/>
      <c r="AA1465" s="87"/>
      <c r="AB1465" s="87"/>
      <c r="AC1465" s="87"/>
      <c r="AD1465" s="87"/>
      <c r="AE1465" s="87"/>
      <c r="AF1465" s="87"/>
      <c r="AG1465" s="87"/>
      <c r="AH1465" s="87"/>
      <c r="AI1465" s="87"/>
      <c r="AJ1465" s="87"/>
      <c r="AK1465" s="87"/>
      <c r="AL1465" s="87"/>
      <c r="AM1465" s="87"/>
      <c r="AN1465" s="87"/>
      <c r="AO1465" s="87"/>
      <c r="AP1465" s="87"/>
      <c r="AQ1465" s="87"/>
      <c r="AR1465" s="87"/>
      <c r="AS1465" s="87"/>
      <c r="AT1465" s="87"/>
      <c r="AU1465" s="87"/>
      <c r="AV1465" s="87"/>
      <c r="AW1465" s="87"/>
      <c r="AX1465" s="87"/>
      <c r="AY1465" s="87"/>
      <c r="AZ1465" s="87"/>
      <c r="BA1465" s="87"/>
      <c r="BB1465" s="87"/>
      <c r="BC1465" s="87"/>
      <c r="BD1465" s="87"/>
      <c r="BE1465" s="87"/>
      <c r="BF1465" s="87"/>
      <c r="BG1465" s="87"/>
      <c r="BH1465" s="87"/>
      <c r="BI1465" s="87"/>
      <c r="BJ1465" s="87"/>
      <c r="BK1465" s="87"/>
      <c r="BL1465" s="87"/>
      <c r="BM1465" s="87"/>
      <c r="BN1465" s="87"/>
      <c r="BO1465" s="87"/>
      <c r="BP1465" s="87"/>
      <c r="BQ1465" s="87"/>
      <c r="BR1465" s="87"/>
      <c r="BS1465" s="87"/>
      <c r="BT1465" s="87"/>
      <c r="BU1465" s="87"/>
      <c r="BV1465" s="87"/>
      <c r="BW1465" s="87"/>
      <c r="BX1465" s="87"/>
      <c r="BY1465" s="87"/>
    </row>
    <row r="1466" spans="21:77" x14ac:dyDescent="0.3">
      <c r="U1466" s="19"/>
      <c r="V1466" s="87"/>
      <c r="W1466" s="87"/>
      <c r="X1466" s="87"/>
      <c r="Y1466" s="87"/>
      <c r="Z1466" s="87"/>
      <c r="AA1466" s="87"/>
      <c r="AB1466" s="87"/>
      <c r="AC1466" s="87"/>
      <c r="AD1466" s="87"/>
      <c r="AE1466" s="87"/>
      <c r="AF1466" s="87"/>
      <c r="AG1466" s="87"/>
      <c r="AH1466" s="87"/>
      <c r="AI1466" s="87"/>
      <c r="AJ1466" s="87"/>
      <c r="AK1466" s="87"/>
      <c r="AL1466" s="87"/>
      <c r="AM1466" s="87"/>
      <c r="AN1466" s="87"/>
      <c r="AO1466" s="87"/>
      <c r="AP1466" s="87"/>
      <c r="AQ1466" s="87"/>
      <c r="AR1466" s="87"/>
      <c r="AS1466" s="87"/>
      <c r="AT1466" s="87"/>
      <c r="AU1466" s="87"/>
      <c r="AV1466" s="87"/>
      <c r="AW1466" s="87"/>
      <c r="AX1466" s="87"/>
      <c r="AY1466" s="87"/>
      <c r="AZ1466" s="87"/>
      <c r="BA1466" s="87"/>
      <c r="BB1466" s="87"/>
      <c r="BC1466" s="87"/>
      <c r="BD1466" s="87"/>
      <c r="BE1466" s="87"/>
      <c r="BF1466" s="87"/>
      <c r="BG1466" s="87"/>
      <c r="BH1466" s="87"/>
      <c r="BI1466" s="87"/>
      <c r="BJ1466" s="87"/>
      <c r="BK1466" s="87"/>
      <c r="BL1466" s="87"/>
      <c r="BM1466" s="87"/>
      <c r="BN1466" s="87"/>
      <c r="BO1466" s="87"/>
      <c r="BP1466" s="87"/>
      <c r="BQ1466" s="87"/>
      <c r="BR1466" s="87"/>
      <c r="BS1466" s="87"/>
      <c r="BT1466" s="87"/>
      <c r="BU1466" s="87"/>
      <c r="BV1466" s="87"/>
      <c r="BW1466" s="87"/>
      <c r="BX1466" s="87"/>
      <c r="BY1466" s="87"/>
    </row>
    <row r="1467" spans="21:77" x14ac:dyDescent="0.3">
      <c r="U1467" s="19"/>
      <c r="V1467" s="87"/>
      <c r="W1467" s="87"/>
      <c r="X1467" s="87"/>
      <c r="Y1467" s="87"/>
      <c r="Z1467" s="87"/>
      <c r="AA1467" s="87"/>
      <c r="AB1467" s="87"/>
      <c r="AC1467" s="87"/>
      <c r="AD1467" s="87"/>
      <c r="AE1467" s="87"/>
      <c r="AF1467" s="87"/>
      <c r="AG1467" s="87"/>
      <c r="AH1467" s="87"/>
      <c r="AI1467" s="87"/>
      <c r="AJ1467" s="87"/>
      <c r="AK1467" s="87"/>
      <c r="AL1467" s="87"/>
      <c r="AM1467" s="87"/>
      <c r="AN1467" s="87"/>
      <c r="AO1467" s="87"/>
      <c r="AP1467" s="87"/>
      <c r="AQ1467" s="87"/>
      <c r="AR1467" s="87"/>
      <c r="AS1467" s="87"/>
      <c r="AT1467" s="87"/>
      <c r="AU1467" s="87"/>
      <c r="AV1467" s="87"/>
      <c r="AW1467" s="87"/>
      <c r="AX1467" s="87"/>
      <c r="AY1467" s="87"/>
      <c r="AZ1467" s="87"/>
      <c r="BA1467" s="87"/>
      <c r="BB1467" s="87"/>
      <c r="BC1467" s="87"/>
      <c r="BD1467" s="87"/>
      <c r="BE1467" s="87"/>
      <c r="BF1467" s="87"/>
      <c r="BG1467" s="87"/>
      <c r="BH1467" s="87"/>
      <c r="BI1467" s="87"/>
      <c r="BJ1467" s="87"/>
      <c r="BK1467" s="87"/>
      <c r="BL1467" s="87"/>
      <c r="BM1467" s="87"/>
      <c r="BN1467" s="87"/>
      <c r="BO1467" s="87"/>
      <c r="BP1467" s="87"/>
      <c r="BQ1467" s="87"/>
      <c r="BR1467" s="87"/>
      <c r="BS1467" s="87"/>
      <c r="BT1467" s="87"/>
      <c r="BU1467" s="87"/>
      <c r="BV1467" s="87"/>
      <c r="BW1467" s="87"/>
      <c r="BX1467" s="87"/>
      <c r="BY1467" s="87"/>
    </row>
    <row r="1468" spans="21:77" x14ac:dyDescent="0.3">
      <c r="U1468" s="19"/>
      <c r="V1468" s="87"/>
      <c r="W1468" s="87"/>
      <c r="X1468" s="87"/>
      <c r="Y1468" s="87"/>
      <c r="Z1468" s="87"/>
      <c r="AA1468" s="87"/>
      <c r="AB1468" s="87"/>
      <c r="AC1468" s="87"/>
      <c r="AD1468" s="87"/>
      <c r="AE1468" s="87"/>
      <c r="AF1468" s="87"/>
      <c r="AG1468" s="87"/>
      <c r="AH1468" s="87"/>
      <c r="AI1468" s="87"/>
      <c r="AJ1468" s="87"/>
      <c r="AK1468" s="87"/>
      <c r="AL1468" s="87"/>
      <c r="AM1468" s="87"/>
      <c r="AN1468" s="87"/>
      <c r="AO1468" s="87"/>
      <c r="AP1468" s="87"/>
      <c r="AQ1468" s="87"/>
      <c r="AR1468" s="87"/>
      <c r="AS1468" s="87"/>
      <c r="AT1468" s="87"/>
      <c r="AU1468" s="87"/>
      <c r="AV1468" s="87"/>
      <c r="AW1468" s="87"/>
      <c r="AX1468" s="87"/>
      <c r="AY1468" s="87"/>
      <c r="AZ1468" s="87"/>
      <c r="BA1468" s="87"/>
      <c r="BB1468" s="87"/>
      <c r="BC1468" s="87"/>
      <c r="BD1468" s="87"/>
      <c r="BE1468" s="87"/>
      <c r="BF1468" s="87"/>
      <c r="BG1468" s="87"/>
      <c r="BH1468" s="87"/>
      <c r="BI1468" s="87"/>
      <c r="BJ1468" s="87"/>
      <c r="BK1468" s="87"/>
      <c r="BL1468" s="87"/>
      <c r="BM1468" s="87"/>
      <c r="BN1468" s="87"/>
      <c r="BO1468" s="87"/>
      <c r="BP1468" s="87"/>
      <c r="BQ1468" s="87"/>
      <c r="BR1468" s="87"/>
      <c r="BS1468" s="87"/>
      <c r="BT1468" s="87"/>
      <c r="BU1468" s="87"/>
      <c r="BV1468" s="87"/>
      <c r="BW1468" s="87"/>
      <c r="BX1468" s="87"/>
      <c r="BY1468" s="87"/>
    </row>
    <row r="1469" spans="21:77" x14ac:dyDescent="0.3">
      <c r="U1469" s="19"/>
      <c r="V1469" s="87"/>
      <c r="W1469" s="87"/>
      <c r="X1469" s="87"/>
      <c r="Y1469" s="87"/>
      <c r="Z1469" s="87"/>
      <c r="AA1469" s="87"/>
      <c r="AB1469" s="87"/>
      <c r="AC1469" s="87"/>
      <c r="AD1469" s="87"/>
      <c r="AE1469" s="87"/>
      <c r="AF1469" s="87"/>
      <c r="AG1469" s="87"/>
      <c r="AH1469" s="87"/>
      <c r="AI1469" s="87"/>
      <c r="AJ1469" s="87"/>
      <c r="AK1469" s="87"/>
      <c r="AL1469" s="87"/>
      <c r="AM1469" s="87"/>
      <c r="AN1469" s="87"/>
      <c r="AO1469" s="87"/>
      <c r="AP1469" s="87"/>
      <c r="AQ1469" s="87"/>
      <c r="AR1469" s="87"/>
      <c r="AS1469" s="87"/>
      <c r="AT1469" s="87"/>
      <c r="AU1469" s="87"/>
      <c r="AV1469" s="87"/>
      <c r="AW1469" s="87"/>
      <c r="AX1469" s="87"/>
      <c r="AY1469" s="87"/>
      <c r="AZ1469" s="87"/>
      <c r="BA1469" s="87"/>
      <c r="BB1469" s="87"/>
      <c r="BC1469" s="87"/>
      <c r="BD1469" s="87"/>
      <c r="BE1469" s="87"/>
      <c r="BF1469" s="87"/>
      <c r="BG1469" s="87"/>
      <c r="BH1469" s="87"/>
      <c r="BI1469" s="87"/>
      <c r="BJ1469" s="87"/>
      <c r="BK1469" s="87"/>
      <c r="BL1469" s="87"/>
      <c r="BM1469" s="87"/>
      <c r="BN1469" s="87"/>
      <c r="BO1469" s="87"/>
      <c r="BP1469" s="87"/>
      <c r="BQ1469" s="87"/>
      <c r="BR1469" s="87"/>
      <c r="BS1469" s="87"/>
      <c r="BT1469" s="87"/>
      <c r="BU1469" s="87"/>
      <c r="BV1469" s="87"/>
      <c r="BW1469" s="87"/>
      <c r="BX1469" s="87"/>
      <c r="BY1469" s="87"/>
    </row>
    <row r="1470" spans="21:77" x14ac:dyDescent="0.3">
      <c r="U1470" s="19"/>
      <c r="V1470" s="87"/>
      <c r="W1470" s="87"/>
      <c r="X1470" s="87"/>
      <c r="Y1470" s="87"/>
      <c r="Z1470" s="87"/>
      <c r="AA1470" s="87"/>
      <c r="AB1470" s="87"/>
      <c r="AC1470" s="87"/>
      <c r="AD1470" s="87"/>
      <c r="AE1470" s="87"/>
      <c r="AF1470" s="87"/>
      <c r="AG1470" s="87"/>
      <c r="AH1470" s="87"/>
      <c r="AI1470" s="87"/>
      <c r="AJ1470" s="87"/>
      <c r="AK1470" s="87"/>
      <c r="AL1470" s="87"/>
      <c r="AM1470" s="87"/>
      <c r="AN1470" s="87"/>
      <c r="AO1470" s="87"/>
      <c r="AP1470" s="87"/>
      <c r="AQ1470" s="87"/>
      <c r="AR1470" s="87"/>
      <c r="AS1470" s="87"/>
      <c r="AT1470" s="87"/>
      <c r="AU1470" s="87"/>
      <c r="AV1470" s="87"/>
      <c r="AW1470" s="87"/>
      <c r="AX1470" s="87"/>
      <c r="AY1470" s="87"/>
      <c r="AZ1470" s="87"/>
      <c r="BA1470" s="87"/>
      <c r="BB1470" s="87"/>
      <c r="BC1470" s="87"/>
      <c r="BD1470" s="87"/>
      <c r="BE1470" s="87"/>
      <c r="BF1470" s="87"/>
      <c r="BG1470" s="87"/>
      <c r="BH1470" s="87"/>
      <c r="BI1470" s="87"/>
      <c r="BJ1470" s="87"/>
      <c r="BK1470" s="87"/>
      <c r="BL1470" s="87"/>
      <c r="BM1470" s="87"/>
      <c r="BN1470" s="87"/>
      <c r="BO1470" s="87"/>
      <c r="BP1470" s="87"/>
      <c r="BQ1470" s="87"/>
      <c r="BR1470" s="87"/>
      <c r="BS1470" s="87"/>
      <c r="BT1470" s="87"/>
      <c r="BU1470" s="87"/>
      <c r="BV1470" s="87"/>
      <c r="BW1470" s="87"/>
      <c r="BX1470" s="87"/>
      <c r="BY1470" s="87"/>
    </row>
    <row r="1471" spans="21:77" x14ac:dyDescent="0.3">
      <c r="U1471" s="19"/>
      <c r="V1471" s="87"/>
      <c r="W1471" s="87"/>
      <c r="X1471" s="87"/>
      <c r="Y1471" s="87"/>
      <c r="Z1471" s="87"/>
      <c r="AA1471" s="87"/>
      <c r="AB1471" s="87"/>
      <c r="AC1471" s="87"/>
      <c r="AD1471" s="87"/>
      <c r="AE1471" s="87"/>
      <c r="AF1471" s="87"/>
      <c r="AG1471" s="87"/>
      <c r="AH1471" s="87"/>
      <c r="AI1471" s="87"/>
      <c r="AJ1471" s="87"/>
      <c r="AK1471" s="87"/>
      <c r="AL1471" s="87"/>
      <c r="AM1471" s="87"/>
      <c r="AN1471" s="87"/>
      <c r="AO1471" s="87"/>
      <c r="AP1471" s="87"/>
      <c r="AQ1471" s="87"/>
      <c r="AR1471" s="87"/>
      <c r="AS1471" s="87"/>
      <c r="AT1471" s="87"/>
      <c r="AU1471" s="87"/>
      <c r="AV1471" s="87"/>
      <c r="AW1471" s="87"/>
      <c r="AX1471" s="87"/>
      <c r="AY1471" s="87"/>
      <c r="AZ1471" s="87"/>
      <c r="BA1471" s="87"/>
      <c r="BB1471" s="87"/>
      <c r="BC1471" s="87"/>
      <c r="BD1471" s="87"/>
      <c r="BE1471" s="87"/>
      <c r="BF1471" s="87"/>
      <c r="BG1471" s="87"/>
      <c r="BH1471" s="87"/>
      <c r="BI1471" s="87"/>
      <c r="BJ1471" s="87"/>
      <c r="BK1471" s="87"/>
      <c r="BL1471" s="87"/>
      <c r="BM1471" s="87"/>
      <c r="BN1471" s="87"/>
      <c r="BO1471" s="87"/>
      <c r="BP1471" s="87"/>
      <c r="BQ1471" s="87"/>
      <c r="BR1471" s="87"/>
      <c r="BS1471" s="87"/>
      <c r="BT1471" s="87"/>
      <c r="BU1471" s="87"/>
      <c r="BV1471" s="87"/>
      <c r="BW1471" s="87"/>
      <c r="BX1471" s="87"/>
      <c r="BY1471" s="87"/>
    </row>
    <row r="1472" spans="21:77" x14ac:dyDescent="0.3">
      <c r="U1472" s="19"/>
      <c r="V1472" s="87"/>
      <c r="W1472" s="87"/>
      <c r="X1472" s="87"/>
      <c r="Y1472" s="87"/>
      <c r="Z1472" s="87"/>
      <c r="AA1472" s="87"/>
      <c r="AB1472" s="87"/>
      <c r="AC1472" s="87"/>
      <c r="AD1472" s="87"/>
      <c r="AE1472" s="87"/>
      <c r="AF1472" s="87"/>
      <c r="AG1472" s="87"/>
      <c r="AH1472" s="87"/>
      <c r="AI1472" s="87"/>
      <c r="AJ1472" s="87"/>
      <c r="AK1472" s="87"/>
      <c r="AL1472" s="87"/>
      <c r="AM1472" s="87"/>
      <c r="AN1472" s="87"/>
      <c r="AO1472" s="87"/>
      <c r="AP1472" s="87"/>
      <c r="AQ1472" s="87"/>
      <c r="AR1472" s="87"/>
      <c r="AS1472" s="87"/>
      <c r="AT1472" s="87"/>
      <c r="AU1472" s="87"/>
      <c r="AV1472" s="87"/>
      <c r="AW1472" s="87"/>
      <c r="AX1472" s="87"/>
      <c r="AY1472" s="87"/>
      <c r="AZ1472" s="87"/>
      <c r="BA1472" s="87"/>
      <c r="BB1472" s="87"/>
      <c r="BC1472" s="87"/>
      <c r="BD1472" s="87"/>
      <c r="BE1472" s="87"/>
      <c r="BF1472" s="87"/>
      <c r="BG1472" s="87"/>
      <c r="BH1472" s="87"/>
      <c r="BI1472" s="87"/>
      <c r="BJ1472" s="87"/>
      <c r="BK1472" s="87"/>
      <c r="BL1472" s="87"/>
      <c r="BM1472" s="87"/>
      <c r="BN1472" s="87"/>
      <c r="BO1472" s="87"/>
      <c r="BP1472" s="87"/>
      <c r="BQ1472" s="87"/>
      <c r="BR1472" s="87"/>
      <c r="BS1472" s="87"/>
      <c r="BT1472" s="87"/>
      <c r="BU1472" s="87"/>
      <c r="BV1472" s="87"/>
      <c r="BW1472" s="87"/>
      <c r="BX1472" s="87"/>
      <c r="BY1472" s="87"/>
    </row>
    <row r="1473" spans="21:77" x14ac:dyDescent="0.3">
      <c r="U1473" s="19"/>
      <c r="V1473" s="87"/>
      <c r="W1473" s="87"/>
      <c r="X1473" s="87"/>
      <c r="Y1473" s="87"/>
      <c r="Z1473" s="87"/>
      <c r="AA1473" s="87"/>
      <c r="AB1473" s="87"/>
      <c r="AC1473" s="87"/>
      <c r="AD1473" s="87"/>
      <c r="AE1473" s="87"/>
      <c r="AF1473" s="87"/>
      <c r="AG1473" s="87"/>
      <c r="AH1473" s="87"/>
      <c r="AI1473" s="87"/>
      <c r="AJ1473" s="87"/>
      <c r="AK1473" s="87"/>
      <c r="AL1473" s="87"/>
      <c r="AM1473" s="87"/>
      <c r="AN1473" s="87"/>
      <c r="AO1473" s="87"/>
      <c r="AP1473" s="87"/>
      <c r="AQ1473" s="87"/>
      <c r="AR1473" s="87"/>
      <c r="AS1473" s="87"/>
      <c r="AT1473" s="87"/>
      <c r="AU1473" s="87"/>
      <c r="AV1473" s="87"/>
      <c r="AW1473" s="87"/>
      <c r="AX1473" s="87"/>
      <c r="AY1473" s="87"/>
      <c r="AZ1473" s="87"/>
      <c r="BA1473" s="87"/>
      <c r="BB1473" s="87"/>
      <c r="BC1473" s="87"/>
      <c r="BD1473" s="87"/>
      <c r="BE1473" s="87"/>
      <c r="BF1473" s="87"/>
      <c r="BG1473" s="87"/>
      <c r="BH1473" s="87"/>
      <c r="BI1473" s="87"/>
      <c r="BJ1473" s="87"/>
      <c r="BK1473" s="87"/>
      <c r="BL1473" s="87"/>
      <c r="BM1473" s="87"/>
      <c r="BN1473" s="87"/>
      <c r="BO1473" s="87"/>
      <c r="BP1473" s="87"/>
      <c r="BQ1473" s="87"/>
      <c r="BR1473" s="87"/>
      <c r="BS1473" s="87"/>
      <c r="BT1473" s="87"/>
      <c r="BU1473" s="87"/>
      <c r="BV1473" s="87"/>
      <c r="BW1473" s="87"/>
      <c r="BX1473" s="87"/>
      <c r="BY1473" s="87"/>
    </row>
    <row r="1474" spans="21:77" x14ac:dyDescent="0.3">
      <c r="U1474" s="19"/>
      <c r="V1474" s="87"/>
      <c r="W1474" s="87"/>
      <c r="X1474" s="87"/>
      <c r="Y1474" s="87"/>
      <c r="Z1474" s="87"/>
      <c r="AA1474" s="87"/>
      <c r="AB1474" s="87"/>
      <c r="AC1474" s="87"/>
      <c r="AD1474" s="87"/>
      <c r="AE1474" s="87"/>
      <c r="AF1474" s="87"/>
      <c r="AG1474" s="87"/>
      <c r="AH1474" s="87"/>
      <c r="AI1474" s="87"/>
      <c r="AJ1474" s="87"/>
      <c r="AK1474" s="87"/>
      <c r="AL1474" s="87"/>
      <c r="AM1474" s="87"/>
      <c r="AN1474" s="87"/>
      <c r="AO1474" s="87"/>
      <c r="AP1474" s="87"/>
      <c r="AQ1474" s="87"/>
      <c r="AR1474" s="87"/>
      <c r="AS1474" s="87"/>
      <c r="AT1474" s="87"/>
      <c r="AU1474" s="87"/>
      <c r="AV1474" s="87"/>
      <c r="AW1474" s="87"/>
      <c r="AX1474" s="87"/>
      <c r="AY1474" s="87"/>
      <c r="AZ1474" s="87"/>
      <c r="BA1474" s="87"/>
      <c r="BB1474" s="87"/>
      <c r="BC1474" s="87"/>
      <c r="BD1474" s="87"/>
      <c r="BE1474" s="87"/>
      <c r="BF1474" s="87"/>
      <c r="BG1474" s="87"/>
      <c r="BH1474" s="87"/>
      <c r="BI1474" s="87"/>
      <c r="BJ1474" s="87"/>
      <c r="BK1474" s="87"/>
      <c r="BL1474" s="87"/>
      <c r="BM1474" s="87"/>
      <c r="BN1474" s="87"/>
      <c r="BO1474" s="87"/>
      <c r="BP1474" s="87"/>
      <c r="BQ1474" s="87"/>
      <c r="BR1474" s="87"/>
      <c r="BS1474" s="87"/>
      <c r="BT1474" s="87"/>
      <c r="BU1474" s="87"/>
      <c r="BV1474" s="87"/>
      <c r="BW1474" s="87"/>
      <c r="BX1474" s="87"/>
      <c r="BY1474" s="87"/>
    </row>
    <row r="1475" spans="21:77" x14ac:dyDescent="0.3">
      <c r="U1475" s="19"/>
      <c r="V1475" s="87"/>
      <c r="W1475" s="87"/>
      <c r="X1475" s="87"/>
      <c r="Y1475" s="87"/>
      <c r="Z1475" s="87"/>
      <c r="AA1475" s="87"/>
      <c r="AB1475" s="87"/>
      <c r="AC1475" s="87"/>
      <c r="AD1475" s="87"/>
      <c r="AE1475" s="87"/>
      <c r="AF1475" s="87"/>
      <c r="AG1475" s="87"/>
      <c r="AH1475" s="87"/>
      <c r="AI1475" s="87"/>
      <c r="AJ1475" s="87"/>
      <c r="AK1475" s="87"/>
      <c r="AL1475" s="87"/>
      <c r="AM1475" s="87"/>
      <c r="AN1475" s="87"/>
      <c r="AO1475" s="87"/>
      <c r="AP1475" s="87"/>
      <c r="AQ1475" s="87"/>
      <c r="AR1475" s="87"/>
      <c r="AS1475" s="87"/>
      <c r="AT1475" s="87"/>
      <c r="AU1475" s="87"/>
      <c r="AV1475" s="87"/>
      <c r="AW1475" s="87"/>
      <c r="AX1475" s="87"/>
      <c r="AY1475" s="87"/>
      <c r="AZ1475" s="87"/>
      <c r="BA1475" s="87"/>
      <c r="BB1475" s="87"/>
      <c r="BC1475" s="87"/>
      <c r="BD1475" s="87"/>
      <c r="BE1475" s="87"/>
      <c r="BF1475" s="87"/>
      <c r="BG1475" s="87"/>
      <c r="BH1475" s="87"/>
      <c r="BI1475" s="87"/>
      <c r="BJ1475" s="87"/>
      <c r="BK1475" s="87"/>
      <c r="BL1475" s="87"/>
      <c r="BM1475" s="87"/>
      <c r="BN1475" s="87"/>
      <c r="BO1475" s="87"/>
      <c r="BP1475" s="87"/>
      <c r="BQ1475" s="87"/>
      <c r="BR1475" s="87"/>
      <c r="BS1475" s="87"/>
      <c r="BT1475" s="87"/>
      <c r="BU1475" s="87"/>
      <c r="BV1475" s="87"/>
      <c r="BW1475" s="87"/>
      <c r="BX1475" s="87"/>
      <c r="BY1475" s="87"/>
    </row>
    <row r="1476" spans="21:77" x14ac:dyDescent="0.3">
      <c r="U1476" s="19"/>
      <c r="V1476" s="87"/>
      <c r="W1476" s="87"/>
      <c r="X1476" s="87"/>
      <c r="Y1476" s="87"/>
      <c r="Z1476" s="87"/>
      <c r="AA1476" s="87"/>
      <c r="AB1476" s="87"/>
      <c r="AC1476" s="87"/>
      <c r="AD1476" s="87"/>
      <c r="AE1476" s="87"/>
      <c r="AF1476" s="87"/>
      <c r="AG1476" s="87"/>
      <c r="AH1476" s="87"/>
      <c r="AI1476" s="87"/>
      <c r="AJ1476" s="87"/>
      <c r="AK1476" s="87"/>
      <c r="AL1476" s="87"/>
      <c r="AM1476" s="87"/>
      <c r="AN1476" s="87"/>
      <c r="AO1476" s="87"/>
      <c r="AP1476" s="87"/>
      <c r="AQ1476" s="87"/>
      <c r="AR1476" s="87"/>
      <c r="AS1476" s="87"/>
      <c r="AT1476" s="87"/>
      <c r="AU1476" s="87"/>
      <c r="AV1476" s="87"/>
      <c r="AW1476" s="87"/>
      <c r="AX1476" s="87"/>
      <c r="AY1476" s="87"/>
      <c r="AZ1476" s="87"/>
      <c r="BA1476" s="87"/>
      <c r="BB1476" s="87"/>
      <c r="BC1476" s="87"/>
      <c r="BD1476" s="87"/>
      <c r="BE1476" s="87"/>
      <c r="BF1476" s="87"/>
      <c r="BG1476" s="87"/>
      <c r="BH1476" s="87"/>
      <c r="BI1476" s="87"/>
      <c r="BJ1476" s="87"/>
      <c r="BK1476" s="87"/>
      <c r="BL1476" s="87"/>
      <c r="BM1476" s="87"/>
      <c r="BN1476" s="87"/>
      <c r="BO1476" s="87"/>
      <c r="BP1476" s="87"/>
      <c r="BQ1476" s="87"/>
      <c r="BR1476" s="87"/>
      <c r="BS1476" s="87"/>
      <c r="BT1476" s="87"/>
      <c r="BU1476" s="87"/>
      <c r="BV1476" s="87"/>
      <c r="BW1476" s="87"/>
      <c r="BX1476" s="87"/>
      <c r="BY1476" s="87"/>
    </row>
    <row r="1477" spans="21:77" x14ac:dyDescent="0.3">
      <c r="U1477" s="19"/>
      <c r="V1477" s="87"/>
      <c r="W1477" s="87"/>
      <c r="X1477" s="87"/>
      <c r="Y1477" s="87"/>
      <c r="Z1477" s="87"/>
      <c r="AA1477" s="87"/>
      <c r="AB1477" s="87"/>
      <c r="AC1477" s="87"/>
      <c r="AD1477" s="87"/>
      <c r="AE1477" s="87"/>
      <c r="AF1477" s="87"/>
      <c r="AG1477" s="87"/>
      <c r="AH1477" s="87"/>
      <c r="AI1477" s="87"/>
      <c r="AJ1477" s="87"/>
      <c r="AK1477" s="87"/>
      <c r="AL1477" s="87"/>
      <c r="AM1477" s="87"/>
      <c r="AN1477" s="87"/>
      <c r="AO1477" s="87"/>
      <c r="AP1477" s="87"/>
      <c r="AQ1477" s="87"/>
      <c r="AR1477" s="87"/>
      <c r="AS1477" s="87"/>
      <c r="AT1477" s="87"/>
      <c r="AU1477" s="87"/>
      <c r="AV1477" s="87"/>
      <c r="AW1477" s="87"/>
      <c r="AX1477" s="87"/>
      <c r="AY1477" s="87"/>
      <c r="AZ1477" s="87"/>
      <c r="BA1477" s="87"/>
      <c r="BB1477" s="87"/>
      <c r="BC1477" s="87"/>
      <c r="BD1477" s="87"/>
      <c r="BE1477" s="87"/>
      <c r="BF1477" s="87"/>
      <c r="BG1477" s="87"/>
      <c r="BH1477" s="87"/>
      <c r="BI1477" s="87"/>
      <c r="BJ1477" s="87"/>
      <c r="BK1477" s="87"/>
      <c r="BL1477" s="87"/>
      <c r="BM1477" s="87"/>
      <c r="BN1477" s="87"/>
      <c r="BO1477" s="87"/>
      <c r="BP1477" s="87"/>
      <c r="BQ1477" s="87"/>
      <c r="BR1477" s="87"/>
      <c r="BS1477" s="87"/>
      <c r="BT1477" s="87"/>
      <c r="BU1477" s="87"/>
      <c r="BV1477" s="87"/>
      <c r="BW1477" s="87"/>
      <c r="BX1477" s="87"/>
      <c r="BY1477" s="87"/>
    </row>
    <row r="1478" spans="21:77" x14ac:dyDescent="0.3">
      <c r="U1478" s="19"/>
      <c r="V1478" s="87"/>
      <c r="W1478" s="87"/>
      <c r="X1478" s="87"/>
      <c r="Y1478" s="87"/>
      <c r="Z1478" s="87"/>
      <c r="AA1478" s="87"/>
      <c r="AB1478" s="87"/>
      <c r="AC1478" s="87"/>
      <c r="AD1478" s="87"/>
      <c r="AE1478" s="87"/>
      <c r="AF1478" s="87"/>
      <c r="AG1478" s="87"/>
      <c r="AH1478" s="87"/>
      <c r="AI1478" s="87"/>
      <c r="AJ1478" s="87"/>
      <c r="AK1478" s="87"/>
      <c r="AL1478" s="87"/>
      <c r="AM1478" s="87"/>
      <c r="AN1478" s="87"/>
      <c r="AO1478" s="87"/>
      <c r="AP1478" s="87"/>
      <c r="AQ1478" s="87"/>
      <c r="AR1478" s="87"/>
      <c r="AS1478" s="87"/>
      <c r="AT1478" s="87"/>
      <c r="AU1478" s="87"/>
      <c r="AV1478" s="87"/>
      <c r="AW1478" s="87"/>
      <c r="AX1478" s="87"/>
      <c r="AY1478" s="87"/>
      <c r="AZ1478" s="87"/>
      <c r="BA1478" s="87"/>
      <c r="BB1478" s="87"/>
      <c r="BC1478" s="87"/>
      <c r="BD1478" s="87"/>
      <c r="BE1478" s="87"/>
      <c r="BF1478" s="87"/>
      <c r="BG1478" s="87"/>
      <c r="BH1478" s="87"/>
      <c r="BI1478" s="87"/>
      <c r="BJ1478" s="87"/>
      <c r="BK1478" s="87"/>
      <c r="BL1478" s="87"/>
      <c r="BM1478" s="87"/>
      <c r="BN1478" s="87"/>
      <c r="BO1478" s="87"/>
      <c r="BP1478" s="87"/>
      <c r="BQ1478" s="87"/>
      <c r="BR1478" s="87"/>
      <c r="BS1478" s="87"/>
      <c r="BT1478" s="87"/>
      <c r="BU1478" s="87"/>
      <c r="BV1478" s="87"/>
      <c r="BW1478" s="87"/>
      <c r="BX1478" s="87"/>
      <c r="BY1478" s="87"/>
    </row>
    <row r="1479" spans="21:77" x14ac:dyDescent="0.3">
      <c r="U1479" s="19"/>
      <c r="V1479" s="87"/>
      <c r="W1479" s="87"/>
      <c r="X1479" s="87"/>
      <c r="Y1479" s="87"/>
      <c r="Z1479" s="87"/>
      <c r="AA1479" s="87"/>
      <c r="AB1479" s="87"/>
      <c r="AC1479" s="87"/>
      <c r="AD1479" s="87"/>
      <c r="AE1479" s="87"/>
      <c r="AF1479" s="87"/>
      <c r="AG1479" s="87"/>
      <c r="AH1479" s="87"/>
      <c r="AI1479" s="87"/>
      <c r="AJ1479" s="87"/>
      <c r="AK1479" s="87"/>
      <c r="AL1479" s="87"/>
      <c r="AM1479" s="87"/>
      <c r="AN1479" s="87"/>
      <c r="AO1479" s="87"/>
      <c r="AP1479" s="87"/>
      <c r="AQ1479" s="87"/>
      <c r="AR1479" s="87"/>
      <c r="AS1479" s="87"/>
      <c r="AT1479" s="87"/>
      <c r="AU1479" s="87"/>
      <c r="AV1479" s="87"/>
      <c r="AW1479" s="87"/>
      <c r="AX1479" s="87"/>
      <c r="AY1479" s="87"/>
      <c r="AZ1479" s="87"/>
      <c r="BA1479" s="87"/>
      <c r="BB1479" s="87"/>
      <c r="BC1479" s="87"/>
      <c r="BD1479" s="87"/>
      <c r="BE1479" s="87"/>
      <c r="BF1479" s="87"/>
      <c r="BG1479" s="87"/>
      <c r="BH1479" s="87"/>
      <c r="BI1479" s="87"/>
      <c r="BJ1479" s="87"/>
      <c r="BK1479" s="87"/>
      <c r="BL1479" s="87"/>
      <c r="BM1479" s="87"/>
      <c r="BN1479" s="87"/>
      <c r="BO1479" s="87"/>
      <c r="BP1479" s="87"/>
      <c r="BQ1479" s="87"/>
      <c r="BR1479" s="87"/>
      <c r="BS1479" s="87"/>
      <c r="BT1479" s="87"/>
      <c r="BU1479" s="87"/>
      <c r="BV1479" s="87"/>
      <c r="BW1479" s="87"/>
      <c r="BX1479" s="87"/>
      <c r="BY1479" s="87"/>
    </row>
    <row r="1480" spans="21:77" x14ac:dyDescent="0.3">
      <c r="U1480" s="19"/>
      <c r="V1480" s="87"/>
      <c r="W1480" s="87"/>
      <c r="X1480" s="87"/>
      <c r="Y1480" s="87"/>
      <c r="Z1480" s="87"/>
      <c r="AA1480" s="87"/>
      <c r="AB1480" s="87"/>
      <c r="AC1480" s="87"/>
      <c r="AD1480" s="87"/>
      <c r="AE1480" s="87"/>
      <c r="AF1480" s="87"/>
      <c r="AG1480" s="87"/>
      <c r="AH1480" s="87"/>
      <c r="AI1480" s="87"/>
      <c r="AJ1480" s="87"/>
      <c r="AK1480" s="87"/>
      <c r="AL1480" s="87"/>
      <c r="AM1480" s="87"/>
      <c r="AN1480" s="87"/>
      <c r="AO1480" s="87"/>
      <c r="AP1480" s="87"/>
      <c r="AQ1480" s="87"/>
      <c r="AR1480" s="87"/>
      <c r="AS1480" s="87"/>
      <c r="AT1480" s="87"/>
      <c r="AU1480" s="87"/>
      <c r="AV1480" s="87"/>
      <c r="AW1480" s="87"/>
      <c r="AX1480" s="87"/>
      <c r="AY1480" s="87"/>
      <c r="AZ1480" s="87"/>
      <c r="BA1480" s="87"/>
      <c r="BB1480" s="87"/>
      <c r="BC1480" s="87"/>
      <c r="BD1480" s="87"/>
      <c r="BE1480" s="87"/>
      <c r="BF1480" s="87"/>
      <c r="BG1480" s="87"/>
      <c r="BH1480" s="87"/>
      <c r="BI1480" s="87"/>
      <c r="BJ1480" s="87"/>
      <c r="BK1480" s="87"/>
      <c r="BL1480" s="87"/>
      <c r="BM1480" s="87"/>
      <c r="BN1480" s="87"/>
      <c r="BO1480" s="87"/>
      <c r="BP1480" s="87"/>
      <c r="BQ1480" s="87"/>
      <c r="BR1480" s="87"/>
      <c r="BS1480" s="87"/>
      <c r="BT1480" s="87"/>
      <c r="BU1480" s="87"/>
      <c r="BV1480" s="87"/>
      <c r="BW1480" s="87"/>
      <c r="BX1480" s="87"/>
      <c r="BY1480" s="87"/>
    </row>
    <row r="1481" spans="21:77" x14ac:dyDescent="0.3">
      <c r="U1481" s="19"/>
      <c r="V1481" s="87"/>
      <c r="W1481" s="87"/>
      <c r="X1481" s="87"/>
      <c r="Y1481" s="87"/>
      <c r="Z1481" s="87"/>
      <c r="AA1481" s="87"/>
      <c r="AB1481" s="87"/>
      <c r="AC1481" s="87"/>
      <c r="AD1481" s="87"/>
      <c r="AE1481" s="87"/>
      <c r="AF1481" s="87"/>
      <c r="AG1481" s="87"/>
      <c r="AH1481" s="87"/>
      <c r="AI1481" s="87"/>
      <c r="AJ1481" s="87"/>
      <c r="AK1481" s="87"/>
      <c r="AL1481" s="87"/>
      <c r="AM1481" s="87"/>
      <c r="AN1481" s="87"/>
      <c r="AO1481" s="87"/>
      <c r="AP1481" s="87"/>
      <c r="AQ1481" s="87"/>
      <c r="AR1481" s="87"/>
      <c r="AS1481" s="87"/>
      <c r="AT1481" s="87"/>
      <c r="AU1481" s="87"/>
      <c r="AV1481" s="87"/>
      <c r="AW1481" s="87"/>
      <c r="AX1481" s="87"/>
      <c r="AY1481" s="87"/>
      <c r="AZ1481" s="87"/>
      <c r="BA1481" s="87"/>
      <c r="BB1481" s="87"/>
      <c r="BC1481" s="87"/>
      <c r="BD1481" s="87"/>
      <c r="BE1481" s="87"/>
      <c r="BF1481" s="87"/>
      <c r="BG1481" s="87"/>
      <c r="BH1481" s="87"/>
      <c r="BI1481" s="87"/>
      <c r="BJ1481" s="87"/>
      <c r="BK1481" s="87"/>
      <c r="BL1481" s="87"/>
      <c r="BM1481" s="87"/>
      <c r="BN1481" s="87"/>
      <c r="BO1481" s="87"/>
      <c r="BP1481" s="87"/>
      <c r="BQ1481" s="87"/>
      <c r="BR1481" s="87"/>
      <c r="BS1481" s="87"/>
      <c r="BT1481" s="87"/>
      <c r="BU1481" s="87"/>
      <c r="BV1481" s="87"/>
      <c r="BW1481" s="87"/>
      <c r="BX1481" s="87"/>
      <c r="BY1481" s="87"/>
    </row>
    <row r="1482" spans="21:77" x14ac:dyDescent="0.3">
      <c r="U1482" s="19"/>
      <c r="V1482" s="87"/>
      <c r="W1482" s="87"/>
      <c r="X1482" s="87"/>
      <c r="Y1482" s="87"/>
      <c r="Z1482" s="87"/>
      <c r="AA1482" s="87"/>
      <c r="AB1482" s="87"/>
      <c r="AC1482" s="87"/>
      <c r="AD1482" s="87"/>
      <c r="AE1482" s="87"/>
      <c r="AF1482" s="87"/>
      <c r="AG1482" s="87"/>
      <c r="AH1482" s="87"/>
      <c r="AI1482" s="87"/>
      <c r="AJ1482" s="87"/>
      <c r="AK1482" s="87"/>
      <c r="AL1482" s="87"/>
      <c r="AM1482" s="87"/>
      <c r="AN1482" s="87"/>
      <c r="AO1482" s="87"/>
      <c r="AP1482" s="87"/>
      <c r="AQ1482" s="87"/>
      <c r="AR1482" s="87"/>
      <c r="AS1482" s="87"/>
      <c r="AT1482" s="87"/>
      <c r="AU1482" s="87"/>
      <c r="AV1482" s="87"/>
      <c r="AW1482" s="87"/>
      <c r="AX1482" s="87"/>
      <c r="AY1482" s="87"/>
      <c r="AZ1482" s="87"/>
      <c r="BA1482" s="87"/>
      <c r="BB1482" s="87"/>
      <c r="BC1482" s="87"/>
      <c r="BD1482" s="87"/>
      <c r="BE1482" s="87"/>
      <c r="BF1482" s="87"/>
      <c r="BG1482" s="87"/>
      <c r="BH1482" s="87"/>
      <c r="BI1482" s="87"/>
      <c r="BJ1482" s="87"/>
      <c r="BK1482" s="87"/>
      <c r="BL1482" s="87"/>
      <c r="BM1482" s="87"/>
      <c r="BN1482" s="87"/>
      <c r="BO1482" s="87"/>
      <c r="BP1482" s="87"/>
      <c r="BQ1482" s="87"/>
      <c r="BR1482" s="87"/>
      <c r="BS1482" s="87"/>
      <c r="BT1482" s="87"/>
      <c r="BU1482" s="87"/>
      <c r="BV1482" s="87"/>
      <c r="BW1482" s="87"/>
      <c r="BX1482" s="87"/>
      <c r="BY1482" s="87"/>
    </row>
    <row r="1483" spans="21:77" x14ac:dyDescent="0.3">
      <c r="U1483" s="19"/>
      <c r="V1483" s="87"/>
      <c r="W1483" s="87"/>
      <c r="X1483" s="87"/>
      <c r="Y1483" s="87"/>
      <c r="Z1483" s="87"/>
      <c r="AA1483" s="87"/>
      <c r="AB1483" s="87"/>
      <c r="AC1483" s="87"/>
      <c r="AD1483" s="87"/>
      <c r="AE1483" s="87"/>
      <c r="AF1483" s="87"/>
      <c r="AG1483" s="87"/>
      <c r="AH1483" s="87"/>
      <c r="AI1483" s="87"/>
      <c r="AJ1483" s="87"/>
      <c r="AK1483" s="87"/>
      <c r="AL1483" s="87"/>
      <c r="AM1483" s="87"/>
      <c r="AN1483" s="87"/>
      <c r="AO1483" s="87"/>
      <c r="AP1483" s="87"/>
      <c r="AQ1483" s="87"/>
      <c r="AR1483" s="87"/>
      <c r="AS1483" s="87"/>
      <c r="AT1483" s="87"/>
      <c r="AU1483" s="87"/>
      <c r="AV1483" s="87"/>
      <c r="AW1483" s="87"/>
      <c r="AX1483" s="87"/>
      <c r="AY1483" s="87"/>
      <c r="AZ1483" s="87"/>
      <c r="BA1483" s="87"/>
      <c r="BB1483" s="87"/>
      <c r="BC1483" s="87"/>
      <c r="BD1483" s="87"/>
      <c r="BE1483" s="87"/>
      <c r="BF1483" s="87"/>
      <c r="BG1483" s="87"/>
      <c r="BH1483" s="87"/>
      <c r="BI1483" s="87"/>
      <c r="BJ1483" s="87"/>
      <c r="BK1483" s="87"/>
      <c r="BL1483" s="87"/>
      <c r="BM1483" s="87"/>
      <c r="BN1483" s="87"/>
      <c r="BO1483" s="87"/>
      <c r="BP1483" s="87"/>
      <c r="BQ1483" s="87"/>
      <c r="BR1483" s="87"/>
      <c r="BS1483" s="87"/>
      <c r="BT1483" s="87"/>
      <c r="BU1483" s="87"/>
      <c r="BV1483" s="87"/>
      <c r="BW1483" s="87"/>
      <c r="BX1483" s="87"/>
      <c r="BY1483" s="87"/>
    </row>
    <row r="1484" spans="21:77" x14ac:dyDescent="0.3">
      <c r="U1484" s="19"/>
      <c r="V1484" s="87"/>
      <c r="W1484" s="87"/>
      <c r="X1484" s="87"/>
      <c r="Y1484" s="87"/>
      <c r="Z1484" s="87"/>
      <c r="AA1484" s="87"/>
      <c r="AB1484" s="87"/>
      <c r="AC1484" s="87"/>
      <c r="AD1484" s="87"/>
      <c r="AE1484" s="87"/>
      <c r="AF1484" s="87"/>
      <c r="AG1484" s="87"/>
      <c r="AH1484" s="87"/>
      <c r="AI1484" s="87"/>
      <c r="AJ1484" s="87"/>
      <c r="AK1484" s="87"/>
      <c r="AL1484" s="87"/>
      <c r="AM1484" s="87"/>
      <c r="AN1484" s="87"/>
      <c r="AO1484" s="87"/>
      <c r="AP1484" s="87"/>
      <c r="AQ1484" s="87"/>
      <c r="AR1484" s="87"/>
      <c r="AS1484" s="87"/>
      <c r="AT1484" s="87"/>
      <c r="AU1484" s="87"/>
      <c r="AV1484" s="87"/>
      <c r="AW1484" s="87"/>
      <c r="AX1484" s="87"/>
      <c r="AY1484" s="87"/>
      <c r="AZ1484" s="87"/>
      <c r="BA1484" s="87"/>
      <c r="BB1484" s="87"/>
      <c r="BC1484" s="87"/>
      <c r="BD1484" s="87"/>
      <c r="BE1484" s="87"/>
      <c r="BF1484" s="87"/>
      <c r="BG1484" s="87"/>
      <c r="BH1484" s="87"/>
      <c r="BI1484" s="87"/>
      <c r="BJ1484" s="87"/>
      <c r="BK1484" s="87"/>
      <c r="BL1484" s="87"/>
      <c r="BM1484" s="87"/>
      <c r="BN1484" s="87"/>
      <c r="BO1484" s="87"/>
      <c r="BP1484" s="87"/>
      <c r="BQ1484" s="87"/>
      <c r="BR1484" s="87"/>
      <c r="BS1484" s="87"/>
      <c r="BT1484" s="87"/>
      <c r="BU1484" s="87"/>
      <c r="BV1484" s="87"/>
      <c r="BW1484" s="87"/>
      <c r="BX1484" s="87"/>
      <c r="BY1484" s="87"/>
    </row>
    <row r="1485" spans="21:77" x14ac:dyDescent="0.3">
      <c r="U1485" s="19"/>
      <c r="V1485" s="87"/>
      <c r="W1485" s="87"/>
      <c r="X1485" s="87"/>
      <c r="Y1485" s="87"/>
      <c r="Z1485" s="87"/>
      <c r="AA1485" s="87"/>
      <c r="AB1485" s="87"/>
      <c r="AC1485" s="87"/>
      <c r="AD1485" s="87"/>
      <c r="AE1485" s="87"/>
      <c r="AF1485" s="87"/>
      <c r="AG1485" s="87"/>
      <c r="AH1485" s="87"/>
      <c r="AI1485" s="87"/>
      <c r="AJ1485" s="87"/>
      <c r="AK1485" s="87"/>
      <c r="AL1485" s="87"/>
      <c r="AM1485" s="87"/>
      <c r="AN1485" s="87"/>
      <c r="AO1485" s="87"/>
      <c r="AP1485" s="87"/>
      <c r="AQ1485" s="87"/>
      <c r="AR1485" s="87"/>
      <c r="AS1485" s="87"/>
      <c r="AT1485" s="87"/>
      <c r="AU1485" s="87"/>
      <c r="AV1485" s="87"/>
      <c r="AW1485" s="87"/>
      <c r="AX1485" s="87"/>
      <c r="AY1485" s="87"/>
      <c r="AZ1485" s="87"/>
      <c r="BA1485" s="87"/>
      <c r="BB1485" s="87"/>
      <c r="BC1485" s="87"/>
      <c r="BD1485" s="87"/>
      <c r="BE1485" s="87"/>
      <c r="BF1485" s="87"/>
      <c r="BG1485" s="87"/>
      <c r="BH1485" s="87"/>
      <c r="BI1485" s="87"/>
      <c r="BJ1485" s="87"/>
      <c r="BK1485" s="87"/>
      <c r="BL1485" s="87"/>
      <c r="BM1485" s="87"/>
      <c r="BN1485" s="87"/>
      <c r="BO1485" s="87"/>
      <c r="BP1485" s="87"/>
      <c r="BQ1485" s="87"/>
      <c r="BR1485" s="87"/>
      <c r="BS1485" s="87"/>
      <c r="BT1485" s="87"/>
      <c r="BU1485" s="87"/>
      <c r="BV1485" s="87"/>
      <c r="BW1485" s="87"/>
      <c r="BX1485" s="87"/>
      <c r="BY1485" s="87"/>
    </row>
    <row r="1486" spans="21:77" x14ac:dyDescent="0.3">
      <c r="U1486" s="19"/>
      <c r="V1486" s="87"/>
      <c r="W1486" s="87"/>
      <c r="X1486" s="87"/>
      <c r="Y1486" s="87"/>
      <c r="Z1486" s="87"/>
      <c r="AA1486" s="87"/>
      <c r="AB1486" s="87"/>
      <c r="AC1486" s="87"/>
      <c r="AD1486" s="87"/>
      <c r="AE1486" s="87"/>
      <c r="AF1486" s="87"/>
      <c r="AG1486" s="87"/>
      <c r="AH1486" s="87"/>
      <c r="AI1486" s="87"/>
      <c r="AJ1486" s="87"/>
      <c r="AK1486" s="87"/>
      <c r="AL1486" s="87"/>
      <c r="AM1486" s="87"/>
      <c r="AN1486" s="87"/>
      <c r="AO1486" s="87"/>
      <c r="AP1486" s="87"/>
      <c r="AQ1486" s="87"/>
      <c r="AR1486" s="87"/>
      <c r="AS1486" s="87"/>
      <c r="AT1486" s="87"/>
      <c r="AU1486" s="87"/>
      <c r="AV1486" s="87"/>
      <c r="AW1486" s="87"/>
      <c r="AX1486" s="87"/>
      <c r="AY1486" s="87"/>
      <c r="AZ1486" s="87"/>
      <c r="BA1486" s="87"/>
      <c r="BB1486" s="87"/>
      <c r="BC1486" s="87"/>
      <c r="BD1486" s="87"/>
      <c r="BE1486" s="87"/>
      <c r="BF1486" s="87"/>
      <c r="BG1486" s="87"/>
      <c r="BH1486" s="87"/>
      <c r="BI1486" s="87"/>
      <c r="BJ1486" s="87"/>
      <c r="BK1486" s="87"/>
      <c r="BL1486" s="87"/>
      <c r="BM1486" s="87"/>
      <c r="BN1486" s="87"/>
      <c r="BO1486" s="87"/>
      <c r="BP1486" s="87"/>
      <c r="BQ1486" s="87"/>
      <c r="BR1486" s="87"/>
      <c r="BS1486" s="87"/>
      <c r="BT1486" s="87"/>
      <c r="BU1486" s="87"/>
      <c r="BV1486" s="87"/>
      <c r="BW1486" s="87"/>
      <c r="BX1486" s="87"/>
      <c r="BY1486" s="87"/>
    </row>
    <row r="1487" spans="21:77" x14ac:dyDescent="0.3">
      <c r="U1487" s="19"/>
      <c r="V1487" s="87"/>
      <c r="W1487" s="87"/>
      <c r="X1487" s="87"/>
      <c r="Y1487" s="87"/>
      <c r="Z1487" s="87"/>
      <c r="AA1487" s="87"/>
      <c r="AB1487" s="87"/>
      <c r="AC1487" s="87"/>
      <c r="AD1487" s="87"/>
      <c r="AE1487" s="87"/>
      <c r="AF1487" s="87"/>
      <c r="AG1487" s="87"/>
      <c r="AH1487" s="87"/>
      <c r="AI1487" s="87"/>
      <c r="AJ1487" s="87"/>
      <c r="AK1487" s="87"/>
      <c r="AL1487" s="87"/>
      <c r="AM1487" s="87"/>
      <c r="AN1487" s="87"/>
      <c r="AO1487" s="87"/>
      <c r="AP1487" s="87"/>
      <c r="AQ1487" s="87"/>
      <c r="AR1487" s="87"/>
      <c r="AS1487" s="87"/>
      <c r="AT1487" s="87"/>
      <c r="AU1487" s="87"/>
      <c r="AV1487" s="87"/>
      <c r="AW1487" s="87"/>
      <c r="AX1487" s="87"/>
      <c r="AY1487" s="87"/>
      <c r="AZ1487" s="87"/>
      <c r="BA1487" s="87"/>
      <c r="BB1487" s="87"/>
      <c r="BC1487" s="87"/>
      <c r="BD1487" s="87"/>
      <c r="BE1487" s="87"/>
      <c r="BF1487" s="87"/>
      <c r="BG1487" s="87"/>
      <c r="BH1487" s="87"/>
      <c r="BI1487" s="87"/>
      <c r="BJ1487" s="87"/>
      <c r="BK1487" s="87"/>
      <c r="BL1487" s="87"/>
      <c r="BM1487" s="87"/>
      <c r="BN1487" s="87"/>
      <c r="BO1487" s="87"/>
      <c r="BP1487" s="87"/>
      <c r="BQ1487" s="87"/>
      <c r="BR1487" s="87"/>
      <c r="BS1487" s="87"/>
      <c r="BT1487" s="87"/>
      <c r="BU1487" s="87"/>
      <c r="BV1487" s="87"/>
      <c r="BW1487" s="87"/>
      <c r="BX1487" s="87"/>
      <c r="BY1487" s="87"/>
    </row>
    <row r="1488" spans="21:77" x14ac:dyDescent="0.3">
      <c r="U1488" s="19"/>
      <c r="V1488" s="87"/>
      <c r="W1488" s="87"/>
      <c r="X1488" s="87"/>
      <c r="Y1488" s="87"/>
      <c r="Z1488" s="87"/>
      <c r="AA1488" s="87"/>
      <c r="AB1488" s="87"/>
      <c r="AC1488" s="87"/>
      <c r="AD1488" s="87"/>
      <c r="AE1488" s="87"/>
      <c r="AF1488" s="87"/>
      <c r="AG1488" s="87"/>
      <c r="AH1488" s="87"/>
      <c r="AI1488" s="87"/>
      <c r="AJ1488" s="87"/>
      <c r="AK1488" s="87"/>
      <c r="AL1488" s="87"/>
      <c r="AM1488" s="87"/>
      <c r="AN1488" s="87"/>
      <c r="AO1488" s="87"/>
      <c r="AP1488" s="87"/>
      <c r="AQ1488" s="87"/>
      <c r="AR1488" s="87"/>
      <c r="AS1488" s="87"/>
      <c r="AT1488" s="87"/>
      <c r="AU1488" s="87"/>
      <c r="AV1488" s="87"/>
      <c r="AW1488" s="87"/>
      <c r="AX1488" s="87"/>
      <c r="AY1488" s="87"/>
      <c r="AZ1488" s="87"/>
      <c r="BA1488" s="87"/>
      <c r="BB1488" s="87"/>
      <c r="BC1488" s="87"/>
      <c r="BD1488" s="87"/>
      <c r="BE1488" s="87"/>
      <c r="BF1488" s="87"/>
      <c r="BG1488" s="87"/>
      <c r="BH1488" s="87"/>
      <c r="BI1488" s="87"/>
      <c r="BJ1488" s="87"/>
      <c r="BK1488" s="87"/>
      <c r="BL1488" s="87"/>
      <c r="BM1488" s="87"/>
      <c r="BN1488" s="87"/>
      <c r="BO1488" s="87"/>
      <c r="BP1488" s="87"/>
      <c r="BQ1488" s="87"/>
      <c r="BR1488" s="87"/>
      <c r="BS1488" s="87"/>
      <c r="BT1488" s="87"/>
      <c r="BU1488" s="87"/>
      <c r="BV1488" s="87"/>
      <c r="BW1488" s="87"/>
      <c r="BX1488" s="87"/>
      <c r="BY1488" s="87"/>
    </row>
    <row r="1489" spans="21:77" x14ac:dyDescent="0.3">
      <c r="U1489" s="19"/>
      <c r="V1489" s="87"/>
      <c r="W1489" s="87"/>
      <c r="X1489" s="87"/>
      <c r="Y1489" s="87"/>
      <c r="Z1489" s="87"/>
      <c r="AA1489" s="87"/>
      <c r="AB1489" s="87"/>
      <c r="AC1489" s="87"/>
      <c r="AD1489" s="87"/>
      <c r="AE1489" s="87"/>
      <c r="AF1489" s="87"/>
      <c r="AG1489" s="87"/>
      <c r="AH1489" s="87"/>
      <c r="AI1489" s="87"/>
      <c r="AJ1489" s="87"/>
      <c r="AK1489" s="87"/>
      <c r="AL1489" s="87"/>
      <c r="AM1489" s="87"/>
      <c r="AN1489" s="87"/>
      <c r="AO1489" s="87"/>
      <c r="AP1489" s="87"/>
      <c r="AQ1489" s="87"/>
      <c r="AR1489" s="87"/>
      <c r="AS1489" s="87"/>
      <c r="AT1489" s="87"/>
      <c r="AU1489" s="87"/>
      <c r="AV1489" s="87"/>
      <c r="AW1489" s="87"/>
      <c r="AX1489" s="87"/>
      <c r="AY1489" s="87"/>
      <c r="AZ1489" s="87"/>
      <c r="BA1489" s="87"/>
      <c r="BB1489" s="87"/>
      <c r="BC1489" s="87"/>
      <c r="BD1489" s="87"/>
      <c r="BE1489" s="87"/>
      <c r="BF1489" s="87"/>
      <c r="BG1489" s="87"/>
      <c r="BH1489" s="87"/>
      <c r="BI1489" s="87"/>
      <c r="BJ1489" s="87"/>
      <c r="BK1489" s="87"/>
      <c r="BL1489" s="87"/>
      <c r="BM1489" s="87"/>
      <c r="BN1489" s="87"/>
      <c r="BO1489" s="87"/>
      <c r="BP1489" s="87"/>
      <c r="BQ1489" s="87"/>
      <c r="BR1489" s="87"/>
      <c r="BS1489" s="87"/>
      <c r="BT1489" s="87"/>
      <c r="BU1489" s="87"/>
      <c r="BV1489" s="87"/>
      <c r="BW1489" s="87"/>
      <c r="BX1489" s="87"/>
      <c r="BY1489" s="87"/>
    </row>
    <row r="1490" spans="21:77" x14ac:dyDescent="0.3">
      <c r="U1490" s="19"/>
      <c r="V1490" s="87"/>
      <c r="W1490" s="87"/>
      <c r="X1490" s="87"/>
      <c r="Y1490" s="87"/>
      <c r="Z1490" s="87"/>
      <c r="AA1490" s="87"/>
      <c r="AB1490" s="87"/>
      <c r="AC1490" s="87"/>
      <c r="AD1490" s="87"/>
      <c r="AE1490" s="87"/>
      <c r="AF1490" s="87"/>
      <c r="AG1490" s="87"/>
      <c r="AH1490" s="87"/>
      <c r="AI1490" s="87"/>
      <c r="AJ1490" s="87"/>
      <c r="AK1490" s="87"/>
      <c r="AL1490" s="87"/>
      <c r="AM1490" s="87"/>
      <c r="AN1490" s="87"/>
      <c r="AO1490" s="87"/>
      <c r="AP1490" s="87"/>
      <c r="AQ1490" s="87"/>
      <c r="AR1490" s="87"/>
      <c r="AS1490" s="87"/>
      <c r="AT1490" s="87"/>
      <c r="AU1490" s="87"/>
      <c r="AV1490" s="87"/>
      <c r="AW1490" s="87"/>
      <c r="AX1490" s="87"/>
      <c r="AY1490" s="87"/>
      <c r="AZ1490" s="87"/>
      <c r="BA1490" s="87"/>
      <c r="BB1490" s="87"/>
      <c r="BC1490" s="87"/>
      <c r="BD1490" s="87"/>
      <c r="BE1490" s="87"/>
      <c r="BF1490" s="87"/>
      <c r="BG1490" s="87"/>
      <c r="BH1490" s="87"/>
      <c r="BI1490" s="87"/>
      <c r="BJ1490" s="87"/>
      <c r="BK1490" s="87"/>
      <c r="BL1490" s="87"/>
      <c r="BM1490" s="87"/>
      <c r="BN1490" s="87"/>
      <c r="BO1490" s="87"/>
      <c r="BP1490" s="87"/>
      <c r="BQ1490" s="87"/>
      <c r="BR1490" s="87"/>
      <c r="BS1490" s="87"/>
      <c r="BT1490" s="87"/>
      <c r="BU1490" s="87"/>
      <c r="BV1490" s="87"/>
      <c r="BW1490" s="87"/>
      <c r="BX1490" s="87"/>
      <c r="BY1490" s="87"/>
    </row>
    <row r="1491" spans="21:77" x14ac:dyDescent="0.3">
      <c r="U1491" s="19"/>
      <c r="V1491" s="87"/>
      <c r="W1491" s="87"/>
      <c r="X1491" s="87"/>
      <c r="Y1491" s="87"/>
      <c r="Z1491" s="87"/>
      <c r="AA1491" s="87"/>
      <c r="AB1491" s="87"/>
      <c r="AC1491" s="87"/>
      <c r="AD1491" s="87"/>
      <c r="AE1491" s="87"/>
      <c r="AF1491" s="87"/>
      <c r="AG1491" s="87"/>
      <c r="AH1491" s="87"/>
      <c r="AI1491" s="87"/>
      <c r="AJ1491" s="87"/>
      <c r="AK1491" s="87"/>
      <c r="AL1491" s="87"/>
      <c r="AM1491" s="87"/>
      <c r="AN1491" s="87"/>
      <c r="AO1491" s="87"/>
      <c r="AP1491" s="87"/>
      <c r="AQ1491" s="87"/>
      <c r="AR1491" s="87"/>
      <c r="AS1491" s="87"/>
      <c r="AT1491" s="87"/>
      <c r="AU1491" s="87"/>
      <c r="AV1491" s="87"/>
      <c r="AW1491" s="87"/>
      <c r="AX1491" s="87"/>
      <c r="AY1491" s="87"/>
      <c r="AZ1491" s="87"/>
      <c r="BA1491" s="87"/>
      <c r="BB1491" s="87"/>
      <c r="BC1491" s="87"/>
      <c r="BD1491" s="87"/>
      <c r="BE1491" s="87"/>
      <c r="BF1491" s="87"/>
      <c r="BG1491" s="87"/>
      <c r="BH1491" s="87"/>
      <c r="BI1491" s="87"/>
      <c r="BJ1491" s="87"/>
      <c r="BK1491" s="87"/>
      <c r="BL1491" s="87"/>
      <c r="BM1491" s="87"/>
      <c r="BN1491" s="87"/>
      <c r="BO1491" s="87"/>
      <c r="BP1491" s="87"/>
      <c r="BQ1491" s="87"/>
      <c r="BR1491" s="87"/>
      <c r="BS1491" s="87"/>
      <c r="BT1491" s="87"/>
      <c r="BU1491" s="87"/>
      <c r="BV1491" s="87"/>
      <c r="BW1491" s="87"/>
      <c r="BX1491" s="87"/>
      <c r="BY1491" s="87"/>
    </row>
    <row r="1492" spans="21:77" x14ac:dyDescent="0.3">
      <c r="U1492" s="19"/>
      <c r="V1492" s="87"/>
      <c r="W1492" s="87"/>
      <c r="X1492" s="87"/>
      <c r="Y1492" s="87"/>
      <c r="Z1492" s="87"/>
      <c r="AA1492" s="87"/>
      <c r="AB1492" s="87"/>
      <c r="AC1492" s="87"/>
      <c r="AD1492" s="87"/>
      <c r="AE1492" s="87"/>
      <c r="AF1492" s="87"/>
      <c r="AG1492" s="87"/>
      <c r="AH1492" s="87"/>
      <c r="AI1492" s="87"/>
      <c r="AJ1492" s="87"/>
      <c r="AK1492" s="87"/>
      <c r="AL1492" s="87"/>
      <c r="AM1492" s="87"/>
      <c r="AN1492" s="87"/>
      <c r="AO1492" s="87"/>
      <c r="AP1492" s="87"/>
      <c r="AQ1492" s="87"/>
      <c r="AR1492" s="87"/>
      <c r="AS1492" s="87"/>
      <c r="AT1492" s="87"/>
      <c r="AU1492" s="87"/>
      <c r="AV1492" s="87"/>
      <c r="AW1492" s="87"/>
      <c r="AX1492" s="87"/>
      <c r="AY1492" s="87"/>
      <c r="AZ1492" s="87"/>
      <c r="BA1492" s="87"/>
      <c r="BB1492" s="87"/>
      <c r="BC1492" s="87"/>
      <c r="BD1492" s="87"/>
      <c r="BE1492" s="87"/>
      <c r="BF1492" s="87"/>
      <c r="BG1492" s="87"/>
      <c r="BH1492" s="87"/>
      <c r="BI1492" s="87"/>
      <c r="BJ1492" s="87"/>
      <c r="BK1492" s="87"/>
      <c r="BL1492" s="87"/>
      <c r="BM1492" s="87"/>
      <c r="BN1492" s="87"/>
      <c r="BO1492" s="87"/>
      <c r="BP1492" s="87"/>
      <c r="BQ1492" s="87"/>
      <c r="BR1492" s="87"/>
      <c r="BS1492" s="87"/>
      <c r="BT1492" s="87"/>
      <c r="BU1492" s="87"/>
      <c r="BV1492" s="87"/>
      <c r="BW1492" s="87"/>
      <c r="BX1492" s="87"/>
      <c r="BY1492" s="87"/>
    </row>
    <row r="1493" spans="21:77" x14ac:dyDescent="0.3">
      <c r="U1493" s="19"/>
      <c r="V1493" s="87"/>
      <c r="W1493" s="87"/>
      <c r="X1493" s="87"/>
      <c r="Y1493" s="87"/>
      <c r="Z1493" s="87"/>
      <c r="AA1493" s="87"/>
      <c r="AB1493" s="87"/>
      <c r="AC1493" s="87"/>
      <c r="AD1493" s="87"/>
      <c r="AE1493" s="87"/>
      <c r="AF1493" s="87"/>
      <c r="AG1493" s="87"/>
      <c r="AH1493" s="87"/>
      <c r="AI1493" s="87"/>
      <c r="AJ1493" s="87"/>
      <c r="AK1493" s="87"/>
      <c r="AL1493" s="87"/>
      <c r="AM1493" s="87"/>
      <c r="AN1493" s="87"/>
      <c r="AO1493" s="87"/>
      <c r="AP1493" s="87"/>
      <c r="AQ1493" s="87"/>
      <c r="AR1493" s="87"/>
      <c r="AS1493" s="87"/>
      <c r="AT1493" s="87"/>
      <c r="AU1493" s="87"/>
      <c r="AV1493" s="87"/>
      <c r="AW1493" s="87"/>
      <c r="AX1493" s="87"/>
      <c r="AY1493" s="87"/>
      <c r="AZ1493" s="87"/>
      <c r="BA1493" s="87"/>
      <c r="BB1493" s="87"/>
      <c r="BC1493" s="87"/>
      <c r="BD1493" s="87"/>
      <c r="BE1493" s="87"/>
      <c r="BF1493" s="87"/>
      <c r="BG1493" s="87"/>
      <c r="BH1493" s="87"/>
      <c r="BI1493" s="87"/>
      <c r="BJ1493" s="87"/>
      <c r="BK1493" s="87"/>
      <c r="BL1493" s="87"/>
      <c r="BM1493" s="87"/>
      <c r="BN1493" s="87"/>
      <c r="BO1493" s="87"/>
      <c r="BP1493" s="87"/>
      <c r="BQ1493" s="87"/>
      <c r="BR1493" s="87"/>
      <c r="BS1493" s="87"/>
      <c r="BT1493" s="87"/>
      <c r="BU1493" s="87"/>
      <c r="BV1493" s="87"/>
      <c r="BW1493" s="87"/>
      <c r="BX1493" s="87"/>
      <c r="BY1493" s="87"/>
    </row>
    <row r="1494" spans="21:77" x14ac:dyDescent="0.3">
      <c r="U1494" s="19"/>
      <c r="V1494" s="87"/>
      <c r="W1494" s="87"/>
      <c r="X1494" s="87"/>
      <c r="Y1494" s="87"/>
      <c r="Z1494" s="87"/>
      <c r="AA1494" s="87"/>
      <c r="AB1494" s="87"/>
      <c r="AC1494" s="87"/>
      <c r="AD1494" s="87"/>
      <c r="AE1494" s="87"/>
      <c r="AF1494" s="87"/>
      <c r="AG1494" s="87"/>
      <c r="AH1494" s="87"/>
      <c r="AI1494" s="87"/>
      <c r="AJ1494" s="87"/>
      <c r="AK1494" s="87"/>
      <c r="AL1494" s="87"/>
      <c r="AM1494" s="87"/>
      <c r="AN1494" s="87"/>
      <c r="AO1494" s="87"/>
      <c r="AP1494" s="87"/>
      <c r="AQ1494" s="87"/>
      <c r="AR1494" s="87"/>
      <c r="AS1494" s="87"/>
      <c r="AT1494" s="87"/>
      <c r="AU1494" s="87"/>
      <c r="AV1494" s="87"/>
      <c r="AW1494" s="87"/>
      <c r="AX1494" s="87"/>
      <c r="AY1494" s="87"/>
      <c r="AZ1494" s="87"/>
      <c r="BA1494" s="87"/>
      <c r="BB1494" s="87"/>
      <c r="BC1494" s="87"/>
      <c r="BD1494" s="87"/>
      <c r="BE1494" s="87"/>
      <c r="BF1494" s="87"/>
      <c r="BG1494" s="87"/>
      <c r="BH1494" s="87"/>
      <c r="BI1494" s="87"/>
      <c r="BJ1494" s="87"/>
      <c r="BK1494" s="87"/>
      <c r="BL1494" s="87"/>
      <c r="BM1494" s="87"/>
      <c r="BN1494" s="87"/>
      <c r="BO1494" s="87"/>
      <c r="BP1494" s="87"/>
      <c r="BQ1494" s="87"/>
      <c r="BR1494" s="87"/>
      <c r="BS1494" s="87"/>
      <c r="BT1494" s="87"/>
      <c r="BU1494" s="87"/>
      <c r="BV1494" s="87"/>
      <c r="BW1494" s="87"/>
      <c r="BX1494" s="87"/>
      <c r="BY1494" s="87"/>
    </row>
    <row r="1495" spans="21:77" x14ac:dyDescent="0.3">
      <c r="U1495" s="19"/>
      <c r="V1495" s="87"/>
      <c r="W1495" s="87"/>
      <c r="X1495" s="87"/>
      <c r="Y1495" s="87"/>
      <c r="Z1495" s="87"/>
      <c r="AA1495" s="87"/>
      <c r="AB1495" s="87"/>
      <c r="AC1495" s="87"/>
      <c r="AD1495" s="87"/>
      <c r="AE1495" s="87"/>
      <c r="AF1495" s="87"/>
      <c r="AG1495" s="87"/>
      <c r="AH1495" s="87"/>
      <c r="AI1495" s="87"/>
      <c r="AJ1495" s="87"/>
      <c r="AK1495" s="87"/>
      <c r="AL1495" s="87"/>
      <c r="AM1495" s="87"/>
      <c r="AN1495" s="87"/>
      <c r="AO1495" s="87"/>
      <c r="AP1495" s="87"/>
      <c r="AQ1495" s="87"/>
      <c r="AR1495" s="87"/>
      <c r="AS1495" s="87"/>
      <c r="AT1495" s="87"/>
      <c r="AU1495" s="87"/>
      <c r="AV1495" s="87"/>
      <c r="AW1495" s="87"/>
      <c r="AX1495" s="87"/>
      <c r="AY1495" s="87"/>
      <c r="AZ1495" s="87"/>
      <c r="BA1495" s="87"/>
      <c r="BB1495" s="87"/>
      <c r="BC1495" s="87"/>
      <c r="BD1495" s="87"/>
      <c r="BE1495" s="87"/>
      <c r="BF1495" s="87"/>
      <c r="BG1495" s="87"/>
      <c r="BH1495" s="87"/>
      <c r="BI1495" s="87"/>
      <c r="BJ1495" s="87"/>
      <c r="BK1495" s="87"/>
      <c r="BL1495" s="87"/>
      <c r="BM1495" s="87"/>
      <c r="BN1495" s="87"/>
      <c r="BO1495" s="87"/>
      <c r="BP1495" s="87"/>
      <c r="BQ1495" s="87"/>
      <c r="BR1495" s="87"/>
      <c r="BS1495" s="87"/>
      <c r="BT1495" s="87"/>
      <c r="BU1495" s="87"/>
      <c r="BV1495" s="87"/>
      <c r="BW1495" s="87"/>
      <c r="BX1495" s="87"/>
      <c r="BY1495" s="87"/>
    </row>
    <row r="1496" spans="21:77" x14ac:dyDescent="0.3">
      <c r="U1496" s="19"/>
      <c r="V1496" s="87"/>
      <c r="W1496" s="87"/>
      <c r="X1496" s="87"/>
      <c r="Y1496" s="87"/>
      <c r="Z1496" s="87"/>
      <c r="AA1496" s="87"/>
      <c r="AB1496" s="87"/>
      <c r="AC1496" s="87"/>
      <c r="AD1496" s="87"/>
      <c r="AE1496" s="87"/>
      <c r="AF1496" s="87"/>
      <c r="AG1496" s="87"/>
      <c r="AH1496" s="87"/>
      <c r="AI1496" s="87"/>
      <c r="AJ1496" s="87"/>
      <c r="AK1496" s="87"/>
      <c r="AL1496" s="87"/>
      <c r="AM1496" s="87"/>
      <c r="AN1496" s="87"/>
      <c r="AO1496" s="87"/>
      <c r="AP1496" s="87"/>
      <c r="AQ1496" s="87"/>
      <c r="AR1496" s="87"/>
      <c r="AS1496" s="87"/>
      <c r="AT1496" s="87"/>
      <c r="AU1496" s="87"/>
      <c r="AV1496" s="87"/>
      <c r="AW1496" s="87"/>
      <c r="AX1496" s="87"/>
      <c r="AY1496" s="87"/>
      <c r="AZ1496" s="87"/>
      <c r="BA1496" s="87"/>
      <c r="BB1496" s="87"/>
      <c r="BC1496" s="87"/>
      <c r="BD1496" s="87"/>
      <c r="BE1496" s="87"/>
      <c r="BF1496" s="87"/>
      <c r="BG1496" s="87"/>
      <c r="BH1496" s="87"/>
      <c r="BI1496" s="87"/>
      <c r="BJ1496" s="87"/>
      <c r="BK1496" s="87"/>
      <c r="BL1496" s="87"/>
      <c r="BM1496" s="87"/>
      <c r="BN1496" s="87"/>
      <c r="BO1496" s="87"/>
      <c r="BP1496" s="87"/>
      <c r="BQ1496" s="87"/>
      <c r="BR1496" s="87"/>
      <c r="BS1496" s="87"/>
      <c r="BT1496" s="87"/>
      <c r="BU1496" s="87"/>
      <c r="BV1496" s="87"/>
      <c r="BW1496" s="87"/>
      <c r="BX1496" s="87"/>
      <c r="BY1496" s="87"/>
    </row>
    <row r="1497" spans="21:77" x14ac:dyDescent="0.3">
      <c r="U1497" s="19"/>
      <c r="V1497" s="87"/>
      <c r="W1497" s="87"/>
      <c r="X1497" s="87"/>
      <c r="Y1497" s="87"/>
      <c r="Z1497" s="87"/>
      <c r="AA1497" s="87"/>
      <c r="AB1497" s="87"/>
      <c r="AC1497" s="87"/>
      <c r="AD1497" s="87"/>
      <c r="AE1497" s="87"/>
      <c r="AF1497" s="87"/>
      <c r="AG1497" s="87"/>
      <c r="AH1497" s="87"/>
      <c r="AI1497" s="87"/>
      <c r="AJ1497" s="87"/>
      <c r="AK1497" s="87"/>
      <c r="AL1497" s="87"/>
      <c r="AM1497" s="87"/>
      <c r="AN1497" s="87"/>
      <c r="AO1497" s="87"/>
      <c r="AP1497" s="87"/>
      <c r="AQ1497" s="87"/>
      <c r="AR1497" s="87"/>
      <c r="AS1497" s="87"/>
      <c r="AT1497" s="87"/>
      <c r="AU1497" s="87"/>
      <c r="AV1497" s="87"/>
      <c r="AW1497" s="87"/>
      <c r="AX1497" s="87"/>
      <c r="AY1497" s="87"/>
      <c r="AZ1497" s="87"/>
      <c r="BA1497" s="87"/>
      <c r="BB1497" s="87"/>
      <c r="BC1497" s="87"/>
      <c r="BD1497" s="87"/>
      <c r="BE1497" s="87"/>
      <c r="BF1497" s="87"/>
      <c r="BG1497" s="87"/>
      <c r="BH1497" s="87"/>
      <c r="BI1497" s="87"/>
      <c r="BJ1497" s="87"/>
      <c r="BK1497" s="87"/>
      <c r="BL1497" s="87"/>
      <c r="BM1497" s="87"/>
      <c r="BN1497" s="87"/>
      <c r="BO1497" s="87"/>
      <c r="BP1497" s="87"/>
      <c r="BQ1497" s="87"/>
      <c r="BR1497" s="87"/>
      <c r="BS1497" s="87"/>
      <c r="BT1497" s="87"/>
      <c r="BU1497" s="87"/>
      <c r="BV1497" s="87"/>
      <c r="BW1497" s="87"/>
      <c r="BX1497" s="87"/>
      <c r="BY1497" s="87"/>
    </row>
    <row r="1498" spans="21:77" x14ac:dyDescent="0.3">
      <c r="U1498" s="19"/>
      <c r="V1498" s="87"/>
      <c r="W1498" s="87"/>
      <c r="X1498" s="87"/>
      <c r="Y1498" s="87"/>
      <c r="Z1498" s="87"/>
      <c r="AA1498" s="87"/>
      <c r="AB1498" s="87"/>
      <c r="AC1498" s="87"/>
      <c r="AD1498" s="87"/>
      <c r="AE1498" s="87"/>
      <c r="AF1498" s="87"/>
      <c r="AG1498" s="87"/>
      <c r="AH1498" s="87"/>
      <c r="AI1498" s="87"/>
      <c r="AJ1498" s="87"/>
      <c r="AK1498" s="87"/>
      <c r="AL1498" s="87"/>
      <c r="AM1498" s="87"/>
      <c r="AN1498" s="87"/>
      <c r="AO1498" s="87"/>
      <c r="AP1498" s="87"/>
      <c r="AQ1498" s="87"/>
      <c r="AR1498" s="87"/>
      <c r="AS1498" s="87"/>
      <c r="AT1498" s="87"/>
      <c r="AU1498" s="87"/>
      <c r="AV1498" s="87"/>
      <c r="AW1498" s="87"/>
      <c r="AX1498" s="87"/>
      <c r="AY1498" s="87"/>
      <c r="AZ1498" s="87"/>
      <c r="BA1498" s="87"/>
      <c r="BB1498" s="87"/>
      <c r="BC1498" s="87"/>
      <c r="BD1498" s="87"/>
      <c r="BE1498" s="87"/>
      <c r="BF1498" s="87"/>
      <c r="BG1498" s="87"/>
      <c r="BH1498" s="87"/>
      <c r="BI1498" s="87"/>
      <c r="BJ1498" s="87"/>
      <c r="BK1498" s="87"/>
      <c r="BL1498" s="87"/>
      <c r="BM1498" s="87"/>
      <c r="BN1498" s="87"/>
      <c r="BO1498" s="87"/>
      <c r="BP1498" s="87"/>
      <c r="BQ1498" s="87"/>
      <c r="BR1498" s="87"/>
      <c r="BS1498" s="87"/>
      <c r="BT1498" s="87"/>
      <c r="BU1498" s="87"/>
      <c r="BV1498" s="87"/>
      <c r="BW1498" s="87"/>
      <c r="BX1498" s="87"/>
      <c r="BY1498" s="87"/>
    </row>
    <row r="1499" spans="21:77" x14ac:dyDescent="0.3">
      <c r="U1499" s="19"/>
      <c r="V1499" s="87"/>
      <c r="W1499" s="87"/>
      <c r="X1499" s="87"/>
      <c r="Y1499" s="87"/>
      <c r="Z1499" s="87"/>
      <c r="AA1499" s="87"/>
      <c r="AB1499" s="87"/>
      <c r="AC1499" s="87"/>
      <c r="AD1499" s="87"/>
      <c r="AE1499" s="87"/>
      <c r="AF1499" s="87"/>
      <c r="AG1499" s="87"/>
      <c r="AH1499" s="87"/>
      <c r="AI1499" s="87"/>
      <c r="AJ1499" s="87"/>
      <c r="AK1499" s="87"/>
      <c r="AL1499" s="87"/>
      <c r="AM1499" s="87"/>
      <c r="AN1499" s="87"/>
      <c r="AO1499" s="87"/>
      <c r="AP1499" s="87"/>
      <c r="AQ1499" s="87"/>
      <c r="AR1499" s="87"/>
      <c r="AS1499" s="87"/>
      <c r="AT1499" s="87"/>
      <c r="AU1499" s="87"/>
      <c r="AV1499" s="87"/>
      <c r="AW1499" s="87"/>
      <c r="AX1499" s="87"/>
      <c r="AY1499" s="87"/>
      <c r="AZ1499" s="87"/>
      <c r="BA1499" s="87"/>
      <c r="BB1499" s="87"/>
      <c r="BC1499" s="87"/>
      <c r="BD1499" s="87"/>
      <c r="BE1499" s="87"/>
      <c r="BF1499" s="87"/>
      <c r="BG1499" s="87"/>
      <c r="BH1499" s="87"/>
      <c r="BI1499" s="87"/>
      <c r="BJ1499" s="87"/>
      <c r="BK1499" s="87"/>
      <c r="BL1499" s="87"/>
      <c r="BM1499" s="87"/>
      <c r="BN1499" s="87"/>
      <c r="BO1499" s="87"/>
      <c r="BP1499" s="87"/>
      <c r="BQ1499" s="87"/>
      <c r="BR1499" s="87"/>
      <c r="BS1499" s="87"/>
      <c r="BT1499" s="87"/>
      <c r="BU1499" s="87"/>
      <c r="BV1499" s="87"/>
      <c r="BW1499" s="87"/>
      <c r="BX1499" s="87"/>
      <c r="BY1499" s="87"/>
    </row>
    <row r="1500" spans="21:77" x14ac:dyDescent="0.3">
      <c r="U1500" s="19"/>
      <c r="V1500" s="87"/>
      <c r="W1500" s="87"/>
      <c r="X1500" s="87"/>
      <c r="Y1500" s="87"/>
      <c r="Z1500" s="87"/>
      <c r="AA1500" s="87"/>
      <c r="AB1500" s="87"/>
      <c r="AC1500" s="87"/>
      <c r="AD1500" s="87"/>
      <c r="AE1500" s="87"/>
      <c r="AF1500" s="87"/>
      <c r="AG1500" s="87"/>
      <c r="AH1500" s="87"/>
      <c r="AI1500" s="87"/>
      <c r="AJ1500" s="87"/>
      <c r="AK1500" s="87"/>
      <c r="AL1500" s="87"/>
      <c r="AM1500" s="87"/>
      <c r="AN1500" s="87"/>
      <c r="AO1500" s="87"/>
      <c r="AP1500" s="87"/>
      <c r="AQ1500" s="87"/>
      <c r="AR1500" s="87"/>
      <c r="AS1500" s="87"/>
      <c r="AT1500" s="87"/>
      <c r="AU1500" s="87"/>
      <c r="AV1500" s="87"/>
      <c r="AW1500" s="87"/>
      <c r="AX1500" s="87"/>
      <c r="AY1500" s="87"/>
      <c r="AZ1500" s="87"/>
      <c r="BA1500" s="87"/>
      <c r="BB1500" s="87"/>
      <c r="BC1500" s="87"/>
      <c r="BD1500" s="87"/>
      <c r="BE1500" s="87"/>
      <c r="BF1500" s="87"/>
      <c r="BG1500" s="87"/>
      <c r="BH1500" s="87"/>
      <c r="BI1500" s="87"/>
      <c r="BJ1500" s="87"/>
      <c r="BK1500" s="87"/>
      <c r="BL1500" s="87"/>
      <c r="BM1500" s="87"/>
      <c r="BN1500" s="87"/>
      <c r="BO1500" s="87"/>
      <c r="BP1500" s="87"/>
      <c r="BQ1500" s="87"/>
      <c r="BR1500" s="87"/>
      <c r="BS1500" s="87"/>
      <c r="BT1500" s="87"/>
      <c r="BU1500" s="87"/>
      <c r="BV1500" s="87"/>
      <c r="BW1500" s="87"/>
      <c r="BX1500" s="87"/>
      <c r="BY1500" s="87"/>
    </row>
    <row r="1501" spans="21:77" x14ac:dyDescent="0.3">
      <c r="U1501" s="19"/>
      <c r="V1501" s="87"/>
      <c r="W1501" s="87"/>
      <c r="X1501" s="87"/>
      <c r="Y1501" s="87"/>
      <c r="Z1501" s="87"/>
      <c r="AA1501" s="87"/>
      <c r="AB1501" s="87"/>
      <c r="AC1501" s="87"/>
      <c r="AD1501" s="87"/>
      <c r="AE1501" s="87"/>
      <c r="AF1501" s="87"/>
      <c r="AG1501" s="87"/>
      <c r="AH1501" s="87"/>
      <c r="AI1501" s="87"/>
      <c r="AJ1501" s="87"/>
      <c r="AK1501" s="87"/>
      <c r="AL1501" s="87"/>
      <c r="AM1501" s="87"/>
      <c r="AN1501" s="87"/>
      <c r="AO1501" s="87"/>
      <c r="AP1501" s="87"/>
      <c r="AQ1501" s="87"/>
      <c r="AR1501" s="87"/>
      <c r="AS1501" s="87"/>
      <c r="AT1501" s="87"/>
      <c r="AU1501" s="87"/>
      <c r="AV1501" s="87"/>
      <c r="AW1501" s="87"/>
      <c r="AX1501" s="87"/>
      <c r="AY1501" s="87"/>
      <c r="AZ1501" s="87"/>
      <c r="BA1501" s="87"/>
      <c r="BB1501" s="87"/>
      <c r="BC1501" s="87"/>
      <c r="BD1501" s="87"/>
      <c r="BE1501" s="87"/>
      <c r="BF1501" s="87"/>
      <c r="BG1501" s="87"/>
      <c r="BH1501" s="87"/>
      <c r="BI1501" s="87"/>
      <c r="BJ1501" s="87"/>
      <c r="BK1501" s="87"/>
      <c r="BL1501" s="87"/>
      <c r="BM1501" s="87"/>
      <c r="BN1501" s="87"/>
      <c r="BO1501" s="87"/>
      <c r="BP1501" s="87"/>
      <c r="BQ1501" s="87"/>
      <c r="BR1501" s="87"/>
      <c r="BS1501" s="87"/>
      <c r="BT1501" s="87"/>
      <c r="BU1501" s="87"/>
      <c r="BV1501" s="87"/>
      <c r="BW1501" s="87"/>
      <c r="BX1501" s="87"/>
      <c r="BY1501" s="87"/>
    </row>
    <row r="1502" spans="21:77" x14ac:dyDescent="0.3">
      <c r="U1502" s="19"/>
      <c r="V1502" s="87"/>
      <c r="W1502" s="87"/>
      <c r="X1502" s="87"/>
      <c r="Y1502" s="87"/>
      <c r="Z1502" s="87"/>
      <c r="AA1502" s="87"/>
      <c r="AB1502" s="87"/>
      <c r="AC1502" s="87"/>
      <c r="AD1502" s="87"/>
      <c r="AE1502" s="87"/>
      <c r="AF1502" s="87"/>
      <c r="AG1502" s="87"/>
      <c r="AH1502" s="87"/>
      <c r="AI1502" s="87"/>
      <c r="AJ1502" s="87"/>
      <c r="AK1502" s="87"/>
      <c r="AL1502" s="87"/>
      <c r="AM1502" s="87"/>
      <c r="AN1502" s="87"/>
      <c r="AO1502" s="87"/>
      <c r="AP1502" s="87"/>
      <c r="AQ1502" s="87"/>
      <c r="AR1502" s="87"/>
      <c r="AS1502" s="87"/>
      <c r="AT1502" s="87"/>
      <c r="AU1502" s="87"/>
      <c r="AV1502" s="87"/>
      <c r="AW1502" s="87"/>
      <c r="AX1502" s="87"/>
      <c r="AY1502" s="87"/>
      <c r="AZ1502" s="87"/>
      <c r="BA1502" s="87"/>
      <c r="BB1502" s="87"/>
      <c r="BC1502" s="87"/>
      <c r="BD1502" s="87"/>
      <c r="BE1502" s="87"/>
      <c r="BF1502" s="87"/>
      <c r="BG1502" s="87"/>
      <c r="BH1502" s="87"/>
      <c r="BI1502" s="87"/>
      <c r="BJ1502" s="87"/>
      <c r="BK1502" s="87"/>
      <c r="BL1502" s="87"/>
      <c r="BM1502" s="87"/>
      <c r="BN1502" s="87"/>
      <c r="BO1502" s="87"/>
      <c r="BP1502" s="87"/>
      <c r="BQ1502" s="87"/>
      <c r="BR1502" s="87"/>
      <c r="BS1502" s="87"/>
      <c r="BT1502" s="87"/>
      <c r="BU1502" s="87"/>
      <c r="BV1502" s="87"/>
      <c r="BW1502" s="87"/>
      <c r="BX1502" s="87"/>
      <c r="BY1502" s="87"/>
    </row>
    <row r="1503" spans="21:77" x14ac:dyDescent="0.3">
      <c r="U1503" s="19"/>
      <c r="V1503" s="87"/>
      <c r="W1503" s="87"/>
      <c r="X1503" s="87"/>
      <c r="Y1503" s="87"/>
      <c r="Z1503" s="87"/>
      <c r="AA1503" s="87"/>
      <c r="AB1503" s="87"/>
      <c r="AC1503" s="87"/>
      <c r="AD1503" s="87"/>
      <c r="AE1503" s="87"/>
      <c r="AF1503" s="87"/>
      <c r="AG1503" s="87"/>
      <c r="AH1503" s="87"/>
      <c r="AI1503" s="87"/>
      <c r="AJ1503" s="87"/>
      <c r="AK1503" s="87"/>
      <c r="AL1503" s="87"/>
      <c r="AM1503" s="87"/>
      <c r="AN1503" s="87"/>
      <c r="AO1503" s="87"/>
      <c r="AP1503" s="87"/>
      <c r="AQ1503" s="87"/>
      <c r="AR1503" s="87"/>
      <c r="AS1503" s="87"/>
      <c r="AT1503" s="87"/>
      <c r="AU1503" s="87"/>
      <c r="AV1503" s="87"/>
      <c r="AW1503" s="87"/>
      <c r="AX1503" s="87"/>
      <c r="AY1503" s="87"/>
      <c r="AZ1503" s="87"/>
      <c r="BA1503" s="87"/>
      <c r="BB1503" s="87"/>
      <c r="BC1503" s="87"/>
      <c r="BD1503" s="87"/>
      <c r="BE1503" s="87"/>
      <c r="BF1503" s="87"/>
      <c r="BG1503" s="87"/>
      <c r="BH1503" s="87"/>
      <c r="BI1503" s="87"/>
      <c r="BJ1503" s="87"/>
      <c r="BK1503" s="87"/>
      <c r="BL1503" s="87"/>
      <c r="BM1503" s="87"/>
      <c r="BN1503" s="87"/>
      <c r="BO1503" s="87"/>
      <c r="BP1503" s="87"/>
      <c r="BQ1503" s="87"/>
      <c r="BR1503" s="87"/>
      <c r="BS1503" s="87"/>
      <c r="BT1503" s="87"/>
      <c r="BU1503" s="87"/>
      <c r="BV1503" s="87"/>
      <c r="BW1503" s="87"/>
      <c r="BX1503" s="87"/>
      <c r="BY1503" s="87"/>
    </row>
    <row r="1504" spans="21:77" x14ac:dyDescent="0.3">
      <c r="U1504" s="19"/>
      <c r="V1504" s="87"/>
      <c r="W1504" s="87"/>
      <c r="X1504" s="87"/>
      <c r="Y1504" s="87"/>
      <c r="Z1504" s="87"/>
      <c r="AA1504" s="87"/>
      <c r="AB1504" s="87"/>
      <c r="AC1504" s="87"/>
      <c r="AD1504" s="87"/>
      <c r="AE1504" s="87"/>
      <c r="AF1504" s="87"/>
      <c r="AG1504" s="87"/>
      <c r="AH1504" s="87"/>
      <c r="AI1504" s="87"/>
      <c r="AJ1504" s="87"/>
      <c r="AK1504" s="87"/>
      <c r="AL1504" s="87"/>
      <c r="AM1504" s="87"/>
      <c r="AN1504" s="87"/>
      <c r="AO1504" s="87"/>
      <c r="AP1504" s="87"/>
      <c r="AQ1504" s="87"/>
      <c r="AR1504" s="87"/>
      <c r="AS1504" s="87"/>
      <c r="AT1504" s="87"/>
      <c r="AU1504" s="87"/>
      <c r="AV1504" s="87"/>
      <c r="AW1504" s="87"/>
      <c r="AX1504" s="87"/>
      <c r="AY1504" s="87"/>
      <c r="AZ1504" s="87"/>
      <c r="BA1504" s="87"/>
      <c r="BB1504" s="87"/>
      <c r="BC1504" s="87"/>
      <c r="BD1504" s="87"/>
      <c r="BE1504" s="87"/>
      <c r="BF1504" s="87"/>
      <c r="BG1504" s="87"/>
      <c r="BH1504" s="87"/>
      <c r="BI1504" s="87"/>
      <c r="BJ1504" s="87"/>
      <c r="BK1504" s="87"/>
      <c r="BL1504" s="87"/>
      <c r="BM1504" s="87"/>
      <c r="BN1504" s="87"/>
      <c r="BO1504" s="87"/>
      <c r="BP1504" s="87"/>
      <c r="BQ1504" s="87"/>
      <c r="BR1504" s="87"/>
      <c r="BS1504" s="87"/>
      <c r="BT1504" s="87"/>
      <c r="BU1504" s="87"/>
      <c r="BV1504" s="87"/>
      <c r="BW1504" s="87"/>
      <c r="BX1504" s="87"/>
      <c r="BY1504" s="87"/>
    </row>
    <row r="1505" spans="21:77" x14ac:dyDescent="0.3">
      <c r="U1505" s="19"/>
      <c r="V1505" s="87"/>
      <c r="W1505" s="87"/>
      <c r="X1505" s="87"/>
      <c r="Y1505" s="87"/>
      <c r="Z1505" s="87"/>
      <c r="AA1505" s="87"/>
      <c r="AB1505" s="87"/>
      <c r="AC1505" s="87"/>
      <c r="AD1505" s="87"/>
      <c r="AE1505" s="87"/>
      <c r="AF1505" s="87"/>
      <c r="AG1505" s="87"/>
      <c r="AH1505" s="87"/>
      <c r="AI1505" s="87"/>
      <c r="AJ1505" s="87"/>
      <c r="AK1505" s="87"/>
      <c r="AL1505" s="87"/>
      <c r="AM1505" s="87"/>
      <c r="AN1505" s="87"/>
      <c r="AO1505" s="87"/>
      <c r="AP1505" s="87"/>
      <c r="AQ1505" s="87"/>
      <c r="AR1505" s="87"/>
      <c r="AS1505" s="87"/>
      <c r="AT1505" s="87"/>
      <c r="AU1505" s="87"/>
      <c r="AV1505" s="87"/>
      <c r="AW1505" s="87"/>
      <c r="AX1505" s="87"/>
      <c r="AY1505" s="87"/>
      <c r="AZ1505" s="87"/>
      <c r="BA1505" s="87"/>
      <c r="BB1505" s="87"/>
      <c r="BC1505" s="87"/>
      <c r="BD1505" s="87"/>
      <c r="BE1505" s="87"/>
      <c r="BF1505" s="87"/>
      <c r="BG1505" s="87"/>
      <c r="BH1505" s="87"/>
      <c r="BI1505" s="87"/>
      <c r="BJ1505" s="87"/>
      <c r="BK1505" s="87"/>
      <c r="BL1505" s="87"/>
      <c r="BM1505" s="87"/>
      <c r="BN1505" s="87"/>
      <c r="BO1505" s="87"/>
      <c r="BP1505" s="87"/>
      <c r="BQ1505" s="87"/>
      <c r="BR1505" s="87"/>
      <c r="BS1505" s="87"/>
      <c r="BT1505" s="87"/>
      <c r="BU1505" s="87"/>
      <c r="BV1505" s="87"/>
      <c r="BW1505" s="87"/>
      <c r="BX1505" s="87"/>
      <c r="BY1505" s="87"/>
    </row>
    <row r="1506" spans="21:77" x14ac:dyDescent="0.3">
      <c r="U1506" s="19"/>
      <c r="V1506" s="87"/>
      <c r="W1506" s="87"/>
      <c r="X1506" s="87"/>
      <c r="Y1506" s="87"/>
      <c r="Z1506" s="87"/>
      <c r="AA1506" s="87"/>
      <c r="AB1506" s="87"/>
      <c r="AC1506" s="87"/>
      <c r="AD1506" s="87"/>
      <c r="AE1506" s="87"/>
      <c r="AF1506" s="87"/>
      <c r="AG1506" s="87"/>
      <c r="AH1506" s="87"/>
      <c r="AI1506" s="87"/>
      <c r="AJ1506" s="87"/>
      <c r="AK1506" s="87"/>
      <c r="AL1506" s="87"/>
      <c r="AM1506" s="87"/>
      <c r="AN1506" s="87"/>
      <c r="AO1506" s="87"/>
      <c r="AP1506" s="87"/>
      <c r="AQ1506" s="87"/>
      <c r="AR1506" s="87"/>
      <c r="AS1506" s="87"/>
      <c r="AT1506" s="87"/>
      <c r="AU1506" s="87"/>
      <c r="AV1506" s="87"/>
      <c r="AW1506" s="87"/>
      <c r="AX1506" s="87"/>
      <c r="AY1506" s="87"/>
      <c r="AZ1506" s="87"/>
      <c r="BA1506" s="87"/>
      <c r="BB1506" s="87"/>
      <c r="BC1506" s="87"/>
      <c r="BD1506" s="87"/>
      <c r="BE1506" s="87"/>
      <c r="BF1506" s="87"/>
      <c r="BG1506" s="87"/>
      <c r="BH1506" s="87"/>
      <c r="BI1506" s="87"/>
      <c r="BJ1506" s="87"/>
      <c r="BK1506" s="87"/>
      <c r="BL1506" s="87"/>
      <c r="BM1506" s="87"/>
      <c r="BN1506" s="87"/>
      <c r="BO1506" s="87"/>
      <c r="BP1506" s="87"/>
      <c r="BQ1506" s="87"/>
      <c r="BR1506" s="87"/>
      <c r="BS1506" s="87"/>
      <c r="BT1506" s="87"/>
      <c r="BU1506" s="87"/>
      <c r="BV1506" s="87"/>
      <c r="BW1506" s="87"/>
      <c r="BX1506" s="87"/>
      <c r="BY1506" s="87"/>
    </row>
    <row r="1507" spans="21:77" x14ac:dyDescent="0.3">
      <c r="U1507" s="19"/>
      <c r="V1507" s="87"/>
      <c r="W1507" s="87"/>
      <c r="X1507" s="87"/>
      <c r="Y1507" s="87"/>
      <c r="Z1507" s="87"/>
      <c r="AA1507" s="87"/>
      <c r="AB1507" s="87"/>
      <c r="AC1507" s="87"/>
      <c r="AD1507" s="87"/>
      <c r="AE1507" s="87"/>
      <c r="AF1507" s="87"/>
      <c r="AG1507" s="87"/>
      <c r="AH1507" s="87"/>
      <c r="AI1507" s="87"/>
      <c r="AJ1507" s="87"/>
      <c r="AK1507" s="87"/>
      <c r="AL1507" s="87"/>
      <c r="AM1507" s="87"/>
      <c r="AN1507" s="87"/>
      <c r="AO1507" s="87"/>
      <c r="AP1507" s="87"/>
      <c r="AQ1507" s="87"/>
      <c r="AR1507" s="87"/>
      <c r="AS1507" s="87"/>
      <c r="AT1507" s="87"/>
      <c r="AU1507" s="87"/>
      <c r="AV1507" s="87"/>
      <c r="AW1507" s="87"/>
      <c r="AX1507" s="87"/>
      <c r="AY1507" s="87"/>
      <c r="AZ1507" s="87"/>
      <c r="BA1507" s="87"/>
      <c r="BB1507" s="87"/>
      <c r="BC1507" s="87"/>
      <c r="BD1507" s="87"/>
      <c r="BE1507" s="87"/>
      <c r="BF1507" s="87"/>
      <c r="BG1507" s="87"/>
      <c r="BH1507" s="87"/>
      <c r="BI1507" s="87"/>
      <c r="BJ1507" s="87"/>
      <c r="BK1507" s="87"/>
      <c r="BL1507" s="87"/>
      <c r="BM1507" s="87"/>
      <c r="BN1507" s="87"/>
      <c r="BO1507" s="87"/>
      <c r="BP1507" s="87"/>
      <c r="BQ1507" s="87"/>
      <c r="BR1507" s="87"/>
      <c r="BS1507" s="87"/>
      <c r="BT1507" s="87"/>
      <c r="BU1507" s="87"/>
      <c r="BV1507" s="87"/>
      <c r="BW1507" s="87"/>
      <c r="BX1507" s="87"/>
      <c r="BY1507" s="87"/>
    </row>
    <row r="1508" spans="21:77" x14ac:dyDescent="0.3">
      <c r="U1508" s="19"/>
      <c r="V1508" s="87"/>
      <c r="W1508" s="87"/>
      <c r="X1508" s="87"/>
      <c r="Y1508" s="87"/>
      <c r="Z1508" s="87"/>
      <c r="AA1508" s="87"/>
      <c r="AB1508" s="87"/>
      <c r="AC1508" s="87"/>
      <c r="AD1508" s="87"/>
      <c r="AE1508" s="87"/>
      <c r="AF1508" s="87"/>
      <c r="AG1508" s="87"/>
      <c r="AH1508" s="87"/>
      <c r="AI1508" s="87"/>
      <c r="AJ1508" s="87"/>
      <c r="AK1508" s="87"/>
      <c r="AL1508" s="87"/>
      <c r="AM1508" s="87"/>
      <c r="AN1508" s="87"/>
      <c r="AO1508" s="87"/>
      <c r="AP1508" s="87"/>
      <c r="AQ1508" s="87"/>
      <c r="AR1508" s="87"/>
      <c r="AS1508" s="87"/>
      <c r="AT1508" s="87"/>
      <c r="AU1508" s="87"/>
      <c r="AV1508" s="87"/>
      <c r="AW1508" s="87"/>
      <c r="AX1508" s="87"/>
      <c r="AY1508" s="87"/>
      <c r="AZ1508" s="87"/>
      <c r="BA1508" s="87"/>
      <c r="BB1508" s="87"/>
      <c r="BC1508" s="87"/>
      <c r="BD1508" s="87"/>
      <c r="BE1508" s="87"/>
      <c r="BF1508" s="87"/>
      <c r="BG1508" s="87"/>
      <c r="BH1508" s="87"/>
      <c r="BI1508" s="87"/>
      <c r="BJ1508" s="87"/>
      <c r="BK1508" s="87"/>
      <c r="BL1508" s="87"/>
      <c r="BM1508" s="87"/>
      <c r="BN1508" s="87"/>
      <c r="BO1508" s="87"/>
      <c r="BP1508" s="87"/>
      <c r="BQ1508" s="87"/>
      <c r="BR1508" s="87"/>
      <c r="BS1508" s="87"/>
      <c r="BT1508" s="87"/>
      <c r="BU1508" s="87"/>
      <c r="BV1508" s="87"/>
      <c r="BW1508" s="87"/>
      <c r="BX1508" s="87"/>
      <c r="BY1508" s="87"/>
    </row>
    <row r="1509" spans="21:77" x14ac:dyDescent="0.3">
      <c r="U1509" s="19"/>
      <c r="V1509" s="87"/>
      <c r="W1509" s="87"/>
      <c r="X1509" s="87"/>
      <c r="Y1509" s="87"/>
      <c r="Z1509" s="87"/>
      <c r="AA1509" s="87"/>
      <c r="AB1509" s="87"/>
      <c r="AC1509" s="87"/>
      <c r="AD1509" s="87"/>
      <c r="AE1509" s="87"/>
      <c r="AF1509" s="87"/>
      <c r="AG1509" s="87"/>
      <c r="AH1509" s="87"/>
      <c r="AI1509" s="87"/>
      <c r="AJ1509" s="87"/>
      <c r="AK1509" s="87"/>
      <c r="AL1509" s="87"/>
      <c r="AM1509" s="87"/>
      <c r="AN1509" s="87"/>
      <c r="AO1509" s="87"/>
      <c r="AP1509" s="87"/>
      <c r="AQ1509" s="87"/>
      <c r="AR1509" s="87"/>
      <c r="AS1509" s="87"/>
      <c r="AT1509" s="87"/>
      <c r="AU1509" s="87"/>
      <c r="AV1509" s="87"/>
      <c r="AW1509" s="87"/>
      <c r="AX1509" s="87"/>
      <c r="AY1509" s="87"/>
      <c r="AZ1509" s="87"/>
      <c r="BA1509" s="87"/>
      <c r="BB1509" s="87"/>
      <c r="BC1509" s="87"/>
      <c r="BD1509" s="87"/>
      <c r="BE1509" s="87"/>
      <c r="BF1509" s="87"/>
      <c r="BG1509" s="87"/>
      <c r="BH1509" s="87"/>
      <c r="BI1509" s="87"/>
      <c r="BJ1509" s="87"/>
      <c r="BK1509" s="87"/>
      <c r="BL1509" s="87"/>
      <c r="BM1509" s="87"/>
      <c r="BN1509" s="87"/>
      <c r="BO1509" s="87"/>
      <c r="BP1509" s="87"/>
      <c r="BQ1509" s="87"/>
      <c r="BR1509" s="87"/>
      <c r="BS1509" s="87"/>
      <c r="BT1509" s="87"/>
      <c r="BU1509" s="87"/>
      <c r="BV1509" s="87"/>
      <c r="BW1509" s="87"/>
      <c r="BX1509" s="87"/>
      <c r="BY1509" s="87"/>
    </row>
    <row r="1510" spans="21:77" x14ac:dyDescent="0.3">
      <c r="U1510" s="19"/>
      <c r="V1510" s="87"/>
      <c r="W1510" s="87"/>
      <c r="X1510" s="87"/>
      <c r="Y1510" s="87"/>
      <c r="Z1510" s="87"/>
      <c r="AA1510" s="87"/>
      <c r="AB1510" s="87"/>
      <c r="AC1510" s="87"/>
      <c r="AD1510" s="87"/>
      <c r="AE1510" s="87"/>
      <c r="AF1510" s="87"/>
      <c r="AG1510" s="87"/>
      <c r="AH1510" s="87"/>
      <c r="AI1510" s="87"/>
      <c r="AJ1510" s="87"/>
      <c r="AK1510" s="87"/>
      <c r="AL1510" s="87"/>
      <c r="AM1510" s="87"/>
      <c r="AN1510" s="87"/>
      <c r="AO1510" s="87"/>
      <c r="AP1510" s="87"/>
      <c r="AQ1510" s="87"/>
      <c r="AR1510" s="87"/>
      <c r="AS1510" s="87"/>
      <c r="AT1510" s="87"/>
      <c r="AU1510" s="87"/>
      <c r="AV1510" s="87"/>
      <c r="AW1510" s="87"/>
      <c r="AX1510" s="87"/>
      <c r="AY1510" s="87"/>
      <c r="AZ1510" s="87"/>
      <c r="BA1510" s="87"/>
      <c r="BB1510" s="87"/>
      <c r="BC1510" s="87"/>
      <c r="BD1510" s="87"/>
      <c r="BE1510" s="87"/>
      <c r="BF1510" s="87"/>
      <c r="BG1510" s="87"/>
      <c r="BH1510" s="87"/>
      <c r="BI1510" s="87"/>
      <c r="BJ1510" s="87"/>
      <c r="BK1510" s="87"/>
      <c r="BL1510" s="87"/>
      <c r="BM1510" s="87"/>
      <c r="BN1510" s="87"/>
      <c r="BO1510" s="87"/>
      <c r="BP1510" s="87"/>
      <c r="BQ1510" s="87"/>
      <c r="BR1510" s="87"/>
      <c r="BS1510" s="87"/>
      <c r="BT1510" s="87"/>
      <c r="BU1510" s="87"/>
      <c r="BV1510" s="87"/>
      <c r="BW1510" s="87"/>
      <c r="BX1510" s="87"/>
      <c r="BY1510" s="87"/>
    </row>
    <row r="1511" spans="21:77" x14ac:dyDescent="0.3">
      <c r="U1511" s="19"/>
      <c r="V1511" s="87"/>
      <c r="W1511" s="87"/>
      <c r="X1511" s="87"/>
      <c r="Y1511" s="87"/>
      <c r="Z1511" s="87"/>
      <c r="AA1511" s="87"/>
      <c r="AB1511" s="87"/>
      <c r="AC1511" s="87"/>
      <c r="AD1511" s="87"/>
      <c r="AE1511" s="87"/>
      <c r="AF1511" s="87"/>
      <c r="AG1511" s="87"/>
      <c r="AH1511" s="87"/>
      <c r="AI1511" s="87"/>
      <c r="AJ1511" s="87"/>
      <c r="AK1511" s="87"/>
      <c r="AL1511" s="87"/>
      <c r="AM1511" s="87"/>
      <c r="AN1511" s="87"/>
      <c r="AO1511" s="87"/>
      <c r="AP1511" s="87"/>
      <c r="AQ1511" s="87"/>
      <c r="AR1511" s="87"/>
      <c r="AS1511" s="87"/>
      <c r="AT1511" s="87"/>
      <c r="AU1511" s="87"/>
      <c r="AV1511" s="87"/>
      <c r="AW1511" s="87"/>
      <c r="AX1511" s="87"/>
      <c r="AY1511" s="87"/>
      <c r="AZ1511" s="87"/>
      <c r="BA1511" s="87"/>
      <c r="BB1511" s="87"/>
      <c r="BC1511" s="87"/>
      <c r="BD1511" s="87"/>
      <c r="BE1511" s="87"/>
      <c r="BF1511" s="87"/>
      <c r="BG1511" s="87"/>
      <c r="BH1511" s="87"/>
      <c r="BI1511" s="87"/>
      <c r="BJ1511" s="87"/>
      <c r="BK1511" s="87"/>
      <c r="BL1511" s="87"/>
      <c r="BM1511" s="87"/>
      <c r="BN1511" s="87"/>
      <c r="BO1511" s="87"/>
      <c r="BP1511" s="87"/>
      <c r="BQ1511" s="87"/>
      <c r="BR1511" s="87"/>
      <c r="BS1511" s="87"/>
      <c r="BT1511" s="87"/>
      <c r="BU1511" s="87"/>
      <c r="BV1511" s="87"/>
      <c r="BW1511" s="87"/>
      <c r="BX1511" s="87"/>
      <c r="BY1511" s="87"/>
    </row>
    <row r="1512" spans="21:77" x14ac:dyDescent="0.3">
      <c r="U1512" s="19"/>
      <c r="V1512" s="87"/>
      <c r="W1512" s="87"/>
      <c r="X1512" s="87"/>
      <c r="Y1512" s="87"/>
      <c r="Z1512" s="87"/>
      <c r="AA1512" s="87"/>
      <c r="AB1512" s="87"/>
      <c r="AC1512" s="87"/>
      <c r="AD1512" s="87"/>
      <c r="AE1512" s="87"/>
      <c r="AF1512" s="87"/>
      <c r="AG1512" s="87"/>
      <c r="AH1512" s="87"/>
      <c r="AI1512" s="87"/>
      <c r="AJ1512" s="87"/>
      <c r="AK1512" s="87"/>
      <c r="AL1512" s="87"/>
      <c r="AM1512" s="87"/>
      <c r="AN1512" s="87"/>
      <c r="AO1512" s="87"/>
      <c r="AP1512" s="87"/>
      <c r="AQ1512" s="87"/>
      <c r="AR1512" s="87"/>
      <c r="AS1512" s="87"/>
      <c r="AT1512" s="87"/>
      <c r="AU1512" s="87"/>
      <c r="AV1512" s="87"/>
      <c r="AW1512" s="87"/>
      <c r="AX1512" s="87"/>
      <c r="AY1512" s="87"/>
      <c r="AZ1512" s="87"/>
      <c r="BA1512" s="87"/>
      <c r="BB1512" s="87"/>
      <c r="BC1512" s="87"/>
      <c r="BD1512" s="87"/>
      <c r="BE1512" s="87"/>
      <c r="BF1512" s="87"/>
      <c r="BG1512" s="87"/>
      <c r="BH1512" s="87"/>
      <c r="BI1512" s="87"/>
      <c r="BJ1512" s="87"/>
      <c r="BK1512" s="87"/>
      <c r="BL1512" s="87"/>
      <c r="BM1512" s="87"/>
      <c r="BN1512" s="87"/>
      <c r="BO1512" s="87"/>
      <c r="BP1512" s="87"/>
      <c r="BQ1512" s="87"/>
      <c r="BR1512" s="87"/>
      <c r="BS1512" s="87"/>
      <c r="BT1512" s="87"/>
      <c r="BU1512" s="87"/>
      <c r="BV1512" s="87"/>
      <c r="BW1512" s="87"/>
      <c r="BX1512" s="87"/>
      <c r="BY1512" s="87"/>
    </row>
    <row r="1513" spans="21:77" x14ac:dyDescent="0.3">
      <c r="U1513" s="19"/>
      <c r="V1513" s="87"/>
      <c r="W1513" s="87"/>
      <c r="X1513" s="87"/>
      <c r="Y1513" s="87"/>
      <c r="Z1513" s="87"/>
      <c r="AA1513" s="87"/>
      <c r="AB1513" s="87"/>
      <c r="AC1513" s="87"/>
      <c r="AD1513" s="87"/>
      <c r="AE1513" s="87"/>
      <c r="AF1513" s="87"/>
      <c r="AG1513" s="87"/>
      <c r="AH1513" s="87"/>
      <c r="AI1513" s="87"/>
      <c r="AJ1513" s="87"/>
      <c r="AK1513" s="87"/>
      <c r="AL1513" s="87"/>
      <c r="AM1513" s="87"/>
      <c r="AN1513" s="87"/>
      <c r="AO1513" s="87"/>
      <c r="AP1513" s="87"/>
      <c r="AQ1513" s="87"/>
      <c r="AR1513" s="87"/>
      <c r="AS1513" s="87"/>
      <c r="AT1513" s="87"/>
      <c r="AU1513" s="87"/>
      <c r="AV1513" s="87"/>
      <c r="AW1513" s="87"/>
      <c r="AX1513" s="87"/>
      <c r="AY1513" s="87"/>
      <c r="AZ1513" s="87"/>
      <c r="BA1513" s="87"/>
      <c r="BB1513" s="87"/>
      <c r="BC1513" s="87"/>
      <c r="BD1513" s="87"/>
      <c r="BE1513" s="87"/>
      <c r="BF1513" s="87"/>
      <c r="BG1513" s="87"/>
      <c r="BH1513" s="87"/>
      <c r="BI1513" s="87"/>
      <c r="BJ1513" s="87"/>
      <c r="BK1513" s="87"/>
      <c r="BL1513" s="87"/>
      <c r="BM1513" s="87"/>
      <c r="BN1513" s="87"/>
      <c r="BO1513" s="87"/>
      <c r="BP1513" s="87"/>
      <c r="BQ1513" s="87"/>
      <c r="BR1513" s="87"/>
      <c r="BS1513" s="87"/>
      <c r="BT1513" s="87"/>
      <c r="BU1513" s="87"/>
      <c r="BV1513" s="87"/>
      <c r="BW1513" s="87"/>
      <c r="BX1513" s="87"/>
      <c r="BY1513" s="87"/>
    </row>
    <row r="1514" spans="21:77" x14ac:dyDescent="0.3">
      <c r="U1514" s="19"/>
      <c r="V1514" s="87"/>
      <c r="W1514" s="87"/>
      <c r="X1514" s="87"/>
      <c r="Y1514" s="87"/>
      <c r="Z1514" s="87"/>
      <c r="AA1514" s="87"/>
      <c r="AB1514" s="87"/>
      <c r="AC1514" s="87"/>
      <c r="AD1514" s="87"/>
      <c r="AE1514" s="87"/>
      <c r="AF1514" s="87"/>
      <c r="AG1514" s="87"/>
      <c r="AH1514" s="87"/>
      <c r="AI1514" s="87"/>
      <c r="AJ1514" s="87"/>
      <c r="AK1514" s="87"/>
      <c r="AL1514" s="87"/>
      <c r="AM1514" s="87"/>
      <c r="AN1514" s="87"/>
      <c r="AO1514" s="87"/>
      <c r="AP1514" s="87"/>
      <c r="AQ1514" s="87"/>
      <c r="AR1514" s="87"/>
      <c r="AS1514" s="87"/>
      <c r="AT1514" s="87"/>
      <c r="AU1514" s="87"/>
      <c r="AV1514" s="87"/>
      <c r="AW1514" s="87"/>
      <c r="AX1514" s="87"/>
      <c r="AY1514" s="87"/>
      <c r="AZ1514" s="87"/>
      <c r="BA1514" s="87"/>
      <c r="BB1514" s="87"/>
      <c r="BC1514" s="87"/>
      <c r="BD1514" s="87"/>
      <c r="BE1514" s="87"/>
      <c r="BF1514" s="87"/>
      <c r="BG1514" s="87"/>
      <c r="BH1514" s="87"/>
      <c r="BI1514" s="87"/>
      <c r="BJ1514" s="87"/>
      <c r="BK1514" s="87"/>
      <c r="BL1514" s="87"/>
      <c r="BM1514" s="87"/>
      <c r="BN1514" s="87"/>
      <c r="BO1514" s="87"/>
      <c r="BP1514" s="87"/>
      <c r="BQ1514" s="87"/>
      <c r="BR1514" s="87"/>
      <c r="BS1514" s="87"/>
      <c r="BT1514" s="87"/>
      <c r="BU1514" s="87"/>
      <c r="BV1514" s="87"/>
      <c r="BW1514" s="87"/>
      <c r="BX1514" s="87"/>
      <c r="BY1514" s="87"/>
    </row>
    <row r="1515" spans="21:77" x14ac:dyDescent="0.3">
      <c r="U1515" s="19"/>
      <c r="V1515" s="87"/>
      <c r="W1515" s="87"/>
      <c r="X1515" s="87"/>
      <c r="Y1515" s="87"/>
      <c r="Z1515" s="87"/>
      <c r="AA1515" s="87"/>
      <c r="AB1515" s="87"/>
      <c r="AC1515" s="87"/>
      <c r="AD1515" s="87"/>
      <c r="AE1515" s="87"/>
      <c r="AF1515" s="87"/>
      <c r="AG1515" s="87"/>
      <c r="AH1515" s="87"/>
      <c r="AI1515" s="87"/>
      <c r="AJ1515" s="87"/>
      <c r="AK1515" s="87"/>
      <c r="AL1515" s="87"/>
      <c r="AM1515" s="87"/>
      <c r="AN1515" s="87"/>
      <c r="AO1515" s="87"/>
      <c r="AP1515" s="87"/>
      <c r="AQ1515" s="87"/>
      <c r="AR1515" s="87"/>
      <c r="AS1515" s="87"/>
      <c r="AT1515" s="87"/>
      <c r="AU1515" s="87"/>
      <c r="AV1515" s="87"/>
      <c r="AW1515" s="87"/>
      <c r="AX1515" s="87"/>
      <c r="AY1515" s="87"/>
      <c r="AZ1515" s="87"/>
      <c r="BA1515" s="87"/>
      <c r="BB1515" s="87"/>
      <c r="BC1515" s="87"/>
      <c r="BD1515" s="87"/>
      <c r="BE1515" s="87"/>
      <c r="BF1515" s="87"/>
      <c r="BG1515" s="87"/>
      <c r="BH1515" s="87"/>
      <c r="BI1515" s="87"/>
      <c r="BJ1515" s="87"/>
      <c r="BK1515" s="87"/>
      <c r="BL1515" s="87"/>
      <c r="BM1515" s="87"/>
      <c r="BN1515" s="87"/>
      <c r="BO1515" s="87"/>
      <c r="BP1515" s="87"/>
      <c r="BQ1515" s="87"/>
      <c r="BR1515" s="87"/>
      <c r="BS1515" s="87"/>
      <c r="BT1515" s="87"/>
      <c r="BU1515" s="87"/>
      <c r="BV1515" s="87"/>
      <c r="BW1515" s="87"/>
      <c r="BX1515" s="87"/>
      <c r="BY1515" s="87"/>
    </row>
    <row r="1516" spans="21:77" x14ac:dyDescent="0.3">
      <c r="U1516" s="19"/>
      <c r="V1516" s="87"/>
      <c r="W1516" s="87"/>
      <c r="X1516" s="87"/>
      <c r="Y1516" s="87"/>
      <c r="Z1516" s="87"/>
      <c r="AA1516" s="87"/>
      <c r="AB1516" s="87"/>
      <c r="AC1516" s="87"/>
      <c r="AD1516" s="87"/>
      <c r="AE1516" s="87"/>
      <c r="AF1516" s="87"/>
      <c r="AG1516" s="87"/>
      <c r="AH1516" s="87"/>
      <c r="AI1516" s="87"/>
      <c r="AJ1516" s="87"/>
      <c r="AK1516" s="87"/>
      <c r="AL1516" s="87"/>
      <c r="AM1516" s="87"/>
      <c r="AN1516" s="87"/>
      <c r="AO1516" s="87"/>
      <c r="AP1516" s="87"/>
      <c r="AQ1516" s="87"/>
      <c r="AR1516" s="87"/>
      <c r="AS1516" s="87"/>
      <c r="AT1516" s="87"/>
      <c r="AU1516" s="87"/>
      <c r="AV1516" s="87"/>
      <c r="AW1516" s="87"/>
      <c r="AX1516" s="87"/>
      <c r="AY1516" s="87"/>
      <c r="AZ1516" s="87"/>
      <c r="BA1516" s="87"/>
      <c r="BB1516" s="87"/>
      <c r="BC1516" s="87"/>
      <c r="BD1516" s="87"/>
      <c r="BE1516" s="87"/>
      <c r="BF1516" s="87"/>
      <c r="BG1516" s="87"/>
      <c r="BH1516" s="87"/>
      <c r="BI1516" s="87"/>
      <c r="BJ1516" s="87"/>
      <c r="BK1516" s="87"/>
      <c r="BL1516" s="87"/>
      <c r="BM1516" s="87"/>
      <c r="BN1516" s="87"/>
      <c r="BO1516" s="87"/>
      <c r="BP1516" s="87"/>
      <c r="BQ1516" s="87"/>
      <c r="BR1516" s="87"/>
      <c r="BS1516" s="87"/>
      <c r="BT1516" s="87"/>
      <c r="BU1516" s="87"/>
      <c r="BV1516" s="87"/>
      <c r="BW1516" s="87"/>
      <c r="BX1516" s="87"/>
      <c r="BY1516" s="87"/>
    </row>
    <row r="1517" spans="21:77" x14ac:dyDescent="0.3">
      <c r="U1517" s="19"/>
      <c r="V1517" s="87"/>
      <c r="W1517" s="87"/>
      <c r="X1517" s="87"/>
      <c r="Y1517" s="87"/>
      <c r="Z1517" s="87"/>
      <c r="AA1517" s="87"/>
      <c r="AB1517" s="87"/>
      <c r="AC1517" s="87"/>
      <c r="AD1517" s="87"/>
      <c r="AE1517" s="87"/>
      <c r="AF1517" s="87"/>
      <c r="AG1517" s="87"/>
      <c r="AH1517" s="87"/>
      <c r="AI1517" s="87"/>
      <c r="AJ1517" s="87"/>
      <c r="AK1517" s="87"/>
      <c r="AL1517" s="87"/>
      <c r="AM1517" s="87"/>
      <c r="AN1517" s="87"/>
      <c r="AO1517" s="87"/>
      <c r="AP1517" s="87"/>
      <c r="AQ1517" s="87"/>
      <c r="AR1517" s="87"/>
      <c r="AS1517" s="87"/>
      <c r="AT1517" s="87"/>
      <c r="AU1517" s="87"/>
      <c r="AV1517" s="87"/>
      <c r="AW1517" s="87"/>
      <c r="AX1517" s="87"/>
      <c r="AY1517" s="87"/>
      <c r="AZ1517" s="87"/>
      <c r="BA1517" s="87"/>
      <c r="BB1517" s="87"/>
      <c r="BC1517" s="87"/>
      <c r="BD1517" s="87"/>
      <c r="BE1517" s="87"/>
      <c r="BF1517" s="87"/>
      <c r="BG1517" s="87"/>
      <c r="BH1517" s="87"/>
      <c r="BI1517" s="87"/>
      <c r="BJ1517" s="87"/>
      <c r="BK1517" s="87"/>
      <c r="BL1517" s="87"/>
      <c r="BM1517" s="87"/>
      <c r="BN1517" s="87"/>
      <c r="BO1517" s="87"/>
      <c r="BP1517" s="87"/>
      <c r="BQ1517" s="87"/>
      <c r="BR1517" s="87"/>
      <c r="BS1517" s="87"/>
      <c r="BT1517" s="87"/>
      <c r="BU1517" s="87"/>
      <c r="BV1517" s="87"/>
      <c r="BW1517" s="87"/>
      <c r="BX1517" s="87"/>
      <c r="BY1517" s="87"/>
    </row>
    <row r="1518" spans="21:77" x14ac:dyDescent="0.3">
      <c r="U1518" s="19"/>
      <c r="V1518" s="87"/>
      <c r="W1518" s="87"/>
      <c r="X1518" s="87"/>
      <c r="Y1518" s="87"/>
      <c r="Z1518" s="87"/>
      <c r="AA1518" s="87"/>
      <c r="AB1518" s="87"/>
      <c r="AC1518" s="87"/>
      <c r="AD1518" s="87"/>
      <c r="AE1518" s="87"/>
      <c r="AF1518" s="87"/>
      <c r="AG1518" s="87"/>
      <c r="AH1518" s="87"/>
      <c r="AI1518" s="87"/>
      <c r="AJ1518" s="87"/>
      <c r="AK1518" s="87"/>
      <c r="AL1518" s="87"/>
      <c r="AM1518" s="87"/>
      <c r="AN1518" s="87"/>
      <c r="AO1518" s="87"/>
      <c r="AP1518" s="87"/>
      <c r="AQ1518" s="87"/>
      <c r="AR1518" s="87"/>
      <c r="AS1518" s="87"/>
      <c r="AT1518" s="87"/>
      <c r="AU1518" s="87"/>
      <c r="AV1518" s="87"/>
      <c r="AW1518" s="87"/>
      <c r="AX1518" s="87"/>
      <c r="AY1518" s="87"/>
      <c r="AZ1518" s="87"/>
      <c r="BA1518" s="87"/>
      <c r="BB1518" s="87"/>
      <c r="BC1518" s="87"/>
      <c r="BD1518" s="87"/>
      <c r="BE1518" s="87"/>
      <c r="BF1518" s="87"/>
      <c r="BG1518" s="87"/>
      <c r="BH1518" s="87"/>
      <c r="BI1518" s="87"/>
      <c r="BJ1518" s="87"/>
      <c r="BK1518" s="87"/>
      <c r="BL1518" s="87"/>
      <c r="BM1518" s="87"/>
      <c r="BN1518" s="87"/>
      <c r="BO1518" s="87"/>
      <c r="BP1518" s="87"/>
      <c r="BQ1518" s="87"/>
      <c r="BR1518" s="87"/>
      <c r="BS1518" s="87"/>
      <c r="BT1518" s="87"/>
      <c r="BU1518" s="87"/>
      <c r="BV1518" s="87"/>
      <c r="BW1518" s="87"/>
      <c r="BX1518" s="87"/>
      <c r="BY1518" s="87"/>
    </row>
    <row r="1519" spans="21:77" x14ac:dyDescent="0.3">
      <c r="U1519" s="19"/>
      <c r="V1519" s="87"/>
      <c r="W1519" s="87"/>
      <c r="X1519" s="87"/>
      <c r="Y1519" s="87"/>
      <c r="Z1519" s="87"/>
      <c r="AA1519" s="87"/>
      <c r="AB1519" s="87"/>
      <c r="AC1519" s="87"/>
      <c r="AD1519" s="87"/>
      <c r="AE1519" s="87"/>
      <c r="AF1519" s="87"/>
      <c r="AG1519" s="87"/>
      <c r="AH1519" s="87"/>
      <c r="AI1519" s="87"/>
      <c r="AJ1519" s="87"/>
      <c r="AK1519" s="87"/>
      <c r="AL1519" s="87"/>
      <c r="AM1519" s="87"/>
      <c r="AN1519" s="87"/>
      <c r="AO1519" s="87"/>
      <c r="AP1519" s="87"/>
      <c r="AQ1519" s="87"/>
      <c r="AR1519" s="87"/>
      <c r="AS1519" s="87"/>
      <c r="AT1519" s="87"/>
      <c r="AU1519" s="87"/>
      <c r="AV1519" s="87"/>
      <c r="AW1519" s="87"/>
      <c r="AX1519" s="87"/>
      <c r="AY1519" s="87"/>
      <c r="AZ1519" s="87"/>
      <c r="BA1519" s="87"/>
      <c r="BB1519" s="87"/>
      <c r="BC1519" s="87"/>
      <c r="BD1519" s="87"/>
      <c r="BE1519" s="87"/>
      <c r="BF1519" s="87"/>
      <c r="BG1519" s="87"/>
      <c r="BH1519" s="87"/>
      <c r="BI1519" s="87"/>
      <c r="BJ1519" s="87"/>
      <c r="BK1519" s="87"/>
      <c r="BL1519" s="87"/>
      <c r="BM1519" s="87"/>
      <c r="BN1519" s="87"/>
      <c r="BO1519" s="87"/>
      <c r="BP1519" s="87"/>
      <c r="BQ1519" s="87"/>
      <c r="BR1519" s="87"/>
      <c r="BS1519" s="87"/>
      <c r="BT1519" s="87"/>
      <c r="BU1519" s="87"/>
      <c r="BV1519" s="87"/>
      <c r="BW1519" s="87"/>
      <c r="BX1519" s="87"/>
      <c r="BY1519" s="87"/>
    </row>
    <row r="1520" spans="21:77" x14ac:dyDescent="0.3">
      <c r="U1520" s="19"/>
      <c r="V1520" s="87"/>
      <c r="W1520" s="87"/>
      <c r="X1520" s="87"/>
      <c r="Y1520" s="87"/>
      <c r="Z1520" s="87"/>
      <c r="AA1520" s="87"/>
      <c r="AB1520" s="87"/>
      <c r="AC1520" s="87"/>
      <c r="AD1520" s="87"/>
      <c r="AE1520" s="87"/>
      <c r="AF1520" s="87"/>
      <c r="AG1520" s="87"/>
      <c r="AH1520" s="87"/>
      <c r="AI1520" s="87"/>
      <c r="AJ1520" s="87"/>
      <c r="AK1520" s="87"/>
      <c r="AL1520" s="87"/>
      <c r="AM1520" s="87"/>
      <c r="AN1520" s="87"/>
      <c r="AO1520" s="87"/>
      <c r="AP1520" s="87"/>
      <c r="AQ1520" s="87"/>
      <c r="AR1520" s="87"/>
      <c r="AS1520" s="87"/>
      <c r="AT1520" s="87"/>
      <c r="AU1520" s="87"/>
      <c r="AV1520" s="87"/>
      <c r="AW1520" s="87"/>
      <c r="AX1520" s="87"/>
      <c r="AY1520" s="87"/>
      <c r="AZ1520" s="87"/>
      <c r="BA1520" s="87"/>
      <c r="BB1520" s="87"/>
      <c r="BC1520" s="87"/>
      <c r="BD1520" s="87"/>
      <c r="BE1520" s="87"/>
      <c r="BF1520" s="87"/>
      <c r="BG1520" s="87"/>
      <c r="BH1520" s="87"/>
      <c r="BI1520" s="87"/>
      <c r="BJ1520" s="87"/>
      <c r="BK1520" s="87"/>
      <c r="BL1520" s="87"/>
      <c r="BM1520" s="87"/>
      <c r="BN1520" s="87"/>
      <c r="BO1520" s="87"/>
      <c r="BP1520" s="87"/>
      <c r="BQ1520" s="87"/>
      <c r="BR1520" s="87"/>
      <c r="BS1520" s="87"/>
      <c r="BT1520" s="87"/>
      <c r="BU1520" s="87"/>
      <c r="BV1520" s="87"/>
      <c r="BW1520" s="87"/>
      <c r="BX1520" s="87"/>
      <c r="BY1520" s="87"/>
    </row>
    <row r="1521" spans="21:77" x14ac:dyDescent="0.3">
      <c r="U1521" s="19"/>
      <c r="V1521" s="87"/>
      <c r="W1521" s="87"/>
      <c r="X1521" s="87"/>
      <c r="Y1521" s="87"/>
      <c r="Z1521" s="87"/>
      <c r="AA1521" s="87"/>
      <c r="AB1521" s="87"/>
      <c r="AC1521" s="87"/>
      <c r="AD1521" s="87"/>
      <c r="AE1521" s="87"/>
      <c r="AF1521" s="87"/>
      <c r="AG1521" s="87"/>
      <c r="AH1521" s="87"/>
      <c r="AI1521" s="87"/>
      <c r="AJ1521" s="87"/>
      <c r="AK1521" s="87"/>
      <c r="AL1521" s="87"/>
      <c r="AM1521" s="87"/>
      <c r="AN1521" s="87"/>
      <c r="AO1521" s="87"/>
      <c r="AP1521" s="87"/>
      <c r="AQ1521" s="87"/>
      <c r="AR1521" s="87"/>
      <c r="AS1521" s="87"/>
      <c r="AT1521" s="87"/>
      <c r="AU1521" s="87"/>
      <c r="AV1521" s="87"/>
      <c r="AW1521" s="87"/>
      <c r="AX1521" s="87"/>
      <c r="AY1521" s="87"/>
      <c r="AZ1521" s="87"/>
      <c r="BA1521" s="87"/>
      <c r="BB1521" s="87"/>
      <c r="BC1521" s="87"/>
      <c r="BD1521" s="87"/>
      <c r="BE1521" s="87"/>
      <c r="BF1521" s="87"/>
      <c r="BG1521" s="87"/>
      <c r="BH1521" s="87"/>
      <c r="BI1521" s="87"/>
      <c r="BJ1521" s="87"/>
      <c r="BK1521" s="87"/>
      <c r="BL1521" s="87"/>
      <c r="BM1521" s="87"/>
      <c r="BN1521" s="87"/>
      <c r="BO1521" s="87"/>
      <c r="BP1521" s="87"/>
      <c r="BQ1521" s="87"/>
      <c r="BR1521" s="87"/>
      <c r="BS1521" s="87"/>
      <c r="BT1521" s="87"/>
      <c r="BU1521" s="87"/>
      <c r="BV1521" s="87"/>
      <c r="BW1521" s="87"/>
      <c r="BX1521" s="87"/>
      <c r="BY1521" s="87"/>
    </row>
    <row r="1522" spans="21:77" x14ac:dyDescent="0.3">
      <c r="U1522" s="19"/>
      <c r="V1522" s="87"/>
      <c r="W1522" s="87"/>
      <c r="X1522" s="87"/>
      <c r="Y1522" s="87"/>
      <c r="Z1522" s="87"/>
      <c r="AA1522" s="87"/>
      <c r="AB1522" s="87"/>
      <c r="AC1522" s="87"/>
      <c r="AD1522" s="87"/>
      <c r="AE1522" s="87"/>
      <c r="AF1522" s="87"/>
      <c r="AG1522" s="87"/>
      <c r="AH1522" s="87"/>
      <c r="AI1522" s="87"/>
      <c r="AJ1522" s="87"/>
      <c r="AK1522" s="87"/>
      <c r="AL1522" s="87"/>
      <c r="AM1522" s="87"/>
      <c r="AN1522" s="87"/>
      <c r="AO1522" s="87"/>
      <c r="AP1522" s="87"/>
      <c r="AQ1522" s="87"/>
      <c r="AR1522" s="87"/>
      <c r="AS1522" s="87"/>
      <c r="AT1522" s="87"/>
      <c r="AU1522" s="87"/>
      <c r="AV1522" s="87"/>
      <c r="AW1522" s="87"/>
      <c r="AX1522" s="87"/>
      <c r="AY1522" s="87"/>
      <c r="AZ1522" s="87"/>
      <c r="BA1522" s="87"/>
      <c r="BB1522" s="87"/>
      <c r="BC1522" s="87"/>
      <c r="BD1522" s="87"/>
      <c r="BE1522" s="87"/>
      <c r="BF1522" s="87"/>
      <c r="BG1522" s="87"/>
      <c r="BH1522" s="87"/>
      <c r="BI1522" s="87"/>
      <c r="BJ1522" s="87"/>
      <c r="BK1522" s="87"/>
      <c r="BL1522" s="87"/>
      <c r="BM1522" s="87"/>
      <c r="BN1522" s="87"/>
      <c r="BO1522" s="87"/>
      <c r="BP1522" s="87"/>
      <c r="BQ1522" s="87"/>
      <c r="BR1522" s="87"/>
      <c r="BS1522" s="87"/>
      <c r="BT1522" s="87"/>
      <c r="BU1522" s="87"/>
      <c r="BV1522" s="87"/>
      <c r="BW1522" s="87"/>
      <c r="BX1522" s="87"/>
      <c r="BY1522" s="87"/>
    </row>
    <row r="1523" spans="21:77" x14ac:dyDescent="0.3">
      <c r="U1523" s="19"/>
      <c r="V1523" s="87"/>
      <c r="W1523" s="87"/>
      <c r="X1523" s="87"/>
      <c r="Y1523" s="87"/>
      <c r="Z1523" s="87"/>
      <c r="AA1523" s="87"/>
      <c r="AB1523" s="87"/>
      <c r="AC1523" s="87"/>
      <c r="AD1523" s="87"/>
      <c r="AE1523" s="87"/>
      <c r="AF1523" s="87"/>
      <c r="AG1523" s="87"/>
      <c r="AH1523" s="87"/>
      <c r="AI1523" s="87"/>
      <c r="AJ1523" s="87"/>
      <c r="AK1523" s="87"/>
      <c r="AL1523" s="87"/>
      <c r="AM1523" s="87"/>
      <c r="AN1523" s="87"/>
      <c r="AO1523" s="87"/>
      <c r="AP1523" s="87"/>
      <c r="AQ1523" s="87"/>
      <c r="AR1523" s="87"/>
      <c r="AS1523" s="87"/>
      <c r="AT1523" s="87"/>
      <c r="AU1523" s="87"/>
      <c r="AV1523" s="87"/>
      <c r="AW1523" s="87"/>
      <c r="AX1523" s="87"/>
      <c r="AY1523" s="87"/>
      <c r="AZ1523" s="87"/>
      <c r="BA1523" s="87"/>
      <c r="BB1523" s="87"/>
      <c r="BC1523" s="87"/>
      <c r="BD1523" s="87"/>
      <c r="BE1523" s="87"/>
      <c r="BF1523" s="87"/>
      <c r="BG1523" s="87"/>
      <c r="BH1523" s="87"/>
      <c r="BI1523" s="87"/>
      <c r="BJ1523" s="87"/>
      <c r="BK1523" s="87"/>
      <c r="BL1523" s="87"/>
      <c r="BM1523" s="87"/>
      <c r="BN1523" s="87"/>
      <c r="BO1523" s="87"/>
      <c r="BP1523" s="87"/>
      <c r="BQ1523" s="87"/>
      <c r="BR1523" s="87"/>
      <c r="BS1523" s="87"/>
      <c r="BT1523" s="87"/>
      <c r="BU1523" s="87"/>
      <c r="BV1523" s="87"/>
      <c r="BW1523" s="87"/>
      <c r="BX1523" s="87"/>
      <c r="BY1523" s="87"/>
    </row>
    <row r="1524" spans="21:77" x14ac:dyDescent="0.3">
      <c r="U1524" s="19"/>
      <c r="V1524" s="87"/>
      <c r="W1524" s="87"/>
      <c r="X1524" s="87"/>
      <c r="Y1524" s="87"/>
      <c r="Z1524" s="87"/>
      <c r="AA1524" s="87"/>
      <c r="AB1524" s="87"/>
      <c r="AC1524" s="87"/>
      <c r="AD1524" s="87"/>
      <c r="AE1524" s="87"/>
      <c r="AF1524" s="87"/>
      <c r="AG1524" s="87"/>
      <c r="AH1524" s="87"/>
      <c r="AI1524" s="87"/>
      <c r="AJ1524" s="87"/>
      <c r="AK1524" s="87"/>
      <c r="AL1524" s="87"/>
      <c r="AM1524" s="87"/>
      <c r="AN1524" s="87"/>
      <c r="AO1524" s="87"/>
      <c r="AP1524" s="87"/>
      <c r="AQ1524" s="87"/>
      <c r="AR1524" s="87"/>
      <c r="AS1524" s="87"/>
      <c r="AT1524" s="87"/>
      <c r="AU1524" s="87"/>
      <c r="AV1524" s="87"/>
      <c r="AW1524" s="87"/>
      <c r="AX1524" s="87"/>
      <c r="AY1524" s="87"/>
      <c r="AZ1524" s="87"/>
      <c r="BA1524" s="87"/>
      <c r="BB1524" s="87"/>
      <c r="BC1524" s="87"/>
      <c r="BD1524" s="87"/>
      <c r="BE1524" s="87"/>
      <c r="BF1524" s="87"/>
      <c r="BG1524" s="87"/>
      <c r="BH1524" s="87"/>
      <c r="BI1524" s="87"/>
      <c r="BJ1524" s="87"/>
      <c r="BK1524" s="87"/>
      <c r="BL1524" s="87"/>
      <c r="BM1524" s="87"/>
      <c r="BN1524" s="87"/>
      <c r="BO1524" s="87"/>
      <c r="BP1524" s="87"/>
      <c r="BQ1524" s="87"/>
      <c r="BR1524" s="87"/>
      <c r="BS1524" s="87"/>
      <c r="BT1524" s="87"/>
      <c r="BU1524" s="87"/>
      <c r="BV1524" s="87"/>
      <c r="BW1524" s="87"/>
      <c r="BX1524" s="87"/>
      <c r="BY1524" s="87"/>
    </row>
    <row r="1525" spans="21:77" x14ac:dyDescent="0.3">
      <c r="U1525" s="19"/>
      <c r="V1525" s="87"/>
      <c r="W1525" s="87"/>
      <c r="X1525" s="87"/>
      <c r="Y1525" s="87"/>
      <c r="Z1525" s="87"/>
      <c r="AA1525" s="87"/>
      <c r="AB1525" s="87"/>
      <c r="AC1525" s="87"/>
      <c r="AD1525" s="87"/>
      <c r="AE1525" s="87"/>
      <c r="AF1525" s="87"/>
      <c r="AG1525" s="87"/>
      <c r="AH1525" s="87"/>
      <c r="AI1525" s="87"/>
      <c r="AJ1525" s="87"/>
      <c r="AK1525" s="87"/>
      <c r="AL1525" s="87"/>
      <c r="AM1525" s="87"/>
      <c r="AN1525" s="87"/>
      <c r="AO1525" s="87"/>
      <c r="AP1525" s="87"/>
      <c r="AQ1525" s="87"/>
      <c r="AR1525" s="87"/>
      <c r="AS1525" s="87"/>
      <c r="AT1525" s="87"/>
      <c r="AU1525" s="87"/>
      <c r="AV1525" s="87"/>
      <c r="AW1525" s="87"/>
      <c r="AX1525" s="87"/>
      <c r="AY1525" s="87"/>
      <c r="AZ1525" s="87"/>
      <c r="BA1525" s="87"/>
      <c r="BB1525" s="87"/>
      <c r="BC1525" s="87"/>
      <c r="BD1525" s="87"/>
      <c r="BE1525" s="87"/>
      <c r="BF1525" s="87"/>
      <c r="BG1525" s="87"/>
      <c r="BH1525" s="87"/>
      <c r="BI1525" s="87"/>
      <c r="BJ1525" s="87"/>
      <c r="BK1525" s="87"/>
      <c r="BL1525" s="87"/>
      <c r="BM1525" s="87"/>
      <c r="BN1525" s="87"/>
      <c r="BO1525" s="87"/>
      <c r="BP1525" s="87"/>
      <c r="BQ1525" s="87"/>
      <c r="BR1525" s="87"/>
      <c r="BS1525" s="87"/>
      <c r="BT1525" s="87"/>
      <c r="BU1525" s="87"/>
      <c r="BV1525" s="87"/>
      <c r="BW1525" s="87"/>
      <c r="BX1525" s="87"/>
      <c r="BY1525" s="87"/>
    </row>
    <row r="1526" spans="21:77" x14ac:dyDescent="0.3">
      <c r="U1526" s="19"/>
      <c r="V1526" s="87"/>
      <c r="W1526" s="87"/>
      <c r="X1526" s="87"/>
      <c r="Y1526" s="87"/>
      <c r="Z1526" s="87"/>
      <c r="AA1526" s="87"/>
      <c r="AB1526" s="87"/>
      <c r="AC1526" s="87"/>
      <c r="AD1526" s="87"/>
      <c r="AE1526" s="87"/>
      <c r="AF1526" s="87"/>
      <c r="AG1526" s="87"/>
      <c r="AH1526" s="87"/>
      <c r="AI1526" s="87"/>
      <c r="AJ1526" s="87"/>
      <c r="AK1526" s="87"/>
      <c r="AL1526" s="87"/>
      <c r="AM1526" s="87"/>
      <c r="AN1526" s="87"/>
      <c r="AO1526" s="87"/>
      <c r="AP1526" s="87"/>
      <c r="AQ1526" s="87"/>
      <c r="AR1526" s="87"/>
      <c r="AS1526" s="87"/>
      <c r="AT1526" s="87"/>
      <c r="AU1526" s="87"/>
      <c r="AV1526" s="87"/>
      <c r="AW1526" s="87"/>
      <c r="AX1526" s="87"/>
      <c r="AY1526" s="87"/>
      <c r="AZ1526" s="87"/>
      <c r="BA1526" s="87"/>
      <c r="BB1526" s="87"/>
      <c r="BC1526" s="87"/>
      <c r="BD1526" s="87"/>
      <c r="BE1526" s="87"/>
      <c r="BF1526" s="87"/>
      <c r="BG1526" s="87"/>
      <c r="BH1526" s="87"/>
      <c r="BI1526" s="87"/>
      <c r="BJ1526" s="87"/>
      <c r="BK1526" s="87"/>
      <c r="BL1526" s="87"/>
      <c r="BM1526" s="87"/>
      <c r="BN1526" s="87"/>
      <c r="BO1526" s="87"/>
      <c r="BP1526" s="87"/>
      <c r="BQ1526" s="87"/>
      <c r="BR1526" s="87"/>
      <c r="BS1526" s="87"/>
      <c r="BT1526" s="87"/>
      <c r="BU1526" s="87"/>
      <c r="BV1526" s="87"/>
      <c r="BW1526" s="87"/>
      <c r="BX1526" s="87"/>
      <c r="BY1526" s="87"/>
    </row>
    <row r="1527" spans="21:77" x14ac:dyDescent="0.3">
      <c r="U1527" s="19"/>
      <c r="V1527" s="87"/>
      <c r="W1527" s="87"/>
      <c r="X1527" s="87"/>
      <c r="Y1527" s="87"/>
      <c r="Z1527" s="87"/>
      <c r="AA1527" s="87"/>
      <c r="AB1527" s="87"/>
      <c r="AC1527" s="87"/>
      <c r="AD1527" s="87"/>
      <c r="AE1527" s="87"/>
      <c r="AF1527" s="87"/>
      <c r="AG1527" s="87"/>
      <c r="AH1527" s="87"/>
      <c r="AI1527" s="87"/>
      <c r="AJ1527" s="87"/>
      <c r="AK1527" s="87"/>
      <c r="AL1527" s="87"/>
      <c r="AM1527" s="87"/>
      <c r="AN1527" s="87"/>
      <c r="AO1527" s="87"/>
      <c r="AP1527" s="87"/>
      <c r="AQ1527" s="87"/>
      <c r="AR1527" s="87"/>
      <c r="AS1527" s="87"/>
      <c r="AT1527" s="87"/>
      <c r="AU1527" s="87"/>
      <c r="AV1527" s="87"/>
      <c r="AW1527" s="87"/>
      <c r="AX1527" s="87"/>
      <c r="AY1527" s="87"/>
      <c r="AZ1527" s="87"/>
      <c r="BA1527" s="87"/>
      <c r="BB1527" s="87"/>
      <c r="BC1527" s="87"/>
      <c r="BD1527" s="87"/>
      <c r="BE1527" s="87"/>
      <c r="BF1527" s="87"/>
      <c r="BG1527" s="87"/>
      <c r="BH1527" s="87"/>
      <c r="BI1527" s="87"/>
      <c r="BJ1527" s="87"/>
      <c r="BK1527" s="87"/>
      <c r="BL1527" s="87"/>
      <c r="BM1527" s="87"/>
      <c r="BN1527" s="87"/>
      <c r="BO1527" s="87"/>
      <c r="BP1527" s="87"/>
      <c r="BQ1527" s="87"/>
      <c r="BR1527" s="87"/>
      <c r="BS1527" s="87"/>
      <c r="BT1527" s="87"/>
      <c r="BU1527" s="87"/>
      <c r="BV1527" s="87"/>
      <c r="BW1527" s="87"/>
      <c r="BX1527" s="87"/>
      <c r="BY1527" s="87"/>
    </row>
    <row r="1528" spans="21:77" x14ac:dyDescent="0.3">
      <c r="U1528" s="19"/>
      <c r="V1528" s="87"/>
      <c r="W1528" s="87"/>
      <c r="X1528" s="87"/>
      <c r="Y1528" s="87"/>
      <c r="Z1528" s="87"/>
      <c r="AA1528" s="87"/>
      <c r="AB1528" s="87"/>
      <c r="AC1528" s="87"/>
      <c r="AD1528" s="87"/>
      <c r="AE1528" s="87"/>
      <c r="AF1528" s="87"/>
      <c r="AG1528" s="87"/>
      <c r="AH1528" s="87"/>
      <c r="AI1528" s="87"/>
      <c r="AJ1528" s="87"/>
      <c r="AK1528" s="87"/>
      <c r="AL1528" s="87"/>
      <c r="AM1528" s="87"/>
      <c r="AN1528" s="87"/>
      <c r="AO1528" s="87"/>
      <c r="AP1528" s="87"/>
      <c r="AQ1528" s="87"/>
      <c r="AR1528" s="87"/>
      <c r="AS1528" s="87"/>
      <c r="AT1528" s="87"/>
      <c r="AU1528" s="87"/>
      <c r="AV1528" s="87"/>
      <c r="AW1528" s="87"/>
      <c r="AX1528" s="87"/>
      <c r="AY1528" s="87"/>
      <c r="AZ1528" s="87"/>
      <c r="BA1528" s="87"/>
      <c r="BB1528" s="87"/>
      <c r="BC1528" s="87"/>
      <c r="BD1528" s="87"/>
      <c r="BE1528" s="87"/>
      <c r="BF1528" s="87"/>
      <c r="BG1528" s="87"/>
      <c r="BH1528" s="87"/>
      <c r="BI1528" s="87"/>
      <c r="BJ1528" s="87"/>
      <c r="BK1528" s="87"/>
      <c r="BL1528" s="87"/>
      <c r="BM1528" s="87"/>
      <c r="BN1528" s="87"/>
      <c r="BO1528" s="87"/>
      <c r="BP1528" s="87"/>
      <c r="BQ1528" s="87"/>
      <c r="BR1528" s="87"/>
      <c r="BS1528" s="87"/>
      <c r="BT1528" s="87"/>
      <c r="BU1528" s="87"/>
      <c r="BV1528" s="87"/>
      <c r="BW1528" s="87"/>
      <c r="BX1528" s="87"/>
      <c r="BY1528" s="87"/>
    </row>
    <row r="1529" spans="21:77" x14ac:dyDescent="0.3">
      <c r="U1529" s="19"/>
      <c r="V1529" s="87"/>
      <c r="W1529" s="87"/>
      <c r="X1529" s="87"/>
      <c r="Y1529" s="87"/>
      <c r="Z1529" s="87"/>
      <c r="AA1529" s="87"/>
      <c r="AB1529" s="87"/>
      <c r="AC1529" s="87"/>
      <c r="AD1529" s="87"/>
      <c r="AE1529" s="87"/>
      <c r="AF1529" s="87"/>
      <c r="AG1529" s="87"/>
      <c r="AH1529" s="87"/>
      <c r="AI1529" s="87"/>
      <c r="AJ1529" s="87"/>
      <c r="AK1529" s="87"/>
      <c r="AL1529" s="87"/>
      <c r="AM1529" s="87"/>
      <c r="AN1529" s="87"/>
      <c r="AO1529" s="87"/>
      <c r="AP1529" s="87"/>
      <c r="AQ1529" s="87"/>
      <c r="AR1529" s="87"/>
      <c r="AS1529" s="87"/>
      <c r="AT1529" s="87"/>
      <c r="AU1529" s="87"/>
      <c r="AV1529" s="87"/>
      <c r="AW1529" s="87"/>
      <c r="AX1529" s="87"/>
      <c r="AY1529" s="87"/>
      <c r="AZ1529" s="87"/>
      <c r="BA1529" s="87"/>
      <c r="BB1529" s="87"/>
      <c r="BC1529" s="87"/>
      <c r="BD1529" s="87"/>
      <c r="BE1529" s="87"/>
      <c r="BF1529" s="87"/>
      <c r="BG1529" s="87"/>
      <c r="BH1529" s="87"/>
      <c r="BI1529" s="87"/>
      <c r="BJ1529" s="87"/>
      <c r="BK1529" s="87"/>
      <c r="BL1529" s="87"/>
      <c r="BM1529" s="87"/>
      <c r="BN1529" s="87"/>
      <c r="BO1529" s="87"/>
      <c r="BP1529" s="87"/>
      <c r="BQ1529" s="87"/>
      <c r="BR1529" s="87"/>
      <c r="BS1529" s="87"/>
      <c r="BT1529" s="87"/>
      <c r="BU1529" s="87"/>
      <c r="BV1529" s="87"/>
      <c r="BW1529" s="87"/>
      <c r="BX1529" s="87"/>
      <c r="BY1529" s="87"/>
    </row>
    <row r="1530" spans="21:77" x14ac:dyDescent="0.3">
      <c r="U1530" s="19"/>
      <c r="V1530" s="87"/>
      <c r="W1530" s="87"/>
      <c r="X1530" s="87"/>
      <c r="Y1530" s="87"/>
      <c r="Z1530" s="87"/>
      <c r="AA1530" s="87"/>
      <c r="AB1530" s="87"/>
      <c r="AC1530" s="87"/>
      <c r="AD1530" s="87"/>
      <c r="AE1530" s="87"/>
      <c r="AF1530" s="87"/>
      <c r="AG1530" s="87"/>
      <c r="AH1530" s="87"/>
      <c r="AI1530" s="87"/>
      <c r="AJ1530" s="87"/>
      <c r="AK1530" s="87"/>
      <c r="AL1530" s="87"/>
      <c r="AM1530" s="87"/>
      <c r="AN1530" s="87"/>
      <c r="AO1530" s="87"/>
      <c r="AP1530" s="87"/>
      <c r="AQ1530" s="87"/>
      <c r="AR1530" s="87"/>
      <c r="AS1530" s="87"/>
      <c r="AT1530" s="87"/>
      <c r="AU1530" s="87"/>
      <c r="AV1530" s="87"/>
      <c r="AW1530" s="87"/>
      <c r="AX1530" s="87"/>
      <c r="AY1530" s="87"/>
      <c r="AZ1530" s="87"/>
      <c r="BA1530" s="87"/>
      <c r="BB1530" s="87"/>
      <c r="BC1530" s="87"/>
      <c r="BD1530" s="87"/>
      <c r="BE1530" s="87"/>
      <c r="BF1530" s="87"/>
      <c r="BG1530" s="87"/>
      <c r="BH1530" s="87"/>
      <c r="BI1530" s="87"/>
      <c r="BJ1530" s="87"/>
      <c r="BK1530" s="87"/>
      <c r="BL1530" s="87"/>
      <c r="BM1530" s="87"/>
      <c r="BN1530" s="87"/>
      <c r="BO1530" s="87"/>
      <c r="BP1530" s="87"/>
      <c r="BQ1530" s="87"/>
      <c r="BR1530" s="87"/>
      <c r="BS1530" s="87"/>
      <c r="BT1530" s="87"/>
      <c r="BU1530" s="87"/>
      <c r="BV1530" s="87"/>
      <c r="BW1530" s="87"/>
      <c r="BX1530" s="87"/>
      <c r="BY1530" s="87"/>
    </row>
    <row r="1531" spans="21:77" x14ac:dyDescent="0.3">
      <c r="U1531" s="19"/>
      <c r="V1531" s="87"/>
      <c r="W1531" s="87"/>
      <c r="X1531" s="87"/>
      <c r="Y1531" s="87"/>
      <c r="Z1531" s="87"/>
      <c r="AA1531" s="87"/>
      <c r="AB1531" s="87"/>
      <c r="AC1531" s="87"/>
      <c r="AD1531" s="87"/>
      <c r="AE1531" s="87"/>
      <c r="AF1531" s="87"/>
      <c r="AG1531" s="87"/>
      <c r="AH1531" s="87"/>
      <c r="AI1531" s="87"/>
      <c r="AJ1531" s="87"/>
      <c r="AK1531" s="87"/>
      <c r="AL1531" s="87"/>
      <c r="AM1531" s="87"/>
      <c r="AN1531" s="87"/>
      <c r="AO1531" s="87"/>
      <c r="AP1531" s="87"/>
      <c r="AQ1531" s="87"/>
      <c r="AR1531" s="87"/>
      <c r="AS1531" s="87"/>
      <c r="AT1531" s="87"/>
      <c r="AU1531" s="87"/>
      <c r="AV1531" s="87"/>
      <c r="AW1531" s="87"/>
      <c r="AX1531" s="87"/>
      <c r="AY1531" s="87"/>
      <c r="AZ1531" s="87"/>
      <c r="BA1531" s="87"/>
      <c r="BB1531" s="87"/>
      <c r="BC1531" s="87"/>
      <c r="BD1531" s="87"/>
      <c r="BE1531" s="87"/>
      <c r="BF1531" s="87"/>
      <c r="BG1531" s="87"/>
      <c r="BH1531" s="87"/>
      <c r="BI1531" s="87"/>
      <c r="BJ1531" s="87"/>
      <c r="BK1531" s="87"/>
      <c r="BL1531" s="87"/>
      <c r="BM1531" s="87"/>
      <c r="BN1531" s="87"/>
      <c r="BO1531" s="87"/>
      <c r="BP1531" s="87"/>
      <c r="BQ1531" s="87"/>
      <c r="BR1531" s="87"/>
      <c r="BS1531" s="87"/>
      <c r="BT1531" s="87"/>
      <c r="BU1531" s="87"/>
      <c r="BV1531" s="87"/>
      <c r="BW1531" s="87"/>
      <c r="BX1531" s="87"/>
      <c r="BY1531" s="87"/>
    </row>
    <row r="1532" spans="21:77" x14ac:dyDescent="0.3">
      <c r="U1532" s="19"/>
      <c r="V1532" s="87"/>
      <c r="W1532" s="87"/>
      <c r="X1532" s="87"/>
      <c r="Y1532" s="87"/>
      <c r="Z1532" s="87"/>
      <c r="AA1532" s="87"/>
      <c r="AB1532" s="87"/>
      <c r="AC1532" s="87"/>
      <c r="AD1532" s="87"/>
      <c r="AE1532" s="87"/>
      <c r="AF1532" s="87"/>
      <c r="AG1532" s="87"/>
      <c r="AH1532" s="87"/>
      <c r="AI1532" s="87"/>
      <c r="AJ1532" s="87"/>
      <c r="AK1532" s="87"/>
      <c r="AL1532" s="87"/>
      <c r="AM1532" s="87"/>
      <c r="AN1532" s="87"/>
      <c r="AO1532" s="87"/>
      <c r="AP1532" s="87"/>
      <c r="AQ1532" s="87"/>
      <c r="AR1532" s="87"/>
      <c r="AS1532" s="87"/>
      <c r="AT1532" s="87"/>
      <c r="AU1532" s="87"/>
      <c r="AV1532" s="87"/>
      <c r="AW1532" s="87"/>
      <c r="AX1532" s="87"/>
      <c r="AY1532" s="87"/>
      <c r="AZ1532" s="87"/>
      <c r="BA1532" s="87"/>
      <c r="BB1532" s="87"/>
      <c r="BC1532" s="87"/>
      <c r="BD1532" s="87"/>
      <c r="BE1532" s="87"/>
      <c r="BF1532" s="87"/>
      <c r="BG1532" s="87"/>
      <c r="BH1532" s="87"/>
      <c r="BI1532" s="87"/>
      <c r="BJ1532" s="87"/>
      <c r="BK1532" s="87"/>
      <c r="BL1532" s="87"/>
      <c r="BM1532" s="87"/>
      <c r="BN1532" s="87"/>
      <c r="BO1532" s="87"/>
      <c r="BP1532" s="87"/>
      <c r="BQ1532" s="87"/>
      <c r="BR1532" s="87"/>
      <c r="BS1532" s="87"/>
      <c r="BT1532" s="87"/>
      <c r="BU1532" s="87"/>
      <c r="BV1532" s="87"/>
      <c r="BW1532" s="87"/>
      <c r="BX1532" s="87"/>
      <c r="BY1532" s="87"/>
    </row>
    <row r="1533" spans="21:77" x14ac:dyDescent="0.3">
      <c r="U1533" s="19"/>
      <c r="V1533" s="87"/>
      <c r="W1533" s="87"/>
      <c r="X1533" s="87"/>
      <c r="Y1533" s="87"/>
      <c r="Z1533" s="87"/>
      <c r="AA1533" s="87"/>
      <c r="AB1533" s="87"/>
      <c r="AC1533" s="87"/>
      <c r="AD1533" s="87"/>
      <c r="AE1533" s="87"/>
      <c r="AF1533" s="87"/>
      <c r="AG1533" s="87"/>
      <c r="AH1533" s="87"/>
      <c r="AI1533" s="87"/>
      <c r="AJ1533" s="87"/>
      <c r="AK1533" s="87"/>
      <c r="AL1533" s="87"/>
      <c r="AM1533" s="87"/>
      <c r="AN1533" s="87"/>
      <c r="AO1533" s="87"/>
      <c r="AP1533" s="87"/>
      <c r="AQ1533" s="87"/>
      <c r="AR1533" s="87"/>
      <c r="AS1533" s="87"/>
      <c r="AT1533" s="87"/>
      <c r="AU1533" s="87"/>
      <c r="AV1533" s="87"/>
      <c r="AW1533" s="87"/>
      <c r="AX1533" s="87"/>
      <c r="AY1533" s="87"/>
      <c r="AZ1533" s="87"/>
      <c r="BA1533" s="87"/>
      <c r="BB1533" s="87"/>
      <c r="BC1533" s="87"/>
      <c r="BD1533" s="87"/>
      <c r="BE1533" s="87"/>
      <c r="BF1533" s="87"/>
      <c r="BG1533" s="87"/>
      <c r="BH1533" s="87"/>
      <c r="BI1533" s="87"/>
      <c r="BJ1533" s="87"/>
      <c r="BK1533" s="87"/>
      <c r="BL1533" s="87"/>
      <c r="BM1533" s="87"/>
      <c r="BN1533" s="87"/>
      <c r="BO1533" s="87"/>
      <c r="BP1533" s="87"/>
      <c r="BQ1533" s="87"/>
      <c r="BR1533" s="87"/>
      <c r="BS1533" s="87"/>
      <c r="BT1533" s="87"/>
      <c r="BU1533" s="87"/>
      <c r="BV1533" s="87"/>
      <c r="BW1533" s="87"/>
      <c r="BX1533" s="87"/>
      <c r="BY1533" s="87"/>
    </row>
    <row r="1534" spans="21:77" x14ac:dyDescent="0.3">
      <c r="U1534" s="19"/>
      <c r="V1534" s="87"/>
      <c r="W1534" s="87"/>
      <c r="X1534" s="87"/>
      <c r="Y1534" s="87"/>
      <c r="Z1534" s="87"/>
      <c r="AA1534" s="87"/>
      <c r="AB1534" s="87"/>
      <c r="AC1534" s="87"/>
      <c r="AD1534" s="87"/>
      <c r="AE1534" s="87"/>
      <c r="AF1534" s="87"/>
      <c r="AG1534" s="87"/>
      <c r="AH1534" s="87"/>
      <c r="AI1534" s="87"/>
      <c r="AJ1534" s="87"/>
      <c r="AK1534" s="87"/>
      <c r="AL1534" s="87"/>
      <c r="AM1534" s="87"/>
      <c r="AN1534" s="87"/>
      <c r="AO1534" s="87"/>
      <c r="AP1534" s="87"/>
      <c r="AQ1534" s="87"/>
      <c r="AR1534" s="87"/>
      <c r="AS1534" s="87"/>
      <c r="AT1534" s="87"/>
      <c r="AU1534" s="87"/>
      <c r="AV1534" s="87"/>
      <c r="AW1534" s="87"/>
      <c r="AX1534" s="87"/>
      <c r="AY1534" s="87"/>
      <c r="AZ1534" s="87"/>
      <c r="BA1534" s="87"/>
      <c r="BB1534" s="87"/>
      <c r="BC1534" s="87"/>
      <c r="BD1534" s="87"/>
      <c r="BE1534" s="87"/>
      <c r="BF1534" s="87"/>
      <c r="BG1534" s="87"/>
      <c r="BH1534" s="87"/>
      <c r="BI1534" s="87"/>
      <c r="BJ1534" s="87"/>
      <c r="BK1534" s="87"/>
      <c r="BL1534" s="87"/>
      <c r="BM1534" s="87"/>
      <c r="BN1534" s="87"/>
      <c r="BO1534" s="87"/>
      <c r="BP1534" s="87"/>
      <c r="BQ1534" s="87"/>
      <c r="BR1534" s="87"/>
      <c r="BS1534" s="87"/>
      <c r="BT1534" s="87"/>
      <c r="BU1534" s="87"/>
      <c r="BV1534" s="87"/>
      <c r="BW1534" s="87"/>
      <c r="BX1534" s="87"/>
      <c r="BY1534" s="87"/>
    </row>
    <row r="1535" spans="21:77" x14ac:dyDescent="0.3">
      <c r="U1535" s="19"/>
      <c r="V1535" s="87"/>
      <c r="W1535" s="87"/>
      <c r="X1535" s="87"/>
      <c r="Y1535" s="87"/>
      <c r="Z1535" s="87"/>
      <c r="AA1535" s="87"/>
      <c r="AB1535" s="87"/>
      <c r="AC1535" s="87"/>
      <c r="AD1535" s="87"/>
      <c r="AE1535" s="87"/>
      <c r="AF1535" s="87"/>
      <c r="AG1535" s="87"/>
      <c r="AH1535" s="87"/>
      <c r="AI1535" s="87"/>
      <c r="AJ1535" s="87"/>
      <c r="AK1535" s="87"/>
      <c r="AL1535" s="87"/>
      <c r="AM1535" s="87"/>
      <c r="AN1535" s="87"/>
      <c r="AO1535" s="87"/>
      <c r="AP1535" s="87"/>
      <c r="AQ1535" s="87"/>
      <c r="AR1535" s="87"/>
      <c r="AS1535" s="87"/>
      <c r="AT1535" s="87"/>
      <c r="AU1535" s="87"/>
      <c r="AV1535" s="87"/>
      <c r="AW1535" s="87"/>
      <c r="AX1535" s="87"/>
      <c r="AY1535" s="87"/>
      <c r="AZ1535" s="87"/>
      <c r="BA1535" s="87"/>
      <c r="BB1535" s="87"/>
      <c r="BC1535" s="87"/>
      <c r="BD1535" s="87"/>
      <c r="BE1535" s="87"/>
      <c r="BF1535" s="87"/>
      <c r="BG1535" s="87"/>
      <c r="BH1535" s="87"/>
      <c r="BI1535" s="87"/>
      <c r="BJ1535" s="87"/>
      <c r="BK1535" s="87"/>
      <c r="BL1535" s="87"/>
      <c r="BM1535" s="87"/>
      <c r="BN1535" s="87"/>
      <c r="BO1535" s="87"/>
      <c r="BP1535" s="87"/>
      <c r="BQ1535" s="87"/>
      <c r="BR1535" s="87"/>
      <c r="BS1535" s="87"/>
      <c r="BT1535" s="87"/>
      <c r="BU1535" s="87"/>
      <c r="BV1535" s="87"/>
      <c r="BW1535" s="87"/>
      <c r="BX1535" s="87"/>
      <c r="BY1535" s="87"/>
    </row>
    <row r="1536" spans="21:77" x14ac:dyDescent="0.3">
      <c r="U1536" s="19"/>
      <c r="V1536" s="87"/>
      <c r="W1536" s="87"/>
      <c r="X1536" s="87"/>
      <c r="Y1536" s="87"/>
      <c r="Z1536" s="87"/>
      <c r="AA1536" s="87"/>
      <c r="AB1536" s="87"/>
      <c r="AC1536" s="87"/>
      <c r="AD1536" s="87"/>
      <c r="AE1536" s="87"/>
      <c r="AF1536" s="87"/>
      <c r="AG1536" s="87"/>
      <c r="AH1536" s="87"/>
      <c r="AI1536" s="87"/>
      <c r="AJ1536" s="87"/>
      <c r="AK1536" s="87"/>
      <c r="AL1536" s="87"/>
      <c r="AM1536" s="87"/>
      <c r="AN1536" s="87"/>
      <c r="AO1536" s="87"/>
      <c r="AP1536" s="87"/>
      <c r="AQ1536" s="87"/>
      <c r="AR1536" s="87"/>
      <c r="AS1536" s="87"/>
      <c r="AT1536" s="87"/>
      <c r="AU1536" s="87"/>
      <c r="AV1536" s="87"/>
      <c r="AW1536" s="87"/>
      <c r="AX1536" s="87"/>
      <c r="AY1536" s="87"/>
      <c r="AZ1536" s="87"/>
      <c r="BA1536" s="87"/>
      <c r="BB1536" s="87"/>
      <c r="BC1536" s="87"/>
      <c r="BD1536" s="87"/>
      <c r="BE1536" s="87"/>
      <c r="BF1536" s="87"/>
      <c r="BG1536" s="87"/>
      <c r="BH1536" s="87"/>
      <c r="BI1536" s="87"/>
      <c r="BJ1536" s="87"/>
      <c r="BK1536" s="87"/>
      <c r="BL1536" s="87"/>
      <c r="BM1536" s="87"/>
      <c r="BN1536" s="87"/>
      <c r="BO1536" s="87"/>
      <c r="BP1536" s="87"/>
      <c r="BQ1536" s="87"/>
      <c r="BR1536" s="87"/>
      <c r="BS1536" s="87"/>
      <c r="BT1536" s="87"/>
      <c r="BU1536" s="87"/>
      <c r="BV1536" s="87"/>
      <c r="BW1536" s="87"/>
      <c r="BX1536" s="87"/>
      <c r="BY1536" s="87"/>
    </row>
    <row r="1537" spans="21:77" x14ac:dyDescent="0.3">
      <c r="U1537" s="19"/>
      <c r="V1537" s="87"/>
      <c r="W1537" s="87"/>
      <c r="X1537" s="87"/>
      <c r="Y1537" s="87"/>
      <c r="Z1537" s="87"/>
      <c r="AA1537" s="87"/>
      <c r="AB1537" s="87"/>
      <c r="AC1537" s="87"/>
      <c r="AD1537" s="87"/>
      <c r="AE1537" s="87"/>
      <c r="AF1537" s="87"/>
      <c r="AG1537" s="87"/>
      <c r="AH1537" s="87"/>
      <c r="AI1537" s="87"/>
      <c r="AJ1537" s="87"/>
      <c r="AK1537" s="87"/>
      <c r="AL1537" s="87"/>
      <c r="AM1537" s="87"/>
      <c r="AN1537" s="87"/>
      <c r="AO1537" s="87"/>
      <c r="AP1537" s="87"/>
      <c r="AQ1537" s="87"/>
      <c r="AR1537" s="87"/>
      <c r="AS1537" s="87"/>
      <c r="AT1537" s="87"/>
      <c r="AU1537" s="87"/>
      <c r="AV1537" s="87"/>
      <c r="AW1537" s="87"/>
      <c r="AX1537" s="87"/>
      <c r="AY1537" s="87"/>
      <c r="AZ1537" s="87"/>
      <c r="BA1537" s="87"/>
      <c r="BB1537" s="87"/>
      <c r="BC1537" s="87"/>
      <c r="BD1537" s="87"/>
      <c r="BE1537" s="87"/>
      <c r="BF1537" s="87"/>
      <c r="BG1537" s="87"/>
      <c r="BH1537" s="87"/>
      <c r="BI1537" s="87"/>
      <c r="BJ1537" s="87"/>
      <c r="BK1537" s="87"/>
      <c r="BL1537" s="87"/>
      <c r="BM1537" s="87"/>
      <c r="BN1537" s="87"/>
      <c r="BO1537" s="87"/>
      <c r="BP1537" s="87"/>
      <c r="BQ1537" s="87"/>
      <c r="BR1537" s="87"/>
      <c r="BS1537" s="87"/>
      <c r="BT1537" s="87"/>
      <c r="BU1537" s="87"/>
      <c r="BV1537" s="87"/>
      <c r="BW1537" s="87"/>
      <c r="BX1537" s="87"/>
      <c r="BY1537" s="87"/>
    </row>
    <row r="1538" spans="21:77" x14ac:dyDescent="0.3">
      <c r="U1538" s="19"/>
      <c r="V1538" s="87"/>
      <c r="W1538" s="87"/>
      <c r="X1538" s="87"/>
      <c r="Y1538" s="87"/>
      <c r="Z1538" s="87"/>
      <c r="AA1538" s="87"/>
      <c r="AB1538" s="87"/>
      <c r="AC1538" s="87"/>
      <c r="AD1538" s="87"/>
      <c r="AE1538" s="87"/>
      <c r="AF1538" s="87"/>
      <c r="AG1538" s="87"/>
      <c r="AH1538" s="87"/>
      <c r="AI1538" s="87"/>
      <c r="AJ1538" s="87"/>
      <c r="AK1538" s="87"/>
      <c r="AL1538" s="87"/>
      <c r="AM1538" s="87"/>
      <c r="AN1538" s="87"/>
      <c r="AO1538" s="87"/>
      <c r="AP1538" s="87"/>
      <c r="AQ1538" s="87"/>
      <c r="AR1538" s="87"/>
      <c r="AS1538" s="87"/>
      <c r="AT1538" s="87"/>
      <c r="AU1538" s="87"/>
      <c r="AV1538" s="87"/>
      <c r="AW1538" s="87"/>
      <c r="AX1538" s="87"/>
      <c r="AY1538" s="87"/>
      <c r="AZ1538" s="87"/>
      <c r="BA1538" s="87"/>
      <c r="BB1538" s="87"/>
      <c r="BC1538" s="87"/>
      <c r="BD1538" s="87"/>
      <c r="BE1538" s="87"/>
      <c r="BF1538" s="87"/>
      <c r="BG1538" s="87"/>
      <c r="BH1538" s="87"/>
      <c r="BI1538" s="87"/>
      <c r="BJ1538" s="87"/>
      <c r="BK1538" s="87"/>
      <c r="BL1538" s="87"/>
      <c r="BM1538" s="87"/>
      <c r="BN1538" s="87"/>
      <c r="BO1538" s="87"/>
      <c r="BP1538" s="87"/>
      <c r="BQ1538" s="87"/>
      <c r="BR1538" s="87"/>
      <c r="BS1538" s="87"/>
      <c r="BT1538" s="87"/>
      <c r="BU1538" s="87"/>
      <c r="BV1538" s="87"/>
      <c r="BW1538" s="87"/>
      <c r="BX1538" s="87"/>
      <c r="BY1538" s="87"/>
    </row>
    <row r="1539" spans="21:77" x14ac:dyDescent="0.3">
      <c r="U1539" s="19"/>
      <c r="V1539" s="87"/>
      <c r="W1539" s="87"/>
      <c r="X1539" s="87"/>
      <c r="Y1539" s="87"/>
      <c r="Z1539" s="87"/>
      <c r="AA1539" s="87"/>
      <c r="AB1539" s="87"/>
      <c r="AC1539" s="87"/>
      <c r="AD1539" s="87"/>
      <c r="AE1539" s="87"/>
      <c r="AF1539" s="87"/>
      <c r="AG1539" s="87"/>
      <c r="AH1539" s="87"/>
      <c r="AI1539" s="87"/>
      <c r="AJ1539" s="87"/>
      <c r="AK1539" s="87"/>
      <c r="AL1539" s="87"/>
      <c r="AM1539" s="87"/>
      <c r="AN1539" s="87"/>
      <c r="AO1539" s="87"/>
      <c r="AP1539" s="87"/>
      <c r="AQ1539" s="87"/>
      <c r="AR1539" s="87"/>
      <c r="AS1539" s="87"/>
      <c r="AT1539" s="87"/>
      <c r="AU1539" s="87"/>
      <c r="AV1539" s="87"/>
      <c r="AW1539" s="87"/>
      <c r="AX1539" s="87"/>
      <c r="AY1539" s="87"/>
      <c r="AZ1539" s="87"/>
      <c r="BA1539" s="87"/>
      <c r="BB1539" s="87"/>
      <c r="BC1539" s="87"/>
      <c r="BD1539" s="87"/>
      <c r="BE1539" s="87"/>
      <c r="BF1539" s="87"/>
      <c r="BG1539" s="87"/>
      <c r="BH1539" s="87"/>
      <c r="BI1539" s="87"/>
      <c r="BJ1539" s="87"/>
      <c r="BK1539" s="87"/>
      <c r="BL1539" s="87"/>
      <c r="BM1539" s="87"/>
      <c r="BN1539" s="87"/>
      <c r="BO1539" s="87"/>
      <c r="BP1539" s="87"/>
      <c r="BQ1539" s="87"/>
      <c r="BR1539" s="87"/>
      <c r="BS1539" s="87"/>
      <c r="BT1539" s="87"/>
      <c r="BU1539" s="87"/>
      <c r="BV1539" s="87"/>
      <c r="BW1539" s="87"/>
      <c r="BX1539" s="87"/>
      <c r="BY1539" s="87"/>
    </row>
    <row r="1540" spans="21:77" x14ac:dyDescent="0.3">
      <c r="U1540" s="19"/>
      <c r="V1540" s="87"/>
      <c r="W1540" s="87"/>
      <c r="X1540" s="87"/>
      <c r="Y1540" s="87"/>
      <c r="Z1540" s="87"/>
      <c r="AA1540" s="87"/>
      <c r="AB1540" s="87"/>
      <c r="AC1540" s="87"/>
      <c r="AD1540" s="87"/>
      <c r="AE1540" s="87"/>
      <c r="AF1540" s="87"/>
      <c r="AG1540" s="87"/>
      <c r="AH1540" s="87"/>
      <c r="AI1540" s="87"/>
      <c r="AJ1540" s="87"/>
      <c r="AK1540" s="87"/>
      <c r="AL1540" s="87"/>
      <c r="AM1540" s="87"/>
      <c r="AN1540" s="87"/>
      <c r="AO1540" s="87"/>
      <c r="AP1540" s="87"/>
      <c r="AQ1540" s="87"/>
      <c r="AR1540" s="87"/>
      <c r="AS1540" s="87"/>
      <c r="AT1540" s="87"/>
      <c r="AU1540" s="87"/>
      <c r="AV1540" s="87"/>
      <c r="AW1540" s="87"/>
      <c r="AX1540" s="87"/>
      <c r="AY1540" s="87"/>
      <c r="AZ1540" s="87"/>
      <c r="BA1540" s="87"/>
      <c r="BB1540" s="87"/>
      <c r="BC1540" s="87"/>
      <c r="BD1540" s="87"/>
      <c r="BE1540" s="87"/>
      <c r="BF1540" s="87"/>
      <c r="BG1540" s="87"/>
      <c r="BH1540" s="87"/>
      <c r="BI1540" s="87"/>
      <c r="BJ1540" s="87"/>
      <c r="BK1540" s="87"/>
      <c r="BL1540" s="87"/>
      <c r="BM1540" s="87"/>
      <c r="BN1540" s="87"/>
      <c r="BO1540" s="87"/>
      <c r="BP1540" s="87"/>
      <c r="BQ1540" s="87"/>
      <c r="BR1540" s="87"/>
      <c r="BS1540" s="87"/>
      <c r="BT1540" s="87"/>
      <c r="BU1540" s="87"/>
      <c r="BV1540" s="87"/>
      <c r="BW1540" s="87"/>
      <c r="BX1540" s="87"/>
      <c r="BY1540" s="87"/>
    </row>
    <row r="1541" spans="21:77" x14ac:dyDescent="0.3">
      <c r="U1541" s="19"/>
      <c r="V1541" s="87"/>
      <c r="W1541" s="87"/>
      <c r="X1541" s="87"/>
      <c r="Y1541" s="87"/>
      <c r="Z1541" s="87"/>
      <c r="AA1541" s="87"/>
      <c r="AB1541" s="87"/>
      <c r="AC1541" s="87"/>
      <c r="AD1541" s="87"/>
      <c r="AE1541" s="87"/>
      <c r="AF1541" s="87"/>
      <c r="AG1541" s="87"/>
      <c r="AH1541" s="87"/>
      <c r="AI1541" s="87"/>
      <c r="AJ1541" s="87"/>
      <c r="AK1541" s="87"/>
      <c r="AL1541" s="87"/>
      <c r="AM1541" s="87"/>
      <c r="AN1541" s="87"/>
      <c r="AO1541" s="87"/>
      <c r="AP1541" s="87"/>
      <c r="AQ1541" s="87"/>
      <c r="AR1541" s="87"/>
      <c r="AS1541" s="87"/>
      <c r="AT1541" s="87"/>
      <c r="AU1541" s="87"/>
      <c r="AV1541" s="87"/>
      <c r="AW1541" s="87"/>
      <c r="AX1541" s="87"/>
      <c r="AY1541" s="87"/>
      <c r="AZ1541" s="87"/>
      <c r="BA1541" s="87"/>
      <c r="BB1541" s="87"/>
      <c r="BC1541" s="87"/>
      <c r="BD1541" s="87"/>
      <c r="BE1541" s="87"/>
      <c r="BF1541" s="87"/>
      <c r="BG1541" s="87"/>
      <c r="BH1541" s="87"/>
      <c r="BI1541" s="87"/>
      <c r="BJ1541" s="87"/>
      <c r="BK1541" s="87"/>
      <c r="BL1541" s="87"/>
      <c r="BM1541" s="87"/>
      <c r="BN1541" s="87"/>
      <c r="BO1541" s="87"/>
      <c r="BP1541" s="87"/>
      <c r="BQ1541" s="87"/>
      <c r="BR1541" s="87"/>
      <c r="BS1541" s="87"/>
      <c r="BT1541" s="87"/>
      <c r="BU1541" s="87"/>
      <c r="BV1541" s="87"/>
      <c r="BW1541" s="87"/>
      <c r="BX1541" s="87"/>
      <c r="BY1541" s="87"/>
    </row>
    <row r="1542" spans="21:77" x14ac:dyDescent="0.3">
      <c r="U1542" s="19"/>
      <c r="V1542" s="87"/>
      <c r="W1542" s="87"/>
      <c r="X1542" s="87"/>
      <c r="Y1542" s="87"/>
      <c r="Z1542" s="87"/>
      <c r="AA1542" s="87"/>
      <c r="AB1542" s="87"/>
      <c r="AC1542" s="87"/>
      <c r="AD1542" s="87"/>
      <c r="AE1542" s="87"/>
      <c r="AF1542" s="87"/>
      <c r="AG1542" s="87"/>
      <c r="AH1542" s="87"/>
      <c r="AI1542" s="87"/>
      <c r="AJ1542" s="87"/>
      <c r="AK1542" s="87"/>
      <c r="AL1542" s="87"/>
      <c r="AM1542" s="87"/>
      <c r="AN1542" s="87"/>
      <c r="AO1542" s="87"/>
      <c r="AP1542" s="87"/>
      <c r="AQ1542" s="87"/>
      <c r="AR1542" s="87"/>
      <c r="AS1542" s="87"/>
      <c r="AT1542" s="87"/>
      <c r="AU1542" s="87"/>
      <c r="AV1542" s="87"/>
      <c r="AW1542" s="87"/>
      <c r="AX1542" s="87"/>
      <c r="AY1542" s="87"/>
      <c r="AZ1542" s="87"/>
      <c r="BA1542" s="87"/>
      <c r="BB1542" s="87"/>
      <c r="BC1542" s="87"/>
      <c r="BD1542" s="87"/>
      <c r="BE1542" s="87"/>
      <c r="BF1542" s="87"/>
      <c r="BG1542" s="87"/>
      <c r="BH1542" s="87"/>
      <c r="BI1542" s="87"/>
      <c r="BJ1542" s="87"/>
      <c r="BK1542" s="87"/>
      <c r="BL1542" s="87"/>
      <c r="BM1542" s="87"/>
      <c r="BN1542" s="87"/>
      <c r="BO1542" s="87"/>
      <c r="BP1542" s="87"/>
      <c r="BQ1542" s="87"/>
      <c r="BR1542" s="87"/>
      <c r="BS1542" s="87"/>
      <c r="BT1542" s="87"/>
      <c r="BU1542" s="87"/>
      <c r="BV1542" s="87"/>
      <c r="BW1542" s="87"/>
      <c r="BX1542" s="87"/>
      <c r="BY1542" s="87"/>
    </row>
    <row r="1543" spans="21:77" x14ac:dyDescent="0.3">
      <c r="U1543" s="19"/>
      <c r="V1543" s="87"/>
      <c r="W1543" s="87"/>
      <c r="X1543" s="87"/>
      <c r="Y1543" s="87"/>
      <c r="Z1543" s="87"/>
      <c r="AA1543" s="87"/>
      <c r="AB1543" s="87"/>
      <c r="AC1543" s="87"/>
      <c r="AD1543" s="87"/>
      <c r="AE1543" s="87"/>
      <c r="AF1543" s="87"/>
      <c r="AG1543" s="87"/>
      <c r="AH1543" s="87"/>
      <c r="AI1543" s="87"/>
      <c r="AJ1543" s="87"/>
      <c r="AK1543" s="87"/>
      <c r="AL1543" s="87"/>
      <c r="AM1543" s="87"/>
      <c r="AN1543" s="87"/>
      <c r="AO1543" s="87"/>
      <c r="AP1543" s="87"/>
      <c r="AQ1543" s="87"/>
      <c r="AR1543" s="87"/>
      <c r="AS1543" s="87"/>
      <c r="AT1543" s="87"/>
      <c r="AU1543" s="87"/>
      <c r="AV1543" s="87"/>
      <c r="AW1543" s="87"/>
      <c r="AX1543" s="87"/>
      <c r="AY1543" s="87"/>
      <c r="AZ1543" s="87"/>
      <c r="BA1543" s="87"/>
      <c r="BB1543" s="87"/>
      <c r="BC1543" s="87"/>
      <c r="BD1543" s="87"/>
      <c r="BE1543" s="87"/>
      <c r="BF1543" s="87"/>
      <c r="BG1543" s="87"/>
      <c r="BH1543" s="87"/>
      <c r="BI1543" s="87"/>
      <c r="BJ1543" s="87"/>
      <c r="BK1543" s="87"/>
      <c r="BL1543" s="87"/>
      <c r="BM1543" s="87"/>
      <c r="BN1543" s="87"/>
      <c r="BO1543" s="87"/>
      <c r="BP1543" s="87"/>
      <c r="BQ1543" s="87"/>
      <c r="BR1543" s="87"/>
      <c r="BS1543" s="87"/>
      <c r="BT1543" s="87"/>
      <c r="BU1543" s="87"/>
      <c r="BV1543" s="87"/>
      <c r="BW1543" s="87"/>
      <c r="BX1543" s="87"/>
      <c r="BY1543" s="87"/>
    </row>
    <row r="1544" spans="21:77" x14ac:dyDescent="0.3">
      <c r="U1544" s="19"/>
      <c r="V1544" s="87"/>
      <c r="W1544" s="87"/>
      <c r="X1544" s="87"/>
      <c r="Y1544" s="87"/>
      <c r="Z1544" s="87"/>
      <c r="AA1544" s="87"/>
      <c r="AB1544" s="87"/>
      <c r="AC1544" s="87"/>
      <c r="AD1544" s="87"/>
      <c r="AE1544" s="87"/>
      <c r="AF1544" s="87"/>
      <c r="AG1544" s="87"/>
      <c r="AH1544" s="87"/>
      <c r="AI1544" s="87"/>
      <c r="AJ1544" s="87"/>
      <c r="AK1544" s="87"/>
      <c r="AL1544" s="87"/>
      <c r="AM1544" s="87"/>
      <c r="AN1544" s="87"/>
      <c r="AO1544" s="87"/>
      <c r="AP1544" s="87"/>
      <c r="AQ1544" s="87"/>
      <c r="AR1544" s="87"/>
      <c r="AS1544" s="87"/>
      <c r="AT1544" s="87"/>
      <c r="AU1544" s="87"/>
      <c r="AV1544" s="87"/>
      <c r="AW1544" s="87"/>
      <c r="AX1544" s="87"/>
      <c r="AY1544" s="87"/>
      <c r="AZ1544" s="87"/>
      <c r="BA1544" s="87"/>
      <c r="BB1544" s="87"/>
      <c r="BC1544" s="87"/>
      <c r="BD1544" s="87"/>
      <c r="BE1544" s="87"/>
      <c r="BF1544" s="87"/>
      <c r="BG1544" s="87"/>
      <c r="BH1544" s="87"/>
      <c r="BI1544" s="87"/>
      <c r="BJ1544" s="87"/>
      <c r="BK1544" s="87"/>
      <c r="BL1544" s="87"/>
      <c r="BM1544" s="87"/>
      <c r="BN1544" s="87"/>
      <c r="BO1544" s="87"/>
      <c r="BP1544" s="87"/>
      <c r="BQ1544" s="87"/>
      <c r="BR1544" s="87"/>
      <c r="BS1544" s="87"/>
      <c r="BT1544" s="87"/>
      <c r="BU1544" s="87"/>
      <c r="BV1544" s="87"/>
      <c r="BW1544" s="87"/>
      <c r="BX1544" s="87"/>
      <c r="BY1544" s="87"/>
    </row>
    <row r="1545" spans="21:77" x14ac:dyDescent="0.3">
      <c r="U1545" s="19"/>
      <c r="V1545" s="87"/>
      <c r="W1545" s="87"/>
      <c r="X1545" s="87"/>
      <c r="Y1545" s="87"/>
      <c r="Z1545" s="87"/>
      <c r="AA1545" s="87"/>
      <c r="AB1545" s="87"/>
      <c r="AC1545" s="87"/>
      <c r="AD1545" s="87"/>
      <c r="AE1545" s="87"/>
      <c r="AF1545" s="87"/>
      <c r="AG1545" s="87"/>
      <c r="AH1545" s="87"/>
      <c r="AI1545" s="87"/>
      <c r="AJ1545" s="87"/>
      <c r="AK1545" s="87"/>
      <c r="AL1545" s="87"/>
      <c r="AM1545" s="87"/>
      <c r="AN1545" s="87"/>
      <c r="AO1545" s="87"/>
      <c r="AP1545" s="87"/>
      <c r="AQ1545" s="87"/>
      <c r="AR1545" s="87"/>
      <c r="AS1545" s="87"/>
      <c r="AT1545" s="87"/>
      <c r="AU1545" s="87"/>
      <c r="AV1545" s="87"/>
      <c r="AW1545" s="87"/>
      <c r="AX1545" s="87"/>
      <c r="AY1545" s="87"/>
      <c r="AZ1545" s="87"/>
      <c r="BA1545" s="87"/>
      <c r="BB1545" s="87"/>
      <c r="BC1545" s="87"/>
      <c r="BD1545" s="87"/>
      <c r="BE1545" s="87"/>
      <c r="BF1545" s="87"/>
      <c r="BG1545" s="87"/>
      <c r="BH1545" s="87"/>
      <c r="BI1545" s="87"/>
      <c r="BJ1545" s="87"/>
      <c r="BK1545" s="87"/>
      <c r="BL1545" s="87"/>
      <c r="BM1545" s="87"/>
      <c r="BN1545" s="87"/>
      <c r="BO1545" s="87"/>
      <c r="BP1545" s="87"/>
      <c r="BQ1545" s="87"/>
      <c r="BR1545" s="87"/>
      <c r="BS1545" s="87"/>
      <c r="BT1545" s="87"/>
      <c r="BU1545" s="87"/>
      <c r="BV1545" s="87"/>
      <c r="BW1545" s="87"/>
      <c r="BX1545" s="87"/>
      <c r="BY1545" s="87"/>
    </row>
    <row r="1546" spans="21:77" x14ac:dyDescent="0.3">
      <c r="U1546" s="19"/>
      <c r="V1546" s="87"/>
      <c r="W1546" s="87"/>
      <c r="X1546" s="87"/>
      <c r="Y1546" s="87"/>
      <c r="Z1546" s="87"/>
      <c r="AA1546" s="87"/>
      <c r="AB1546" s="87"/>
      <c r="AC1546" s="87"/>
      <c r="AD1546" s="87"/>
      <c r="AE1546" s="87"/>
      <c r="AF1546" s="87"/>
      <c r="AG1546" s="87"/>
      <c r="AH1546" s="87"/>
      <c r="AI1546" s="87"/>
      <c r="AJ1546" s="87"/>
      <c r="AK1546" s="87"/>
      <c r="AL1546" s="87"/>
      <c r="AM1546" s="87"/>
      <c r="AN1546" s="87"/>
      <c r="AO1546" s="87"/>
      <c r="AP1546" s="87"/>
      <c r="AQ1546" s="87"/>
      <c r="AR1546" s="87"/>
      <c r="AS1546" s="87"/>
      <c r="AT1546" s="87"/>
      <c r="AU1546" s="87"/>
      <c r="AV1546" s="87"/>
      <c r="AW1546" s="87"/>
      <c r="AX1546" s="87"/>
      <c r="AY1546" s="87"/>
      <c r="AZ1546" s="87"/>
      <c r="BA1546" s="87"/>
      <c r="BB1546" s="87"/>
      <c r="BC1546" s="87"/>
      <c r="BD1546" s="87"/>
      <c r="BE1546" s="87"/>
      <c r="BF1546" s="87"/>
      <c r="BG1546" s="87"/>
      <c r="BH1546" s="87"/>
      <c r="BI1546" s="87"/>
      <c r="BJ1546" s="87"/>
      <c r="BK1546" s="87"/>
      <c r="BL1546" s="87"/>
      <c r="BM1546" s="87"/>
      <c r="BN1546" s="87"/>
      <c r="BO1546" s="87"/>
      <c r="BP1546" s="87"/>
      <c r="BQ1546" s="87"/>
      <c r="BR1546" s="87"/>
      <c r="BS1546" s="87"/>
      <c r="BT1546" s="87"/>
      <c r="BU1546" s="87"/>
      <c r="BV1546" s="87"/>
      <c r="BW1546" s="87"/>
      <c r="BX1546" s="87"/>
      <c r="BY1546" s="87"/>
    </row>
    <row r="1547" spans="21:77" x14ac:dyDescent="0.3">
      <c r="U1547" s="19"/>
      <c r="V1547" s="87"/>
      <c r="W1547" s="87"/>
      <c r="X1547" s="87"/>
      <c r="Y1547" s="87"/>
      <c r="Z1547" s="87"/>
      <c r="AA1547" s="87"/>
      <c r="AB1547" s="87"/>
      <c r="AC1547" s="87"/>
      <c r="AD1547" s="87"/>
      <c r="AE1547" s="87"/>
      <c r="AF1547" s="87"/>
      <c r="AG1547" s="87"/>
      <c r="AH1547" s="87"/>
      <c r="AI1547" s="87"/>
      <c r="AJ1547" s="87"/>
      <c r="AK1547" s="87"/>
      <c r="AL1547" s="87"/>
      <c r="AM1547" s="87"/>
      <c r="AN1547" s="87"/>
      <c r="AO1547" s="87"/>
      <c r="AP1547" s="87"/>
      <c r="AQ1547" s="87"/>
      <c r="AR1547" s="87"/>
      <c r="AS1547" s="87"/>
      <c r="AT1547" s="87"/>
      <c r="AU1547" s="87"/>
      <c r="AV1547" s="87"/>
      <c r="AW1547" s="87"/>
      <c r="AX1547" s="87"/>
      <c r="AY1547" s="87"/>
      <c r="AZ1547" s="87"/>
      <c r="BA1547" s="87"/>
      <c r="BB1547" s="87"/>
      <c r="BC1547" s="87"/>
      <c r="BD1547" s="87"/>
      <c r="BE1547" s="87"/>
      <c r="BF1547" s="87"/>
      <c r="BG1547" s="87"/>
      <c r="BH1547" s="87"/>
      <c r="BI1547" s="87"/>
      <c r="BJ1547" s="87"/>
      <c r="BK1547" s="87"/>
      <c r="BL1547" s="87"/>
      <c r="BM1547" s="87"/>
      <c r="BN1547" s="87"/>
      <c r="BO1547" s="87"/>
      <c r="BP1547" s="87"/>
      <c r="BQ1547" s="87"/>
      <c r="BR1547" s="87"/>
      <c r="BS1547" s="87"/>
      <c r="BT1547" s="87"/>
      <c r="BU1547" s="87"/>
      <c r="BV1547" s="87"/>
      <c r="BW1547" s="87"/>
      <c r="BX1547" s="87"/>
      <c r="BY1547" s="87"/>
    </row>
    <row r="1548" spans="21:77" x14ac:dyDescent="0.3">
      <c r="U1548" s="19"/>
      <c r="V1548" s="87"/>
      <c r="W1548" s="87"/>
      <c r="X1548" s="87"/>
      <c r="Y1548" s="87"/>
      <c r="Z1548" s="87"/>
      <c r="AA1548" s="87"/>
      <c r="AB1548" s="87"/>
      <c r="AC1548" s="87"/>
      <c r="AD1548" s="87"/>
      <c r="AE1548" s="87"/>
      <c r="AF1548" s="87"/>
      <c r="AG1548" s="87"/>
      <c r="AH1548" s="87"/>
      <c r="AI1548" s="87"/>
      <c r="AJ1548" s="87"/>
      <c r="AK1548" s="87"/>
      <c r="AL1548" s="87"/>
      <c r="AM1548" s="87"/>
      <c r="AN1548" s="87"/>
      <c r="AO1548" s="87"/>
      <c r="AP1548" s="87"/>
      <c r="AQ1548" s="87"/>
      <c r="AR1548" s="87"/>
      <c r="AS1548" s="87"/>
      <c r="AT1548" s="87"/>
      <c r="AU1548" s="87"/>
      <c r="AV1548" s="87"/>
      <c r="AW1548" s="87"/>
      <c r="AX1548" s="87"/>
      <c r="AY1548" s="87"/>
      <c r="AZ1548" s="87"/>
      <c r="BA1548" s="87"/>
      <c r="BB1548" s="87"/>
      <c r="BC1548" s="87"/>
      <c r="BD1548" s="87"/>
      <c r="BE1548" s="87"/>
      <c r="BF1548" s="87"/>
      <c r="BG1548" s="87"/>
      <c r="BH1548" s="87"/>
      <c r="BI1548" s="87"/>
      <c r="BJ1548" s="87"/>
      <c r="BK1548" s="87"/>
      <c r="BL1548" s="87"/>
      <c r="BM1548" s="87"/>
      <c r="BN1548" s="87"/>
      <c r="BO1548" s="87"/>
      <c r="BP1548" s="87"/>
      <c r="BQ1548" s="87"/>
      <c r="BR1548" s="87"/>
      <c r="BS1548" s="87"/>
      <c r="BT1548" s="87"/>
      <c r="BU1548" s="87"/>
      <c r="BV1548" s="87"/>
      <c r="BW1548" s="87"/>
      <c r="BX1548" s="87"/>
      <c r="BY1548" s="87"/>
    </row>
    <row r="1549" spans="21:77" x14ac:dyDescent="0.3">
      <c r="U1549" s="19"/>
      <c r="V1549" s="87"/>
      <c r="W1549" s="87"/>
      <c r="X1549" s="87"/>
      <c r="Y1549" s="87"/>
      <c r="Z1549" s="87"/>
      <c r="AA1549" s="87"/>
      <c r="AB1549" s="87"/>
      <c r="AC1549" s="87"/>
      <c r="AD1549" s="87"/>
      <c r="AE1549" s="87"/>
      <c r="AF1549" s="87"/>
      <c r="AG1549" s="87"/>
      <c r="AH1549" s="87"/>
      <c r="AI1549" s="87"/>
      <c r="AJ1549" s="87"/>
      <c r="AK1549" s="87"/>
      <c r="AL1549" s="87"/>
      <c r="AM1549" s="87"/>
      <c r="AN1549" s="87"/>
      <c r="AO1549" s="87"/>
      <c r="AP1549" s="87"/>
      <c r="AQ1549" s="87"/>
      <c r="AR1549" s="87"/>
      <c r="AS1549" s="87"/>
      <c r="AT1549" s="87"/>
      <c r="AU1549" s="87"/>
      <c r="AV1549" s="87"/>
      <c r="AW1549" s="87"/>
      <c r="AX1549" s="87"/>
      <c r="AY1549" s="87"/>
      <c r="AZ1549" s="87"/>
      <c r="BA1549" s="87"/>
      <c r="BB1549" s="87"/>
      <c r="BC1549" s="87"/>
      <c r="BD1549" s="87"/>
      <c r="BE1549" s="87"/>
      <c r="BF1549" s="87"/>
      <c r="BG1549" s="87"/>
      <c r="BH1549" s="87"/>
      <c r="BI1549" s="87"/>
      <c r="BJ1549" s="87"/>
      <c r="BK1549" s="87"/>
      <c r="BL1549" s="87"/>
      <c r="BM1549" s="87"/>
      <c r="BN1549" s="87"/>
      <c r="BO1549" s="87"/>
      <c r="BP1549" s="87"/>
      <c r="BQ1549" s="87"/>
      <c r="BR1549" s="87"/>
      <c r="BS1549" s="87"/>
      <c r="BT1549" s="87"/>
      <c r="BU1549" s="87"/>
      <c r="BV1549" s="87"/>
      <c r="BW1549" s="87"/>
      <c r="BX1549" s="87"/>
      <c r="BY1549" s="87"/>
    </row>
    <row r="1550" spans="21:77" x14ac:dyDescent="0.3">
      <c r="U1550" s="19"/>
      <c r="V1550" s="87"/>
      <c r="W1550" s="87"/>
      <c r="X1550" s="87"/>
      <c r="Y1550" s="87"/>
      <c r="Z1550" s="87"/>
      <c r="AA1550" s="87"/>
      <c r="AB1550" s="87"/>
      <c r="AC1550" s="87"/>
      <c r="AD1550" s="87"/>
      <c r="AE1550" s="87"/>
      <c r="AF1550" s="87"/>
      <c r="AG1550" s="87"/>
      <c r="AH1550" s="87"/>
      <c r="AI1550" s="87"/>
      <c r="AJ1550" s="87"/>
      <c r="AK1550" s="87"/>
      <c r="AL1550" s="87"/>
      <c r="AM1550" s="87"/>
      <c r="AN1550" s="87"/>
      <c r="AO1550" s="87"/>
      <c r="AP1550" s="87"/>
      <c r="AQ1550" s="87"/>
      <c r="AR1550" s="87"/>
      <c r="AS1550" s="87"/>
      <c r="AT1550" s="87"/>
      <c r="AU1550" s="87"/>
      <c r="AV1550" s="87"/>
      <c r="AW1550" s="87"/>
      <c r="AX1550" s="87"/>
      <c r="AY1550" s="87"/>
      <c r="AZ1550" s="87"/>
      <c r="BA1550" s="87"/>
      <c r="BB1550" s="87"/>
      <c r="BC1550" s="87"/>
      <c r="BD1550" s="87"/>
      <c r="BE1550" s="87"/>
      <c r="BF1550" s="87"/>
      <c r="BG1550" s="87"/>
      <c r="BH1550" s="87"/>
      <c r="BI1550" s="87"/>
      <c r="BJ1550" s="87"/>
      <c r="BK1550" s="87"/>
      <c r="BL1550" s="87"/>
      <c r="BM1550" s="87"/>
      <c r="BN1550" s="87"/>
      <c r="BO1550" s="87"/>
      <c r="BP1550" s="87"/>
      <c r="BQ1550" s="87"/>
      <c r="BR1550" s="87"/>
      <c r="BS1550" s="87"/>
      <c r="BT1550" s="87"/>
      <c r="BU1550" s="87"/>
      <c r="BV1550" s="87"/>
      <c r="BW1550" s="87"/>
      <c r="BX1550" s="87"/>
      <c r="BY1550" s="87"/>
    </row>
    <row r="1551" spans="21:77" x14ac:dyDescent="0.3">
      <c r="U1551" s="19"/>
      <c r="V1551" s="87"/>
      <c r="W1551" s="87"/>
      <c r="X1551" s="87"/>
      <c r="Y1551" s="87"/>
      <c r="Z1551" s="87"/>
      <c r="AA1551" s="87"/>
      <c r="AB1551" s="87"/>
      <c r="AC1551" s="87"/>
      <c r="AD1551" s="87"/>
      <c r="AE1551" s="87"/>
      <c r="AF1551" s="87"/>
      <c r="AG1551" s="87"/>
      <c r="AH1551" s="87"/>
      <c r="AI1551" s="87"/>
      <c r="AJ1551" s="87"/>
      <c r="AK1551" s="87"/>
      <c r="AL1551" s="87"/>
      <c r="AM1551" s="87"/>
      <c r="AN1551" s="87"/>
      <c r="AO1551" s="87"/>
      <c r="AP1551" s="87"/>
      <c r="AQ1551" s="87"/>
      <c r="AR1551" s="87"/>
      <c r="AS1551" s="87"/>
      <c r="AT1551" s="87"/>
      <c r="AU1551" s="87"/>
      <c r="AV1551" s="87"/>
      <c r="AW1551" s="87"/>
      <c r="AX1551" s="87"/>
      <c r="AY1551" s="87"/>
      <c r="AZ1551" s="87"/>
      <c r="BA1551" s="87"/>
      <c r="BB1551" s="87"/>
      <c r="BC1551" s="87"/>
      <c r="BD1551" s="87"/>
      <c r="BE1551" s="87"/>
      <c r="BF1551" s="87"/>
      <c r="BG1551" s="87"/>
      <c r="BH1551" s="87"/>
      <c r="BI1551" s="87"/>
      <c r="BJ1551" s="87"/>
      <c r="BK1551" s="87"/>
      <c r="BL1551" s="87"/>
      <c r="BM1551" s="87"/>
      <c r="BN1551" s="87"/>
      <c r="BO1551" s="87"/>
      <c r="BP1551" s="87"/>
      <c r="BQ1551" s="87"/>
      <c r="BR1551" s="87"/>
      <c r="BS1551" s="87"/>
      <c r="BT1551" s="87"/>
      <c r="BU1551" s="87"/>
      <c r="BV1551" s="87"/>
      <c r="BW1551" s="87"/>
      <c r="BX1551" s="87"/>
      <c r="BY1551" s="87"/>
    </row>
    <row r="1552" spans="21:77" x14ac:dyDescent="0.3">
      <c r="U1552" s="19"/>
      <c r="V1552" s="87"/>
      <c r="W1552" s="87"/>
      <c r="X1552" s="87"/>
      <c r="Y1552" s="87"/>
      <c r="Z1552" s="87"/>
      <c r="AA1552" s="87"/>
      <c r="AB1552" s="87"/>
      <c r="AC1552" s="87"/>
      <c r="AD1552" s="87"/>
      <c r="AE1552" s="87"/>
      <c r="AF1552" s="87"/>
      <c r="AG1552" s="87"/>
      <c r="AH1552" s="87"/>
      <c r="AI1552" s="87"/>
      <c r="AJ1552" s="87"/>
      <c r="AK1552" s="87"/>
      <c r="AL1552" s="87"/>
      <c r="AM1552" s="87"/>
      <c r="AN1552" s="87"/>
      <c r="AO1552" s="87"/>
      <c r="AP1552" s="87"/>
      <c r="AQ1552" s="87"/>
      <c r="AR1552" s="87"/>
      <c r="AS1552" s="87"/>
      <c r="AT1552" s="87"/>
      <c r="AU1552" s="87"/>
      <c r="AV1552" s="87"/>
      <c r="AW1552" s="87"/>
      <c r="AX1552" s="87"/>
      <c r="AY1552" s="87"/>
      <c r="AZ1552" s="87"/>
      <c r="BA1552" s="87"/>
      <c r="BB1552" s="87"/>
      <c r="BC1552" s="87"/>
      <c r="BD1552" s="87"/>
      <c r="BE1552" s="87"/>
      <c r="BF1552" s="87"/>
      <c r="BG1552" s="87"/>
      <c r="BH1552" s="87"/>
      <c r="BI1552" s="87"/>
      <c r="BJ1552" s="87"/>
      <c r="BK1552" s="87"/>
      <c r="BL1552" s="87"/>
      <c r="BM1552" s="87"/>
      <c r="BN1552" s="87"/>
      <c r="BO1552" s="87"/>
      <c r="BP1552" s="87"/>
      <c r="BQ1552" s="87"/>
      <c r="BR1552" s="87"/>
      <c r="BS1552" s="87"/>
      <c r="BT1552" s="87"/>
      <c r="BU1552" s="87"/>
      <c r="BV1552" s="87"/>
      <c r="BW1552" s="87"/>
      <c r="BX1552" s="87"/>
      <c r="BY1552" s="87"/>
    </row>
    <row r="1553" spans="21:77" x14ac:dyDescent="0.3">
      <c r="U1553" s="19"/>
      <c r="V1553" s="87"/>
      <c r="W1553" s="87"/>
      <c r="X1553" s="87"/>
      <c r="Y1553" s="87"/>
      <c r="Z1553" s="87"/>
      <c r="AA1553" s="87"/>
      <c r="AB1553" s="87"/>
      <c r="AC1553" s="87"/>
      <c r="AD1553" s="87"/>
      <c r="AE1553" s="87"/>
      <c r="AF1553" s="87"/>
      <c r="AG1553" s="87"/>
      <c r="AH1553" s="87"/>
      <c r="AI1553" s="87"/>
      <c r="AJ1553" s="87"/>
      <c r="AK1553" s="87"/>
      <c r="AL1553" s="87"/>
      <c r="AM1553" s="87"/>
      <c r="AN1553" s="87"/>
      <c r="AO1553" s="87"/>
      <c r="AP1553" s="87"/>
      <c r="AQ1553" s="87"/>
      <c r="AR1553" s="87"/>
      <c r="AS1553" s="87"/>
      <c r="AT1553" s="87"/>
      <c r="AU1553" s="87"/>
      <c r="AV1553" s="87"/>
      <c r="AW1553" s="87"/>
      <c r="AX1553" s="87"/>
      <c r="AY1553" s="87"/>
      <c r="AZ1553" s="87"/>
      <c r="BA1553" s="87"/>
      <c r="BB1553" s="87"/>
      <c r="BC1553" s="87"/>
      <c r="BD1553" s="87"/>
      <c r="BE1553" s="87"/>
      <c r="BF1553" s="87"/>
      <c r="BG1553" s="87"/>
      <c r="BH1553" s="87"/>
      <c r="BI1553" s="87"/>
      <c r="BJ1553" s="87"/>
      <c r="BK1553" s="87"/>
      <c r="BL1553" s="87"/>
      <c r="BM1553" s="87"/>
      <c r="BN1553" s="87"/>
      <c r="BO1553" s="87"/>
      <c r="BP1553" s="87"/>
      <c r="BQ1553" s="87"/>
      <c r="BR1553" s="87"/>
      <c r="BS1553" s="87"/>
      <c r="BT1553" s="87"/>
      <c r="BU1553" s="87"/>
      <c r="BV1553" s="87"/>
      <c r="BW1553" s="87"/>
      <c r="BX1553" s="87"/>
      <c r="BY1553" s="87"/>
    </row>
    <row r="1554" spans="21:77" x14ac:dyDescent="0.3">
      <c r="U1554" s="19"/>
      <c r="V1554" s="87"/>
      <c r="W1554" s="87"/>
      <c r="X1554" s="87"/>
      <c r="Y1554" s="87"/>
      <c r="Z1554" s="87"/>
      <c r="AA1554" s="87"/>
      <c r="AB1554" s="87"/>
      <c r="AC1554" s="87"/>
      <c r="AD1554" s="87"/>
      <c r="AE1554" s="87"/>
      <c r="AF1554" s="87"/>
      <c r="AG1554" s="87"/>
      <c r="AH1554" s="87"/>
      <c r="AI1554" s="87"/>
      <c r="AJ1554" s="87"/>
      <c r="AK1554" s="87"/>
      <c r="AL1554" s="87"/>
      <c r="AM1554" s="87"/>
      <c r="AN1554" s="87"/>
      <c r="AO1554" s="87"/>
      <c r="AP1554" s="87"/>
      <c r="AQ1554" s="87"/>
      <c r="AR1554" s="87"/>
      <c r="AS1554" s="87"/>
      <c r="AT1554" s="87"/>
      <c r="AU1554" s="87"/>
      <c r="AV1554" s="87"/>
      <c r="AW1554" s="87"/>
      <c r="AX1554" s="87"/>
      <c r="AY1554" s="87"/>
      <c r="AZ1554" s="87"/>
      <c r="BA1554" s="87"/>
      <c r="BB1554" s="87"/>
      <c r="BC1554" s="87"/>
      <c r="BD1554" s="87"/>
      <c r="BE1554" s="87"/>
      <c r="BF1554" s="87"/>
      <c r="BG1554" s="87"/>
      <c r="BH1554" s="87"/>
      <c r="BI1554" s="87"/>
      <c r="BJ1554" s="87"/>
      <c r="BK1554" s="87"/>
      <c r="BL1554" s="87"/>
      <c r="BM1554" s="87"/>
      <c r="BN1554" s="87"/>
      <c r="BO1554" s="87"/>
      <c r="BP1554" s="87"/>
      <c r="BQ1554" s="87"/>
      <c r="BR1554" s="87"/>
      <c r="BS1554" s="87"/>
      <c r="BT1554" s="87"/>
      <c r="BU1554" s="87"/>
      <c r="BV1554" s="87"/>
      <c r="BW1554" s="87"/>
      <c r="BX1554" s="87"/>
      <c r="BY1554" s="87"/>
    </row>
    <row r="1555" spans="21:77" x14ac:dyDescent="0.3">
      <c r="U1555" s="19"/>
      <c r="V1555" s="87"/>
      <c r="W1555" s="87"/>
      <c r="X1555" s="87"/>
      <c r="Y1555" s="87"/>
      <c r="Z1555" s="87"/>
      <c r="AA1555" s="87"/>
      <c r="AB1555" s="87"/>
      <c r="AC1555" s="87"/>
      <c r="AD1555" s="87"/>
      <c r="AE1555" s="87"/>
      <c r="AF1555" s="87"/>
      <c r="AG1555" s="87"/>
      <c r="AH1555" s="87"/>
      <c r="AI1555" s="87"/>
      <c r="AJ1555" s="87"/>
      <c r="AK1555" s="87"/>
      <c r="AL1555" s="87"/>
      <c r="AM1555" s="87"/>
      <c r="AN1555" s="87"/>
      <c r="AO1555" s="87"/>
      <c r="AP1555" s="87"/>
      <c r="AQ1555" s="87"/>
      <c r="AR1555" s="87"/>
      <c r="AS1555" s="87"/>
      <c r="AT1555" s="87"/>
      <c r="AU1555" s="87"/>
      <c r="AV1555" s="87"/>
      <c r="AW1555" s="87"/>
      <c r="AX1555" s="87"/>
      <c r="AY1555" s="87"/>
      <c r="AZ1555" s="87"/>
      <c r="BA1555" s="87"/>
      <c r="BB1555" s="87"/>
      <c r="BC1555" s="87"/>
      <c r="BD1555" s="87"/>
      <c r="BE1555" s="87"/>
      <c r="BF1555" s="87"/>
      <c r="BG1555" s="87"/>
      <c r="BH1555" s="87"/>
      <c r="BI1555" s="87"/>
      <c r="BJ1555" s="87"/>
      <c r="BK1555" s="87"/>
      <c r="BL1555" s="87"/>
      <c r="BM1555" s="87"/>
      <c r="BN1555" s="87"/>
      <c r="BO1555" s="87"/>
      <c r="BP1555" s="87"/>
      <c r="BQ1555" s="87"/>
      <c r="BR1555" s="87"/>
      <c r="BS1555" s="87"/>
      <c r="BT1555" s="87"/>
      <c r="BU1555" s="87"/>
      <c r="BV1555" s="87"/>
      <c r="BW1555" s="87"/>
      <c r="BX1555" s="87"/>
      <c r="BY1555" s="87"/>
    </row>
    <row r="1556" spans="21:77" x14ac:dyDescent="0.3">
      <c r="U1556" s="19"/>
      <c r="V1556" s="87"/>
      <c r="W1556" s="87"/>
      <c r="X1556" s="87"/>
      <c r="Y1556" s="87"/>
      <c r="Z1556" s="87"/>
      <c r="AA1556" s="87"/>
      <c r="AB1556" s="87"/>
      <c r="AC1556" s="87"/>
      <c r="AD1556" s="87"/>
      <c r="AE1556" s="87"/>
      <c r="AF1556" s="87"/>
      <c r="AG1556" s="87"/>
      <c r="AH1556" s="87"/>
      <c r="AI1556" s="87"/>
      <c r="AJ1556" s="87"/>
      <c r="AK1556" s="87"/>
      <c r="AL1556" s="87"/>
      <c r="AM1556" s="87"/>
      <c r="AN1556" s="87"/>
      <c r="AO1556" s="87"/>
      <c r="AP1556" s="87"/>
      <c r="AQ1556" s="87"/>
      <c r="AR1556" s="87"/>
      <c r="AS1556" s="87"/>
      <c r="AT1556" s="87"/>
      <c r="AU1556" s="87"/>
      <c r="AV1556" s="87"/>
      <c r="AW1556" s="87"/>
      <c r="AX1556" s="87"/>
      <c r="AY1556" s="87"/>
      <c r="AZ1556" s="87"/>
      <c r="BA1556" s="87"/>
      <c r="BB1556" s="87"/>
      <c r="BC1556" s="87"/>
      <c r="BD1556" s="87"/>
      <c r="BE1556" s="87"/>
      <c r="BF1556" s="87"/>
      <c r="BG1556" s="87"/>
      <c r="BH1556" s="87"/>
      <c r="BI1556" s="87"/>
      <c r="BJ1556" s="87"/>
      <c r="BK1556" s="87"/>
      <c r="BL1556" s="87"/>
      <c r="BM1556" s="87"/>
      <c r="BN1556" s="87"/>
      <c r="BO1556" s="87"/>
      <c r="BP1556" s="87"/>
      <c r="BQ1556" s="87"/>
      <c r="BR1556" s="87"/>
      <c r="BS1556" s="87"/>
      <c r="BT1556" s="87"/>
      <c r="BU1556" s="87"/>
      <c r="BV1556" s="87"/>
      <c r="BW1556" s="87"/>
      <c r="BX1556" s="87"/>
      <c r="BY1556" s="87"/>
    </row>
    <row r="1557" spans="21:77" x14ac:dyDescent="0.3">
      <c r="U1557" s="19"/>
      <c r="V1557" s="87"/>
      <c r="W1557" s="87"/>
      <c r="X1557" s="87"/>
      <c r="Y1557" s="87"/>
      <c r="Z1557" s="87"/>
      <c r="AA1557" s="87"/>
      <c r="AB1557" s="87"/>
      <c r="AC1557" s="87"/>
      <c r="AD1557" s="87"/>
      <c r="AE1557" s="87"/>
      <c r="AF1557" s="87"/>
      <c r="AG1557" s="87"/>
      <c r="AH1557" s="87"/>
      <c r="AI1557" s="87"/>
      <c r="AJ1557" s="87"/>
      <c r="AK1557" s="87"/>
      <c r="AL1557" s="87"/>
      <c r="AM1557" s="87"/>
      <c r="AN1557" s="87"/>
      <c r="AO1557" s="87"/>
      <c r="AP1557" s="87"/>
      <c r="AQ1557" s="87"/>
      <c r="AR1557" s="87"/>
      <c r="AS1557" s="87"/>
      <c r="AT1557" s="87"/>
      <c r="AU1557" s="87"/>
      <c r="AV1557" s="87"/>
      <c r="AW1557" s="87"/>
      <c r="AX1557" s="87"/>
      <c r="AY1557" s="87"/>
      <c r="AZ1557" s="87"/>
      <c r="BA1557" s="87"/>
      <c r="BB1557" s="87"/>
      <c r="BC1557" s="87"/>
      <c r="BD1557" s="87"/>
      <c r="BE1557" s="87"/>
      <c r="BF1557" s="87"/>
      <c r="BG1557" s="87"/>
      <c r="BH1557" s="87"/>
      <c r="BI1557" s="87"/>
      <c r="BJ1557" s="87"/>
      <c r="BK1557" s="87"/>
      <c r="BL1557" s="87"/>
      <c r="BM1557" s="87"/>
      <c r="BN1557" s="87"/>
      <c r="BO1557" s="87"/>
      <c r="BP1557" s="87"/>
      <c r="BQ1557" s="87"/>
      <c r="BR1557" s="87"/>
      <c r="BS1557" s="87"/>
      <c r="BT1557" s="87"/>
      <c r="BU1557" s="87"/>
      <c r="BV1557" s="87"/>
      <c r="BW1557" s="87"/>
      <c r="BX1557" s="87"/>
      <c r="BY1557" s="87"/>
    </row>
    <row r="1558" spans="21:77" x14ac:dyDescent="0.3">
      <c r="U1558" s="19"/>
      <c r="V1558" s="87"/>
      <c r="W1558" s="87"/>
      <c r="X1558" s="87"/>
      <c r="Y1558" s="87"/>
      <c r="Z1558" s="87"/>
      <c r="AA1558" s="87"/>
      <c r="AB1558" s="87"/>
      <c r="AC1558" s="87"/>
      <c r="AD1558" s="87"/>
      <c r="AE1558" s="87"/>
      <c r="AF1558" s="87"/>
      <c r="AG1558" s="87"/>
      <c r="AH1558" s="87"/>
      <c r="AI1558" s="87"/>
      <c r="AJ1558" s="87"/>
      <c r="AK1558" s="87"/>
      <c r="AL1558" s="87"/>
      <c r="AM1558" s="87"/>
      <c r="AN1558" s="87"/>
      <c r="AO1558" s="87"/>
      <c r="AP1558" s="87"/>
      <c r="AQ1558" s="87"/>
      <c r="AR1558" s="87"/>
      <c r="AS1558" s="87"/>
      <c r="AT1558" s="87"/>
      <c r="AU1558" s="87"/>
      <c r="AV1558" s="87"/>
      <c r="AW1558" s="87"/>
      <c r="AX1558" s="87"/>
      <c r="AY1558" s="87"/>
      <c r="AZ1558" s="87"/>
      <c r="BA1558" s="87"/>
      <c r="BB1558" s="87"/>
      <c r="BC1558" s="87"/>
      <c r="BD1558" s="87"/>
      <c r="BE1558" s="87"/>
      <c r="BF1558" s="87"/>
      <c r="BG1558" s="87"/>
      <c r="BH1558" s="87"/>
      <c r="BI1558" s="87"/>
      <c r="BJ1558" s="87"/>
      <c r="BK1558" s="87"/>
      <c r="BL1558" s="87"/>
      <c r="BM1558" s="87"/>
      <c r="BN1558" s="87"/>
      <c r="BO1558" s="87"/>
      <c r="BP1558" s="87"/>
      <c r="BQ1558" s="87"/>
      <c r="BR1558" s="87"/>
      <c r="BS1558" s="87"/>
      <c r="BT1558" s="87"/>
      <c r="BU1558" s="87"/>
      <c r="BV1558" s="87"/>
      <c r="BW1558" s="87"/>
      <c r="BX1558" s="87"/>
      <c r="BY1558" s="87"/>
    </row>
    <row r="1559" spans="21:77" x14ac:dyDescent="0.3">
      <c r="U1559" s="19"/>
      <c r="V1559" s="87"/>
      <c r="W1559" s="87"/>
      <c r="X1559" s="87"/>
      <c r="Y1559" s="87"/>
      <c r="Z1559" s="87"/>
      <c r="AA1559" s="87"/>
      <c r="AB1559" s="87"/>
      <c r="AC1559" s="87"/>
      <c r="AD1559" s="87"/>
      <c r="AE1559" s="87"/>
      <c r="AF1559" s="87"/>
      <c r="AG1559" s="87"/>
      <c r="AH1559" s="87"/>
      <c r="AI1559" s="87"/>
      <c r="AJ1559" s="87"/>
      <c r="AK1559" s="87"/>
      <c r="AL1559" s="87"/>
      <c r="AM1559" s="87"/>
      <c r="AN1559" s="87"/>
      <c r="AO1559" s="87"/>
      <c r="AP1559" s="87"/>
      <c r="AQ1559" s="87"/>
      <c r="AR1559" s="87"/>
      <c r="AS1559" s="87"/>
      <c r="AT1559" s="87"/>
      <c r="AU1559" s="87"/>
      <c r="AV1559" s="87"/>
      <c r="AW1559" s="87"/>
      <c r="AX1559" s="87"/>
      <c r="AY1559" s="87"/>
      <c r="AZ1559" s="87"/>
      <c r="BA1559" s="87"/>
      <c r="BB1559" s="87"/>
      <c r="BC1559" s="87"/>
      <c r="BD1559" s="87"/>
      <c r="BE1559" s="87"/>
      <c r="BF1559" s="87"/>
      <c r="BG1559" s="87"/>
      <c r="BH1559" s="87"/>
      <c r="BI1559" s="87"/>
      <c r="BJ1559" s="87"/>
      <c r="BK1559" s="87"/>
      <c r="BL1559" s="87"/>
      <c r="BM1559" s="87"/>
      <c r="BN1559" s="87"/>
      <c r="BO1559" s="87"/>
      <c r="BP1559" s="87"/>
      <c r="BQ1559" s="87"/>
      <c r="BR1559" s="87"/>
      <c r="BS1559" s="87"/>
      <c r="BT1559" s="87"/>
      <c r="BU1559" s="87"/>
      <c r="BV1559" s="87"/>
      <c r="BW1559" s="87"/>
      <c r="BX1559" s="87"/>
      <c r="BY1559" s="87"/>
    </row>
    <row r="1560" spans="21:77" x14ac:dyDescent="0.3">
      <c r="U1560" s="19"/>
      <c r="V1560" s="87"/>
      <c r="W1560" s="87"/>
      <c r="X1560" s="87"/>
      <c r="Y1560" s="87"/>
      <c r="Z1560" s="87"/>
      <c r="AA1560" s="87"/>
      <c r="AB1560" s="87"/>
      <c r="AC1560" s="87"/>
      <c r="AD1560" s="87"/>
      <c r="AE1560" s="87"/>
      <c r="AF1560" s="87"/>
      <c r="AG1560" s="87"/>
      <c r="AH1560" s="87"/>
      <c r="AI1560" s="87"/>
      <c r="AJ1560" s="87"/>
      <c r="AK1560" s="87"/>
      <c r="AL1560" s="87"/>
      <c r="AM1560" s="87"/>
      <c r="AN1560" s="87"/>
      <c r="AO1560" s="87"/>
      <c r="AP1560" s="87"/>
      <c r="AQ1560" s="87"/>
      <c r="AR1560" s="87"/>
      <c r="AS1560" s="87"/>
      <c r="AT1560" s="87"/>
      <c r="AU1560" s="87"/>
      <c r="AV1560" s="87"/>
      <c r="AW1560" s="87"/>
      <c r="AX1560" s="87"/>
      <c r="AY1560" s="87"/>
      <c r="AZ1560" s="87"/>
      <c r="BA1560" s="87"/>
      <c r="BB1560" s="87"/>
      <c r="BC1560" s="87"/>
      <c r="BD1560" s="87"/>
      <c r="BE1560" s="87"/>
      <c r="BF1560" s="87"/>
      <c r="BG1560" s="87"/>
      <c r="BH1560" s="87"/>
      <c r="BI1560" s="87"/>
      <c r="BJ1560" s="87"/>
      <c r="BK1560" s="87"/>
      <c r="BL1560" s="87"/>
      <c r="BM1560" s="87"/>
      <c r="BN1560" s="87"/>
      <c r="BO1560" s="87"/>
      <c r="BP1560" s="87"/>
      <c r="BQ1560" s="87"/>
      <c r="BR1560" s="87"/>
      <c r="BS1560" s="87"/>
      <c r="BT1560" s="87"/>
      <c r="BU1560" s="87"/>
      <c r="BV1560" s="87"/>
      <c r="BW1560" s="87"/>
      <c r="BX1560" s="87"/>
      <c r="BY1560" s="87"/>
    </row>
    <row r="1561" spans="21:77" x14ac:dyDescent="0.3">
      <c r="U1561" s="19"/>
      <c r="V1561" s="87"/>
      <c r="W1561" s="87"/>
      <c r="X1561" s="87"/>
      <c r="Y1561" s="87"/>
      <c r="Z1561" s="87"/>
      <c r="AA1561" s="87"/>
      <c r="AB1561" s="87"/>
      <c r="AC1561" s="87"/>
      <c r="AD1561" s="87"/>
      <c r="AE1561" s="87"/>
      <c r="AF1561" s="87"/>
      <c r="AG1561" s="87"/>
      <c r="AH1561" s="87"/>
      <c r="AI1561" s="87"/>
      <c r="AJ1561" s="87"/>
      <c r="AK1561" s="87"/>
      <c r="AL1561" s="87"/>
      <c r="AM1561" s="87"/>
      <c r="AN1561" s="87"/>
      <c r="AO1561" s="87"/>
      <c r="AP1561" s="87"/>
      <c r="AQ1561" s="87"/>
      <c r="AR1561" s="87"/>
      <c r="AS1561" s="87"/>
      <c r="AT1561" s="87"/>
      <c r="AU1561" s="87"/>
      <c r="AV1561" s="87"/>
      <c r="AW1561" s="87"/>
      <c r="AX1561" s="87"/>
      <c r="AY1561" s="87"/>
      <c r="AZ1561" s="87"/>
      <c r="BA1561" s="87"/>
      <c r="BB1561" s="87"/>
      <c r="BC1561" s="87"/>
      <c r="BD1561" s="87"/>
      <c r="BE1561" s="87"/>
      <c r="BF1561" s="87"/>
      <c r="BG1561" s="87"/>
      <c r="BH1561" s="87"/>
      <c r="BI1561" s="87"/>
      <c r="BJ1561" s="87"/>
      <c r="BK1561" s="87"/>
      <c r="BL1561" s="87"/>
      <c r="BM1561" s="87"/>
      <c r="BN1561" s="87"/>
      <c r="BO1561" s="87"/>
      <c r="BP1561" s="87"/>
      <c r="BQ1561" s="87"/>
      <c r="BR1561" s="87"/>
      <c r="BS1561" s="87"/>
      <c r="BT1561" s="87"/>
      <c r="BU1561" s="87"/>
      <c r="BV1561" s="87"/>
      <c r="BW1561" s="87"/>
      <c r="BX1561" s="87"/>
      <c r="BY1561" s="87"/>
    </row>
    <row r="1562" spans="21:77" x14ac:dyDescent="0.3">
      <c r="U1562" s="19"/>
      <c r="V1562" s="87"/>
      <c r="W1562" s="87"/>
      <c r="X1562" s="87"/>
      <c r="Y1562" s="87"/>
      <c r="Z1562" s="87"/>
      <c r="AA1562" s="87"/>
      <c r="AB1562" s="87"/>
      <c r="AC1562" s="87"/>
      <c r="AD1562" s="87"/>
      <c r="AE1562" s="87"/>
      <c r="AF1562" s="87"/>
      <c r="AG1562" s="87"/>
      <c r="AH1562" s="87"/>
      <c r="AI1562" s="87"/>
      <c r="AJ1562" s="87"/>
      <c r="AK1562" s="87"/>
      <c r="AL1562" s="87"/>
      <c r="AM1562" s="87"/>
      <c r="AN1562" s="87"/>
      <c r="AO1562" s="87"/>
      <c r="AP1562" s="87"/>
      <c r="AQ1562" s="87"/>
      <c r="AR1562" s="87"/>
      <c r="AS1562" s="87"/>
      <c r="AT1562" s="87"/>
      <c r="AU1562" s="87"/>
      <c r="AV1562" s="87"/>
      <c r="AW1562" s="87"/>
      <c r="AX1562" s="87"/>
      <c r="AY1562" s="87"/>
      <c r="AZ1562" s="87"/>
      <c r="BA1562" s="87"/>
      <c r="BB1562" s="87"/>
      <c r="BC1562" s="87"/>
      <c r="BD1562" s="87"/>
      <c r="BE1562" s="87"/>
      <c r="BF1562" s="87"/>
      <c r="BG1562" s="87"/>
      <c r="BH1562" s="87"/>
      <c r="BI1562" s="87"/>
      <c r="BJ1562" s="87"/>
      <c r="BK1562" s="87"/>
      <c r="BL1562" s="87"/>
      <c r="BM1562" s="87"/>
      <c r="BN1562" s="87"/>
      <c r="BO1562" s="87"/>
      <c r="BP1562" s="87"/>
      <c r="BQ1562" s="87"/>
      <c r="BR1562" s="87"/>
      <c r="BS1562" s="87"/>
      <c r="BT1562" s="87"/>
      <c r="BU1562" s="87"/>
      <c r="BV1562" s="87"/>
      <c r="BW1562" s="87"/>
      <c r="BX1562" s="87"/>
      <c r="BY1562" s="87"/>
    </row>
    <row r="1563" spans="21:77" x14ac:dyDescent="0.3">
      <c r="U1563" s="19"/>
      <c r="V1563" s="87"/>
      <c r="W1563" s="87"/>
      <c r="X1563" s="87"/>
      <c r="Y1563" s="87"/>
      <c r="Z1563" s="87"/>
      <c r="AA1563" s="87"/>
      <c r="AB1563" s="87"/>
      <c r="AC1563" s="87"/>
      <c r="AD1563" s="87"/>
      <c r="AE1563" s="87"/>
      <c r="AF1563" s="87"/>
      <c r="AG1563" s="87"/>
      <c r="AH1563" s="87"/>
      <c r="AI1563" s="87"/>
      <c r="AJ1563" s="87"/>
      <c r="AK1563" s="87"/>
      <c r="AL1563" s="87"/>
      <c r="AM1563" s="87"/>
      <c r="AN1563" s="87"/>
      <c r="AO1563" s="87"/>
      <c r="AP1563" s="87"/>
      <c r="AQ1563" s="87"/>
      <c r="AR1563" s="87"/>
      <c r="AS1563" s="87"/>
      <c r="AT1563" s="87"/>
      <c r="AU1563" s="87"/>
      <c r="AV1563" s="87"/>
      <c r="AW1563" s="87"/>
      <c r="AX1563" s="87"/>
      <c r="AY1563" s="87"/>
      <c r="AZ1563" s="87"/>
      <c r="BA1563" s="87"/>
      <c r="BB1563" s="87"/>
      <c r="BC1563" s="87"/>
      <c r="BD1563" s="87"/>
      <c r="BE1563" s="87"/>
      <c r="BF1563" s="87"/>
      <c r="BG1563" s="87"/>
      <c r="BH1563" s="87"/>
      <c r="BI1563" s="87"/>
      <c r="BJ1563" s="87"/>
      <c r="BK1563" s="87"/>
      <c r="BL1563" s="87"/>
      <c r="BM1563" s="87"/>
      <c r="BN1563" s="87"/>
      <c r="BO1563" s="87"/>
      <c r="BP1563" s="87"/>
      <c r="BQ1563" s="87"/>
      <c r="BR1563" s="87"/>
      <c r="BS1563" s="87"/>
      <c r="BT1563" s="87"/>
      <c r="BU1563" s="87"/>
      <c r="BV1563" s="87"/>
      <c r="BW1563" s="87"/>
      <c r="BX1563" s="87"/>
      <c r="BY1563" s="87"/>
    </row>
    <row r="1564" spans="21:77" x14ac:dyDescent="0.3">
      <c r="U1564" s="19"/>
      <c r="V1564" s="87"/>
      <c r="W1564" s="87"/>
      <c r="X1564" s="87"/>
      <c r="Y1564" s="87"/>
      <c r="Z1564" s="87"/>
      <c r="AA1564" s="87"/>
      <c r="AB1564" s="87"/>
      <c r="AC1564" s="87"/>
      <c r="AD1564" s="87"/>
      <c r="AE1564" s="87"/>
      <c r="AF1564" s="87"/>
      <c r="AG1564" s="87"/>
      <c r="AH1564" s="87"/>
      <c r="AI1564" s="87"/>
      <c r="AJ1564" s="87"/>
      <c r="AK1564" s="87"/>
      <c r="AL1564" s="87"/>
      <c r="AM1564" s="87"/>
      <c r="AN1564" s="87"/>
      <c r="AO1564" s="87"/>
      <c r="AP1564" s="87"/>
      <c r="AQ1564" s="87"/>
      <c r="AR1564" s="87"/>
      <c r="AS1564" s="87"/>
      <c r="AT1564" s="87"/>
      <c r="AU1564" s="87"/>
      <c r="AV1564" s="87"/>
      <c r="AW1564" s="87"/>
      <c r="AX1564" s="87"/>
      <c r="AY1564" s="87"/>
      <c r="AZ1564" s="87"/>
      <c r="BA1564" s="87"/>
      <c r="BB1564" s="87"/>
      <c r="BC1564" s="87"/>
      <c r="BD1564" s="87"/>
      <c r="BE1564" s="87"/>
      <c r="BF1564" s="87"/>
      <c r="BG1564" s="87"/>
      <c r="BH1564" s="87"/>
      <c r="BI1564" s="87"/>
      <c r="BJ1564" s="87"/>
      <c r="BK1564" s="87"/>
      <c r="BL1564" s="87"/>
      <c r="BM1564" s="87"/>
      <c r="BN1564" s="87"/>
      <c r="BO1564" s="87"/>
      <c r="BP1564" s="87"/>
      <c r="BQ1564" s="87"/>
      <c r="BR1564" s="87"/>
      <c r="BS1564" s="87"/>
      <c r="BT1564" s="87"/>
      <c r="BU1564" s="87"/>
      <c r="BV1564" s="87"/>
      <c r="BW1564" s="87"/>
      <c r="BX1564" s="87"/>
      <c r="BY1564" s="87"/>
    </row>
    <row r="1565" spans="21:77" x14ac:dyDescent="0.3">
      <c r="U1565" s="19"/>
      <c r="V1565" s="87"/>
      <c r="W1565" s="87"/>
      <c r="X1565" s="87"/>
      <c r="Y1565" s="87"/>
      <c r="Z1565" s="87"/>
      <c r="AA1565" s="87"/>
      <c r="AB1565" s="87"/>
      <c r="AC1565" s="87"/>
      <c r="AD1565" s="87"/>
      <c r="AE1565" s="87"/>
      <c r="AF1565" s="87"/>
      <c r="AG1565" s="87"/>
      <c r="AH1565" s="87"/>
      <c r="AI1565" s="87"/>
      <c r="AJ1565" s="87"/>
      <c r="AK1565" s="87"/>
      <c r="AL1565" s="87"/>
      <c r="AM1565" s="87"/>
      <c r="AN1565" s="87"/>
      <c r="AO1565" s="87"/>
      <c r="AP1565" s="87"/>
      <c r="AQ1565" s="87"/>
      <c r="AR1565" s="87"/>
      <c r="AS1565" s="87"/>
      <c r="AT1565" s="87"/>
      <c r="AU1565" s="87"/>
      <c r="AV1565" s="87"/>
      <c r="AW1565" s="87"/>
      <c r="AX1565" s="87"/>
      <c r="AY1565" s="87"/>
      <c r="AZ1565" s="87"/>
      <c r="BA1565" s="87"/>
      <c r="BB1565" s="87"/>
      <c r="BC1565" s="87"/>
      <c r="BD1565" s="87"/>
      <c r="BE1565" s="87"/>
      <c r="BF1565" s="87"/>
      <c r="BG1565" s="87"/>
      <c r="BH1565" s="87"/>
      <c r="BI1565" s="87"/>
      <c r="BJ1565" s="87"/>
      <c r="BK1565" s="87"/>
      <c r="BL1565" s="87"/>
      <c r="BM1565" s="87"/>
      <c r="BN1565" s="87"/>
      <c r="BO1565" s="87"/>
      <c r="BP1565" s="87"/>
      <c r="BQ1565" s="87"/>
      <c r="BR1565" s="87"/>
      <c r="BS1565" s="87"/>
      <c r="BT1565" s="87"/>
      <c r="BU1565" s="87"/>
      <c r="BV1565" s="87"/>
      <c r="BW1565" s="87"/>
      <c r="BX1565" s="87"/>
      <c r="BY1565" s="87"/>
    </row>
    <row r="1566" spans="21:77" x14ac:dyDescent="0.3">
      <c r="U1566" s="19"/>
      <c r="V1566" s="87"/>
      <c r="W1566" s="87"/>
      <c r="X1566" s="87"/>
      <c r="Y1566" s="87"/>
      <c r="Z1566" s="87"/>
      <c r="AA1566" s="87"/>
      <c r="AB1566" s="87"/>
      <c r="AC1566" s="87"/>
      <c r="AD1566" s="87"/>
      <c r="AE1566" s="87"/>
      <c r="AF1566" s="87"/>
      <c r="AG1566" s="87"/>
      <c r="AH1566" s="87"/>
      <c r="AI1566" s="87"/>
      <c r="AJ1566" s="87"/>
      <c r="AK1566" s="87"/>
      <c r="AL1566" s="87"/>
      <c r="AM1566" s="87"/>
      <c r="AN1566" s="87"/>
      <c r="AO1566" s="87"/>
      <c r="AP1566" s="87"/>
      <c r="AQ1566" s="87"/>
      <c r="AR1566" s="87"/>
      <c r="AS1566" s="87"/>
      <c r="AT1566" s="87"/>
      <c r="AU1566" s="87"/>
      <c r="AV1566" s="87"/>
      <c r="AW1566" s="87"/>
      <c r="AX1566" s="87"/>
      <c r="AY1566" s="87"/>
      <c r="AZ1566" s="87"/>
      <c r="BA1566" s="87"/>
      <c r="BB1566" s="87"/>
      <c r="BC1566" s="87"/>
      <c r="BD1566" s="87"/>
      <c r="BE1566" s="87"/>
      <c r="BF1566" s="87"/>
      <c r="BG1566" s="87"/>
      <c r="BH1566" s="87"/>
      <c r="BI1566" s="87"/>
      <c r="BJ1566" s="87"/>
      <c r="BK1566" s="87"/>
      <c r="BL1566" s="87"/>
      <c r="BM1566" s="87"/>
      <c r="BN1566" s="87"/>
      <c r="BO1566" s="87"/>
      <c r="BP1566" s="87"/>
      <c r="BQ1566" s="87"/>
      <c r="BR1566" s="87"/>
      <c r="BS1566" s="87"/>
      <c r="BT1566" s="87"/>
      <c r="BU1566" s="87"/>
      <c r="BV1566" s="87"/>
      <c r="BW1566" s="87"/>
      <c r="BX1566" s="87"/>
      <c r="BY1566" s="87"/>
    </row>
    <row r="1567" spans="21:77" x14ac:dyDescent="0.3">
      <c r="U1567" s="19"/>
      <c r="V1567" s="87"/>
      <c r="W1567" s="87"/>
      <c r="X1567" s="87"/>
      <c r="Y1567" s="87"/>
      <c r="Z1567" s="87"/>
      <c r="AA1567" s="87"/>
      <c r="AB1567" s="87"/>
      <c r="AC1567" s="87"/>
      <c r="AD1567" s="87"/>
      <c r="AE1567" s="87"/>
      <c r="AF1567" s="87"/>
      <c r="AG1567" s="87"/>
      <c r="AH1567" s="87"/>
      <c r="AI1567" s="87"/>
      <c r="AJ1567" s="87"/>
      <c r="AK1567" s="87"/>
      <c r="AL1567" s="87"/>
      <c r="AM1567" s="87"/>
      <c r="AN1567" s="87"/>
      <c r="AO1567" s="87"/>
      <c r="AP1567" s="87"/>
      <c r="AQ1567" s="87"/>
      <c r="AR1567" s="87"/>
      <c r="AS1567" s="87"/>
      <c r="AT1567" s="87"/>
      <c r="AU1567" s="87"/>
      <c r="AV1567" s="87"/>
      <c r="AW1567" s="87"/>
      <c r="AX1567" s="87"/>
      <c r="AY1567" s="87"/>
      <c r="AZ1567" s="87"/>
      <c r="BA1567" s="87"/>
      <c r="BB1567" s="87"/>
      <c r="BC1567" s="87"/>
      <c r="BD1567" s="87"/>
      <c r="BE1567" s="87"/>
      <c r="BF1567" s="87"/>
      <c r="BG1567" s="87"/>
      <c r="BH1567" s="87"/>
      <c r="BI1567" s="87"/>
      <c r="BJ1567" s="87"/>
      <c r="BK1567" s="87"/>
      <c r="BL1567" s="87"/>
      <c r="BM1567" s="87"/>
      <c r="BN1567" s="87"/>
      <c r="BO1567" s="87"/>
      <c r="BP1567" s="87"/>
      <c r="BQ1567" s="87"/>
      <c r="BR1567" s="87"/>
      <c r="BS1567" s="87"/>
      <c r="BT1567" s="87"/>
      <c r="BU1567" s="87"/>
      <c r="BV1567" s="87"/>
      <c r="BW1567" s="87"/>
      <c r="BX1567" s="87"/>
      <c r="BY1567" s="87"/>
    </row>
    <row r="1568" spans="21:77" x14ac:dyDescent="0.3">
      <c r="U1568" s="19"/>
      <c r="V1568" s="87"/>
      <c r="W1568" s="87"/>
      <c r="X1568" s="87"/>
      <c r="Y1568" s="87"/>
      <c r="Z1568" s="87"/>
      <c r="AA1568" s="87"/>
      <c r="AB1568" s="87"/>
      <c r="AC1568" s="87"/>
      <c r="AD1568" s="87"/>
      <c r="AE1568" s="87"/>
      <c r="AF1568" s="87"/>
      <c r="AG1568" s="87"/>
      <c r="AH1568" s="87"/>
      <c r="AI1568" s="87"/>
      <c r="AJ1568" s="87"/>
      <c r="AK1568" s="87"/>
      <c r="AL1568" s="87"/>
      <c r="AM1568" s="87"/>
      <c r="AN1568" s="87"/>
      <c r="AO1568" s="87"/>
      <c r="AP1568" s="87"/>
      <c r="AQ1568" s="87"/>
      <c r="AR1568" s="87"/>
      <c r="AS1568" s="87"/>
      <c r="AT1568" s="87"/>
      <c r="AU1568" s="87"/>
      <c r="AV1568" s="87"/>
      <c r="AW1568" s="87"/>
      <c r="AX1568" s="87"/>
      <c r="AY1568" s="87"/>
      <c r="AZ1568" s="87"/>
      <c r="BA1568" s="87"/>
      <c r="BB1568" s="87"/>
      <c r="BC1568" s="87"/>
      <c r="BD1568" s="87"/>
      <c r="BE1568" s="87"/>
      <c r="BF1568" s="87"/>
      <c r="BG1568" s="87"/>
      <c r="BH1568" s="87"/>
      <c r="BI1568" s="87"/>
      <c r="BJ1568" s="87"/>
      <c r="BK1568" s="87"/>
      <c r="BL1568" s="87"/>
      <c r="BM1568" s="87"/>
      <c r="BN1568" s="87"/>
      <c r="BO1568" s="87"/>
      <c r="BP1568" s="87"/>
      <c r="BQ1568" s="87"/>
      <c r="BR1568" s="87"/>
      <c r="BS1568" s="87"/>
      <c r="BT1568" s="87"/>
      <c r="BU1568" s="87"/>
      <c r="BV1568" s="87"/>
      <c r="BW1568" s="87"/>
      <c r="BX1568" s="87"/>
      <c r="BY1568" s="87"/>
    </row>
    <row r="1569" spans="21:77" x14ac:dyDescent="0.3">
      <c r="U1569" s="19"/>
      <c r="V1569" s="87"/>
      <c r="W1569" s="87"/>
      <c r="X1569" s="87"/>
      <c r="Y1569" s="87"/>
      <c r="Z1569" s="87"/>
      <c r="AA1569" s="87"/>
      <c r="AB1569" s="87"/>
      <c r="AC1569" s="87"/>
      <c r="AD1569" s="87"/>
      <c r="AE1569" s="87"/>
      <c r="AF1569" s="87"/>
      <c r="AG1569" s="87"/>
      <c r="AH1569" s="87"/>
      <c r="AI1569" s="87"/>
      <c r="AJ1569" s="87"/>
      <c r="AK1569" s="87"/>
      <c r="AL1569" s="87"/>
      <c r="AM1569" s="87"/>
      <c r="AN1569" s="87"/>
      <c r="AO1569" s="87"/>
      <c r="AP1569" s="87"/>
      <c r="AQ1569" s="87"/>
      <c r="AR1569" s="87"/>
      <c r="AS1569" s="87"/>
      <c r="AT1569" s="87"/>
      <c r="AU1569" s="87"/>
      <c r="AV1569" s="87"/>
      <c r="AW1569" s="87"/>
      <c r="AX1569" s="87"/>
      <c r="AY1569" s="87"/>
      <c r="AZ1569" s="87"/>
      <c r="BA1569" s="87"/>
      <c r="BB1569" s="87"/>
      <c r="BC1569" s="87"/>
      <c r="BD1569" s="87"/>
      <c r="BE1569" s="87"/>
      <c r="BF1569" s="87"/>
      <c r="BG1569" s="87"/>
      <c r="BH1569" s="87"/>
      <c r="BI1569" s="87"/>
      <c r="BJ1569" s="87"/>
      <c r="BK1569" s="87"/>
      <c r="BL1569" s="87"/>
      <c r="BM1569" s="87"/>
      <c r="BN1569" s="87"/>
      <c r="BO1569" s="87"/>
      <c r="BP1569" s="87"/>
      <c r="BQ1569" s="87"/>
      <c r="BR1569" s="87"/>
      <c r="BS1569" s="87"/>
      <c r="BT1569" s="87"/>
      <c r="BU1569" s="87"/>
      <c r="BV1569" s="87"/>
      <c r="BW1569" s="87"/>
      <c r="BX1569" s="87"/>
      <c r="BY1569" s="87"/>
    </row>
    <row r="1570" spans="21:77" x14ac:dyDescent="0.3">
      <c r="U1570" s="19"/>
      <c r="V1570" s="87"/>
      <c r="W1570" s="87"/>
      <c r="X1570" s="87"/>
      <c r="Y1570" s="87"/>
      <c r="Z1570" s="87"/>
      <c r="AA1570" s="87"/>
      <c r="AB1570" s="87"/>
      <c r="AC1570" s="87"/>
      <c r="AD1570" s="87"/>
      <c r="AE1570" s="87"/>
      <c r="AF1570" s="87"/>
      <c r="AG1570" s="87"/>
      <c r="AH1570" s="87"/>
      <c r="AI1570" s="87"/>
      <c r="AJ1570" s="87"/>
      <c r="AK1570" s="87"/>
      <c r="AL1570" s="87"/>
      <c r="AM1570" s="87"/>
      <c r="AN1570" s="87"/>
      <c r="AO1570" s="87"/>
      <c r="AP1570" s="87"/>
      <c r="AQ1570" s="87"/>
      <c r="AR1570" s="87"/>
      <c r="AS1570" s="87"/>
      <c r="AT1570" s="87"/>
      <c r="AU1570" s="87"/>
      <c r="AV1570" s="87"/>
      <c r="AW1570" s="87"/>
      <c r="AX1570" s="87"/>
      <c r="AY1570" s="87"/>
      <c r="AZ1570" s="87"/>
      <c r="BA1570" s="87"/>
      <c r="BB1570" s="87"/>
      <c r="BC1570" s="87"/>
      <c r="BD1570" s="87"/>
      <c r="BE1570" s="87"/>
      <c r="BF1570" s="87"/>
      <c r="BG1570" s="87"/>
      <c r="BH1570" s="87"/>
      <c r="BI1570" s="87"/>
      <c r="BJ1570" s="87"/>
      <c r="BK1570" s="87"/>
      <c r="BL1570" s="87"/>
      <c r="BM1570" s="87"/>
      <c r="BN1570" s="87"/>
      <c r="BO1570" s="87"/>
      <c r="BP1570" s="87"/>
      <c r="BQ1570" s="87"/>
      <c r="BR1570" s="87"/>
      <c r="BS1570" s="87"/>
      <c r="BT1570" s="87"/>
      <c r="BU1570" s="87"/>
      <c r="BV1570" s="87"/>
      <c r="BW1570" s="87"/>
      <c r="BX1570" s="87"/>
      <c r="BY1570" s="87"/>
    </row>
    <row r="1571" spans="21:77" x14ac:dyDescent="0.3">
      <c r="U1571" s="19"/>
      <c r="V1571" s="87"/>
      <c r="W1571" s="87"/>
      <c r="X1571" s="87"/>
      <c r="Y1571" s="87"/>
      <c r="Z1571" s="87"/>
      <c r="AA1571" s="87"/>
      <c r="AB1571" s="87"/>
      <c r="AC1571" s="87"/>
      <c r="AD1571" s="87"/>
      <c r="AE1571" s="87"/>
      <c r="AF1571" s="87"/>
      <c r="AG1571" s="87"/>
      <c r="AH1571" s="87"/>
      <c r="AI1571" s="87"/>
      <c r="AJ1571" s="87"/>
      <c r="AK1571" s="87"/>
      <c r="AL1571" s="87"/>
      <c r="AM1571" s="87"/>
      <c r="AN1571" s="87"/>
      <c r="AO1571" s="87"/>
      <c r="AP1571" s="87"/>
      <c r="AQ1571" s="87"/>
      <c r="AR1571" s="87"/>
      <c r="AS1571" s="87"/>
      <c r="AT1571" s="87"/>
      <c r="AU1571" s="87"/>
      <c r="AV1571" s="87"/>
      <c r="AW1571" s="87"/>
      <c r="AX1571" s="87"/>
      <c r="AY1571" s="87"/>
      <c r="AZ1571" s="87"/>
      <c r="BA1571" s="87"/>
      <c r="BB1571" s="87"/>
      <c r="BC1571" s="87"/>
      <c r="BD1571" s="87"/>
      <c r="BE1571" s="87"/>
      <c r="BF1571" s="87"/>
      <c r="BG1571" s="87"/>
      <c r="BH1571" s="87"/>
      <c r="BI1571" s="87"/>
      <c r="BJ1571" s="87"/>
      <c r="BK1571" s="87"/>
      <c r="BL1571" s="87"/>
      <c r="BM1571" s="87"/>
      <c r="BN1571" s="87"/>
      <c r="BO1571" s="87"/>
      <c r="BP1571" s="87"/>
      <c r="BQ1571" s="87"/>
      <c r="BR1571" s="87"/>
      <c r="BS1571" s="87"/>
      <c r="BT1571" s="87"/>
      <c r="BU1571" s="87"/>
      <c r="BV1571" s="87"/>
      <c r="BW1571" s="87"/>
      <c r="BX1571" s="87"/>
      <c r="BY1571" s="87"/>
    </row>
    <row r="1572" spans="21:77" x14ac:dyDescent="0.3">
      <c r="U1572" s="19"/>
      <c r="V1572" s="87"/>
      <c r="W1572" s="87"/>
      <c r="X1572" s="87"/>
      <c r="Y1572" s="87"/>
      <c r="Z1572" s="87"/>
      <c r="AA1572" s="87"/>
      <c r="AB1572" s="87"/>
      <c r="AC1572" s="87"/>
      <c r="AD1572" s="87"/>
      <c r="AE1572" s="87"/>
      <c r="AF1572" s="87"/>
      <c r="AG1572" s="87"/>
      <c r="AH1572" s="87"/>
      <c r="AI1572" s="87"/>
      <c r="AJ1572" s="87"/>
      <c r="AK1572" s="87"/>
      <c r="AL1572" s="87"/>
      <c r="AM1572" s="87"/>
      <c r="AN1572" s="87"/>
      <c r="AO1572" s="87"/>
      <c r="AP1572" s="87"/>
      <c r="AQ1572" s="87"/>
      <c r="AR1572" s="87"/>
      <c r="AS1572" s="87"/>
      <c r="AT1572" s="87"/>
      <c r="AU1572" s="87"/>
      <c r="AV1572" s="87"/>
      <c r="AW1572" s="87"/>
      <c r="AX1572" s="87"/>
      <c r="AY1572" s="87"/>
      <c r="AZ1572" s="87"/>
      <c r="BA1572" s="87"/>
      <c r="BB1572" s="87"/>
      <c r="BC1572" s="87"/>
      <c r="BD1572" s="87"/>
      <c r="BE1572" s="87"/>
      <c r="BF1572" s="87"/>
      <c r="BG1572" s="87"/>
      <c r="BH1572" s="87"/>
      <c r="BI1572" s="87"/>
      <c r="BJ1572" s="87"/>
      <c r="BK1572" s="87"/>
      <c r="BL1572" s="87"/>
      <c r="BM1572" s="87"/>
      <c r="BN1572" s="87"/>
      <c r="BO1572" s="87"/>
      <c r="BP1572" s="87"/>
      <c r="BQ1572" s="87"/>
      <c r="BR1572" s="87"/>
      <c r="BS1572" s="87"/>
      <c r="BT1572" s="87"/>
      <c r="BU1572" s="87"/>
      <c r="BV1572" s="87"/>
      <c r="BW1572" s="87"/>
      <c r="BX1572" s="87"/>
      <c r="BY1572" s="87"/>
    </row>
    <row r="1573" spans="21:77" x14ac:dyDescent="0.3">
      <c r="U1573" s="19"/>
      <c r="V1573" s="87"/>
      <c r="W1573" s="87"/>
      <c r="X1573" s="87"/>
      <c r="Y1573" s="87"/>
      <c r="Z1573" s="87"/>
      <c r="AA1573" s="87"/>
      <c r="AB1573" s="87"/>
      <c r="AC1573" s="87"/>
      <c r="AD1573" s="87"/>
      <c r="AE1573" s="87"/>
      <c r="AF1573" s="87"/>
      <c r="AG1573" s="87"/>
      <c r="AH1573" s="87"/>
      <c r="AI1573" s="87"/>
      <c r="AJ1573" s="87"/>
      <c r="AK1573" s="87"/>
      <c r="AL1573" s="87"/>
      <c r="AM1573" s="87"/>
      <c r="AN1573" s="87"/>
      <c r="AO1573" s="87"/>
      <c r="AP1573" s="87"/>
      <c r="AQ1573" s="87"/>
      <c r="AR1573" s="87"/>
      <c r="AS1573" s="87"/>
      <c r="AT1573" s="87"/>
      <c r="AU1573" s="87"/>
      <c r="AV1573" s="87"/>
      <c r="AW1573" s="87"/>
      <c r="AX1573" s="87"/>
      <c r="AY1573" s="87"/>
      <c r="AZ1573" s="87"/>
      <c r="BA1573" s="87"/>
      <c r="BB1573" s="87"/>
      <c r="BC1573" s="87"/>
      <c r="BD1573" s="87"/>
      <c r="BE1573" s="87"/>
      <c r="BF1573" s="87"/>
      <c r="BG1573" s="87"/>
      <c r="BH1573" s="87"/>
      <c r="BI1573" s="87"/>
      <c r="BJ1573" s="87"/>
      <c r="BK1573" s="87"/>
      <c r="BL1573" s="87"/>
      <c r="BM1573" s="87"/>
      <c r="BN1573" s="87"/>
      <c r="BO1573" s="87"/>
      <c r="BP1573" s="87"/>
      <c r="BQ1573" s="87"/>
      <c r="BR1573" s="87"/>
      <c r="BS1573" s="87"/>
      <c r="BT1573" s="87"/>
      <c r="BU1573" s="87"/>
      <c r="BV1573" s="87"/>
      <c r="BW1573" s="87"/>
      <c r="BX1573" s="87"/>
      <c r="BY1573" s="87"/>
    </row>
    <row r="1574" spans="21:77" x14ac:dyDescent="0.3">
      <c r="U1574" s="19"/>
      <c r="V1574" s="87"/>
      <c r="W1574" s="87"/>
      <c r="X1574" s="87"/>
      <c r="Y1574" s="87"/>
      <c r="Z1574" s="87"/>
      <c r="AA1574" s="87"/>
      <c r="AB1574" s="87"/>
      <c r="AC1574" s="87"/>
      <c r="AD1574" s="87"/>
      <c r="AE1574" s="87"/>
      <c r="AF1574" s="87"/>
      <c r="AG1574" s="87"/>
      <c r="AH1574" s="87"/>
      <c r="AI1574" s="87"/>
      <c r="AJ1574" s="87"/>
      <c r="AK1574" s="87"/>
      <c r="AL1574" s="87"/>
      <c r="AM1574" s="87"/>
      <c r="AN1574" s="87"/>
      <c r="AO1574" s="87"/>
      <c r="AP1574" s="87"/>
      <c r="AQ1574" s="87"/>
      <c r="AR1574" s="87"/>
      <c r="AS1574" s="87"/>
      <c r="AT1574" s="87"/>
      <c r="AU1574" s="87"/>
      <c r="AV1574" s="87"/>
      <c r="AW1574" s="87"/>
      <c r="AX1574" s="87"/>
      <c r="AY1574" s="87"/>
      <c r="AZ1574" s="87"/>
      <c r="BA1574" s="87"/>
      <c r="BB1574" s="87"/>
      <c r="BC1574" s="87"/>
      <c r="BD1574" s="87"/>
      <c r="BE1574" s="87"/>
      <c r="BF1574" s="87"/>
      <c r="BG1574" s="87"/>
      <c r="BH1574" s="87"/>
      <c r="BI1574" s="87"/>
      <c r="BJ1574" s="87"/>
      <c r="BK1574" s="87"/>
      <c r="BL1574" s="87"/>
      <c r="BM1574" s="87"/>
      <c r="BN1574" s="87"/>
      <c r="BO1574" s="87"/>
      <c r="BP1574" s="87"/>
      <c r="BQ1574" s="87"/>
      <c r="BR1574" s="87"/>
      <c r="BS1574" s="87"/>
      <c r="BT1574" s="87"/>
      <c r="BU1574" s="87"/>
      <c r="BV1574" s="87"/>
      <c r="BW1574" s="87"/>
      <c r="BX1574" s="87"/>
      <c r="BY1574" s="87"/>
    </row>
    <row r="1575" spans="21:77" x14ac:dyDescent="0.3">
      <c r="U1575" s="19"/>
      <c r="V1575" s="87"/>
      <c r="W1575" s="87"/>
      <c r="X1575" s="87"/>
      <c r="Y1575" s="87"/>
      <c r="Z1575" s="87"/>
      <c r="AA1575" s="87"/>
      <c r="AB1575" s="87"/>
      <c r="AC1575" s="87"/>
      <c r="AD1575" s="87"/>
      <c r="AE1575" s="87"/>
      <c r="AF1575" s="87"/>
      <c r="AG1575" s="87"/>
      <c r="AH1575" s="87"/>
      <c r="AI1575" s="87"/>
      <c r="AJ1575" s="87"/>
      <c r="AK1575" s="87"/>
      <c r="AL1575" s="87"/>
      <c r="AM1575" s="87"/>
      <c r="AN1575" s="87"/>
      <c r="AO1575" s="87"/>
      <c r="AP1575" s="87"/>
      <c r="AQ1575" s="87"/>
      <c r="AR1575" s="87"/>
      <c r="AS1575" s="87"/>
      <c r="AT1575" s="87"/>
      <c r="AU1575" s="87"/>
      <c r="AV1575" s="87"/>
      <c r="AW1575" s="87"/>
      <c r="AX1575" s="87"/>
      <c r="AY1575" s="87"/>
      <c r="AZ1575" s="87"/>
      <c r="BA1575" s="87"/>
      <c r="BB1575" s="87"/>
      <c r="BC1575" s="87"/>
      <c r="BD1575" s="87"/>
      <c r="BE1575" s="87"/>
      <c r="BF1575" s="87"/>
      <c r="BG1575" s="87"/>
      <c r="BH1575" s="87"/>
      <c r="BI1575" s="87"/>
      <c r="BJ1575" s="87"/>
      <c r="BK1575" s="87"/>
      <c r="BL1575" s="87"/>
      <c r="BM1575" s="87"/>
      <c r="BN1575" s="87"/>
      <c r="BO1575" s="87"/>
      <c r="BP1575" s="87"/>
      <c r="BQ1575" s="87"/>
      <c r="BR1575" s="87"/>
      <c r="BS1575" s="87"/>
      <c r="BT1575" s="87"/>
      <c r="BU1575" s="87"/>
      <c r="BV1575" s="87"/>
      <c r="BW1575" s="87"/>
      <c r="BX1575" s="87"/>
      <c r="BY1575" s="87"/>
    </row>
    <row r="1576" spans="21:77" x14ac:dyDescent="0.3">
      <c r="U1576" s="19"/>
      <c r="V1576" s="87"/>
      <c r="W1576" s="87"/>
      <c r="X1576" s="87"/>
      <c r="Y1576" s="87"/>
      <c r="Z1576" s="87"/>
      <c r="AA1576" s="87"/>
      <c r="AB1576" s="87"/>
      <c r="AC1576" s="87"/>
      <c r="AD1576" s="87"/>
      <c r="AE1576" s="87"/>
      <c r="AF1576" s="87"/>
      <c r="AG1576" s="87"/>
      <c r="AH1576" s="87"/>
      <c r="AI1576" s="87"/>
      <c r="AJ1576" s="87"/>
      <c r="AK1576" s="87"/>
      <c r="AL1576" s="87"/>
      <c r="AM1576" s="87"/>
      <c r="AN1576" s="87"/>
      <c r="AO1576" s="87"/>
      <c r="AP1576" s="87"/>
      <c r="AQ1576" s="87"/>
      <c r="AR1576" s="87"/>
      <c r="AS1576" s="87"/>
      <c r="AT1576" s="87"/>
      <c r="AU1576" s="87"/>
      <c r="AV1576" s="87"/>
      <c r="AW1576" s="87"/>
      <c r="AX1576" s="87"/>
      <c r="AY1576" s="87"/>
      <c r="AZ1576" s="87"/>
      <c r="BA1576" s="87"/>
      <c r="BB1576" s="87"/>
      <c r="BC1576" s="87"/>
      <c r="BD1576" s="87"/>
      <c r="BE1576" s="87"/>
      <c r="BF1576" s="87"/>
      <c r="BG1576" s="87"/>
      <c r="BH1576" s="87"/>
      <c r="BI1576" s="87"/>
      <c r="BJ1576" s="87"/>
      <c r="BK1576" s="87"/>
      <c r="BL1576" s="87"/>
      <c r="BM1576" s="87"/>
      <c r="BN1576" s="87"/>
      <c r="BO1576" s="87"/>
      <c r="BP1576" s="87"/>
      <c r="BQ1576" s="87"/>
      <c r="BR1576" s="87"/>
      <c r="BS1576" s="87"/>
      <c r="BT1576" s="87"/>
      <c r="BU1576" s="87"/>
      <c r="BV1576" s="87"/>
      <c r="BW1576" s="87"/>
      <c r="BX1576" s="87"/>
      <c r="BY1576" s="87"/>
    </row>
    <row r="1577" spans="21:77" x14ac:dyDescent="0.3">
      <c r="U1577" s="19"/>
      <c r="V1577" s="87"/>
      <c r="W1577" s="87"/>
      <c r="X1577" s="87"/>
      <c r="Y1577" s="87"/>
      <c r="Z1577" s="87"/>
      <c r="AA1577" s="87"/>
      <c r="AB1577" s="87"/>
      <c r="AC1577" s="87"/>
      <c r="AD1577" s="87"/>
      <c r="AE1577" s="87"/>
      <c r="AF1577" s="87"/>
      <c r="AG1577" s="87"/>
      <c r="AH1577" s="87"/>
      <c r="AI1577" s="87"/>
      <c r="AJ1577" s="87"/>
      <c r="AK1577" s="87"/>
      <c r="AL1577" s="87"/>
      <c r="AM1577" s="87"/>
      <c r="AN1577" s="87"/>
      <c r="AO1577" s="87"/>
      <c r="AP1577" s="87"/>
      <c r="AQ1577" s="87"/>
      <c r="AR1577" s="87"/>
      <c r="AS1577" s="87"/>
      <c r="AT1577" s="87"/>
      <c r="AU1577" s="87"/>
      <c r="AV1577" s="87"/>
      <c r="AW1577" s="87"/>
      <c r="AX1577" s="87"/>
      <c r="AY1577" s="87"/>
      <c r="AZ1577" s="87"/>
      <c r="BA1577" s="87"/>
      <c r="BB1577" s="87"/>
      <c r="BC1577" s="87"/>
      <c r="BD1577" s="87"/>
      <c r="BE1577" s="87"/>
      <c r="BF1577" s="87"/>
      <c r="BG1577" s="87"/>
      <c r="BH1577" s="87"/>
      <c r="BI1577" s="87"/>
      <c r="BJ1577" s="87"/>
      <c r="BK1577" s="87"/>
      <c r="BL1577" s="87"/>
      <c r="BM1577" s="87"/>
      <c r="BN1577" s="87"/>
      <c r="BO1577" s="87"/>
      <c r="BP1577" s="87"/>
      <c r="BQ1577" s="87"/>
      <c r="BR1577" s="87"/>
      <c r="BS1577" s="87"/>
      <c r="BT1577" s="87"/>
      <c r="BU1577" s="87"/>
      <c r="BV1577" s="87"/>
      <c r="BW1577" s="87"/>
      <c r="BX1577" s="87"/>
      <c r="BY1577" s="87"/>
    </row>
    <row r="1578" spans="21:77" x14ac:dyDescent="0.3">
      <c r="U1578" s="19"/>
      <c r="V1578" s="87"/>
      <c r="W1578" s="87"/>
      <c r="X1578" s="87"/>
      <c r="Y1578" s="87"/>
      <c r="Z1578" s="87"/>
      <c r="AA1578" s="87"/>
      <c r="AB1578" s="87"/>
      <c r="AC1578" s="87"/>
      <c r="AD1578" s="87"/>
      <c r="AE1578" s="87"/>
      <c r="AF1578" s="87"/>
      <c r="AG1578" s="87"/>
      <c r="AH1578" s="87"/>
      <c r="AI1578" s="87"/>
      <c r="AJ1578" s="87"/>
      <c r="AK1578" s="87"/>
      <c r="AL1578" s="87"/>
      <c r="AM1578" s="87"/>
      <c r="AN1578" s="87"/>
      <c r="AO1578" s="87"/>
      <c r="AP1578" s="87"/>
      <c r="AQ1578" s="87"/>
      <c r="AR1578" s="87"/>
      <c r="AS1578" s="87"/>
      <c r="AT1578" s="87"/>
      <c r="AU1578" s="87"/>
      <c r="AV1578" s="87"/>
      <c r="AW1578" s="87"/>
      <c r="AX1578" s="87"/>
      <c r="AY1578" s="87"/>
      <c r="AZ1578" s="87"/>
      <c r="BA1578" s="87"/>
      <c r="BB1578" s="87"/>
      <c r="BC1578" s="87"/>
      <c r="BD1578" s="87"/>
      <c r="BE1578" s="87"/>
      <c r="BF1578" s="87"/>
      <c r="BG1578" s="87"/>
      <c r="BH1578" s="87"/>
      <c r="BI1578" s="87"/>
      <c r="BJ1578" s="87"/>
      <c r="BK1578" s="87"/>
      <c r="BL1578" s="87"/>
      <c r="BM1578" s="87"/>
      <c r="BN1578" s="87"/>
      <c r="BO1578" s="87"/>
      <c r="BP1578" s="87"/>
      <c r="BQ1578" s="87"/>
      <c r="BR1578" s="87"/>
      <c r="BS1578" s="87"/>
      <c r="BT1578" s="87"/>
      <c r="BU1578" s="87"/>
      <c r="BV1578" s="87"/>
      <c r="BW1578" s="87"/>
      <c r="BX1578" s="87"/>
      <c r="BY1578" s="87"/>
    </row>
    <row r="1579" spans="21:77" x14ac:dyDescent="0.3">
      <c r="U1579" s="19"/>
      <c r="V1579" s="87"/>
      <c r="W1579" s="87"/>
      <c r="X1579" s="87"/>
      <c r="Y1579" s="87"/>
      <c r="Z1579" s="87"/>
      <c r="AA1579" s="87"/>
      <c r="AB1579" s="87"/>
      <c r="AC1579" s="87"/>
      <c r="AD1579" s="87"/>
      <c r="AE1579" s="87"/>
      <c r="AF1579" s="87"/>
      <c r="AG1579" s="87"/>
      <c r="AH1579" s="87"/>
      <c r="AI1579" s="87"/>
      <c r="AJ1579" s="87"/>
      <c r="AK1579" s="87"/>
      <c r="AL1579" s="87"/>
      <c r="AM1579" s="87"/>
      <c r="AN1579" s="87"/>
      <c r="AO1579" s="87"/>
      <c r="AP1579" s="87"/>
      <c r="AQ1579" s="87"/>
      <c r="AR1579" s="87"/>
      <c r="AS1579" s="87"/>
      <c r="AT1579" s="87"/>
      <c r="AU1579" s="87"/>
      <c r="AV1579" s="87"/>
      <c r="AW1579" s="87"/>
      <c r="AX1579" s="87"/>
      <c r="AY1579" s="87"/>
      <c r="AZ1579" s="87"/>
      <c r="BA1579" s="87"/>
      <c r="BB1579" s="87"/>
      <c r="BC1579" s="87"/>
      <c r="BD1579" s="87"/>
      <c r="BE1579" s="87"/>
      <c r="BF1579" s="87"/>
      <c r="BG1579" s="87"/>
      <c r="BH1579" s="87"/>
      <c r="BI1579" s="87"/>
      <c r="BJ1579" s="87"/>
      <c r="BK1579" s="87"/>
      <c r="BL1579" s="87"/>
      <c r="BM1579" s="87"/>
      <c r="BN1579" s="87"/>
      <c r="BO1579" s="87"/>
      <c r="BP1579" s="87"/>
      <c r="BQ1579" s="87"/>
      <c r="BR1579" s="87"/>
      <c r="BS1579" s="87"/>
      <c r="BT1579" s="87"/>
      <c r="BU1579" s="87"/>
      <c r="BV1579" s="87"/>
      <c r="BW1579" s="87"/>
      <c r="BX1579" s="87"/>
      <c r="BY1579" s="87"/>
    </row>
    <row r="1580" spans="21:77" x14ac:dyDescent="0.3">
      <c r="U1580" s="19"/>
      <c r="V1580" s="87"/>
      <c r="W1580" s="87"/>
      <c r="X1580" s="87"/>
      <c r="Y1580" s="87"/>
      <c r="Z1580" s="87"/>
      <c r="AA1580" s="87"/>
      <c r="AB1580" s="87"/>
      <c r="AC1580" s="87"/>
      <c r="AD1580" s="87"/>
      <c r="AE1580" s="87"/>
      <c r="AF1580" s="87"/>
      <c r="AG1580" s="87"/>
      <c r="AH1580" s="87"/>
      <c r="AI1580" s="87"/>
      <c r="AJ1580" s="87"/>
      <c r="AK1580" s="87"/>
      <c r="AL1580" s="87"/>
      <c r="AM1580" s="87"/>
      <c r="AN1580" s="87"/>
      <c r="AO1580" s="87"/>
      <c r="AP1580" s="87"/>
      <c r="AQ1580" s="87"/>
      <c r="AR1580" s="87"/>
      <c r="AS1580" s="87"/>
      <c r="AT1580" s="87"/>
      <c r="AU1580" s="87"/>
      <c r="AV1580" s="87"/>
      <c r="AW1580" s="87"/>
      <c r="AX1580" s="87"/>
      <c r="AY1580" s="87"/>
      <c r="AZ1580" s="87"/>
      <c r="BA1580" s="87"/>
      <c r="BB1580" s="87"/>
      <c r="BC1580" s="87"/>
      <c r="BD1580" s="87"/>
      <c r="BE1580" s="87"/>
      <c r="BF1580" s="87"/>
      <c r="BG1580" s="87"/>
      <c r="BH1580" s="87"/>
      <c r="BI1580" s="87"/>
      <c r="BJ1580" s="87"/>
      <c r="BK1580" s="87"/>
      <c r="BL1580" s="87"/>
      <c r="BM1580" s="87"/>
      <c r="BN1580" s="87"/>
      <c r="BO1580" s="87"/>
      <c r="BP1580" s="87"/>
      <c r="BQ1580" s="87"/>
      <c r="BR1580" s="87"/>
      <c r="BS1580" s="87"/>
      <c r="BT1580" s="87"/>
      <c r="BU1580" s="87"/>
      <c r="BV1580" s="87"/>
      <c r="BW1580" s="87"/>
      <c r="BX1580" s="87"/>
      <c r="BY1580" s="87"/>
    </row>
    <row r="1581" spans="21:77" x14ac:dyDescent="0.3">
      <c r="U1581" s="19"/>
      <c r="V1581" s="87"/>
      <c r="W1581" s="87"/>
      <c r="X1581" s="87"/>
      <c r="Y1581" s="87"/>
      <c r="Z1581" s="87"/>
      <c r="AA1581" s="87"/>
      <c r="AB1581" s="87"/>
      <c r="AC1581" s="87"/>
      <c r="AD1581" s="87"/>
      <c r="AE1581" s="87"/>
      <c r="AF1581" s="87"/>
      <c r="AG1581" s="87"/>
      <c r="AH1581" s="87"/>
      <c r="AI1581" s="87"/>
      <c r="AJ1581" s="87"/>
      <c r="AK1581" s="87"/>
      <c r="AL1581" s="87"/>
      <c r="AM1581" s="87"/>
      <c r="AN1581" s="87"/>
      <c r="AO1581" s="87"/>
      <c r="AP1581" s="87"/>
      <c r="AQ1581" s="87"/>
      <c r="AR1581" s="87"/>
      <c r="AS1581" s="87"/>
      <c r="AT1581" s="87"/>
      <c r="AU1581" s="87"/>
      <c r="AV1581" s="87"/>
      <c r="AW1581" s="87"/>
      <c r="AX1581" s="87"/>
      <c r="AY1581" s="87"/>
      <c r="AZ1581" s="87"/>
      <c r="BA1581" s="87"/>
      <c r="BB1581" s="87"/>
      <c r="BC1581" s="87"/>
      <c r="BD1581" s="87"/>
      <c r="BE1581" s="87"/>
      <c r="BF1581" s="87"/>
      <c r="BG1581" s="87"/>
      <c r="BH1581" s="87"/>
      <c r="BI1581" s="87"/>
      <c r="BJ1581" s="87"/>
      <c r="BK1581" s="87"/>
      <c r="BL1581" s="87"/>
      <c r="BM1581" s="87"/>
      <c r="BN1581" s="87"/>
      <c r="BO1581" s="87"/>
      <c r="BP1581" s="87"/>
      <c r="BQ1581" s="87"/>
      <c r="BR1581" s="87"/>
      <c r="BS1581" s="87"/>
      <c r="BT1581" s="87"/>
      <c r="BU1581" s="87"/>
      <c r="BV1581" s="87"/>
      <c r="BW1581" s="87"/>
      <c r="BX1581" s="87"/>
      <c r="BY1581" s="87"/>
    </row>
    <row r="1582" spans="21:77" x14ac:dyDescent="0.3">
      <c r="U1582" s="19"/>
      <c r="V1582" s="87"/>
      <c r="W1582" s="87"/>
      <c r="X1582" s="87"/>
      <c r="Y1582" s="87"/>
      <c r="Z1582" s="87"/>
      <c r="AA1582" s="87"/>
      <c r="AB1582" s="87"/>
      <c r="AC1582" s="87"/>
      <c r="AD1582" s="87"/>
      <c r="AE1582" s="87"/>
      <c r="AF1582" s="87"/>
      <c r="AG1582" s="87"/>
      <c r="AH1582" s="87"/>
      <c r="AI1582" s="87"/>
      <c r="AJ1582" s="87"/>
      <c r="AK1582" s="87"/>
      <c r="AL1582" s="87"/>
      <c r="AM1582" s="87"/>
      <c r="AN1582" s="87"/>
      <c r="AO1582" s="87"/>
      <c r="AP1582" s="87"/>
      <c r="AQ1582" s="87"/>
      <c r="AR1582" s="87"/>
      <c r="AS1582" s="87"/>
      <c r="AT1582" s="87"/>
      <c r="AU1582" s="87"/>
      <c r="AV1582" s="87"/>
      <c r="AW1582" s="87"/>
      <c r="AX1582" s="87"/>
      <c r="AY1582" s="87"/>
      <c r="AZ1582" s="87"/>
      <c r="BA1582" s="87"/>
      <c r="BB1582" s="87"/>
      <c r="BC1582" s="87"/>
      <c r="BD1582" s="87"/>
      <c r="BE1582" s="87"/>
      <c r="BF1582" s="87"/>
      <c r="BG1582" s="87"/>
      <c r="BH1582" s="87"/>
      <c r="BI1582" s="87"/>
      <c r="BJ1582" s="87"/>
      <c r="BK1582" s="87"/>
      <c r="BL1582" s="87"/>
      <c r="BM1582" s="87"/>
      <c r="BN1582" s="87"/>
      <c r="BO1582" s="87"/>
      <c r="BP1582" s="87"/>
      <c r="BQ1582" s="87"/>
      <c r="BR1582" s="87"/>
      <c r="BS1582" s="87"/>
      <c r="BT1582" s="87"/>
      <c r="BU1582" s="87"/>
      <c r="BV1582" s="87"/>
      <c r="BW1582" s="87"/>
      <c r="BX1582" s="87"/>
      <c r="BY1582" s="87"/>
    </row>
    <row r="1583" spans="21:77" x14ac:dyDescent="0.3">
      <c r="U1583" s="19"/>
      <c r="V1583" s="87"/>
      <c r="W1583" s="87"/>
      <c r="X1583" s="87"/>
      <c r="Y1583" s="87"/>
      <c r="Z1583" s="87"/>
      <c r="AA1583" s="87"/>
      <c r="AB1583" s="87"/>
      <c r="AC1583" s="87"/>
      <c r="AD1583" s="87"/>
      <c r="AE1583" s="87"/>
      <c r="AF1583" s="87"/>
      <c r="AG1583" s="87"/>
      <c r="AH1583" s="87"/>
      <c r="AI1583" s="87"/>
      <c r="AJ1583" s="87"/>
      <c r="AK1583" s="87"/>
      <c r="AL1583" s="87"/>
      <c r="AM1583" s="87"/>
      <c r="AN1583" s="87"/>
      <c r="AO1583" s="87"/>
      <c r="AP1583" s="87"/>
      <c r="AQ1583" s="87"/>
      <c r="AR1583" s="87"/>
      <c r="AS1583" s="87"/>
      <c r="AT1583" s="87"/>
      <c r="AU1583" s="87"/>
      <c r="AV1583" s="87"/>
      <c r="AW1583" s="87"/>
      <c r="AX1583" s="87"/>
      <c r="AY1583" s="87"/>
      <c r="AZ1583" s="87"/>
      <c r="BA1583" s="87"/>
      <c r="BB1583" s="87"/>
      <c r="BC1583" s="87"/>
      <c r="BD1583" s="87"/>
      <c r="BE1583" s="87"/>
      <c r="BF1583" s="87"/>
      <c r="BG1583" s="87"/>
      <c r="BH1583" s="87"/>
      <c r="BI1583" s="87"/>
      <c r="BJ1583" s="87"/>
      <c r="BK1583" s="87"/>
      <c r="BL1583" s="87"/>
      <c r="BM1583" s="87"/>
      <c r="BN1583" s="87"/>
      <c r="BO1583" s="87"/>
      <c r="BP1583" s="87"/>
      <c r="BQ1583" s="87"/>
      <c r="BR1583" s="87"/>
      <c r="BS1583" s="87"/>
      <c r="BT1583" s="87"/>
      <c r="BU1583" s="87"/>
      <c r="BV1583" s="87"/>
      <c r="BW1583" s="87"/>
      <c r="BX1583" s="87"/>
      <c r="BY1583" s="87"/>
    </row>
    <row r="1584" spans="21:77" x14ac:dyDescent="0.3">
      <c r="U1584" s="19"/>
      <c r="V1584" s="87"/>
      <c r="W1584" s="87"/>
      <c r="X1584" s="87"/>
      <c r="Y1584" s="87"/>
      <c r="Z1584" s="87"/>
      <c r="AA1584" s="87"/>
      <c r="AB1584" s="87"/>
      <c r="AC1584" s="87"/>
      <c r="AD1584" s="87"/>
      <c r="AE1584" s="87"/>
      <c r="AF1584" s="87"/>
      <c r="AG1584" s="87"/>
      <c r="AH1584" s="87"/>
      <c r="AI1584" s="87"/>
      <c r="AJ1584" s="87"/>
      <c r="AK1584" s="87"/>
      <c r="AL1584" s="87"/>
      <c r="AM1584" s="87"/>
      <c r="AN1584" s="87"/>
      <c r="AO1584" s="87"/>
      <c r="AP1584" s="87"/>
      <c r="AQ1584" s="87"/>
      <c r="AR1584" s="87"/>
      <c r="AS1584" s="87"/>
      <c r="AT1584" s="87"/>
      <c r="AU1584" s="87"/>
      <c r="AV1584" s="87"/>
      <c r="AW1584" s="87"/>
      <c r="AX1584" s="87"/>
      <c r="AY1584" s="87"/>
      <c r="AZ1584" s="87"/>
      <c r="BA1584" s="87"/>
      <c r="BB1584" s="87"/>
      <c r="BC1584" s="87"/>
      <c r="BD1584" s="87"/>
      <c r="BE1584" s="87"/>
      <c r="BF1584" s="87"/>
      <c r="BG1584" s="87"/>
      <c r="BH1584" s="87"/>
      <c r="BI1584" s="87"/>
      <c r="BJ1584" s="87"/>
      <c r="BK1584" s="87"/>
      <c r="BL1584" s="87"/>
      <c r="BM1584" s="87"/>
      <c r="BN1584" s="87"/>
      <c r="BO1584" s="87"/>
      <c r="BP1584" s="87"/>
      <c r="BQ1584" s="87"/>
      <c r="BR1584" s="87"/>
      <c r="BS1584" s="87"/>
      <c r="BT1584" s="87"/>
      <c r="BU1584" s="87"/>
      <c r="BV1584" s="87"/>
      <c r="BW1584" s="87"/>
      <c r="BX1584" s="87"/>
      <c r="BY1584" s="87"/>
    </row>
    <row r="1585" spans="21:77" x14ac:dyDescent="0.3">
      <c r="U1585" s="19"/>
      <c r="V1585" s="87"/>
      <c r="W1585" s="87"/>
      <c r="X1585" s="87"/>
      <c r="Y1585" s="87"/>
      <c r="Z1585" s="87"/>
      <c r="AA1585" s="87"/>
      <c r="AB1585" s="87"/>
      <c r="AC1585" s="87"/>
      <c r="AD1585" s="87"/>
      <c r="AE1585" s="87"/>
      <c r="AF1585" s="87"/>
      <c r="AG1585" s="87"/>
      <c r="AH1585" s="87"/>
      <c r="AI1585" s="87"/>
      <c r="AJ1585" s="87"/>
      <c r="AK1585" s="87"/>
      <c r="AL1585" s="87"/>
      <c r="AM1585" s="87"/>
      <c r="AN1585" s="87"/>
      <c r="AO1585" s="87"/>
      <c r="AP1585" s="87"/>
      <c r="AQ1585" s="87"/>
      <c r="AR1585" s="87"/>
      <c r="AS1585" s="87"/>
      <c r="AT1585" s="87"/>
      <c r="AU1585" s="87"/>
      <c r="AV1585" s="87"/>
      <c r="AW1585" s="87"/>
      <c r="AX1585" s="87"/>
      <c r="AY1585" s="87"/>
      <c r="AZ1585" s="87"/>
      <c r="BA1585" s="87"/>
      <c r="BB1585" s="87"/>
      <c r="BC1585" s="87"/>
      <c r="BD1585" s="87"/>
      <c r="BE1585" s="87"/>
      <c r="BF1585" s="87"/>
      <c r="BG1585" s="87"/>
      <c r="BH1585" s="87"/>
      <c r="BI1585" s="87"/>
      <c r="BJ1585" s="87"/>
      <c r="BK1585" s="87"/>
      <c r="BL1585" s="87"/>
      <c r="BM1585" s="87"/>
      <c r="BN1585" s="87"/>
      <c r="BO1585" s="87"/>
      <c r="BP1585" s="87"/>
      <c r="BQ1585" s="87"/>
      <c r="BR1585" s="87"/>
      <c r="BS1585" s="87"/>
      <c r="BT1585" s="87"/>
      <c r="BU1585" s="87"/>
      <c r="BV1585" s="87"/>
      <c r="BW1585" s="87"/>
      <c r="BX1585" s="87"/>
      <c r="BY1585" s="87"/>
    </row>
    <row r="1586" spans="21:77" x14ac:dyDescent="0.3">
      <c r="U1586" s="19"/>
      <c r="V1586" s="87"/>
      <c r="W1586" s="87"/>
      <c r="X1586" s="87"/>
      <c r="Y1586" s="87"/>
      <c r="Z1586" s="87"/>
      <c r="AA1586" s="87"/>
      <c r="AB1586" s="87"/>
      <c r="AC1586" s="87"/>
      <c r="AD1586" s="87"/>
      <c r="AE1586" s="87"/>
      <c r="AF1586" s="87"/>
      <c r="AG1586" s="87"/>
      <c r="AH1586" s="87"/>
      <c r="AI1586" s="87"/>
      <c r="AJ1586" s="87"/>
      <c r="AK1586" s="87"/>
      <c r="AL1586" s="87"/>
      <c r="AM1586" s="87"/>
      <c r="AN1586" s="87"/>
      <c r="AO1586" s="87"/>
      <c r="AP1586" s="87"/>
      <c r="AQ1586" s="87"/>
      <c r="AR1586" s="87"/>
      <c r="AS1586" s="87"/>
      <c r="AT1586" s="87"/>
      <c r="AU1586" s="87"/>
      <c r="AV1586" s="87"/>
      <c r="AW1586" s="87"/>
      <c r="AX1586" s="87"/>
      <c r="AY1586" s="87"/>
      <c r="AZ1586" s="87"/>
      <c r="BA1586" s="87"/>
      <c r="BB1586" s="87"/>
      <c r="BC1586" s="87"/>
      <c r="BD1586" s="87"/>
      <c r="BE1586" s="87"/>
      <c r="BF1586" s="87"/>
      <c r="BG1586" s="87"/>
      <c r="BH1586" s="87"/>
      <c r="BI1586" s="87"/>
      <c r="BJ1586" s="87"/>
      <c r="BK1586" s="87"/>
      <c r="BL1586" s="87"/>
      <c r="BM1586" s="87"/>
      <c r="BN1586" s="87"/>
      <c r="BO1586" s="87"/>
      <c r="BP1586" s="87"/>
      <c r="BQ1586" s="87"/>
      <c r="BR1586" s="87"/>
      <c r="BS1586" s="87"/>
      <c r="BT1586" s="87"/>
      <c r="BU1586" s="87"/>
      <c r="BV1586" s="87"/>
      <c r="BW1586" s="87"/>
      <c r="BX1586" s="87"/>
      <c r="BY1586" s="87"/>
    </row>
    <row r="1587" spans="21:77" x14ac:dyDescent="0.3">
      <c r="U1587" s="19"/>
      <c r="V1587" s="87"/>
      <c r="W1587" s="87"/>
      <c r="X1587" s="87"/>
      <c r="Y1587" s="87"/>
      <c r="Z1587" s="87"/>
      <c r="AA1587" s="87"/>
      <c r="AB1587" s="87"/>
      <c r="AC1587" s="87"/>
      <c r="AD1587" s="87"/>
      <c r="AE1587" s="87"/>
      <c r="AF1587" s="87"/>
      <c r="AG1587" s="87"/>
      <c r="AH1587" s="87"/>
      <c r="AI1587" s="87"/>
      <c r="AJ1587" s="87"/>
      <c r="AK1587" s="87"/>
      <c r="AL1587" s="87"/>
      <c r="AM1587" s="87"/>
      <c r="AN1587" s="87"/>
      <c r="AO1587" s="87"/>
      <c r="AP1587" s="87"/>
      <c r="AQ1587" s="87"/>
      <c r="AR1587" s="87"/>
      <c r="AS1587" s="87"/>
      <c r="AT1587" s="87"/>
      <c r="AU1587" s="87"/>
      <c r="AV1587" s="87"/>
      <c r="AW1587" s="87"/>
      <c r="AX1587" s="87"/>
      <c r="AY1587" s="87"/>
      <c r="AZ1587" s="87"/>
      <c r="BA1587" s="87"/>
      <c r="BB1587" s="87"/>
      <c r="BC1587" s="87"/>
      <c r="BD1587" s="87"/>
      <c r="BE1587" s="87"/>
      <c r="BF1587" s="87"/>
      <c r="BG1587" s="87"/>
      <c r="BH1587" s="87"/>
      <c r="BI1587" s="87"/>
      <c r="BJ1587" s="87"/>
      <c r="BK1587" s="87"/>
      <c r="BL1587" s="87"/>
      <c r="BM1587" s="87"/>
      <c r="BN1587" s="87"/>
      <c r="BO1587" s="87"/>
      <c r="BP1587" s="87"/>
      <c r="BQ1587" s="87"/>
      <c r="BR1587" s="87"/>
      <c r="BS1587" s="87"/>
      <c r="BT1587" s="87"/>
      <c r="BU1587" s="87"/>
      <c r="BV1587" s="87"/>
      <c r="BW1587" s="87"/>
      <c r="BX1587" s="87"/>
      <c r="BY1587" s="87"/>
    </row>
    <row r="1588" spans="21:77" x14ac:dyDescent="0.3">
      <c r="U1588" s="19"/>
      <c r="V1588" s="87"/>
      <c r="W1588" s="87"/>
      <c r="X1588" s="87"/>
      <c r="Y1588" s="87"/>
      <c r="Z1588" s="87"/>
      <c r="AA1588" s="87"/>
      <c r="AB1588" s="87"/>
      <c r="AC1588" s="87"/>
      <c r="AD1588" s="87"/>
      <c r="AE1588" s="87"/>
      <c r="AF1588" s="87"/>
      <c r="AG1588" s="87"/>
      <c r="AH1588" s="87"/>
      <c r="AI1588" s="87"/>
      <c r="AJ1588" s="87"/>
      <c r="AK1588" s="87"/>
      <c r="AL1588" s="87"/>
      <c r="AM1588" s="87"/>
      <c r="AN1588" s="87"/>
      <c r="AO1588" s="87"/>
      <c r="AP1588" s="87"/>
      <c r="AQ1588" s="87"/>
      <c r="AR1588" s="87"/>
      <c r="AS1588" s="87"/>
      <c r="AT1588" s="87"/>
      <c r="AU1588" s="87"/>
      <c r="AV1588" s="87"/>
      <c r="AW1588" s="87"/>
      <c r="AX1588" s="87"/>
      <c r="AY1588" s="87"/>
      <c r="AZ1588" s="87"/>
      <c r="BA1588" s="87"/>
      <c r="BB1588" s="87"/>
      <c r="BC1588" s="87"/>
      <c r="BD1588" s="87"/>
      <c r="BE1588" s="87"/>
      <c r="BF1588" s="87"/>
      <c r="BG1588" s="87"/>
      <c r="BH1588" s="87"/>
      <c r="BI1588" s="87"/>
      <c r="BJ1588" s="87"/>
      <c r="BK1588" s="87"/>
      <c r="BL1588" s="87"/>
      <c r="BM1588" s="87"/>
      <c r="BN1588" s="87"/>
      <c r="BO1588" s="87"/>
      <c r="BP1588" s="87"/>
      <c r="BQ1588" s="87"/>
      <c r="BR1588" s="87"/>
      <c r="BS1588" s="87"/>
      <c r="BT1588" s="87"/>
      <c r="BU1588" s="87"/>
      <c r="BV1588" s="87"/>
      <c r="BW1588" s="87"/>
      <c r="BX1588" s="87"/>
      <c r="BY1588" s="87"/>
    </row>
    <row r="1589" spans="21:77" x14ac:dyDescent="0.3">
      <c r="U1589" s="19"/>
      <c r="V1589" s="87"/>
      <c r="W1589" s="87"/>
      <c r="X1589" s="87"/>
      <c r="Y1589" s="87"/>
      <c r="Z1589" s="87"/>
      <c r="AA1589" s="87"/>
      <c r="AB1589" s="87"/>
      <c r="AC1589" s="87"/>
      <c r="AD1589" s="87"/>
      <c r="AE1589" s="87"/>
      <c r="AF1589" s="87"/>
      <c r="AG1589" s="87"/>
      <c r="AH1589" s="87"/>
      <c r="AI1589" s="87"/>
      <c r="AJ1589" s="87"/>
      <c r="AK1589" s="87"/>
      <c r="AL1589" s="87"/>
      <c r="AM1589" s="87"/>
      <c r="AN1589" s="87"/>
      <c r="AO1589" s="87"/>
      <c r="AP1589" s="87"/>
      <c r="AQ1589" s="87"/>
      <c r="AR1589" s="87"/>
      <c r="AS1589" s="87"/>
      <c r="AT1589" s="87"/>
      <c r="AU1589" s="87"/>
      <c r="AV1589" s="87"/>
      <c r="AW1589" s="87"/>
      <c r="AX1589" s="87"/>
      <c r="AY1589" s="87"/>
      <c r="AZ1589" s="87"/>
      <c r="BA1589" s="87"/>
      <c r="BB1589" s="87"/>
      <c r="BC1589" s="87"/>
      <c r="BD1589" s="87"/>
      <c r="BE1589" s="87"/>
      <c r="BF1589" s="87"/>
      <c r="BG1589" s="87"/>
      <c r="BH1589" s="87"/>
      <c r="BI1589" s="87"/>
      <c r="BJ1589" s="87"/>
      <c r="BK1589" s="87"/>
      <c r="BL1589" s="87"/>
      <c r="BM1589" s="87"/>
      <c r="BN1589" s="87"/>
      <c r="BO1589" s="87"/>
      <c r="BP1589" s="87"/>
      <c r="BQ1589" s="87"/>
      <c r="BR1589" s="87"/>
      <c r="BS1589" s="87"/>
      <c r="BT1589" s="87"/>
      <c r="BU1589" s="87"/>
      <c r="BV1589" s="87"/>
      <c r="BW1589" s="87"/>
      <c r="BX1589" s="87"/>
      <c r="BY1589" s="87"/>
    </row>
    <row r="1590" spans="21:77" x14ac:dyDescent="0.3">
      <c r="U1590" s="19"/>
      <c r="V1590" s="87"/>
      <c r="W1590" s="87"/>
      <c r="X1590" s="87"/>
      <c r="Y1590" s="87"/>
      <c r="Z1590" s="87"/>
      <c r="AA1590" s="87"/>
      <c r="AB1590" s="87"/>
      <c r="AC1590" s="87"/>
      <c r="AD1590" s="87"/>
      <c r="AE1590" s="87"/>
      <c r="AF1590" s="87"/>
      <c r="AG1590" s="87"/>
      <c r="AH1590" s="87"/>
      <c r="AI1590" s="87"/>
      <c r="AJ1590" s="87"/>
      <c r="AK1590" s="87"/>
      <c r="AL1590" s="87"/>
      <c r="AM1590" s="87"/>
      <c r="AN1590" s="87"/>
      <c r="AO1590" s="87"/>
      <c r="AP1590" s="87"/>
      <c r="AQ1590" s="87"/>
      <c r="AR1590" s="87"/>
      <c r="AS1590" s="87"/>
      <c r="AT1590" s="87"/>
      <c r="AU1590" s="87"/>
      <c r="AV1590" s="87"/>
      <c r="AW1590" s="87"/>
      <c r="AX1590" s="87"/>
      <c r="AY1590" s="87"/>
      <c r="AZ1590" s="87"/>
      <c r="BA1590" s="87"/>
      <c r="BB1590" s="87"/>
      <c r="BC1590" s="87"/>
      <c r="BD1590" s="87"/>
      <c r="BE1590" s="87"/>
      <c r="BF1590" s="87"/>
      <c r="BG1590" s="87"/>
      <c r="BH1590" s="87"/>
      <c r="BI1590" s="87"/>
      <c r="BJ1590" s="87"/>
      <c r="BK1590" s="87"/>
      <c r="BL1590" s="87"/>
      <c r="BM1590" s="87"/>
      <c r="BN1590" s="87"/>
      <c r="BO1590" s="87"/>
      <c r="BP1590" s="87"/>
      <c r="BQ1590" s="87"/>
      <c r="BR1590" s="87"/>
      <c r="BS1590" s="87"/>
      <c r="BT1590" s="87"/>
      <c r="BU1590" s="87"/>
      <c r="BV1590" s="87"/>
      <c r="BW1590" s="87"/>
      <c r="BX1590" s="87"/>
      <c r="BY1590" s="87"/>
    </row>
    <row r="1591" spans="21:77" x14ac:dyDescent="0.3">
      <c r="U1591" s="19"/>
      <c r="V1591" s="87"/>
      <c r="W1591" s="87"/>
      <c r="X1591" s="87"/>
      <c r="Y1591" s="87"/>
      <c r="Z1591" s="87"/>
      <c r="AA1591" s="87"/>
      <c r="AB1591" s="87"/>
      <c r="AC1591" s="87"/>
      <c r="AD1591" s="87"/>
      <c r="AE1591" s="87"/>
      <c r="AF1591" s="87"/>
      <c r="AG1591" s="87"/>
      <c r="AH1591" s="87"/>
      <c r="AI1591" s="87"/>
      <c r="AJ1591" s="87"/>
      <c r="AK1591" s="87"/>
      <c r="AL1591" s="87"/>
      <c r="AM1591" s="87"/>
      <c r="AN1591" s="87"/>
      <c r="AO1591" s="87"/>
      <c r="AP1591" s="87"/>
      <c r="AQ1591" s="87"/>
      <c r="AR1591" s="87"/>
      <c r="AS1591" s="87"/>
      <c r="AT1591" s="87"/>
      <c r="AU1591" s="87"/>
      <c r="AV1591" s="87"/>
      <c r="AW1591" s="87"/>
      <c r="AX1591" s="87"/>
      <c r="AY1591" s="87"/>
      <c r="AZ1591" s="87"/>
      <c r="BA1591" s="87"/>
      <c r="BB1591" s="87"/>
      <c r="BC1591" s="87"/>
      <c r="BD1591" s="87"/>
      <c r="BE1591" s="87"/>
      <c r="BF1591" s="87"/>
      <c r="BG1591" s="87"/>
      <c r="BH1591" s="87"/>
      <c r="BI1591" s="87"/>
      <c r="BJ1591" s="87"/>
      <c r="BK1591" s="87"/>
      <c r="BL1591" s="87"/>
      <c r="BM1591" s="87"/>
      <c r="BN1591" s="87"/>
      <c r="BO1591" s="87"/>
      <c r="BP1591" s="87"/>
      <c r="BQ1591" s="87"/>
      <c r="BR1591" s="87"/>
      <c r="BS1591" s="87"/>
      <c r="BT1591" s="87"/>
      <c r="BU1591" s="87"/>
      <c r="BV1591" s="87"/>
      <c r="BW1591" s="87"/>
      <c r="BX1591" s="87"/>
      <c r="BY1591" s="87"/>
    </row>
    <row r="1592" spans="21:77" x14ac:dyDescent="0.3">
      <c r="U1592" s="19"/>
      <c r="V1592" s="87"/>
      <c r="W1592" s="87"/>
      <c r="X1592" s="87"/>
      <c r="Y1592" s="87"/>
      <c r="Z1592" s="87"/>
      <c r="AA1592" s="87"/>
      <c r="AB1592" s="87"/>
      <c r="AC1592" s="87"/>
      <c r="AD1592" s="87"/>
      <c r="AE1592" s="87"/>
      <c r="AF1592" s="87"/>
      <c r="AG1592" s="87"/>
      <c r="AH1592" s="87"/>
      <c r="AI1592" s="87"/>
      <c r="AJ1592" s="87"/>
      <c r="AK1592" s="87"/>
      <c r="AL1592" s="87"/>
      <c r="AM1592" s="87"/>
      <c r="AN1592" s="87"/>
      <c r="AO1592" s="87"/>
      <c r="AP1592" s="87"/>
      <c r="AQ1592" s="87"/>
      <c r="AR1592" s="87"/>
      <c r="AS1592" s="87"/>
      <c r="AT1592" s="87"/>
      <c r="AU1592" s="87"/>
      <c r="AV1592" s="87"/>
      <c r="AW1592" s="87"/>
      <c r="AX1592" s="87"/>
      <c r="AY1592" s="87"/>
      <c r="AZ1592" s="87"/>
      <c r="BA1592" s="87"/>
      <c r="BB1592" s="87"/>
      <c r="BC1592" s="87"/>
      <c r="BD1592" s="87"/>
      <c r="BE1592" s="87"/>
      <c r="BF1592" s="87"/>
      <c r="BG1592" s="87"/>
      <c r="BH1592" s="87"/>
      <c r="BI1592" s="87"/>
      <c r="BJ1592" s="87"/>
      <c r="BK1592" s="87"/>
      <c r="BL1592" s="87"/>
      <c r="BM1592" s="87"/>
      <c r="BN1592" s="87"/>
      <c r="BO1592" s="87"/>
      <c r="BP1592" s="87"/>
      <c r="BQ1592" s="87"/>
      <c r="BR1592" s="87"/>
      <c r="BS1592" s="87"/>
      <c r="BT1592" s="87"/>
      <c r="BU1592" s="87"/>
      <c r="BV1592" s="87"/>
      <c r="BW1592" s="87"/>
      <c r="BX1592" s="87"/>
      <c r="BY1592" s="87"/>
    </row>
    <row r="1593" spans="21:77" x14ac:dyDescent="0.3">
      <c r="U1593" s="19"/>
      <c r="V1593" s="87"/>
      <c r="W1593" s="87"/>
      <c r="X1593" s="87"/>
      <c r="Y1593" s="87"/>
      <c r="Z1593" s="87"/>
      <c r="AA1593" s="87"/>
      <c r="AB1593" s="87"/>
      <c r="AC1593" s="87"/>
      <c r="AD1593" s="87"/>
      <c r="AE1593" s="87"/>
      <c r="AF1593" s="87"/>
      <c r="AG1593" s="87"/>
      <c r="AH1593" s="87"/>
      <c r="AI1593" s="87"/>
      <c r="AJ1593" s="87"/>
      <c r="AK1593" s="87"/>
      <c r="AL1593" s="87"/>
      <c r="AM1593" s="87"/>
      <c r="AN1593" s="87"/>
      <c r="AO1593" s="87"/>
      <c r="AP1593" s="87"/>
      <c r="AQ1593" s="87"/>
      <c r="AR1593" s="87"/>
      <c r="AS1593" s="87"/>
      <c r="AT1593" s="87"/>
      <c r="AU1593" s="87"/>
      <c r="AV1593" s="87"/>
      <c r="AW1593" s="87"/>
      <c r="AX1593" s="87"/>
      <c r="AY1593" s="87"/>
      <c r="AZ1593" s="87"/>
      <c r="BA1593" s="87"/>
      <c r="BB1593" s="87"/>
      <c r="BC1593" s="87"/>
      <c r="BD1593" s="87"/>
      <c r="BE1593" s="87"/>
      <c r="BF1593" s="87"/>
      <c r="BG1593" s="87"/>
      <c r="BH1593" s="87"/>
      <c r="BI1593" s="87"/>
      <c r="BJ1593" s="87"/>
      <c r="BK1593" s="87"/>
      <c r="BL1593" s="87"/>
      <c r="BM1593" s="87"/>
      <c r="BN1593" s="87"/>
      <c r="BO1593" s="87"/>
      <c r="BP1593" s="87"/>
      <c r="BQ1593" s="87"/>
      <c r="BR1593" s="87"/>
      <c r="BS1593" s="87"/>
      <c r="BT1593" s="87"/>
      <c r="BU1593" s="87"/>
      <c r="BV1593" s="87"/>
      <c r="BW1593" s="87"/>
      <c r="BX1593" s="87"/>
      <c r="BY1593" s="87"/>
    </row>
    <row r="1594" spans="21:77" x14ac:dyDescent="0.3">
      <c r="U1594" s="19"/>
      <c r="V1594" s="87"/>
      <c r="W1594" s="87"/>
      <c r="X1594" s="87"/>
      <c r="Y1594" s="87"/>
      <c r="Z1594" s="87"/>
      <c r="AA1594" s="87"/>
      <c r="AB1594" s="87"/>
      <c r="AC1594" s="87"/>
      <c r="AD1594" s="87"/>
      <c r="AE1594" s="87"/>
      <c r="AF1594" s="87"/>
      <c r="AG1594" s="87"/>
      <c r="AH1594" s="87"/>
      <c r="AI1594" s="87"/>
      <c r="AJ1594" s="87"/>
      <c r="AK1594" s="87"/>
      <c r="AL1594" s="87"/>
      <c r="AM1594" s="87"/>
      <c r="AN1594" s="87"/>
      <c r="AO1594" s="87"/>
      <c r="AP1594" s="87"/>
      <c r="AQ1594" s="87"/>
      <c r="AR1594" s="87"/>
      <c r="AS1594" s="87"/>
      <c r="AT1594" s="87"/>
      <c r="AU1594" s="87"/>
      <c r="AV1594" s="87"/>
      <c r="AW1594" s="87"/>
      <c r="AX1594" s="87"/>
      <c r="AY1594" s="87"/>
      <c r="AZ1594" s="87"/>
      <c r="BA1594" s="87"/>
      <c r="BB1594" s="87"/>
      <c r="BC1594" s="87"/>
      <c r="BD1594" s="87"/>
      <c r="BE1594" s="87"/>
      <c r="BF1594" s="87"/>
      <c r="BG1594" s="87"/>
      <c r="BH1594" s="87"/>
      <c r="BI1594" s="87"/>
      <c r="BJ1594" s="87"/>
      <c r="BK1594" s="87"/>
      <c r="BL1594" s="87"/>
      <c r="BM1594" s="87"/>
      <c r="BN1594" s="87"/>
      <c r="BO1594" s="87"/>
      <c r="BP1594" s="87"/>
      <c r="BQ1594" s="87"/>
      <c r="BR1594" s="87"/>
      <c r="BS1594" s="87"/>
      <c r="BT1594" s="87"/>
      <c r="BU1594" s="87"/>
      <c r="BV1594" s="87"/>
      <c r="BW1594" s="87"/>
      <c r="BX1594" s="87"/>
      <c r="BY1594" s="87"/>
    </row>
    <row r="1595" spans="21:77" x14ac:dyDescent="0.3">
      <c r="U1595" s="19"/>
      <c r="V1595" s="87"/>
      <c r="W1595" s="87"/>
      <c r="X1595" s="87"/>
      <c r="Y1595" s="87"/>
      <c r="Z1595" s="87"/>
      <c r="AA1595" s="87"/>
      <c r="AB1595" s="87"/>
      <c r="AC1595" s="87"/>
      <c r="AD1595" s="87"/>
      <c r="AE1595" s="87"/>
      <c r="AF1595" s="87"/>
      <c r="AG1595" s="87"/>
      <c r="AH1595" s="87"/>
      <c r="AI1595" s="87"/>
      <c r="AJ1595" s="87"/>
      <c r="AK1595" s="87"/>
      <c r="AL1595" s="87"/>
      <c r="AM1595" s="87"/>
      <c r="AN1595" s="87"/>
      <c r="AO1595" s="87"/>
      <c r="AP1595" s="87"/>
      <c r="AQ1595" s="87"/>
      <c r="AR1595" s="87"/>
      <c r="AS1595" s="87"/>
      <c r="AT1595" s="87"/>
      <c r="AU1595" s="87"/>
      <c r="AV1595" s="87"/>
      <c r="AW1595" s="87"/>
      <c r="AX1595" s="87"/>
      <c r="AY1595" s="87"/>
      <c r="AZ1595" s="87"/>
      <c r="BA1595" s="87"/>
      <c r="BB1595" s="87"/>
      <c r="BC1595" s="87"/>
      <c r="BD1595" s="87"/>
      <c r="BE1595" s="87"/>
      <c r="BF1595" s="87"/>
      <c r="BG1595" s="87"/>
      <c r="BH1595" s="87"/>
      <c r="BI1595" s="87"/>
      <c r="BJ1595" s="87"/>
      <c r="BK1595" s="87"/>
      <c r="BL1595" s="87"/>
      <c r="BM1595" s="87"/>
      <c r="BN1595" s="87"/>
      <c r="BO1595" s="87"/>
      <c r="BP1595" s="87"/>
      <c r="BQ1595" s="87"/>
      <c r="BR1595" s="87"/>
      <c r="BS1595" s="87"/>
      <c r="BT1595" s="87"/>
      <c r="BU1595" s="87"/>
      <c r="BV1595" s="87"/>
      <c r="BW1595" s="87"/>
      <c r="BX1595" s="87"/>
      <c r="BY1595" s="87"/>
    </row>
    <row r="1596" spans="21:77" x14ac:dyDescent="0.3">
      <c r="U1596" s="19"/>
      <c r="V1596" s="87"/>
      <c r="W1596" s="87"/>
      <c r="X1596" s="87"/>
      <c r="Y1596" s="87"/>
      <c r="Z1596" s="87"/>
      <c r="AA1596" s="87"/>
      <c r="AB1596" s="87"/>
      <c r="AC1596" s="87"/>
      <c r="AD1596" s="87"/>
      <c r="AE1596" s="87"/>
      <c r="AF1596" s="87"/>
      <c r="AG1596" s="87"/>
      <c r="AH1596" s="87"/>
      <c r="AI1596" s="87"/>
      <c r="AJ1596" s="87"/>
      <c r="AK1596" s="87"/>
      <c r="AL1596" s="87"/>
      <c r="AM1596" s="87"/>
      <c r="AN1596" s="87"/>
      <c r="AO1596" s="87"/>
      <c r="AP1596" s="87"/>
      <c r="AQ1596" s="87"/>
      <c r="AR1596" s="87"/>
      <c r="AS1596" s="87"/>
      <c r="AT1596" s="87"/>
      <c r="AU1596" s="87"/>
      <c r="AV1596" s="87"/>
      <c r="AW1596" s="87"/>
      <c r="AX1596" s="87"/>
      <c r="AY1596" s="87"/>
      <c r="AZ1596" s="87"/>
      <c r="BA1596" s="87"/>
      <c r="BB1596" s="87"/>
      <c r="BC1596" s="87"/>
      <c r="BD1596" s="87"/>
      <c r="BE1596" s="87"/>
      <c r="BF1596" s="87"/>
      <c r="BG1596" s="87"/>
      <c r="BH1596" s="87"/>
      <c r="BI1596" s="87"/>
      <c r="BJ1596" s="87"/>
      <c r="BK1596" s="87"/>
      <c r="BL1596" s="87"/>
      <c r="BM1596" s="87"/>
      <c r="BN1596" s="87"/>
      <c r="BO1596" s="87"/>
      <c r="BP1596" s="87"/>
      <c r="BQ1596" s="87"/>
      <c r="BR1596" s="87"/>
      <c r="BS1596" s="87"/>
      <c r="BT1596" s="87"/>
      <c r="BU1596" s="87"/>
      <c r="BV1596" s="87"/>
      <c r="BW1596" s="87"/>
      <c r="BX1596" s="87"/>
      <c r="BY1596" s="87"/>
    </row>
    <row r="1597" spans="21:77" x14ac:dyDescent="0.3">
      <c r="U1597" s="19"/>
      <c r="V1597" s="87"/>
      <c r="W1597" s="87"/>
      <c r="X1597" s="87"/>
      <c r="Y1597" s="87"/>
      <c r="Z1597" s="87"/>
      <c r="AA1597" s="87"/>
      <c r="AB1597" s="87"/>
      <c r="AC1597" s="87"/>
      <c r="AD1597" s="87"/>
      <c r="AE1597" s="87"/>
      <c r="AF1597" s="87"/>
      <c r="AG1597" s="87"/>
      <c r="AH1597" s="87"/>
      <c r="AI1597" s="87"/>
      <c r="AJ1597" s="87"/>
      <c r="AK1597" s="87"/>
      <c r="AL1597" s="87"/>
      <c r="AM1597" s="87"/>
      <c r="AN1597" s="87"/>
      <c r="AO1597" s="87"/>
      <c r="AP1597" s="87"/>
      <c r="AQ1597" s="87"/>
      <c r="AR1597" s="87"/>
      <c r="AS1597" s="87"/>
      <c r="AT1597" s="87"/>
      <c r="AU1597" s="87"/>
      <c r="AV1597" s="87"/>
      <c r="AW1597" s="87"/>
      <c r="AX1597" s="87"/>
      <c r="AY1597" s="87"/>
      <c r="AZ1597" s="87"/>
      <c r="BA1597" s="87"/>
      <c r="BB1597" s="87"/>
      <c r="BC1597" s="87"/>
      <c r="BD1597" s="87"/>
      <c r="BE1597" s="87"/>
      <c r="BF1597" s="87"/>
      <c r="BG1597" s="87"/>
      <c r="BH1597" s="87"/>
      <c r="BI1597" s="87"/>
      <c r="BJ1597" s="87"/>
      <c r="BK1597" s="87"/>
      <c r="BL1597" s="87"/>
      <c r="BM1597" s="87"/>
      <c r="BN1597" s="87"/>
      <c r="BO1597" s="87"/>
      <c r="BP1597" s="87"/>
      <c r="BQ1597" s="87"/>
      <c r="BR1597" s="87"/>
      <c r="BS1597" s="87"/>
      <c r="BT1597" s="87"/>
      <c r="BU1597" s="87"/>
      <c r="BV1597" s="87"/>
      <c r="BW1597" s="87"/>
      <c r="BX1597" s="87"/>
      <c r="BY1597" s="87"/>
    </row>
    <row r="1598" spans="21:77" x14ac:dyDescent="0.3">
      <c r="U1598" s="19"/>
      <c r="V1598" s="87"/>
      <c r="W1598" s="87"/>
      <c r="X1598" s="87"/>
      <c r="Y1598" s="87"/>
      <c r="Z1598" s="87"/>
      <c r="AA1598" s="87"/>
      <c r="AB1598" s="87"/>
      <c r="AC1598" s="87"/>
      <c r="AD1598" s="87"/>
      <c r="AE1598" s="87"/>
      <c r="AF1598" s="87"/>
      <c r="AG1598" s="87"/>
      <c r="AH1598" s="87"/>
      <c r="AI1598" s="87"/>
      <c r="AJ1598" s="87"/>
      <c r="AK1598" s="87"/>
      <c r="AL1598" s="87"/>
      <c r="AM1598" s="87"/>
      <c r="AN1598" s="87"/>
      <c r="AO1598" s="87"/>
      <c r="AP1598" s="87"/>
      <c r="AQ1598" s="87"/>
      <c r="AR1598" s="87"/>
      <c r="AS1598" s="87"/>
      <c r="AT1598" s="87"/>
      <c r="AU1598" s="87"/>
      <c r="AV1598" s="87"/>
      <c r="AW1598" s="87"/>
      <c r="AX1598" s="87"/>
      <c r="AY1598" s="87"/>
      <c r="AZ1598" s="87"/>
      <c r="BA1598" s="87"/>
      <c r="BB1598" s="87"/>
      <c r="BC1598" s="87"/>
      <c r="BD1598" s="87"/>
      <c r="BE1598" s="87"/>
      <c r="BF1598" s="87"/>
      <c r="BG1598" s="87"/>
      <c r="BH1598" s="87"/>
      <c r="BI1598" s="87"/>
      <c r="BJ1598" s="87"/>
      <c r="BK1598" s="87"/>
      <c r="BL1598" s="87"/>
      <c r="BM1598" s="87"/>
      <c r="BN1598" s="87"/>
      <c r="BO1598" s="87"/>
      <c r="BP1598" s="87"/>
      <c r="BQ1598" s="87"/>
      <c r="BR1598" s="87"/>
      <c r="BS1598" s="87"/>
      <c r="BT1598" s="87"/>
      <c r="BU1598" s="87"/>
      <c r="BV1598" s="87"/>
      <c r="BW1598" s="87"/>
      <c r="BX1598" s="87"/>
      <c r="BY1598" s="87"/>
    </row>
    <row r="1599" spans="21:77" x14ac:dyDescent="0.3">
      <c r="U1599" s="19"/>
      <c r="V1599" s="87"/>
      <c r="W1599" s="87"/>
      <c r="X1599" s="87"/>
      <c r="Y1599" s="87"/>
      <c r="Z1599" s="87"/>
      <c r="AA1599" s="87"/>
      <c r="AB1599" s="87"/>
      <c r="AC1599" s="87"/>
      <c r="AD1599" s="87"/>
      <c r="AE1599" s="87"/>
      <c r="AF1599" s="87"/>
      <c r="AG1599" s="87"/>
      <c r="AH1599" s="87"/>
      <c r="AI1599" s="87"/>
      <c r="AJ1599" s="87"/>
      <c r="AK1599" s="87"/>
      <c r="AL1599" s="87"/>
      <c r="AM1599" s="87"/>
      <c r="AN1599" s="87"/>
      <c r="AO1599" s="87"/>
      <c r="AP1599" s="87"/>
      <c r="AQ1599" s="87"/>
      <c r="AR1599" s="87"/>
      <c r="AS1599" s="87"/>
      <c r="AT1599" s="87"/>
      <c r="AU1599" s="87"/>
      <c r="AV1599" s="87"/>
      <c r="AW1599" s="87"/>
      <c r="AX1599" s="87"/>
      <c r="AY1599" s="87"/>
      <c r="AZ1599" s="87"/>
      <c r="BA1599" s="87"/>
      <c r="BB1599" s="87"/>
      <c r="BC1599" s="87"/>
      <c r="BD1599" s="87"/>
      <c r="BE1599" s="87"/>
      <c r="BF1599" s="87"/>
      <c r="BG1599" s="87"/>
      <c r="BH1599" s="87"/>
      <c r="BI1599" s="87"/>
      <c r="BJ1599" s="87"/>
      <c r="BK1599" s="87"/>
      <c r="BL1599" s="87"/>
      <c r="BM1599" s="87"/>
      <c r="BN1599" s="87"/>
      <c r="BO1599" s="87"/>
      <c r="BP1599" s="87"/>
      <c r="BQ1599" s="87"/>
      <c r="BR1599" s="87"/>
      <c r="BS1599" s="87"/>
      <c r="BT1599" s="87"/>
      <c r="BU1599" s="87"/>
      <c r="BV1599" s="87"/>
      <c r="BW1599" s="87"/>
      <c r="BX1599" s="87"/>
      <c r="BY1599" s="87"/>
    </row>
    <row r="1600" spans="21:77" x14ac:dyDescent="0.3">
      <c r="U1600" s="19"/>
      <c r="V1600" s="87"/>
      <c r="W1600" s="87"/>
      <c r="X1600" s="87"/>
      <c r="Y1600" s="87"/>
      <c r="Z1600" s="87"/>
      <c r="AA1600" s="87"/>
      <c r="AB1600" s="87"/>
      <c r="AC1600" s="87"/>
      <c r="AD1600" s="87"/>
      <c r="AE1600" s="87"/>
      <c r="AF1600" s="87"/>
      <c r="AG1600" s="87"/>
      <c r="AH1600" s="87"/>
      <c r="AI1600" s="87"/>
      <c r="AJ1600" s="87"/>
      <c r="AK1600" s="87"/>
      <c r="AL1600" s="87"/>
      <c r="AM1600" s="87"/>
      <c r="AN1600" s="87"/>
      <c r="AO1600" s="87"/>
      <c r="AP1600" s="87"/>
      <c r="AQ1600" s="87"/>
      <c r="AR1600" s="87"/>
      <c r="AS1600" s="87"/>
      <c r="AT1600" s="87"/>
      <c r="AU1600" s="87"/>
      <c r="AV1600" s="87"/>
      <c r="AW1600" s="87"/>
      <c r="AX1600" s="87"/>
      <c r="AY1600" s="87"/>
      <c r="AZ1600" s="87"/>
      <c r="BA1600" s="87"/>
      <c r="BB1600" s="87"/>
      <c r="BC1600" s="87"/>
      <c r="BD1600" s="87"/>
      <c r="BE1600" s="87"/>
      <c r="BF1600" s="87"/>
      <c r="BG1600" s="87"/>
      <c r="BH1600" s="87"/>
      <c r="BI1600" s="87"/>
      <c r="BJ1600" s="87"/>
      <c r="BK1600" s="87"/>
      <c r="BL1600" s="87"/>
      <c r="BM1600" s="87"/>
      <c r="BN1600" s="87"/>
      <c r="BO1600" s="87"/>
      <c r="BP1600" s="87"/>
      <c r="BQ1600" s="87"/>
      <c r="BR1600" s="87"/>
      <c r="BS1600" s="87"/>
      <c r="BT1600" s="87"/>
      <c r="BU1600" s="87"/>
      <c r="BV1600" s="87"/>
      <c r="BW1600" s="87"/>
      <c r="BX1600" s="87"/>
      <c r="BY1600" s="87"/>
    </row>
    <row r="1601" spans="21:77" x14ac:dyDescent="0.3">
      <c r="U1601" s="19"/>
      <c r="V1601" s="87"/>
      <c r="W1601" s="87"/>
      <c r="X1601" s="87"/>
      <c r="Y1601" s="87"/>
      <c r="Z1601" s="87"/>
      <c r="AA1601" s="87"/>
      <c r="AB1601" s="87"/>
      <c r="AC1601" s="87"/>
      <c r="AD1601" s="87"/>
      <c r="AE1601" s="87"/>
      <c r="AF1601" s="87"/>
      <c r="AG1601" s="87"/>
      <c r="AH1601" s="87"/>
      <c r="AI1601" s="87"/>
      <c r="AJ1601" s="87"/>
      <c r="AK1601" s="87"/>
      <c r="AL1601" s="87"/>
      <c r="AM1601" s="87"/>
      <c r="AN1601" s="87"/>
      <c r="AO1601" s="87"/>
      <c r="AP1601" s="87"/>
      <c r="AQ1601" s="87"/>
      <c r="AR1601" s="87"/>
      <c r="AS1601" s="87"/>
      <c r="AT1601" s="87"/>
      <c r="AU1601" s="87"/>
      <c r="AV1601" s="87"/>
      <c r="AW1601" s="87"/>
      <c r="AX1601" s="87"/>
      <c r="AY1601" s="87"/>
      <c r="AZ1601" s="87"/>
      <c r="BA1601" s="87"/>
      <c r="BB1601" s="87"/>
      <c r="BC1601" s="87"/>
      <c r="BD1601" s="87"/>
      <c r="BE1601" s="87"/>
      <c r="BF1601" s="87"/>
      <c r="BG1601" s="87"/>
      <c r="BH1601" s="87"/>
      <c r="BI1601" s="87"/>
      <c r="BJ1601" s="87"/>
      <c r="BK1601" s="87"/>
      <c r="BL1601" s="87"/>
      <c r="BM1601" s="87"/>
      <c r="BN1601" s="87"/>
      <c r="BO1601" s="87"/>
      <c r="BP1601" s="87"/>
      <c r="BQ1601" s="87"/>
      <c r="BR1601" s="87"/>
      <c r="BS1601" s="87"/>
      <c r="BT1601" s="87"/>
      <c r="BU1601" s="87"/>
      <c r="BV1601" s="87"/>
      <c r="BW1601" s="87"/>
      <c r="BX1601" s="87"/>
      <c r="BY1601" s="87"/>
    </row>
    <row r="1602" spans="21:77" x14ac:dyDescent="0.3">
      <c r="U1602" s="19"/>
      <c r="V1602" s="87"/>
      <c r="W1602" s="87"/>
      <c r="X1602" s="87"/>
      <c r="Y1602" s="87"/>
      <c r="Z1602" s="87"/>
      <c r="AA1602" s="87"/>
      <c r="AB1602" s="87"/>
      <c r="AC1602" s="87"/>
      <c r="AD1602" s="87"/>
      <c r="AE1602" s="87"/>
      <c r="AF1602" s="87"/>
      <c r="AG1602" s="87"/>
      <c r="AH1602" s="87"/>
      <c r="AI1602" s="87"/>
      <c r="AJ1602" s="87"/>
      <c r="AK1602" s="87"/>
      <c r="AL1602" s="87"/>
      <c r="AM1602" s="87"/>
      <c r="AN1602" s="87"/>
      <c r="AO1602" s="87"/>
      <c r="AP1602" s="87"/>
      <c r="AQ1602" s="87"/>
      <c r="AR1602" s="87"/>
      <c r="AS1602" s="87"/>
      <c r="AT1602" s="87"/>
      <c r="AU1602" s="87"/>
      <c r="AV1602" s="87"/>
      <c r="AW1602" s="87"/>
      <c r="AX1602" s="87"/>
      <c r="AY1602" s="87"/>
      <c r="AZ1602" s="87"/>
      <c r="BA1602" s="87"/>
      <c r="BB1602" s="87"/>
      <c r="BC1602" s="87"/>
      <c r="BD1602" s="87"/>
      <c r="BE1602" s="87"/>
      <c r="BF1602" s="87"/>
      <c r="BG1602" s="87"/>
      <c r="BH1602" s="87"/>
      <c r="BI1602" s="87"/>
      <c r="BJ1602" s="87"/>
      <c r="BK1602" s="87"/>
      <c r="BL1602" s="87"/>
      <c r="BM1602" s="87"/>
      <c r="BN1602" s="87"/>
      <c r="BO1602" s="87"/>
      <c r="BP1602" s="87"/>
      <c r="BQ1602" s="87"/>
      <c r="BR1602" s="87"/>
      <c r="BS1602" s="87"/>
      <c r="BT1602" s="87"/>
      <c r="BU1602" s="87"/>
      <c r="BV1602" s="87"/>
      <c r="BW1602" s="87"/>
      <c r="BX1602" s="87"/>
      <c r="BY1602" s="87"/>
    </row>
    <row r="1603" spans="21:77" x14ac:dyDescent="0.3">
      <c r="U1603" s="19"/>
      <c r="V1603" s="87"/>
      <c r="W1603" s="87"/>
      <c r="X1603" s="87"/>
      <c r="Y1603" s="87"/>
      <c r="Z1603" s="87"/>
      <c r="AA1603" s="87"/>
      <c r="AB1603" s="87"/>
      <c r="AC1603" s="87"/>
      <c r="AD1603" s="87"/>
      <c r="AE1603" s="87"/>
      <c r="AF1603" s="87"/>
      <c r="AG1603" s="87"/>
      <c r="AH1603" s="87"/>
      <c r="AI1603" s="87"/>
      <c r="AJ1603" s="87"/>
      <c r="AK1603" s="87"/>
      <c r="AL1603" s="87"/>
      <c r="AM1603" s="87"/>
      <c r="AN1603" s="87"/>
      <c r="AO1603" s="87"/>
      <c r="AP1603" s="87"/>
      <c r="AQ1603" s="87"/>
      <c r="AR1603" s="87"/>
      <c r="AS1603" s="87"/>
      <c r="AT1603" s="87"/>
      <c r="AU1603" s="87"/>
      <c r="AV1603" s="87"/>
      <c r="AW1603" s="87"/>
      <c r="AX1603" s="87"/>
      <c r="AY1603" s="87"/>
      <c r="AZ1603" s="87"/>
      <c r="BA1603" s="87"/>
      <c r="BB1603" s="87"/>
      <c r="BC1603" s="87"/>
      <c r="BD1603" s="87"/>
      <c r="BE1603" s="87"/>
      <c r="BF1603" s="87"/>
      <c r="BG1603" s="87"/>
      <c r="BH1603" s="87"/>
      <c r="BI1603" s="87"/>
      <c r="BJ1603" s="87"/>
      <c r="BK1603" s="87"/>
      <c r="BL1603" s="87"/>
      <c r="BM1603" s="87"/>
      <c r="BN1603" s="87"/>
      <c r="BO1603" s="87"/>
      <c r="BP1603" s="87"/>
      <c r="BQ1603" s="87"/>
      <c r="BR1603" s="87"/>
      <c r="BS1603" s="87"/>
      <c r="BT1603" s="87"/>
      <c r="BU1603" s="87"/>
      <c r="BV1603" s="87"/>
      <c r="BW1603" s="87"/>
      <c r="BX1603" s="87"/>
      <c r="BY1603" s="87"/>
    </row>
    <row r="1604" spans="21:77" x14ac:dyDescent="0.3">
      <c r="U1604" s="19"/>
      <c r="V1604" s="87"/>
      <c r="W1604" s="87"/>
      <c r="X1604" s="87"/>
      <c r="Y1604" s="87"/>
      <c r="Z1604" s="87"/>
      <c r="AA1604" s="87"/>
      <c r="AB1604" s="87"/>
      <c r="AC1604" s="87"/>
      <c r="AD1604" s="87"/>
      <c r="AE1604" s="87"/>
      <c r="AF1604" s="87"/>
      <c r="AG1604" s="87"/>
      <c r="AH1604" s="87"/>
      <c r="AI1604" s="87"/>
      <c r="AJ1604" s="87"/>
      <c r="AK1604" s="87"/>
      <c r="AL1604" s="87"/>
      <c r="AM1604" s="87"/>
      <c r="AN1604" s="87"/>
      <c r="AO1604" s="87"/>
      <c r="AP1604" s="87"/>
      <c r="AQ1604" s="87"/>
      <c r="AR1604" s="87"/>
      <c r="AS1604" s="87"/>
      <c r="AT1604" s="87"/>
      <c r="AU1604" s="87"/>
      <c r="AV1604" s="87"/>
      <c r="AW1604" s="87"/>
      <c r="AX1604" s="87"/>
      <c r="AY1604" s="87"/>
      <c r="AZ1604" s="87"/>
      <c r="BA1604" s="87"/>
      <c r="BB1604" s="87"/>
      <c r="BC1604" s="87"/>
      <c r="BD1604" s="87"/>
      <c r="BE1604" s="87"/>
      <c r="BF1604" s="87"/>
      <c r="BG1604" s="87"/>
      <c r="BH1604" s="87"/>
      <c r="BI1604" s="87"/>
      <c r="BJ1604" s="87"/>
      <c r="BK1604" s="87"/>
      <c r="BL1604" s="87"/>
      <c r="BM1604" s="87"/>
      <c r="BN1604" s="87"/>
      <c r="BO1604" s="87"/>
      <c r="BP1604" s="87"/>
      <c r="BQ1604" s="87"/>
      <c r="BR1604" s="87"/>
      <c r="BS1604" s="87"/>
      <c r="BT1604" s="87"/>
      <c r="BU1604" s="87"/>
      <c r="BV1604" s="87"/>
      <c r="BW1604" s="87"/>
      <c r="BX1604" s="87"/>
      <c r="BY1604" s="87"/>
    </row>
    <row r="1605" spans="21:77" x14ac:dyDescent="0.3">
      <c r="U1605" s="19"/>
      <c r="V1605" s="87"/>
      <c r="W1605" s="87"/>
      <c r="X1605" s="87"/>
      <c r="Y1605" s="87"/>
      <c r="Z1605" s="87"/>
      <c r="AA1605" s="87"/>
      <c r="AB1605" s="87"/>
      <c r="AC1605" s="87"/>
      <c r="AD1605" s="87"/>
      <c r="AE1605" s="87"/>
      <c r="AF1605" s="87"/>
      <c r="AG1605" s="87"/>
      <c r="AH1605" s="87"/>
      <c r="AI1605" s="87"/>
      <c r="AJ1605" s="87"/>
      <c r="AK1605" s="87"/>
      <c r="AL1605" s="87"/>
      <c r="AM1605" s="87"/>
      <c r="AN1605" s="87"/>
      <c r="AO1605" s="87"/>
      <c r="AP1605" s="87"/>
      <c r="AQ1605" s="87"/>
      <c r="AR1605" s="87"/>
      <c r="AS1605" s="87"/>
      <c r="AT1605" s="87"/>
      <c r="AU1605" s="87"/>
      <c r="AV1605" s="87"/>
      <c r="AW1605" s="87"/>
      <c r="AX1605" s="87"/>
      <c r="AY1605" s="87"/>
      <c r="AZ1605" s="87"/>
      <c r="BA1605" s="87"/>
      <c r="BB1605" s="87"/>
      <c r="BC1605" s="87"/>
      <c r="BD1605" s="87"/>
      <c r="BE1605" s="87"/>
      <c r="BF1605" s="87"/>
      <c r="BG1605" s="87"/>
      <c r="BH1605" s="87"/>
      <c r="BI1605" s="87"/>
      <c r="BJ1605" s="87"/>
      <c r="BK1605" s="87"/>
      <c r="BL1605" s="87"/>
      <c r="BM1605" s="87"/>
      <c r="BN1605" s="87"/>
      <c r="BO1605" s="87"/>
      <c r="BP1605" s="87"/>
      <c r="BQ1605" s="87"/>
      <c r="BR1605" s="87"/>
      <c r="BS1605" s="87"/>
      <c r="BT1605" s="87"/>
      <c r="BU1605" s="87"/>
      <c r="BV1605" s="87"/>
      <c r="BW1605" s="87"/>
      <c r="BX1605" s="87"/>
      <c r="BY1605" s="87"/>
    </row>
    <row r="1606" spans="21:77" x14ac:dyDescent="0.3">
      <c r="U1606" s="19"/>
      <c r="V1606" s="87"/>
      <c r="W1606" s="87"/>
      <c r="X1606" s="87"/>
      <c r="Y1606" s="87"/>
      <c r="Z1606" s="87"/>
      <c r="AA1606" s="87"/>
      <c r="AB1606" s="87"/>
      <c r="AC1606" s="87"/>
      <c r="AD1606" s="87"/>
      <c r="AE1606" s="87"/>
      <c r="AF1606" s="87"/>
      <c r="AG1606" s="87"/>
      <c r="AH1606" s="87"/>
      <c r="AI1606" s="87"/>
      <c r="AJ1606" s="87"/>
      <c r="AK1606" s="87"/>
      <c r="AL1606" s="87"/>
      <c r="AM1606" s="87"/>
      <c r="AN1606" s="87"/>
      <c r="AO1606" s="87"/>
      <c r="AP1606" s="87"/>
      <c r="AQ1606" s="87"/>
      <c r="AR1606" s="87"/>
      <c r="AS1606" s="87"/>
      <c r="AT1606" s="87"/>
      <c r="AU1606" s="87"/>
      <c r="AV1606" s="87"/>
      <c r="AW1606" s="87"/>
      <c r="AX1606" s="87"/>
      <c r="AY1606" s="87"/>
      <c r="AZ1606" s="87"/>
      <c r="BA1606" s="87"/>
      <c r="BB1606" s="87"/>
      <c r="BC1606" s="87"/>
      <c r="BD1606" s="87"/>
      <c r="BE1606" s="87"/>
      <c r="BF1606" s="87"/>
      <c r="BG1606" s="87"/>
      <c r="BH1606" s="87"/>
      <c r="BI1606" s="87"/>
      <c r="BJ1606" s="87"/>
      <c r="BK1606" s="87"/>
      <c r="BL1606" s="87"/>
      <c r="BM1606" s="87"/>
      <c r="BN1606" s="87"/>
      <c r="BO1606" s="87"/>
      <c r="BP1606" s="87"/>
      <c r="BQ1606" s="87"/>
      <c r="BR1606" s="87"/>
      <c r="BS1606" s="87"/>
      <c r="BT1606" s="87"/>
      <c r="BU1606" s="87"/>
      <c r="BV1606" s="87"/>
      <c r="BW1606" s="87"/>
      <c r="BX1606" s="87"/>
      <c r="BY1606" s="87"/>
    </row>
    <row r="1607" spans="21:77" x14ac:dyDescent="0.3">
      <c r="U1607" s="19"/>
      <c r="V1607" s="87"/>
      <c r="W1607" s="87"/>
      <c r="X1607" s="87"/>
      <c r="Y1607" s="87"/>
      <c r="Z1607" s="87"/>
      <c r="AA1607" s="87"/>
      <c r="AB1607" s="87"/>
      <c r="AC1607" s="87"/>
      <c r="AD1607" s="87"/>
      <c r="AE1607" s="87"/>
      <c r="AF1607" s="87"/>
      <c r="AG1607" s="87"/>
      <c r="AH1607" s="87"/>
      <c r="AI1607" s="87"/>
      <c r="AJ1607" s="87"/>
      <c r="AK1607" s="87"/>
      <c r="AL1607" s="87"/>
      <c r="AM1607" s="87"/>
      <c r="AN1607" s="87"/>
      <c r="AO1607" s="87"/>
      <c r="AP1607" s="87"/>
      <c r="AQ1607" s="87"/>
      <c r="AR1607" s="87"/>
      <c r="AS1607" s="87"/>
      <c r="AT1607" s="87"/>
      <c r="AU1607" s="87"/>
      <c r="AV1607" s="87"/>
      <c r="AW1607" s="87"/>
      <c r="AX1607" s="87"/>
      <c r="AY1607" s="87"/>
      <c r="AZ1607" s="87"/>
      <c r="BA1607" s="87"/>
      <c r="BB1607" s="87"/>
      <c r="BC1607" s="87"/>
      <c r="BD1607" s="87"/>
      <c r="BE1607" s="87"/>
      <c r="BF1607" s="87"/>
      <c r="BG1607" s="87"/>
      <c r="BH1607" s="87"/>
      <c r="BI1607" s="87"/>
      <c r="BJ1607" s="87"/>
      <c r="BK1607" s="87"/>
      <c r="BL1607" s="87"/>
      <c r="BM1607" s="87"/>
      <c r="BN1607" s="87"/>
      <c r="BO1607" s="87"/>
      <c r="BP1607" s="87"/>
      <c r="BQ1607" s="87"/>
      <c r="BR1607" s="87"/>
      <c r="BS1607" s="87"/>
      <c r="BT1607" s="87"/>
      <c r="BU1607" s="87"/>
      <c r="BV1607" s="87"/>
      <c r="BW1607" s="87"/>
      <c r="BX1607" s="87"/>
      <c r="BY1607" s="87"/>
    </row>
    <row r="1608" spans="21:77" x14ac:dyDescent="0.3">
      <c r="U1608" s="19"/>
      <c r="V1608" s="87"/>
      <c r="W1608" s="87"/>
      <c r="X1608" s="87"/>
      <c r="Y1608" s="87"/>
      <c r="Z1608" s="87"/>
      <c r="AA1608" s="87"/>
      <c r="AB1608" s="87"/>
      <c r="AC1608" s="87"/>
      <c r="AD1608" s="87"/>
      <c r="AE1608" s="87"/>
      <c r="AF1608" s="87"/>
      <c r="AG1608" s="87"/>
      <c r="AH1608" s="87"/>
      <c r="AI1608" s="87"/>
      <c r="AJ1608" s="87"/>
      <c r="AK1608" s="87"/>
      <c r="AL1608" s="87"/>
      <c r="AM1608" s="87"/>
      <c r="AN1608" s="87"/>
      <c r="AO1608" s="87"/>
      <c r="AP1608" s="87"/>
      <c r="AQ1608" s="87"/>
      <c r="AR1608" s="87"/>
      <c r="AS1608" s="87"/>
      <c r="AT1608" s="87"/>
      <c r="AU1608" s="87"/>
      <c r="AV1608" s="87"/>
      <c r="AW1608" s="87"/>
      <c r="AX1608" s="87"/>
      <c r="AY1608" s="87"/>
      <c r="AZ1608" s="87"/>
      <c r="BA1608" s="87"/>
      <c r="BB1608" s="87"/>
      <c r="BC1608" s="87"/>
      <c r="BD1608" s="87"/>
      <c r="BE1608" s="87"/>
      <c r="BF1608" s="87"/>
      <c r="BG1608" s="87"/>
      <c r="BH1608" s="87"/>
      <c r="BI1608" s="87"/>
      <c r="BJ1608" s="87"/>
      <c r="BK1608" s="87"/>
      <c r="BL1608" s="87"/>
      <c r="BM1608" s="87"/>
      <c r="BN1608" s="87"/>
      <c r="BO1608" s="87"/>
      <c r="BP1608" s="87"/>
      <c r="BQ1608" s="87"/>
      <c r="BR1608" s="87"/>
      <c r="BS1608" s="87"/>
      <c r="BT1608" s="87"/>
      <c r="BU1608" s="87"/>
      <c r="BV1608" s="87"/>
      <c r="BW1608" s="87"/>
      <c r="BX1608" s="87"/>
      <c r="BY1608" s="87"/>
    </row>
    <row r="1609" spans="21:77" x14ac:dyDescent="0.3">
      <c r="U1609" s="19"/>
      <c r="V1609" s="87"/>
      <c r="W1609" s="87"/>
      <c r="X1609" s="87"/>
      <c r="Y1609" s="87"/>
      <c r="Z1609" s="87"/>
      <c r="AA1609" s="87"/>
      <c r="AB1609" s="87"/>
      <c r="AC1609" s="87"/>
      <c r="AD1609" s="87"/>
      <c r="AE1609" s="87"/>
      <c r="AF1609" s="87"/>
      <c r="AG1609" s="87"/>
      <c r="AH1609" s="87"/>
      <c r="AI1609" s="87"/>
      <c r="AJ1609" s="87"/>
      <c r="AK1609" s="87"/>
      <c r="AL1609" s="87"/>
      <c r="AM1609" s="87"/>
      <c r="AN1609" s="87"/>
      <c r="AO1609" s="87"/>
      <c r="AP1609" s="87"/>
      <c r="AQ1609" s="87"/>
      <c r="AR1609" s="87"/>
      <c r="AS1609" s="87"/>
      <c r="AT1609" s="87"/>
      <c r="AU1609" s="87"/>
      <c r="AV1609" s="87"/>
      <c r="AW1609" s="87"/>
      <c r="AX1609" s="87"/>
      <c r="AY1609" s="87"/>
      <c r="AZ1609" s="87"/>
      <c r="BA1609" s="87"/>
      <c r="BB1609" s="87"/>
      <c r="BC1609" s="87"/>
      <c r="BD1609" s="87"/>
      <c r="BE1609" s="87"/>
      <c r="BF1609" s="87"/>
      <c r="BG1609" s="87"/>
      <c r="BH1609" s="87"/>
      <c r="BI1609" s="87"/>
      <c r="BJ1609" s="87"/>
      <c r="BK1609" s="87"/>
      <c r="BL1609" s="87"/>
      <c r="BM1609" s="87"/>
      <c r="BN1609" s="87"/>
      <c r="BO1609" s="87"/>
      <c r="BP1609" s="87"/>
      <c r="BQ1609" s="87"/>
      <c r="BR1609" s="87"/>
      <c r="BS1609" s="87"/>
      <c r="BT1609" s="87"/>
      <c r="BU1609" s="87"/>
      <c r="BV1609" s="87"/>
      <c r="BW1609" s="87"/>
      <c r="BX1609" s="87"/>
      <c r="BY1609" s="87"/>
    </row>
    <row r="1610" spans="21:77" x14ac:dyDescent="0.3">
      <c r="U1610" s="19"/>
      <c r="V1610" s="87"/>
      <c r="W1610" s="87"/>
      <c r="X1610" s="87"/>
      <c r="Y1610" s="87"/>
      <c r="Z1610" s="87"/>
      <c r="AA1610" s="87"/>
      <c r="AB1610" s="87"/>
      <c r="AC1610" s="87"/>
      <c r="AD1610" s="87"/>
      <c r="AE1610" s="87"/>
      <c r="AF1610" s="87"/>
      <c r="AG1610" s="87"/>
      <c r="AH1610" s="87"/>
      <c r="AI1610" s="87"/>
      <c r="AJ1610" s="87"/>
      <c r="AK1610" s="87"/>
      <c r="AL1610" s="87"/>
      <c r="AM1610" s="87"/>
      <c r="AN1610" s="87"/>
      <c r="AO1610" s="87"/>
      <c r="AP1610" s="87"/>
      <c r="AQ1610" s="87"/>
      <c r="AR1610" s="87"/>
      <c r="AS1610" s="87"/>
      <c r="AT1610" s="87"/>
      <c r="AU1610" s="87"/>
      <c r="AV1610" s="87"/>
      <c r="AW1610" s="87"/>
      <c r="AX1610" s="87"/>
      <c r="AY1610" s="87"/>
      <c r="AZ1610" s="87"/>
      <c r="BA1610" s="87"/>
      <c r="BB1610" s="87"/>
      <c r="BC1610" s="87"/>
      <c r="BD1610" s="87"/>
      <c r="BE1610" s="87"/>
      <c r="BF1610" s="87"/>
      <c r="BG1610" s="87"/>
      <c r="BH1610" s="87"/>
      <c r="BI1610" s="87"/>
      <c r="BJ1610" s="87"/>
      <c r="BK1610" s="87"/>
      <c r="BL1610" s="87"/>
      <c r="BM1610" s="87"/>
      <c r="BN1610" s="87"/>
      <c r="BO1610" s="87"/>
      <c r="BP1610" s="87"/>
      <c r="BQ1610" s="87"/>
      <c r="BR1610" s="87"/>
      <c r="BS1610" s="87"/>
      <c r="BT1610" s="87"/>
      <c r="BU1610" s="87"/>
      <c r="BV1610" s="87"/>
      <c r="BW1610" s="87"/>
      <c r="BX1610" s="87"/>
      <c r="BY1610" s="87"/>
    </row>
    <row r="1611" spans="21:77" x14ac:dyDescent="0.3">
      <c r="U1611" s="19"/>
      <c r="V1611" s="87"/>
      <c r="W1611" s="87"/>
      <c r="X1611" s="87"/>
      <c r="Y1611" s="87"/>
      <c r="Z1611" s="87"/>
      <c r="AA1611" s="87"/>
      <c r="AB1611" s="87"/>
      <c r="AC1611" s="87"/>
      <c r="AD1611" s="87"/>
      <c r="AE1611" s="87"/>
      <c r="AF1611" s="87"/>
      <c r="AG1611" s="87"/>
      <c r="AH1611" s="87"/>
      <c r="AI1611" s="87"/>
      <c r="AJ1611" s="87"/>
      <c r="AK1611" s="87"/>
      <c r="AL1611" s="87"/>
      <c r="AM1611" s="87"/>
      <c r="AN1611" s="87"/>
      <c r="AO1611" s="87"/>
      <c r="AP1611" s="87"/>
      <c r="AQ1611" s="87"/>
      <c r="AR1611" s="87"/>
      <c r="AS1611" s="87"/>
      <c r="AT1611" s="87"/>
      <c r="AU1611" s="87"/>
      <c r="AV1611" s="87"/>
      <c r="AW1611" s="87"/>
      <c r="AX1611" s="87"/>
      <c r="AY1611" s="87"/>
      <c r="AZ1611" s="87"/>
      <c r="BA1611" s="87"/>
      <c r="BB1611" s="87"/>
      <c r="BC1611" s="87"/>
      <c r="BD1611" s="87"/>
      <c r="BE1611" s="87"/>
      <c r="BF1611" s="87"/>
      <c r="BG1611" s="87"/>
      <c r="BH1611" s="87"/>
      <c r="BI1611" s="87"/>
      <c r="BJ1611" s="87"/>
      <c r="BK1611" s="87"/>
      <c r="BL1611" s="87"/>
      <c r="BM1611" s="87"/>
      <c r="BN1611" s="87"/>
      <c r="BO1611" s="87"/>
      <c r="BP1611" s="87"/>
      <c r="BQ1611" s="87"/>
      <c r="BR1611" s="87"/>
      <c r="BS1611" s="87"/>
      <c r="BT1611" s="87"/>
      <c r="BU1611" s="87"/>
      <c r="BV1611" s="87"/>
      <c r="BW1611" s="87"/>
      <c r="BX1611" s="87"/>
      <c r="BY1611" s="87"/>
    </row>
    <row r="1612" spans="21:77" x14ac:dyDescent="0.3">
      <c r="U1612" s="19"/>
      <c r="V1612" s="87"/>
      <c r="W1612" s="87"/>
      <c r="X1612" s="87"/>
      <c r="Y1612" s="87"/>
      <c r="Z1612" s="87"/>
      <c r="AA1612" s="87"/>
      <c r="AB1612" s="87"/>
      <c r="AC1612" s="87"/>
      <c r="AD1612" s="87"/>
      <c r="AE1612" s="87"/>
      <c r="AF1612" s="87"/>
      <c r="AG1612" s="87"/>
      <c r="AH1612" s="87"/>
      <c r="AI1612" s="87"/>
      <c r="AJ1612" s="87"/>
      <c r="AK1612" s="87"/>
      <c r="AL1612" s="87"/>
      <c r="AM1612" s="87"/>
      <c r="AN1612" s="87"/>
      <c r="AO1612" s="87"/>
      <c r="AP1612" s="87"/>
      <c r="AQ1612" s="87"/>
      <c r="AR1612" s="87"/>
      <c r="AS1612" s="87"/>
      <c r="AT1612" s="87"/>
      <c r="AU1612" s="87"/>
      <c r="AV1612" s="87"/>
      <c r="AW1612" s="87"/>
      <c r="AX1612" s="87"/>
      <c r="AY1612" s="87"/>
      <c r="AZ1612" s="87"/>
      <c r="BA1612" s="87"/>
      <c r="BB1612" s="87"/>
      <c r="BC1612" s="87"/>
      <c r="BD1612" s="87"/>
      <c r="BE1612" s="87"/>
      <c r="BF1612" s="87"/>
      <c r="BG1612" s="87"/>
      <c r="BH1612" s="87"/>
      <c r="BI1612" s="87"/>
      <c r="BJ1612" s="87"/>
      <c r="BK1612" s="87"/>
      <c r="BL1612" s="87"/>
      <c r="BM1612" s="87"/>
      <c r="BN1612" s="87"/>
      <c r="BO1612" s="87"/>
      <c r="BP1612" s="87"/>
      <c r="BQ1612" s="87"/>
      <c r="BR1612" s="87"/>
      <c r="BS1612" s="87"/>
      <c r="BT1612" s="87"/>
      <c r="BU1612" s="87"/>
      <c r="BV1612" s="87"/>
      <c r="BW1612" s="87"/>
      <c r="BX1612" s="87"/>
      <c r="BY1612" s="87"/>
    </row>
    <row r="1613" spans="21:77" x14ac:dyDescent="0.3">
      <c r="U1613" s="19"/>
      <c r="V1613" s="87"/>
      <c r="W1613" s="87"/>
      <c r="X1613" s="87"/>
      <c r="Y1613" s="87"/>
      <c r="Z1613" s="87"/>
      <c r="AA1613" s="87"/>
      <c r="AB1613" s="87"/>
      <c r="AC1613" s="87"/>
      <c r="AD1613" s="87"/>
      <c r="AE1613" s="87"/>
      <c r="AF1613" s="87"/>
      <c r="AG1613" s="87"/>
      <c r="AH1613" s="87"/>
      <c r="AI1613" s="87"/>
      <c r="AJ1613" s="87"/>
      <c r="AK1613" s="87"/>
      <c r="AL1613" s="87"/>
      <c r="AM1613" s="87"/>
      <c r="AN1613" s="87"/>
      <c r="AO1613" s="87"/>
      <c r="AP1613" s="87"/>
      <c r="AQ1613" s="87"/>
      <c r="AR1613" s="87"/>
      <c r="AS1613" s="87"/>
      <c r="AT1613" s="87"/>
      <c r="AU1613" s="87"/>
      <c r="AV1613" s="87"/>
      <c r="AW1613" s="87"/>
      <c r="AX1613" s="87"/>
      <c r="AY1613" s="87"/>
      <c r="AZ1613" s="87"/>
      <c r="BA1613" s="87"/>
      <c r="BB1613" s="87"/>
      <c r="BC1613" s="87"/>
      <c r="BD1613" s="87"/>
      <c r="BE1613" s="87"/>
      <c r="BF1613" s="87"/>
      <c r="BG1613" s="87"/>
      <c r="BH1613" s="87"/>
      <c r="BI1613" s="87"/>
      <c r="BJ1613" s="87"/>
      <c r="BK1613" s="87"/>
      <c r="BL1613" s="87"/>
      <c r="BM1613" s="87"/>
      <c r="BN1613" s="87"/>
      <c r="BO1613" s="87"/>
      <c r="BP1613" s="87"/>
      <c r="BQ1613" s="87"/>
      <c r="BR1613" s="87"/>
      <c r="BS1613" s="87"/>
      <c r="BT1613" s="87"/>
      <c r="BU1613" s="87"/>
      <c r="BV1613" s="87"/>
      <c r="BW1613" s="87"/>
      <c r="BX1613" s="87"/>
      <c r="BY1613" s="87"/>
    </row>
    <row r="1614" spans="21:77" x14ac:dyDescent="0.3">
      <c r="U1614" s="19"/>
      <c r="V1614" s="87"/>
      <c r="W1614" s="87"/>
      <c r="X1614" s="87"/>
      <c r="Y1614" s="87"/>
      <c r="Z1614" s="87"/>
      <c r="AA1614" s="87"/>
      <c r="AB1614" s="87"/>
      <c r="AC1614" s="87"/>
      <c r="AD1614" s="87"/>
      <c r="AE1614" s="87"/>
      <c r="AF1614" s="87"/>
      <c r="AG1614" s="87"/>
      <c r="AH1614" s="87"/>
      <c r="AI1614" s="87"/>
      <c r="AJ1614" s="87"/>
      <c r="AK1614" s="87"/>
      <c r="AL1614" s="87"/>
      <c r="AM1614" s="87"/>
      <c r="AN1614" s="87"/>
      <c r="AO1614" s="87"/>
      <c r="AP1614" s="87"/>
      <c r="AQ1614" s="87"/>
      <c r="AR1614" s="87"/>
      <c r="AS1614" s="87"/>
      <c r="AT1614" s="87"/>
      <c r="AU1614" s="87"/>
      <c r="AV1614" s="87"/>
      <c r="AW1614" s="87"/>
      <c r="AX1614" s="87"/>
      <c r="AY1614" s="87"/>
      <c r="AZ1614" s="87"/>
      <c r="BA1614" s="87"/>
      <c r="BB1614" s="87"/>
      <c r="BC1614" s="87"/>
      <c r="BD1614" s="87"/>
      <c r="BE1614" s="87"/>
      <c r="BF1614" s="87"/>
      <c r="BG1614" s="87"/>
      <c r="BH1614" s="87"/>
      <c r="BI1614" s="87"/>
      <c r="BJ1614" s="87"/>
      <c r="BK1614" s="87"/>
      <c r="BL1614" s="87"/>
      <c r="BM1614" s="87"/>
      <c r="BN1614" s="87"/>
      <c r="BO1614" s="87"/>
      <c r="BP1614" s="87"/>
      <c r="BQ1614" s="87"/>
      <c r="BR1614" s="87"/>
      <c r="BS1614" s="87"/>
      <c r="BT1614" s="87"/>
      <c r="BU1614" s="87"/>
      <c r="BV1614" s="87"/>
      <c r="BW1614" s="87"/>
      <c r="BX1614" s="87"/>
      <c r="BY1614" s="87"/>
    </row>
    <row r="1615" spans="21:77" x14ac:dyDescent="0.3">
      <c r="U1615" s="19"/>
      <c r="V1615" s="87"/>
      <c r="W1615" s="87"/>
      <c r="X1615" s="87"/>
      <c r="Y1615" s="87"/>
      <c r="Z1615" s="87"/>
      <c r="AA1615" s="87"/>
      <c r="AB1615" s="87"/>
      <c r="AC1615" s="87"/>
      <c r="AD1615" s="87"/>
      <c r="AE1615" s="87"/>
      <c r="AF1615" s="87"/>
      <c r="AG1615" s="87"/>
      <c r="AH1615" s="87"/>
      <c r="AI1615" s="87"/>
      <c r="AJ1615" s="87"/>
      <c r="AK1615" s="87"/>
      <c r="AL1615" s="87"/>
      <c r="AM1615" s="87"/>
      <c r="AN1615" s="87"/>
      <c r="AO1615" s="87"/>
      <c r="AP1615" s="87"/>
      <c r="AQ1615" s="87"/>
      <c r="AR1615" s="87"/>
      <c r="AS1615" s="87"/>
      <c r="AT1615" s="87"/>
      <c r="AU1615" s="87"/>
      <c r="AV1615" s="87"/>
      <c r="AW1615" s="87"/>
      <c r="AX1615" s="87"/>
      <c r="AY1615" s="87"/>
      <c r="AZ1615" s="87"/>
      <c r="BA1615" s="87"/>
      <c r="BB1615" s="87"/>
      <c r="BC1615" s="87"/>
      <c r="BD1615" s="87"/>
      <c r="BE1615" s="87"/>
      <c r="BF1615" s="87"/>
      <c r="BG1615" s="87"/>
      <c r="BH1615" s="87"/>
      <c r="BI1615" s="87"/>
      <c r="BJ1615" s="87"/>
      <c r="BK1615" s="87"/>
      <c r="BL1615" s="87"/>
      <c r="BM1615" s="87"/>
      <c r="BN1615" s="87"/>
      <c r="BO1615" s="87"/>
      <c r="BP1615" s="87"/>
      <c r="BQ1615" s="87"/>
      <c r="BR1615" s="87"/>
      <c r="BS1615" s="87"/>
      <c r="BT1615" s="87"/>
      <c r="BU1615" s="87"/>
      <c r="BV1615" s="87"/>
      <c r="BW1615" s="87"/>
      <c r="BX1615" s="87"/>
      <c r="BY1615" s="87"/>
    </row>
    <row r="1616" spans="21:77" x14ac:dyDescent="0.3">
      <c r="U1616" s="19"/>
      <c r="V1616" s="87"/>
      <c r="W1616" s="87"/>
      <c r="X1616" s="87"/>
      <c r="Y1616" s="87"/>
      <c r="Z1616" s="87"/>
      <c r="AA1616" s="87"/>
      <c r="AB1616" s="87"/>
      <c r="AC1616" s="87"/>
      <c r="AD1616" s="87"/>
      <c r="AE1616" s="87"/>
      <c r="AF1616" s="87"/>
      <c r="AG1616" s="87"/>
      <c r="AH1616" s="87"/>
      <c r="AI1616" s="87"/>
      <c r="AJ1616" s="87"/>
      <c r="AK1616" s="87"/>
      <c r="AL1616" s="87"/>
      <c r="AM1616" s="87"/>
      <c r="AN1616" s="87"/>
      <c r="AO1616" s="87"/>
      <c r="AP1616" s="87"/>
      <c r="AQ1616" s="87"/>
      <c r="AR1616" s="87"/>
      <c r="AS1616" s="87"/>
      <c r="AT1616" s="87"/>
      <c r="AU1616" s="87"/>
      <c r="AV1616" s="87"/>
      <c r="AW1616" s="87"/>
      <c r="AX1616" s="87"/>
      <c r="AY1616" s="87"/>
      <c r="AZ1616" s="87"/>
      <c r="BA1616" s="87"/>
      <c r="BB1616" s="87"/>
      <c r="BC1616" s="87"/>
      <c r="BD1616" s="87"/>
      <c r="BE1616" s="87"/>
      <c r="BF1616" s="87"/>
      <c r="BG1616" s="87"/>
      <c r="BH1616" s="87"/>
      <c r="BI1616" s="87"/>
      <c r="BJ1616" s="87"/>
      <c r="BK1616" s="87"/>
      <c r="BL1616" s="87"/>
      <c r="BM1616" s="87"/>
      <c r="BN1616" s="87"/>
      <c r="BO1616" s="87"/>
      <c r="BP1616" s="87"/>
      <c r="BQ1616" s="87"/>
      <c r="BR1616" s="87"/>
      <c r="BS1616" s="87"/>
      <c r="BT1616" s="87"/>
      <c r="BU1616" s="87"/>
      <c r="BV1616" s="87"/>
      <c r="BW1616" s="87"/>
      <c r="BX1616" s="87"/>
      <c r="BY1616" s="87"/>
    </row>
    <row r="1617" spans="21:77" x14ac:dyDescent="0.3">
      <c r="U1617" s="19"/>
      <c r="V1617" s="87"/>
      <c r="W1617" s="87"/>
      <c r="X1617" s="87"/>
      <c r="Y1617" s="87"/>
      <c r="Z1617" s="87"/>
      <c r="AA1617" s="87"/>
      <c r="AB1617" s="87"/>
      <c r="AC1617" s="87"/>
      <c r="AD1617" s="87"/>
      <c r="AE1617" s="87"/>
      <c r="AF1617" s="87"/>
      <c r="AG1617" s="87"/>
      <c r="AH1617" s="87"/>
      <c r="AI1617" s="87"/>
      <c r="AJ1617" s="87"/>
      <c r="AK1617" s="87"/>
      <c r="AL1617" s="87"/>
      <c r="AM1617" s="87"/>
      <c r="AN1617" s="87"/>
      <c r="AO1617" s="87"/>
      <c r="AP1617" s="87"/>
      <c r="AQ1617" s="87"/>
      <c r="AR1617" s="87"/>
      <c r="AS1617" s="87"/>
      <c r="AT1617" s="87"/>
      <c r="AU1617" s="87"/>
      <c r="AV1617" s="87"/>
      <c r="AW1617" s="87"/>
      <c r="AX1617" s="87"/>
      <c r="AY1617" s="87"/>
      <c r="AZ1617" s="87"/>
      <c r="BA1617" s="87"/>
      <c r="BB1617" s="87"/>
      <c r="BC1617" s="87"/>
      <c r="BD1617" s="87"/>
      <c r="BE1617" s="87"/>
      <c r="BF1617" s="87"/>
      <c r="BG1617" s="87"/>
      <c r="BH1617" s="87"/>
      <c r="BI1617" s="87"/>
      <c r="BJ1617" s="87"/>
      <c r="BK1617" s="87"/>
      <c r="BL1617" s="87"/>
      <c r="BM1617" s="87"/>
      <c r="BN1617" s="87"/>
      <c r="BO1617" s="87"/>
      <c r="BP1617" s="87"/>
      <c r="BQ1617" s="87"/>
      <c r="BR1617" s="87"/>
      <c r="BS1617" s="87"/>
      <c r="BT1617" s="87"/>
      <c r="BU1617" s="87"/>
      <c r="BV1617" s="87"/>
      <c r="BW1617" s="87"/>
      <c r="BX1617" s="87"/>
      <c r="BY1617" s="87"/>
    </row>
    <row r="1618" spans="21:77" x14ac:dyDescent="0.3">
      <c r="U1618" s="19"/>
      <c r="V1618" s="87"/>
      <c r="W1618" s="87"/>
      <c r="X1618" s="87"/>
      <c r="Y1618" s="87"/>
      <c r="Z1618" s="87"/>
      <c r="AA1618" s="87"/>
      <c r="AB1618" s="87"/>
      <c r="AC1618" s="87"/>
      <c r="AD1618" s="87"/>
      <c r="AE1618" s="87"/>
      <c r="AF1618" s="87"/>
      <c r="AG1618" s="87"/>
      <c r="AH1618" s="87"/>
      <c r="AI1618" s="87"/>
      <c r="AJ1618" s="87"/>
      <c r="AK1618" s="87"/>
      <c r="AL1618" s="87"/>
      <c r="AM1618" s="87"/>
      <c r="AN1618" s="87"/>
      <c r="AO1618" s="87"/>
      <c r="AP1618" s="87"/>
      <c r="AQ1618" s="87"/>
      <c r="AR1618" s="87"/>
      <c r="AS1618" s="87"/>
      <c r="AT1618" s="87"/>
      <c r="AU1618" s="87"/>
      <c r="AV1618" s="87"/>
      <c r="AW1618" s="87"/>
      <c r="AX1618" s="87"/>
      <c r="AY1618" s="87"/>
      <c r="AZ1618" s="87"/>
      <c r="BA1618" s="87"/>
      <c r="BB1618" s="87"/>
      <c r="BC1618" s="87"/>
      <c r="BD1618" s="87"/>
      <c r="BE1618" s="87"/>
      <c r="BF1618" s="87"/>
      <c r="BG1618" s="87"/>
      <c r="BH1618" s="87"/>
      <c r="BI1618" s="87"/>
      <c r="BJ1618" s="87"/>
      <c r="BK1618" s="87"/>
      <c r="BL1618" s="87"/>
      <c r="BM1618" s="87"/>
      <c r="BN1618" s="87"/>
      <c r="BO1618" s="87"/>
      <c r="BP1618" s="87"/>
      <c r="BQ1618" s="87"/>
      <c r="BR1618" s="87"/>
      <c r="BS1618" s="87"/>
      <c r="BT1618" s="87"/>
      <c r="BU1618" s="87"/>
      <c r="BV1618" s="87"/>
      <c r="BW1618" s="87"/>
      <c r="BX1618" s="87"/>
      <c r="BY1618" s="87"/>
    </row>
    <row r="1619" spans="21:77" x14ac:dyDescent="0.3">
      <c r="U1619" s="19"/>
      <c r="V1619" s="87"/>
      <c r="W1619" s="87"/>
      <c r="X1619" s="87"/>
      <c r="Y1619" s="87"/>
      <c r="Z1619" s="87"/>
      <c r="AA1619" s="87"/>
      <c r="AB1619" s="87"/>
      <c r="AC1619" s="87"/>
      <c r="AD1619" s="87"/>
      <c r="AE1619" s="87"/>
      <c r="AF1619" s="87"/>
      <c r="AG1619" s="87"/>
      <c r="AH1619" s="87"/>
      <c r="AI1619" s="87"/>
      <c r="AJ1619" s="87"/>
      <c r="AK1619" s="87"/>
      <c r="AL1619" s="87"/>
      <c r="AM1619" s="87"/>
      <c r="AN1619" s="87"/>
      <c r="AO1619" s="87"/>
      <c r="AP1619" s="87"/>
      <c r="AQ1619" s="87"/>
      <c r="AR1619" s="87"/>
      <c r="AS1619" s="87"/>
      <c r="AT1619" s="87"/>
      <c r="AU1619" s="87"/>
      <c r="AV1619" s="87"/>
      <c r="AW1619" s="87"/>
      <c r="AX1619" s="87"/>
      <c r="AY1619" s="87"/>
      <c r="AZ1619" s="87"/>
      <c r="BA1619" s="87"/>
      <c r="BB1619" s="87"/>
      <c r="BC1619" s="87"/>
      <c r="BD1619" s="87"/>
      <c r="BE1619" s="87"/>
      <c r="BF1619" s="87"/>
      <c r="BG1619" s="87"/>
      <c r="BH1619" s="87"/>
      <c r="BI1619" s="87"/>
      <c r="BJ1619" s="87"/>
      <c r="BK1619" s="87"/>
      <c r="BL1619" s="87"/>
      <c r="BM1619" s="87"/>
      <c r="BN1619" s="87"/>
      <c r="BO1619" s="87"/>
      <c r="BP1619" s="87"/>
      <c r="BQ1619" s="87"/>
      <c r="BR1619" s="87"/>
      <c r="BS1619" s="87"/>
      <c r="BT1619" s="87"/>
      <c r="BU1619" s="87"/>
      <c r="BV1619" s="87"/>
      <c r="BW1619" s="87"/>
      <c r="BX1619" s="87"/>
      <c r="BY1619" s="87"/>
    </row>
    <row r="1620" spans="21:77" x14ac:dyDescent="0.3">
      <c r="U1620" s="19"/>
      <c r="V1620" s="87"/>
      <c r="W1620" s="87"/>
      <c r="X1620" s="87"/>
      <c r="Y1620" s="87"/>
      <c r="Z1620" s="87"/>
      <c r="AA1620" s="87"/>
      <c r="AB1620" s="87"/>
      <c r="AC1620" s="87"/>
      <c r="AD1620" s="87"/>
      <c r="AE1620" s="87"/>
      <c r="AF1620" s="87"/>
      <c r="AG1620" s="87"/>
      <c r="AH1620" s="87"/>
      <c r="AI1620" s="87"/>
      <c r="AJ1620" s="87"/>
      <c r="AK1620" s="87"/>
      <c r="AL1620" s="87"/>
      <c r="AM1620" s="87"/>
      <c r="AN1620" s="87"/>
      <c r="AO1620" s="87"/>
      <c r="AP1620" s="87"/>
      <c r="AQ1620" s="87"/>
      <c r="AR1620" s="87"/>
      <c r="AS1620" s="87"/>
      <c r="AT1620" s="87"/>
      <c r="AU1620" s="87"/>
      <c r="AV1620" s="87"/>
      <c r="AW1620" s="87"/>
      <c r="AX1620" s="87"/>
      <c r="AY1620" s="87"/>
      <c r="AZ1620" s="87"/>
      <c r="BA1620" s="87"/>
      <c r="BB1620" s="87"/>
      <c r="BC1620" s="87"/>
      <c r="BD1620" s="87"/>
      <c r="BE1620" s="87"/>
      <c r="BF1620" s="87"/>
      <c r="BG1620" s="87"/>
      <c r="BH1620" s="87"/>
      <c r="BI1620" s="87"/>
      <c r="BJ1620" s="87"/>
      <c r="BK1620" s="87"/>
      <c r="BL1620" s="87"/>
      <c r="BM1620" s="87"/>
      <c r="BN1620" s="87"/>
      <c r="BO1620" s="87"/>
      <c r="BP1620" s="87"/>
      <c r="BQ1620" s="87"/>
      <c r="BR1620" s="87"/>
      <c r="BS1620" s="87"/>
      <c r="BT1620" s="87"/>
      <c r="BU1620" s="87"/>
      <c r="BV1620" s="87"/>
      <c r="BW1620" s="87"/>
      <c r="BX1620" s="87"/>
      <c r="BY1620" s="87"/>
    </row>
    <row r="1621" spans="21:77" x14ac:dyDescent="0.3">
      <c r="U1621" s="19"/>
      <c r="V1621" s="87"/>
      <c r="W1621" s="87"/>
      <c r="X1621" s="87"/>
      <c r="Y1621" s="87"/>
      <c r="Z1621" s="87"/>
      <c r="AA1621" s="87"/>
      <c r="AB1621" s="87"/>
      <c r="AC1621" s="87"/>
      <c r="AD1621" s="87"/>
      <c r="AE1621" s="87"/>
      <c r="AF1621" s="87"/>
      <c r="AG1621" s="87"/>
      <c r="AH1621" s="87"/>
      <c r="AI1621" s="87"/>
      <c r="AJ1621" s="87"/>
      <c r="AK1621" s="87"/>
      <c r="AL1621" s="87"/>
      <c r="AM1621" s="87"/>
      <c r="AN1621" s="87"/>
      <c r="AO1621" s="87"/>
      <c r="AP1621" s="87"/>
      <c r="AQ1621" s="87"/>
      <c r="AR1621" s="87"/>
      <c r="AS1621" s="87"/>
      <c r="AT1621" s="87"/>
      <c r="AU1621" s="87"/>
      <c r="AV1621" s="87"/>
      <c r="AW1621" s="87"/>
      <c r="AX1621" s="87"/>
      <c r="AY1621" s="87"/>
      <c r="AZ1621" s="87"/>
      <c r="BA1621" s="87"/>
      <c r="BB1621" s="87"/>
      <c r="BC1621" s="87"/>
      <c r="BD1621" s="87"/>
      <c r="BE1621" s="87"/>
      <c r="BF1621" s="87"/>
      <c r="BG1621" s="87"/>
      <c r="BH1621" s="87"/>
      <c r="BI1621" s="87"/>
      <c r="BJ1621" s="87"/>
      <c r="BK1621" s="87"/>
      <c r="BL1621" s="87"/>
      <c r="BM1621" s="87"/>
      <c r="BN1621" s="87"/>
      <c r="BO1621" s="87"/>
      <c r="BP1621" s="87"/>
      <c r="BQ1621" s="87"/>
      <c r="BR1621" s="87"/>
      <c r="BS1621" s="87"/>
      <c r="BT1621" s="87"/>
      <c r="BU1621" s="87"/>
      <c r="BV1621" s="87"/>
      <c r="BW1621" s="87"/>
      <c r="BX1621" s="87"/>
      <c r="BY1621" s="87"/>
    </row>
    <row r="1622" spans="21:77" x14ac:dyDescent="0.3">
      <c r="U1622" s="19"/>
      <c r="V1622" s="87"/>
      <c r="W1622" s="87"/>
      <c r="X1622" s="87"/>
      <c r="Y1622" s="87"/>
      <c r="Z1622" s="87"/>
      <c r="AA1622" s="87"/>
      <c r="AB1622" s="87"/>
      <c r="AC1622" s="87"/>
      <c r="AD1622" s="87"/>
      <c r="AE1622" s="87"/>
      <c r="AF1622" s="87"/>
      <c r="AG1622" s="87"/>
      <c r="AH1622" s="87"/>
      <c r="AI1622" s="87"/>
      <c r="AJ1622" s="87"/>
      <c r="AK1622" s="87"/>
      <c r="AL1622" s="87"/>
      <c r="AM1622" s="87"/>
      <c r="AN1622" s="87"/>
      <c r="AO1622" s="87"/>
      <c r="AP1622" s="87"/>
      <c r="AQ1622" s="87"/>
      <c r="AR1622" s="87"/>
      <c r="AS1622" s="87"/>
      <c r="AT1622" s="87"/>
      <c r="AU1622" s="87"/>
      <c r="AV1622" s="87"/>
      <c r="AW1622" s="87"/>
      <c r="AX1622" s="87"/>
      <c r="AY1622" s="87"/>
      <c r="AZ1622" s="87"/>
      <c r="BA1622" s="87"/>
      <c r="BB1622" s="87"/>
      <c r="BC1622" s="87"/>
      <c r="BD1622" s="87"/>
      <c r="BE1622" s="87"/>
      <c r="BF1622" s="87"/>
      <c r="BG1622" s="87"/>
      <c r="BH1622" s="87"/>
      <c r="BI1622" s="87"/>
      <c r="BJ1622" s="87"/>
      <c r="BK1622" s="87"/>
      <c r="BL1622" s="87"/>
      <c r="BM1622" s="87"/>
      <c r="BN1622" s="87"/>
      <c r="BO1622" s="87"/>
      <c r="BP1622" s="87"/>
      <c r="BQ1622" s="87"/>
      <c r="BR1622" s="87"/>
      <c r="BS1622" s="87"/>
      <c r="BT1622" s="87"/>
      <c r="BU1622" s="87"/>
      <c r="BV1622" s="87"/>
      <c r="BW1622" s="87"/>
      <c r="BX1622" s="87"/>
      <c r="BY1622" s="87"/>
    </row>
    <row r="1623" spans="21:77" x14ac:dyDescent="0.3">
      <c r="U1623" s="19"/>
      <c r="V1623" s="87"/>
      <c r="W1623" s="87"/>
      <c r="X1623" s="87"/>
      <c r="Y1623" s="87"/>
      <c r="Z1623" s="87"/>
      <c r="AA1623" s="87"/>
      <c r="AB1623" s="87"/>
      <c r="AC1623" s="87"/>
      <c r="AD1623" s="87"/>
      <c r="AE1623" s="87"/>
      <c r="AF1623" s="87"/>
      <c r="AG1623" s="87"/>
      <c r="AH1623" s="87"/>
      <c r="AI1623" s="87"/>
      <c r="AJ1623" s="87"/>
      <c r="AK1623" s="87"/>
      <c r="AL1623" s="87"/>
      <c r="AM1623" s="87"/>
      <c r="AN1623" s="87"/>
      <c r="AO1623" s="87"/>
      <c r="AP1623" s="87"/>
      <c r="AQ1623" s="87"/>
      <c r="AR1623" s="87"/>
      <c r="AS1623" s="87"/>
      <c r="AT1623" s="87"/>
      <c r="AU1623" s="87"/>
      <c r="AV1623" s="87"/>
      <c r="AW1623" s="87"/>
      <c r="AX1623" s="87"/>
      <c r="AY1623" s="87"/>
      <c r="AZ1623" s="87"/>
      <c r="BA1623" s="87"/>
      <c r="BB1623" s="87"/>
      <c r="BC1623" s="87"/>
      <c r="BD1623" s="87"/>
      <c r="BE1623" s="87"/>
      <c r="BF1623" s="87"/>
      <c r="BG1623" s="87"/>
      <c r="BH1623" s="87"/>
      <c r="BI1623" s="87"/>
      <c r="BJ1623" s="87"/>
      <c r="BK1623" s="87"/>
      <c r="BL1623" s="87"/>
      <c r="BM1623" s="87"/>
      <c r="BN1623" s="87"/>
      <c r="BO1623" s="87"/>
      <c r="BP1623" s="87"/>
      <c r="BQ1623" s="87"/>
      <c r="BR1623" s="87"/>
      <c r="BS1623" s="87"/>
      <c r="BT1623" s="87"/>
      <c r="BU1623" s="87"/>
      <c r="BV1623" s="87"/>
      <c r="BW1623" s="87"/>
      <c r="BX1623" s="87"/>
      <c r="BY1623" s="87"/>
    </row>
    <row r="1624" spans="21:77" x14ac:dyDescent="0.3">
      <c r="U1624" s="19"/>
      <c r="V1624" s="87"/>
      <c r="W1624" s="87"/>
      <c r="X1624" s="87"/>
      <c r="Y1624" s="87"/>
      <c r="Z1624" s="87"/>
      <c r="AA1624" s="87"/>
      <c r="AB1624" s="87"/>
      <c r="AC1624" s="87"/>
      <c r="AD1624" s="87"/>
      <c r="AE1624" s="87"/>
      <c r="AF1624" s="87"/>
      <c r="AG1624" s="87"/>
      <c r="AH1624" s="87"/>
      <c r="AI1624" s="87"/>
      <c r="AJ1624" s="87"/>
      <c r="AK1624" s="87"/>
      <c r="AL1624" s="87"/>
      <c r="AM1624" s="87"/>
      <c r="AN1624" s="87"/>
      <c r="AO1624" s="87"/>
      <c r="AP1624" s="87"/>
      <c r="AQ1624" s="87"/>
      <c r="AR1624" s="87"/>
      <c r="AS1624" s="87"/>
      <c r="AT1624" s="87"/>
      <c r="AU1624" s="87"/>
      <c r="AV1624" s="87"/>
      <c r="AW1624" s="87"/>
      <c r="AX1624" s="87"/>
      <c r="AY1624" s="87"/>
      <c r="AZ1624" s="87"/>
      <c r="BA1624" s="87"/>
      <c r="BB1624" s="87"/>
      <c r="BC1624" s="87"/>
      <c r="BD1624" s="87"/>
      <c r="BE1624" s="87"/>
      <c r="BF1624" s="87"/>
      <c r="BG1624" s="87"/>
      <c r="BH1624" s="87"/>
      <c r="BI1624" s="87"/>
      <c r="BJ1624" s="87"/>
      <c r="BK1624" s="87"/>
      <c r="BL1624" s="87"/>
      <c r="BM1624" s="87"/>
      <c r="BN1624" s="87"/>
      <c r="BO1624" s="87"/>
      <c r="BP1624" s="87"/>
      <c r="BQ1624" s="87"/>
      <c r="BR1624" s="87"/>
      <c r="BS1624" s="87"/>
      <c r="BT1624" s="87"/>
      <c r="BU1624" s="87"/>
      <c r="BV1624" s="87"/>
      <c r="BW1624" s="87"/>
      <c r="BX1624" s="87"/>
      <c r="BY1624" s="87"/>
    </row>
    <row r="1625" spans="21:77" x14ac:dyDescent="0.3">
      <c r="U1625" s="19"/>
      <c r="V1625" s="87"/>
      <c r="W1625" s="87"/>
      <c r="X1625" s="87"/>
      <c r="Y1625" s="87"/>
      <c r="Z1625" s="87"/>
      <c r="AA1625" s="87"/>
      <c r="AB1625" s="87"/>
      <c r="AC1625" s="87"/>
      <c r="AD1625" s="87"/>
      <c r="AE1625" s="87"/>
      <c r="AF1625" s="87"/>
      <c r="AG1625" s="87"/>
      <c r="AH1625" s="87"/>
      <c r="AI1625" s="87"/>
      <c r="AJ1625" s="87"/>
      <c r="AK1625" s="87"/>
      <c r="AL1625" s="87"/>
      <c r="AM1625" s="87"/>
      <c r="AN1625" s="87"/>
      <c r="AO1625" s="87"/>
      <c r="AP1625" s="87"/>
      <c r="AQ1625" s="87"/>
      <c r="AR1625" s="87"/>
      <c r="AS1625" s="87"/>
      <c r="AT1625" s="87"/>
      <c r="AU1625" s="87"/>
      <c r="AV1625" s="87"/>
      <c r="AW1625" s="87"/>
      <c r="AX1625" s="87"/>
      <c r="AY1625" s="87"/>
      <c r="AZ1625" s="87"/>
      <c r="BA1625" s="87"/>
      <c r="BB1625" s="87"/>
      <c r="BC1625" s="87"/>
      <c r="BD1625" s="87"/>
      <c r="BE1625" s="87"/>
      <c r="BF1625" s="87"/>
      <c r="BG1625" s="87"/>
      <c r="BH1625" s="87"/>
      <c r="BI1625" s="87"/>
      <c r="BJ1625" s="87"/>
      <c r="BK1625" s="87"/>
      <c r="BL1625" s="87"/>
      <c r="BM1625" s="87"/>
      <c r="BN1625" s="87"/>
      <c r="BO1625" s="87"/>
      <c r="BP1625" s="87"/>
      <c r="BQ1625" s="87"/>
      <c r="BR1625" s="87"/>
      <c r="BS1625" s="87"/>
      <c r="BT1625" s="87"/>
      <c r="BU1625" s="87"/>
      <c r="BV1625" s="87"/>
      <c r="BW1625" s="87"/>
      <c r="BX1625" s="87"/>
      <c r="BY1625" s="87"/>
    </row>
    <row r="1626" spans="21:77" x14ac:dyDescent="0.3">
      <c r="U1626" s="19"/>
      <c r="V1626" s="87"/>
      <c r="W1626" s="87"/>
      <c r="X1626" s="87"/>
      <c r="Y1626" s="87"/>
      <c r="Z1626" s="87"/>
      <c r="AA1626" s="87"/>
      <c r="AB1626" s="87"/>
      <c r="AC1626" s="87"/>
      <c r="AD1626" s="87"/>
      <c r="AE1626" s="87"/>
      <c r="AF1626" s="87"/>
      <c r="AG1626" s="87"/>
      <c r="AH1626" s="87"/>
      <c r="AI1626" s="87"/>
      <c r="AJ1626" s="87"/>
      <c r="AK1626" s="87"/>
      <c r="AL1626" s="87"/>
      <c r="AM1626" s="87"/>
      <c r="AN1626" s="87"/>
      <c r="AO1626" s="87"/>
      <c r="AP1626" s="87"/>
      <c r="AQ1626" s="87"/>
      <c r="AR1626" s="87"/>
      <c r="AS1626" s="87"/>
      <c r="AT1626" s="87"/>
      <c r="AU1626" s="87"/>
      <c r="AV1626" s="87"/>
      <c r="AW1626" s="87"/>
      <c r="AX1626" s="87"/>
      <c r="AY1626" s="87"/>
      <c r="AZ1626" s="87"/>
      <c r="BA1626" s="87"/>
      <c r="BB1626" s="87"/>
      <c r="BC1626" s="87"/>
      <c r="BD1626" s="87"/>
      <c r="BE1626" s="87"/>
      <c r="BF1626" s="87"/>
      <c r="BG1626" s="87"/>
      <c r="BH1626" s="87"/>
      <c r="BI1626" s="87"/>
      <c r="BJ1626" s="87"/>
      <c r="BK1626" s="87"/>
      <c r="BL1626" s="87"/>
      <c r="BM1626" s="87"/>
      <c r="BN1626" s="87"/>
      <c r="BO1626" s="87"/>
      <c r="BP1626" s="87"/>
      <c r="BQ1626" s="87"/>
      <c r="BR1626" s="87"/>
      <c r="BS1626" s="87"/>
      <c r="BT1626" s="87"/>
      <c r="BU1626" s="87"/>
      <c r="BV1626" s="87"/>
      <c r="BW1626" s="87"/>
      <c r="BX1626" s="87"/>
      <c r="BY1626" s="87"/>
    </row>
    <row r="1627" spans="21:77" x14ac:dyDescent="0.3">
      <c r="U1627" s="19"/>
      <c r="V1627" s="87"/>
      <c r="W1627" s="87"/>
      <c r="X1627" s="87"/>
      <c r="Y1627" s="87"/>
      <c r="Z1627" s="87"/>
      <c r="AA1627" s="87"/>
      <c r="AB1627" s="87"/>
      <c r="AC1627" s="87"/>
      <c r="AD1627" s="87"/>
      <c r="AE1627" s="87"/>
      <c r="AF1627" s="87"/>
      <c r="AG1627" s="87"/>
      <c r="AH1627" s="87"/>
      <c r="AI1627" s="87"/>
      <c r="AJ1627" s="87"/>
      <c r="AK1627" s="87"/>
      <c r="AL1627" s="87"/>
      <c r="AM1627" s="87"/>
      <c r="AN1627" s="87"/>
      <c r="AO1627" s="87"/>
      <c r="AP1627" s="87"/>
      <c r="AQ1627" s="87"/>
      <c r="AR1627" s="87"/>
      <c r="AS1627" s="87"/>
      <c r="AT1627" s="87"/>
      <c r="AU1627" s="87"/>
      <c r="AV1627" s="87"/>
      <c r="AW1627" s="87"/>
      <c r="AX1627" s="87"/>
      <c r="AY1627" s="87"/>
      <c r="AZ1627" s="87"/>
      <c r="BA1627" s="87"/>
      <c r="BB1627" s="87"/>
      <c r="BC1627" s="87"/>
      <c r="BD1627" s="87"/>
      <c r="BE1627" s="87"/>
      <c r="BF1627" s="87"/>
      <c r="BG1627" s="87"/>
      <c r="BH1627" s="87"/>
      <c r="BI1627" s="87"/>
      <c r="BJ1627" s="87"/>
      <c r="BK1627" s="87"/>
      <c r="BL1627" s="87"/>
      <c r="BM1627" s="87"/>
      <c r="BN1627" s="87"/>
      <c r="BO1627" s="87"/>
      <c r="BP1627" s="87"/>
      <c r="BQ1627" s="87"/>
      <c r="BR1627" s="87"/>
      <c r="BS1627" s="87"/>
      <c r="BT1627" s="87"/>
      <c r="BU1627" s="87"/>
      <c r="BV1627" s="87"/>
      <c r="BW1627" s="87"/>
      <c r="BX1627" s="87"/>
      <c r="BY1627" s="87"/>
    </row>
    <row r="1628" spans="21:77" x14ac:dyDescent="0.3">
      <c r="U1628" s="19"/>
      <c r="V1628" s="87"/>
      <c r="W1628" s="87"/>
      <c r="X1628" s="87"/>
      <c r="Y1628" s="87"/>
      <c r="Z1628" s="87"/>
      <c r="AA1628" s="87"/>
      <c r="AB1628" s="87"/>
      <c r="AC1628" s="87"/>
      <c r="AD1628" s="87"/>
      <c r="AE1628" s="87"/>
      <c r="AF1628" s="87"/>
      <c r="AG1628" s="87"/>
      <c r="AH1628" s="87"/>
      <c r="AI1628" s="87"/>
      <c r="AJ1628" s="87"/>
      <c r="AK1628" s="87"/>
      <c r="AL1628" s="87"/>
      <c r="AM1628" s="87"/>
      <c r="AN1628" s="87"/>
      <c r="AO1628" s="87"/>
      <c r="AP1628" s="87"/>
      <c r="AQ1628" s="87"/>
      <c r="AR1628" s="87"/>
      <c r="AS1628" s="87"/>
      <c r="AT1628" s="87"/>
      <c r="AU1628" s="87"/>
      <c r="AV1628" s="87"/>
      <c r="AW1628" s="87"/>
      <c r="AX1628" s="87"/>
      <c r="AY1628" s="87"/>
      <c r="AZ1628" s="87"/>
      <c r="BA1628" s="87"/>
      <c r="BB1628" s="87"/>
      <c r="BC1628" s="87"/>
      <c r="BD1628" s="87"/>
      <c r="BE1628" s="87"/>
      <c r="BF1628" s="87"/>
      <c r="BG1628" s="87"/>
      <c r="BH1628" s="87"/>
      <c r="BI1628" s="87"/>
      <c r="BJ1628" s="87"/>
      <c r="BK1628" s="87"/>
      <c r="BL1628" s="87"/>
      <c r="BM1628" s="87"/>
      <c r="BN1628" s="87"/>
      <c r="BO1628" s="87"/>
      <c r="BP1628" s="87"/>
      <c r="BQ1628" s="87"/>
      <c r="BR1628" s="87"/>
      <c r="BS1628" s="87"/>
      <c r="BT1628" s="87"/>
      <c r="BU1628" s="87"/>
      <c r="BV1628" s="87"/>
      <c r="BW1628" s="87"/>
      <c r="BX1628" s="87"/>
      <c r="BY1628" s="87"/>
    </row>
    <row r="1629" spans="21:77" x14ac:dyDescent="0.3">
      <c r="U1629" s="19"/>
      <c r="V1629" s="87"/>
      <c r="W1629" s="87"/>
      <c r="X1629" s="87"/>
      <c r="Y1629" s="87"/>
      <c r="Z1629" s="87"/>
      <c r="AA1629" s="87"/>
      <c r="AB1629" s="87"/>
      <c r="AC1629" s="87"/>
      <c r="AD1629" s="87"/>
      <c r="AE1629" s="87"/>
      <c r="AF1629" s="87"/>
      <c r="AG1629" s="87"/>
      <c r="AH1629" s="87"/>
      <c r="AI1629" s="87"/>
      <c r="AJ1629" s="87"/>
      <c r="AK1629" s="87"/>
      <c r="AL1629" s="87"/>
      <c r="AM1629" s="87"/>
      <c r="AN1629" s="87"/>
      <c r="AO1629" s="87"/>
      <c r="AP1629" s="87"/>
      <c r="AQ1629" s="87"/>
      <c r="AR1629" s="87"/>
      <c r="AS1629" s="87"/>
      <c r="AT1629" s="87"/>
      <c r="AU1629" s="87"/>
      <c r="AV1629" s="87"/>
      <c r="AW1629" s="87"/>
      <c r="AX1629" s="87"/>
      <c r="AY1629" s="87"/>
      <c r="AZ1629" s="87"/>
      <c r="BA1629" s="87"/>
      <c r="BB1629" s="87"/>
      <c r="BC1629" s="87"/>
      <c r="BD1629" s="87"/>
      <c r="BE1629" s="87"/>
      <c r="BF1629" s="87"/>
      <c r="BG1629" s="87"/>
      <c r="BH1629" s="87"/>
      <c r="BI1629" s="87"/>
      <c r="BJ1629" s="87"/>
      <c r="BK1629" s="87"/>
      <c r="BL1629" s="87"/>
      <c r="BM1629" s="87"/>
      <c r="BN1629" s="87"/>
      <c r="BO1629" s="87"/>
      <c r="BP1629" s="87"/>
      <c r="BQ1629" s="87"/>
      <c r="BR1629" s="87"/>
      <c r="BS1629" s="87"/>
      <c r="BT1629" s="87"/>
      <c r="BU1629" s="87"/>
      <c r="BV1629" s="87"/>
      <c r="BW1629" s="87"/>
      <c r="BX1629" s="87"/>
      <c r="BY1629" s="87"/>
    </row>
    <row r="1630" spans="21:77" x14ac:dyDescent="0.3">
      <c r="U1630" s="19"/>
      <c r="V1630" s="87"/>
      <c r="W1630" s="87"/>
      <c r="X1630" s="87"/>
      <c r="Y1630" s="87"/>
      <c r="Z1630" s="87"/>
      <c r="AA1630" s="87"/>
      <c r="AB1630" s="87"/>
      <c r="AC1630" s="87"/>
      <c r="AD1630" s="87"/>
      <c r="AE1630" s="87"/>
      <c r="AF1630" s="87"/>
      <c r="AG1630" s="87"/>
      <c r="AH1630" s="87"/>
      <c r="AI1630" s="87"/>
      <c r="AJ1630" s="87"/>
      <c r="AK1630" s="87"/>
      <c r="AL1630" s="87"/>
      <c r="AM1630" s="87"/>
      <c r="AN1630" s="87"/>
      <c r="AO1630" s="87"/>
      <c r="AP1630" s="87"/>
      <c r="AQ1630" s="87"/>
      <c r="AR1630" s="87"/>
      <c r="AS1630" s="87"/>
      <c r="AT1630" s="87"/>
      <c r="AU1630" s="87"/>
      <c r="AV1630" s="87"/>
      <c r="AW1630" s="87"/>
      <c r="AX1630" s="87"/>
      <c r="AY1630" s="87"/>
      <c r="AZ1630" s="87"/>
      <c r="BA1630" s="87"/>
      <c r="BB1630" s="87"/>
      <c r="BC1630" s="87"/>
      <c r="BD1630" s="87"/>
      <c r="BE1630" s="87"/>
      <c r="BF1630" s="87"/>
      <c r="BG1630" s="87"/>
      <c r="BH1630" s="87"/>
      <c r="BI1630" s="87"/>
      <c r="BJ1630" s="87"/>
      <c r="BK1630" s="87"/>
      <c r="BL1630" s="87"/>
      <c r="BM1630" s="87"/>
      <c r="BN1630" s="87"/>
      <c r="BO1630" s="87"/>
      <c r="BP1630" s="87"/>
      <c r="BQ1630" s="87"/>
      <c r="BR1630" s="87"/>
      <c r="BS1630" s="87"/>
      <c r="BT1630" s="87"/>
      <c r="BU1630" s="87"/>
      <c r="BV1630" s="87"/>
      <c r="BW1630" s="87"/>
      <c r="BX1630" s="87"/>
      <c r="BY1630" s="87"/>
    </row>
    <row r="1631" spans="21:77" x14ac:dyDescent="0.3">
      <c r="U1631" s="19"/>
      <c r="V1631" s="87"/>
      <c r="W1631" s="87"/>
      <c r="X1631" s="87"/>
      <c r="Y1631" s="87"/>
      <c r="Z1631" s="87"/>
      <c r="AA1631" s="87"/>
      <c r="AB1631" s="87"/>
      <c r="AC1631" s="87"/>
      <c r="AD1631" s="87"/>
      <c r="AE1631" s="87"/>
      <c r="AF1631" s="87"/>
      <c r="AG1631" s="87"/>
      <c r="AH1631" s="87"/>
      <c r="AI1631" s="87"/>
      <c r="AJ1631" s="87"/>
      <c r="AK1631" s="87"/>
      <c r="AL1631" s="87"/>
      <c r="AM1631" s="87"/>
      <c r="AN1631" s="87"/>
      <c r="AO1631" s="87"/>
      <c r="AP1631" s="87"/>
      <c r="AQ1631" s="87"/>
      <c r="AR1631" s="87"/>
      <c r="AS1631" s="87"/>
      <c r="AT1631" s="87"/>
      <c r="AU1631" s="87"/>
      <c r="AV1631" s="87"/>
      <c r="AW1631" s="87"/>
      <c r="AX1631" s="87"/>
      <c r="AY1631" s="87"/>
      <c r="AZ1631" s="87"/>
      <c r="BA1631" s="87"/>
      <c r="BB1631" s="87"/>
      <c r="BC1631" s="87"/>
      <c r="BD1631" s="87"/>
      <c r="BE1631" s="87"/>
      <c r="BF1631" s="87"/>
      <c r="BG1631" s="87"/>
      <c r="BH1631" s="87"/>
      <c r="BI1631" s="87"/>
      <c r="BJ1631" s="87"/>
      <c r="BK1631" s="87"/>
      <c r="BL1631" s="87"/>
      <c r="BM1631" s="87"/>
      <c r="BN1631" s="87"/>
      <c r="BO1631" s="87"/>
      <c r="BP1631" s="87"/>
      <c r="BQ1631" s="87"/>
      <c r="BR1631" s="87"/>
      <c r="BS1631" s="87"/>
      <c r="BT1631" s="87"/>
      <c r="BU1631" s="87"/>
      <c r="BV1631" s="87"/>
      <c r="BW1631" s="87"/>
      <c r="BX1631" s="87"/>
      <c r="BY1631" s="87"/>
    </row>
    <row r="1632" spans="21:77" x14ac:dyDescent="0.3">
      <c r="U1632" s="19"/>
      <c r="V1632" s="87"/>
      <c r="W1632" s="87"/>
      <c r="X1632" s="87"/>
      <c r="Y1632" s="87"/>
      <c r="Z1632" s="87"/>
      <c r="AA1632" s="87"/>
      <c r="AB1632" s="87"/>
      <c r="AC1632" s="87"/>
      <c r="AD1632" s="87"/>
      <c r="AE1632" s="87"/>
      <c r="AF1632" s="87"/>
      <c r="AG1632" s="87"/>
      <c r="AH1632" s="87"/>
      <c r="AI1632" s="87"/>
      <c r="AJ1632" s="87"/>
      <c r="AK1632" s="87"/>
      <c r="AL1632" s="87"/>
      <c r="AM1632" s="87"/>
      <c r="AN1632" s="87"/>
      <c r="AO1632" s="87"/>
      <c r="AP1632" s="87"/>
      <c r="AQ1632" s="87"/>
      <c r="AR1632" s="87"/>
      <c r="AS1632" s="87"/>
      <c r="AT1632" s="87"/>
      <c r="AU1632" s="87"/>
      <c r="AV1632" s="87"/>
      <c r="AW1632" s="87"/>
      <c r="AX1632" s="87"/>
      <c r="AY1632" s="87"/>
      <c r="AZ1632" s="87"/>
      <c r="BA1632" s="87"/>
      <c r="BB1632" s="87"/>
      <c r="BC1632" s="87"/>
      <c r="BD1632" s="87"/>
      <c r="BE1632" s="87"/>
      <c r="BF1632" s="87"/>
      <c r="BG1632" s="87"/>
      <c r="BH1632" s="87"/>
      <c r="BI1632" s="87"/>
      <c r="BJ1632" s="87"/>
      <c r="BK1632" s="87"/>
      <c r="BL1632" s="87"/>
      <c r="BM1632" s="87"/>
      <c r="BN1632" s="87"/>
      <c r="BO1632" s="87"/>
      <c r="BP1632" s="87"/>
      <c r="BQ1632" s="87"/>
      <c r="BR1632" s="87"/>
      <c r="BS1632" s="87"/>
      <c r="BT1632" s="87"/>
      <c r="BU1632" s="87"/>
      <c r="BV1632" s="87"/>
      <c r="BW1632" s="87"/>
      <c r="BX1632" s="87"/>
      <c r="BY1632" s="87"/>
    </row>
    <row r="1633" spans="21:77" x14ac:dyDescent="0.3">
      <c r="U1633" s="19"/>
      <c r="V1633" s="87"/>
      <c r="W1633" s="87"/>
      <c r="X1633" s="87"/>
      <c r="Y1633" s="87"/>
      <c r="Z1633" s="87"/>
      <c r="AA1633" s="87"/>
      <c r="AB1633" s="87"/>
      <c r="AC1633" s="87"/>
      <c r="AD1633" s="87"/>
      <c r="AE1633" s="87"/>
      <c r="AF1633" s="87"/>
      <c r="AG1633" s="87"/>
      <c r="AH1633" s="87"/>
      <c r="AI1633" s="87"/>
      <c r="AJ1633" s="87"/>
      <c r="AK1633" s="87"/>
      <c r="AL1633" s="87"/>
      <c r="AM1633" s="87"/>
      <c r="AN1633" s="87"/>
      <c r="AO1633" s="87"/>
      <c r="AP1633" s="87"/>
      <c r="AQ1633" s="87"/>
      <c r="AR1633" s="87"/>
      <c r="AS1633" s="87"/>
      <c r="AT1633" s="87"/>
      <c r="AU1633" s="87"/>
      <c r="AV1633" s="87"/>
      <c r="AW1633" s="87"/>
      <c r="AX1633" s="87"/>
      <c r="AY1633" s="87"/>
      <c r="AZ1633" s="87"/>
      <c r="BA1633" s="87"/>
      <c r="BB1633" s="87"/>
      <c r="BC1633" s="87"/>
      <c r="BD1633" s="87"/>
      <c r="BE1633" s="87"/>
      <c r="BF1633" s="87"/>
      <c r="BG1633" s="87"/>
      <c r="BH1633" s="87"/>
      <c r="BI1633" s="87"/>
      <c r="BJ1633" s="87"/>
      <c r="BK1633" s="87"/>
      <c r="BL1633" s="87"/>
      <c r="BM1633" s="87"/>
      <c r="BN1633" s="87"/>
      <c r="BO1633" s="87"/>
      <c r="BP1633" s="87"/>
      <c r="BQ1633" s="87"/>
      <c r="BR1633" s="87"/>
      <c r="BS1633" s="87"/>
      <c r="BT1633" s="87"/>
      <c r="BU1633" s="87"/>
      <c r="BV1633" s="87"/>
      <c r="BW1633" s="87"/>
      <c r="BX1633" s="87"/>
      <c r="BY1633" s="87"/>
    </row>
    <row r="1634" spans="21:77" x14ac:dyDescent="0.3">
      <c r="U1634" s="19"/>
      <c r="V1634" s="87"/>
      <c r="W1634" s="87"/>
      <c r="X1634" s="87"/>
      <c r="Y1634" s="87"/>
      <c r="Z1634" s="87"/>
      <c r="AA1634" s="87"/>
      <c r="AB1634" s="87"/>
      <c r="AC1634" s="87"/>
      <c r="AD1634" s="87"/>
      <c r="AE1634" s="87"/>
      <c r="AF1634" s="87"/>
      <c r="AG1634" s="87"/>
      <c r="AH1634" s="87"/>
      <c r="AI1634" s="87"/>
      <c r="AJ1634" s="87"/>
      <c r="AK1634" s="87"/>
      <c r="AL1634" s="87"/>
      <c r="AM1634" s="87"/>
      <c r="AN1634" s="87"/>
      <c r="AO1634" s="87"/>
      <c r="AP1634" s="87"/>
      <c r="AQ1634" s="87"/>
      <c r="AR1634" s="87"/>
      <c r="AS1634" s="87"/>
      <c r="AT1634" s="87"/>
      <c r="AU1634" s="87"/>
      <c r="AV1634" s="87"/>
      <c r="AW1634" s="87"/>
      <c r="AX1634" s="87"/>
      <c r="AY1634" s="87"/>
      <c r="AZ1634" s="87"/>
      <c r="BA1634" s="87"/>
      <c r="BB1634" s="87"/>
      <c r="BC1634" s="87"/>
      <c r="BD1634" s="87"/>
      <c r="BE1634" s="87"/>
      <c r="BF1634" s="87"/>
      <c r="BG1634" s="87"/>
      <c r="BH1634" s="87"/>
      <c r="BI1634" s="87"/>
      <c r="BJ1634" s="87"/>
      <c r="BK1634" s="87"/>
      <c r="BL1634" s="87"/>
      <c r="BM1634" s="87"/>
      <c r="BN1634" s="87"/>
      <c r="BO1634" s="87"/>
      <c r="BP1634" s="87"/>
      <c r="BQ1634" s="87"/>
      <c r="BR1634" s="87"/>
      <c r="BS1634" s="87"/>
      <c r="BT1634" s="87"/>
      <c r="BU1634" s="87"/>
      <c r="BV1634" s="87"/>
      <c r="BW1634" s="87"/>
      <c r="BX1634" s="87"/>
      <c r="BY1634" s="87"/>
    </row>
    <row r="1635" spans="21:77" x14ac:dyDescent="0.3">
      <c r="U1635" s="19"/>
      <c r="V1635" s="87"/>
      <c r="W1635" s="87"/>
      <c r="X1635" s="87"/>
      <c r="Y1635" s="87"/>
      <c r="Z1635" s="87"/>
      <c r="AA1635" s="87"/>
      <c r="AB1635" s="87"/>
      <c r="AC1635" s="87"/>
      <c r="AD1635" s="87"/>
      <c r="AE1635" s="87"/>
      <c r="AF1635" s="87"/>
      <c r="AG1635" s="87"/>
      <c r="AH1635" s="87"/>
      <c r="AI1635" s="87"/>
      <c r="AJ1635" s="87"/>
      <c r="AK1635" s="87"/>
      <c r="AL1635" s="87"/>
      <c r="AM1635" s="87"/>
      <c r="AN1635" s="87"/>
      <c r="AO1635" s="87"/>
      <c r="AP1635" s="87"/>
      <c r="AQ1635" s="87"/>
      <c r="AR1635" s="87"/>
      <c r="AS1635" s="87"/>
      <c r="AT1635" s="87"/>
      <c r="AU1635" s="87"/>
      <c r="AV1635" s="87"/>
      <c r="AW1635" s="87"/>
      <c r="AX1635" s="87"/>
      <c r="AY1635" s="87"/>
      <c r="AZ1635" s="87"/>
      <c r="BA1635" s="87"/>
      <c r="BB1635" s="87"/>
      <c r="BC1635" s="87"/>
      <c r="BD1635" s="87"/>
      <c r="BE1635" s="87"/>
      <c r="BF1635" s="87"/>
      <c r="BG1635" s="87"/>
      <c r="BH1635" s="87"/>
      <c r="BI1635" s="87"/>
      <c r="BJ1635" s="87"/>
      <c r="BK1635" s="87"/>
      <c r="BL1635" s="87"/>
      <c r="BM1635" s="87"/>
      <c r="BN1635" s="87"/>
      <c r="BO1635" s="87"/>
      <c r="BP1635" s="87"/>
      <c r="BQ1635" s="87"/>
      <c r="BR1635" s="87"/>
      <c r="BS1635" s="87"/>
      <c r="BT1635" s="87"/>
      <c r="BU1635" s="87"/>
      <c r="BV1635" s="87"/>
      <c r="BW1635" s="87"/>
      <c r="BX1635" s="87"/>
      <c r="BY1635" s="87"/>
    </row>
    <row r="1636" spans="21:77" x14ac:dyDescent="0.3">
      <c r="U1636" s="19"/>
      <c r="V1636" s="87"/>
      <c r="W1636" s="87"/>
      <c r="X1636" s="87"/>
      <c r="Y1636" s="87"/>
      <c r="Z1636" s="87"/>
      <c r="AA1636" s="87"/>
      <c r="AB1636" s="87"/>
      <c r="AC1636" s="87"/>
      <c r="AD1636" s="87"/>
      <c r="AE1636" s="87"/>
      <c r="AF1636" s="87"/>
      <c r="AG1636" s="87"/>
      <c r="AH1636" s="87"/>
      <c r="AI1636" s="87"/>
      <c r="AJ1636" s="87"/>
      <c r="AK1636" s="87"/>
      <c r="AL1636" s="87"/>
      <c r="AM1636" s="87"/>
      <c r="AN1636" s="87"/>
      <c r="AO1636" s="87"/>
      <c r="AP1636" s="87"/>
      <c r="AQ1636" s="87"/>
      <c r="AR1636" s="87"/>
      <c r="AS1636" s="87"/>
      <c r="AT1636" s="87"/>
      <c r="AU1636" s="87"/>
      <c r="AV1636" s="87"/>
      <c r="AW1636" s="87"/>
      <c r="AX1636" s="87"/>
      <c r="AY1636" s="87"/>
      <c r="AZ1636" s="87"/>
      <c r="BA1636" s="87"/>
      <c r="BB1636" s="87"/>
      <c r="BC1636" s="87"/>
      <c r="BD1636" s="87"/>
      <c r="BE1636" s="87"/>
      <c r="BF1636" s="87"/>
      <c r="BG1636" s="87"/>
      <c r="BH1636" s="87"/>
      <c r="BI1636" s="87"/>
      <c r="BJ1636" s="87"/>
      <c r="BK1636" s="87"/>
      <c r="BL1636" s="87"/>
      <c r="BM1636" s="87"/>
      <c r="BN1636" s="87"/>
      <c r="BO1636" s="87"/>
      <c r="BP1636" s="87"/>
      <c r="BQ1636" s="87"/>
      <c r="BR1636" s="87"/>
      <c r="BS1636" s="87"/>
      <c r="BT1636" s="87"/>
      <c r="BU1636" s="87"/>
      <c r="BV1636" s="87"/>
      <c r="BW1636" s="87"/>
      <c r="BX1636" s="87"/>
      <c r="BY1636" s="87"/>
    </row>
    <row r="1637" spans="21:77" x14ac:dyDescent="0.3">
      <c r="U1637" s="19"/>
      <c r="V1637" s="87"/>
      <c r="W1637" s="87"/>
      <c r="X1637" s="87"/>
      <c r="Y1637" s="87"/>
      <c r="Z1637" s="87"/>
      <c r="AA1637" s="87"/>
      <c r="AB1637" s="87"/>
      <c r="AC1637" s="87"/>
      <c r="AD1637" s="87"/>
      <c r="AE1637" s="87"/>
      <c r="AF1637" s="87"/>
      <c r="AG1637" s="87"/>
      <c r="AH1637" s="87"/>
      <c r="AI1637" s="87"/>
      <c r="AJ1637" s="87"/>
      <c r="AK1637" s="87"/>
      <c r="AL1637" s="87"/>
      <c r="AM1637" s="87"/>
      <c r="AN1637" s="87"/>
      <c r="AO1637" s="87"/>
      <c r="AP1637" s="87"/>
      <c r="AQ1637" s="87"/>
      <c r="AR1637" s="87"/>
      <c r="AS1637" s="87"/>
      <c r="AT1637" s="87"/>
      <c r="AU1637" s="87"/>
      <c r="AV1637" s="87"/>
      <c r="AW1637" s="87"/>
      <c r="AX1637" s="87"/>
      <c r="AY1637" s="87"/>
      <c r="AZ1637" s="87"/>
      <c r="BA1637" s="87"/>
      <c r="BB1637" s="87"/>
      <c r="BC1637" s="87"/>
      <c r="BD1637" s="87"/>
      <c r="BE1637" s="87"/>
      <c r="BF1637" s="87"/>
      <c r="BG1637" s="87"/>
      <c r="BH1637" s="87"/>
      <c r="BI1637" s="87"/>
      <c r="BJ1637" s="87"/>
      <c r="BK1637" s="87"/>
      <c r="BL1637" s="87"/>
      <c r="BM1637" s="87"/>
      <c r="BN1637" s="87"/>
      <c r="BO1637" s="87"/>
      <c r="BP1637" s="87"/>
      <c r="BQ1637" s="87"/>
      <c r="BR1637" s="87"/>
      <c r="BS1637" s="87"/>
      <c r="BT1637" s="87"/>
      <c r="BU1637" s="87"/>
      <c r="BV1637" s="87"/>
      <c r="BW1637" s="87"/>
      <c r="BX1637" s="87"/>
      <c r="BY1637" s="87"/>
    </row>
    <row r="1638" spans="21:77" x14ac:dyDescent="0.3">
      <c r="U1638" s="19"/>
      <c r="V1638" s="87"/>
      <c r="W1638" s="87"/>
      <c r="X1638" s="87"/>
      <c r="Y1638" s="87"/>
      <c r="Z1638" s="87"/>
      <c r="AA1638" s="87"/>
      <c r="AB1638" s="87"/>
      <c r="AC1638" s="87"/>
      <c r="AD1638" s="87"/>
      <c r="AE1638" s="87"/>
      <c r="AF1638" s="87"/>
      <c r="AG1638" s="87"/>
      <c r="AH1638" s="87"/>
      <c r="AI1638" s="87"/>
      <c r="AJ1638" s="87"/>
      <c r="AK1638" s="87"/>
      <c r="AL1638" s="87"/>
      <c r="AM1638" s="87"/>
      <c r="AN1638" s="87"/>
      <c r="AO1638" s="87"/>
      <c r="AP1638" s="87"/>
      <c r="AQ1638" s="87"/>
      <c r="AR1638" s="87"/>
      <c r="AS1638" s="87"/>
      <c r="AT1638" s="87"/>
      <c r="AU1638" s="87"/>
      <c r="AV1638" s="87"/>
      <c r="AW1638" s="87"/>
      <c r="AX1638" s="87"/>
      <c r="AY1638" s="87"/>
      <c r="AZ1638" s="87"/>
      <c r="BA1638" s="87"/>
      <c r="BB1638" s="87"/>
      <c r="BC1638" s="87"/>
      <c r="BD1638" s="87"/>
      <c r="BE1638" s="87"/>
      <c r="BF1638" s="87"/>
      <c r="BG1638" s="87"/>
      <c r="BH1638" s="87"/>
      <c r="BI1638" s="87"/>
      <c r="BJ1638" s="87"/>
      <c r="BK1638" s="87"/>
      <c r="BL1638" s="87"/>
      <c r="BM1638" s="87"/>
      <c r="BN1638" s="87"/>
      <c r="BO1638" s="87"/>
      <c r="BP1638" s="87"/>
      <c r="BQ1638" s="87"/>
      <c r="BR1638" s="87"/>
      <c r="BS1638" s="87"/>
      <c r="BT1638" s="87"/>
      <c r="BU1638" s="87"/>
      <c r="BV1638" s="87"/>
      <c r="BW1638" s="87"/>
      <c r="BX1638" s="87"/>
      <c r="BY1638" s="87"/>
    </row>
    <row r="1639" spans="21:77" x14ac:dyDescent="0.3">
      <c r="U1639" s="19"/>
      <c r="V1639" s="87"/>
      <c r="W1639" s="87"/>
      <c r="X1639" s="87"/>
      <c r="Y1639" s="87"/>
      <c r="Z1639" s="87"/>
      <c r="AA1639" s="87"/>
      <c r="AB1639" s="87"/>
      <c r="AC1639" s="87"/>
      <c r="AD1639" s="87"/>
      <c r="AE1639" s="87"/>
      <c r="AF1639" s="87"/>
      <c r="AG1639" s="87"/>
      <c r="AH1639" s="87"/>
      <c r="AI1639" s="87"/>
      <c r="AJ1639" s="87"/>
      <c r="AK1639" s="87"/>
      <c r="AL1639" s="87"/>
      <c r="AM1639" s="87"/>
      <c r="AN1639" s="87"/>
      <c r="AO1639" s="87"/>
      <c r="AP1639" s="87"/>
      <c r="AQ1639" s="87"/>
      <c r="AR1639" s="87"/>
      <c r="AS1639" s="87"/>
      <c r="AT1639" s="87"/>
      <c r="AU1639" s="87"/>
      <c r="AV1639" s="87"/>
      <c r="AW1639" s="87"/>
      <c r="AX1639" s="87"/>
      <c r="AY1639" s="87"/>
      <c r="AZ1639" s="87"/>
      <c r="BA1639" s="87"/>
      <c r="BB1639" s="87"/>
      <c r="BC1639" s="87"/>
      <c r="BD1639" s="87"/>
      <c r="BE1639" s="87"/>
      <c r="BF1639" s="87"/>
      <c r="BG1639" s="87"/>
      <c r="BH1639" s="87"/>
      <c r="BI1639" s="87"/>
      <c r="BJ1639" s="87"/>
      <c r="BK1639" s="87"/>
      <c r="BL1639" s="87"/>
      <c r="BM1639" s="87"/>
      <c r="BN1639" s="87"/>
      <c r="BO1639" s="87"/>
      <c r="BP1639" s="87"/>
      <c r="BQ1639" s="87"/>
      <c r="BR1639" s="87"/>
      <c r="BS1639" s="87"/>
      <c r="BT1639" s="87"/>
      <c r="BU1639" s="87"/>
      <c r="BV1639" s="87"/>
      <c r="BW1639" s="87"/>
      <c r="BX1639" s="87"/>
      <c r="BY1639" s="87"/>
    </row>
    <row r="1640" spans="21:77" x14ac:dyDescent="0.3">
      <c r="U1640" s="19"/>
      <c r="V1640" s="87"/>
      <c r="W1640" s="87"/>
      <c r="X1640" s="87"/>
      <c r="Y1640" s="87"/>
      <c r="Z1640" s="87"/>
      <c r="AA1640" s="87"/>
      <c r="AB1640" s="87"/>
      <c r="AC1640" s="87"/>
      <c r="AD1640" s="87"/>
      <c r="AE1640" s="87"/>
      <c r="AF1640" s="87"/>
      <c r="AG1640" s="87"/>
      <c r="AH1640" s="87"/>
      <c r="AI1640" s="87"/>
      <c r="AJ1640" s="87"/>
      <c r="AK1640" s="87"/>
      <c r="AL1640" s="87"/>
      <c r="AM1640" s="87"/>
      <c r="AN1640" s="87"/>
      <c r="AO1640" s="87"/>
      <c r="AP1640" s="87"/>
      <c r="AQ1640" s="87"/>
      <c r="AR1640" s="87"/>
      <c r="AS1640" s="87"/>
      <c r="AT1640" s="87"/>
      <c r="AU1640" s="87"/>
      <c r="AV1640" s="87"/>
      <c r="AW1640" s="87"/>
      <c r="AX1640" s="87"/>
      <c r="AY1640" s="87"/>
      <c r="AZ1640" s="87"/>
      <c r="BA1640" s="87"/>
      <c r="BB1640" s="87"/>
      <c r="BC1640" s="87"/>
      <c r="BD1640" s="87"/>
      <c r="BE1640" s="87"/>
      <c r="BF1640" s="87"/>
      <c r="BG1640" s="87"/>
      <c r="BH1640" s="87"/>
      <c r="BI1640" s="87"/>
      <c r="BJ1640" s="87"/>
      <c r="BK1640" s="87"/>
      <c r="BL1640" s="87"/>
      <c r="BM1640" s="87"/>
      <c r="BN1640" s="87"/>
      <c r="BO1640" s="87"/>
      <c r="BP1640" s="87"/>
      <c r="BQ1640" s="87"/>
      <c r="BR1640" s="87"/>
      <c r="BS1640" s="87"/>
      <c r="BT1640" s="87"/>
      <c r="BU1640" s="87"/>
      <c r="BV1640" s="87"/>
      <c r="BW1640" s="87"/>
      <c r="BX1640" s="87"/>
      <c r="BY1640" s="87"/>
    </row>
    <row r="1641" spans="21:77" x14ac:dyDescent="0.3">
      <c r="U1641" s="19"/>
      <c r="V1641" s="87"/>
      <c r="W1641" s="87"/>
      <c r="X1641" s="87"/>
      <c r="Y1641" s="87"/>
      <c r="Z1641" s="87"/>
      <c r="AA1641" s="87"/>
      <c r="AB1641" s="87"/>
      <c r="AC1641" s="87"/>
      <c r="AD1641" s="87"/>
      <c r="AE1641" s="87"/>
      <c r="AF1641" s="87"/>
      <c r="AG1641" s="87"/>
      <c r="AH1641" s="87"/>
      <c r="AI1641" s="87"/>
      <c r="AJ1641" s="87"/>
      <c r="AK1641" s="87"/>
      <c r="AL1641" s="87"/>
      <c r="AM1641" s="87"/>
      <c r="AN1641" s="87"/>
      <c r="AO1641" s="87"/>
      <c r="AP1641" s="87"/>
      <c r="AQ1641" s="87"/>
      <c r="AR1641" s="87"/>
      <c r="AS1641" s="87"/>
      <c r="AT1641" s="87"/>
      <c r="AU1641" s="87"/>
      <c r="AV1641" s="87"/>
      <c r="AW1641" s="87"/>
      <c r="AX1641" s="87"/>
      <c r="AY1641" s="87"/>
      <c r="AZ1641" s="87"/>
      <c r="BA1641" s="87"/>
      <c r="BB1641" s="87"/>
      <c r="BC1641" s="87"/>
      <c r="BD1641" s="87"/>
      <c r="BE1641" s="87"/>
      <c r="BF1641" s="87"/>
      <c r="BG1641" s="87"/>
      <c r="BH1641" s="87"/>
      <c r="BI1641" s="87"/>
      <c r="BJ1641" s="87"/>
      <c r="BK1641" s="87"/>
      <c r="BL1641" s="87"/>
      <c r="BM1641" s="87"/>
      <c r="BN1641" s="87"/>
      <c r="BO1641" s="87"/>
      <c r="BP1641" s="87"/>
      <c r="BQ1641" s="87"/>
      <c r="BR1641" s="87"/>
      <c r="BS1641" s="87"/>
      <c r="BT1641" s="87"/>
      <c r="BU1641" s="87"/>
      <c r="BV1641" s="87"/>
      <c r="BW1641" s="87"/>
      <c r="BX1641" s="87"/>
      <c r="BY1641" s="87"/>
    </row>
    <row r="1642" spans="21:77" x14ac:dyDescent="0.3">
      <c r="U1642" s="19"/>
      <c r="V1642" s="87"/>
      <c r="W1642" s="87"/>
      <c r="X1642" s="87"/>
      <c r="Y1642" s="87"/>
      <c r="Z1642" s="87"/>
      <c r="AA1642" s="87"/>
      <c r="AB1642" s="87"/>
      <c r="AC1642" s="87"/>
      <c r="AD1642" s="87"/>
      <c r="AE1642" s="87"/>
      <c r="AF1642" s="87"/>
      <c r="AG1642" s="87"/>
      <c r="AH1642" s="87"/>
      <c r="AI1642" s="87"/>
      <c r="AJ1642" s="87"/>
      <c r="AK1642" s="87"/>
      <c r="AL1642" s="87"/>
      <c r="AM1642" s="87"/>
      <c r="AN1642" s="87"/>
      <c r="AO1642" s="87"/>
      <c r="AP1642" s="87"/>
      <c r="AQ1642" s="87"/>
      <c r="AR1642" s="87"/>
      <c r="AS1642" s="87"/>
      <c r="AT1642" s="87"/>
      <c r="AU1642" s="87"/>
      <c r="AV1642" s="87"/>
      <c r="AW1642" s="87"/>
      <c r="AX1642" s="87"/>
      <c r="AY1642" s="87"/>
      <c r="AZ1642" s="87"/>
      <c r="BA1642" s="87"/>
      <c r="BB1642" s="87"/>
      <c r="BC1642" s="87"/>
      <c r="BD1642" s="87"/>
      <c r="BE1642" s="87"/>
      <c r="BF1642" s="87"/>
      <c r="BG1642" s="87"/>
      <c r="BH1642" s="87"/>
      <c r="BI1642" s="87"/>
      <c r="BJ1642" s="87"/>
      <c r="BK1642" s="87"/>
      <c r="BL1642" s="87"/>
      <c r="BM1642" s="87"/>
      <c r="BN1642" s="87"/>
      <c r="BO1642" s="87"/>
      <c r="BP1642" s="87"/>
      <c r="BQ1642" s="87"/>
      <c r="BR1642" s="87"/>
      <c r="BS1642" s="87"/>
      <c r="BT1642" s="87"/>
      <c r="BU1642" s="87"/>
      <c r="BV1642" s="87"/>
      <c r="BW1642" s="87"/>
      <c r="BX1642" s="87"/>
      <c r="BY1642" s="87"/>
    </row>
    <row r="1643" spans="21:77" x14ac:dyDescent="0.3">
      <c r="U1643" s="19"/>
      <c r="V1643" s="87"/>
      <c r="W1643" s="87"/>
      <c r="X1643" s="87"/>
      <c r="Y1643" s="87"/>
      <c r="Z1643" s="87"/>
      <c r="AA1643" s="87"/>
      <c r="AB1643" s="87"/>
      <c r="AC1643" s="87"/>
      <c r="AD1643" s="87"/>
      <c r="AE1643" s="87"/>
      <c r="AF1643" s="87"/>
      <c r="AG1643" s="87"/>
      <c r="AH1643" s="87"/>
      <c r="AI1643" s="87"/>
      <c r="AJ1643" s="87"/>
      <c r="AK1643" s="87"/>
      <c r="AL1643" s="87"/>
      <c r="AM1643" s="87"/>
      <c r="AN1643" s="87"/>
      <c r="AO1643" s="87"/>
      <c r="AP1643" s="87"/>
      <c r="AQ1643" s="87"/>
      <c r="AR1643" s="87"/>
      <c r="AS1643" s="87"/>
      <c r="AT1643" s="87"/>
      <c r="AU1643" s="87"/>
      <c r="AV1643" s="87"/>
      <c r="AW1643" s="87"/>
      <c r="AX1643" s="87"/>
      <c r="AY1643" s="87"/>
      <c r="AZ1643" s="87"/>
      <c r="BA1643" s="87"/>
      <c r="BB1643" s="87"/>
      <c r="BC1643" s="87"/>
      <c r="BD1643" s="87"/>
      <c r="BE1643" s="87"/>
      <c r="BF1643" s="87"/>
      <c r="BG1643" s="87"/>
      <c r="BH1643" s="87"/>
      <c r="BI1643" s="87"/>
      <c r="BJ1643" s="87"/>
      <c r="BK1643" s="87"/>
      <c r="BL1643" s="87"/>
      <c r="BM1643" s="87"/>
      <c r="BN1643" s="87"/>
      <c r="BO1643" s="87"/>
      <c r="BP1643" s="87"/>
      <c r="BQ1643" s="87"/>
      <c r="BR1643" s="87"/>
      <c r="BS1643" s="87"/>
      <c r="BT1643" s="87"/>
      <c r="BU1643" s="87"/>
      <c r="BV1643" s="87"/>
      <c r="BW1643" s="87"/>
      <c r="BX1643" s="87"/>
      <c r="BY1643" s="87"/>
    </row>
    <row r="1644" spans="21:77" x14ac:dyDescent="0.3">
      <c r="U1644" s="19"/>
      <c r="V1644" s="87"/>
      <c r="W1644" s="87"/>
      <c r="X1644" s="87"/>
      <c r="Y1644" s="87"/>
      <c r="Z1644" s="87"/>
      <c r="AA1644" s="87"/>
      <c r="AB1644" s="87"/>
      <c r="AC1644" s="87"/>
      <c r="AD1644" s="87"/>
      <c r="AE1644" s="87"/>
      <c r="AF1644" s="87"/>
      <c r="AG1644" s="87"/>
      <c r="AH1644" s="87"/>
      <c r="AI1644" s="87"/>
      <c r="AJ1644" s="87"/>
      <c r="AK1644" s="87"/>
      <c r="AL1644" s="87"/>
      <c r="AM1644" s="87"/>
      <c r="AN1644" s="87"/>
      <c r="AO1644" s="87"/>
      <c r="AP1644" s="87"/>
      <c r="AQ1644" s="87"/>
      <c r="AR1644" s="87"/>
      <c r="AS1644" s="87"/>
      <c r="AT1644" s="87"/>
      <c r="AU1644" s="87"/>
      <c r="AV1644" s="87"/>
      <c r="AW1644" s="87"/>
      <c r="AX1644" s="87"/>
      <c r="AY1644" s="87"/>
      <c r="AZ1644" s="87"/>
      <c r="BA1644" s="87"/>
      <c r="BB1644" s="87"/>
      <c r="BC1644" s="87"/>
      <c r="BD1644" s="87"/>
      <c r="BE1644" s="87"/>
      <c r="BF1644" s="87"/>
      <c r="BG1644" s="87"/>
      <c r="BH1644" s="87"/>
      <c r="BI1644" s="87"/>
      <c r="BJ1644" s="87"/>
      <c r="BK1644" s="87"/>
      <c r="BL1644" s="87"/>
      <c r="BM1644" s="87"/>
      <c r="BN1644" s="87"/>
      <c r="BO1644" s="87"/>
      <c r="BP1644" s="87"/>
      <c r="BQ1644" s="87"/>
      <c r="BR1644" s="87"/>
      <c r="BS1644" s="87"/>
      <c r="BT1644" s="87"/>
      <c r="BU1644" s="87"/>
      <c r="BV1644" s="87"/>
      <c r="BW1644" s="87"/>
      <c r="BX1644" s="87"/>
      <c r="BY1644" s="87"/>
    </row>
    <row r="1645" spans="21:77" x14ac:dyDescent="0.3">
      <c r="U1645" s="19"/>
      <c r="V1645" s="87"/>
      <c r="W1645" s="87"/>
      <c r="X1645" s="87"/>
      <c r="Y1645" s="87"/>
      <c r="Z1645" s="87"/>
      <c r="AA1645" s="87"/>
      <c r="AB1645" s="87"/>
      <c r="AC1645" s="87"/>
      <c r="AD1645" s="87"/>
      <c r="AE1645" s="87"/>
      <c r="AF1645" s="87"/>
      <c r="AG1645" s="87"/>
      <c r="AH1645" s="87"/>
      <c r="AI1645" s="87"/>
      <c r="AJ1645" s="87"/>
      <c r="AK1645" s="87"/>
      <c r="AL1645" s="87"/>
      <c r="AM1645" s="87"/>
      <c r="AN1645" s="87"/>
      <c r="AO1645" s="87"/>
      <c r="AP1645" s="87"/>
      <c r="AQ1645" s="87"/>
      <c r="AR1645" s="87"/>
      <c r="AS1645" s="87"/>
      <c r="AT1645" s="87"/>
      <c r="AU1645" s="87"/>
      <c r="AV1645" s="87"/>
      <c r="AW1645" s="87"/>
      <c r="AX1645" s="87"/>
      <c r="AY1645" s="87"/>
      <c r="AZ1645" s="87"/>
      <c r="BA1645" s="87"/>
      <c r="BB1645" s="87"/>
      <c r="BC1645" s="87"/>
      <c r="BD1645" s="87"/>
      <c r="BE1645" s="87"/>
      <c r="BF1645" s="87"/>
      <c r="BG1645" s="87"/>
      <c r="BH1645" s="87"/>
      <c r="BI1645" s="87"/>
      <c r="BJ1645" s="87"/>
      <c r="BK1645" s="87"/>
      <c r="BL1645" s="87"/>
      <c r="BM1645" s="87"/>
      <c r="BN1645" s="87"/>
      <c r="BO1645" s="87"/>
      <c r="BP1645" s="87"/>
      <c r="BQ1645" s="87"/>
      <c r="BR1645" s="87"/>
      <c r="BS1645" s="87"/>
      <c r="BT1645" s="87"/>
      <c r="BU1645" s="87"/>
      <c r="BV1645" s="87"/>
      <c r="BW1645" s="87"/>
      <c r="BX1645" s="87"/>
      <c r="BY1645" s="87"/>
    </row>
    <row r="1646" spans="21:77" x14ac:dyDescent="0.3">
      <c r="U1646" s="19"/>
      <c r="V1646" s="87"/>
      <c r="W1646" s="87"/>
      <c r="X1646" s="87"/>
      <c r="Y1646" s="87"/>
      <c r="Z1646" s="87"/>
      <c r="AA1646" s="87"/>
      <c r="AB1646" s="87"/>
      <c r="AC1646" s="87"/>
      <c r="AD1646" s="87"/>
      <c r="AE1646" s="87"/>
      <c r="AF1646" s="87"/>
      <c r="AG1646" s="87"/>
      <c r="AH1646" s="87"/>
      <c r="AI1646" s="87"/>
      <c r="AJ1646" s="87"/>
      <c r="AK1646" s="87"/>
      <c r="AL1646" s="87"/>
      <c r="AM1646" s="87"/>
      <c r="AN1646" s="87"/>
      <c r="AO1646" s="87"/>
      <c r="AP1646" s="87"/>
      <c r="AQ1646" s="87"/>
      <c r="AR1646" s="87"/>
      <c r="AS1646" s="87"/>
      <c r="AT1646" s="87"/>
      <c r="AU1646" s="87"/>
      <c r="AV1646" s="87"/>
      <c r="AW1646" s="87"/>
      <c r="AX1646" s="87"/>
      <c r="AY1646" s="87"/>
      <c r="AZ1646" s="87"/>
      <c r="BA1646" s="87"/>
      <c r="BB1646" s="87"/>
      <c r="BC1646" s="87"/>
      <c r="BD1646" s="87"/>
      <c r="BE1646" s="87"/>
      <c r="BF1646" s="87"/>
      <c r="BG1646" s="87"/>
      <c r="BH1646" s="87"/>
      <c r="BI1646" s="87"/>
      <c r="BJ1646" s="87"/>
      <c r="BK1646" s="87"/>
      <c r="BL1646" s="87"/>
      <c r="BM1646" s="87"/>
      <c r="BN1646" s="87"/>
      <c r="BO1646" s="87"/>
      <c r="BP1646" s="87"/>
      <c r="BQ1646" s="87"/>
      <c r="BR1646" s="87"/>
      <c r="BS1646" s="87"/>
      <c r="BT1646" s="87"/>
      <c r="BU1646" s="87"/>
      <c r="BV1646" s="87"/>
      <c r="BW1646" s="87"/>
      <c r="BX1646" s="87"/>
      <c r="BY1646" s="87"/>
    </row>
    <row r="1647" spans="21:77" x14ac:dyDescent="0.3">
      <c r="U1647" s="19"/>
      <c r="V1647" s="87"/>
      <c r="W1647" s="87"/>
      <c r="X1647" s="87"/>
      <c r="Y1647" s="87"/>
      <c r="Z1647" s="87"/>
      <c r="AA1647" s="87"/>
      <c r="AB1647" s="87"/>
      <c r="AC1647" s="87"/>
      <c r="AD1647" s="87"/>
      <c r="AE1647" s="87"/>
      <c r="AF1647" s="87"/>
      <c r="AG1647" s="87"/>
      <c r="AH1647" s="87"/>
      <c r="AI1647" s="87"/>
      <c r="AJ1647" s="87"/>
      <c r="AK1647" s="87"/>
      <c r="AL1647" s="87"/>
      <c r="AM1647" s="87"/>
      <c r="AN1647" s="87"/>
      <c r="AO1647" s="87"/>
      <c r="AP1647" s="87"/>
      <c r="AQ1647" s="87"/>
      <c r="AR1647" s="87"/>
      <c r="AS1647" s="87"/>
      <c r="AT1647" s="87"/>
      <c r="AU1647" s="87"/>
      <c r="AV1647" s="87"/>
      <c r="AW1647" s="87"/>
      <c r="AX1647" s="87"/>
      <c r="AY1647" s="87"/>
      <c r="AZ1647" s="87"/>
      <c r="BA1647" s="87"/>
      <c r="BB1647" s="87"/>
      <c r="BC1647" s="87"/>
      <c r="BD1647" s="87"/>
      <c r="BE1647" s="87"/>
      <c r="BF1647" s="87"/>
      <c r="BG1647" s="87"/>
      <c r="BH1647" s="87"/>
      <c r="BI1647" s="87"/>
      <c r="BJ1647" s="87"/>
      <c r="BK1647" s="87"/>
      <c r="BL1647" s="87"/>
      <c r="BM1647" s="87"/>
      <c r="BN1647" s="87"/>
      <c r="BO1647" s="87"/>
      <c r="BP1647" s="87"/>
      <c r="BQ1647" s="87"/>
      <c r="BR1647" s="87"/>
      <c r="BS1647" s="87"/>
      <c r="BT1647" s="87"/>
      <c r="BU1647" s="87"/>
      <c r="BV1647" s="87"/>
      <c r="BW1647" s="87"/>
      <c r="BX1647" s="87"/>
      <c r="BY1647" s="87"/>
    </row>
    <row r="1648" spans="21:77" x14ac:dyDescent="0.3">
      <c r="U1648" s="19"/>
      <c r="V1648" s="87"/>
      <c r="W1648" s="87"/>
      <c r="X1648" s="87"/>
      <c r="Y1648" s="87"/>
      <c r="Z1648" s="87"/>
      <c r="AA1648" s="87"/>
      <c r="AB1648" s="87"/>
      <c r="AC1648" s="87"/>
      <c r="AD1648" s="87"/>
      <c r="AE1648" s="87"/>
      <c r="AF1648" s="87"/>
      <c r="AG1648" s="87"/>
      <c r="AH1648" s="87"/>
      <c r="AI1648" s="87"/>
      <c r="AJ1648" s="87"/>
      <c r="AK1648" s="87"/>
      <c r="AL1648" s="87"/>
      <c r="AM1648" s="87"/>
      <c r="AN1648" s="87"/>
      <c r="AO1648" s="87"/>
      <c r="AP1648" s="87"/>
      <c r="AQ1648" s="87"/>
      <c r="AR1648" s="87"/>
      <c r="AS1648" s="87"/>
      <c r="AT1648" s="87"/>
      <c r="AU1648" s="87"/>
      <c r="AV1648" s="87"/>
      <c r="AW1648" s="87"/>
      <c r="AX1648" s="87"/>
      <c r="AY1648" s="87"/>
      <c r="AZ1648" s="87"/>
      <c r="BA1648" s="87"/>
      <c r="BB1648" s="87"/>
      <c r="BC1648" s="87"/>
      <c r="BD1648" s="87"/>
      <c r="BE1648" s="87"/>
      <c r="BF1648" s="87"/>
      <c r="BG1648" s="87"/>
      <c r="BH1648" s="87"/>
      <c r="BI1648" s="87"/>
      <c r="BJ1648" s="87"/>
      <c r="BK1648" s="87"/>
      <c r="BL1648" s="87"/>
      <c r="BM1648" s="87"/>
      <c r="BN1648" s="87"/>
      <c r="BO1648" s="87"/>
      <c r="BP1648" s="87"/>
      <c r="BQ1648" s="87"/>
      <c r="BR1648" s="87"/>
      <c r="BS1648" s="87"/>
      <c r="BT1648" s="87"/>
      <c r="BU1648" s="87"/>
      <c r="BV1648" s="87"/>
      <c r="BW1648" s="87"/>
      <c r="BX1648" s="87"/>
      <c r="BY1648" s="87"/>
    </row>
    <row r="1649" spans="21:77" x14ac:dyDescent="0.3">
      <c r="U1649" s="19"/>
      <c r="V1649" s="87"/>
      <c r="W1649" s="87"/>
      <c r="X1649" s="87"/>
      <c r="Y1649" s="87"/>
      <c r="Z1649" s="87"/>
      <c r="AA1649" s="87"/>
      <c r="AB1649" s="87"/>
      <c r="AC1649" s="87"/>
      <c r="AD1649" s="87"/>
      <c r="AE1649" s="87"/>
      <c r="AF1649" s="87"/>
      <c r="AG1649" s="87"/>
      <c r="AH1649" s="87"/>
      <c r="AI1649" s="87"/>
      <c r="AJ1649" s="87"/>
      <c r="AK1649" s="87"/>
      <c r="AL1649" s="87"/>
      <c r="AM1649" s="87"/>
      <c r="AN1649" s="87"/>
      <c r="AO1649" s="87"/>
      <c r="AP1649" s="87"/>
      <c r="AQ1649" s="87"/>
      <c r="AR1649" s="87"/>
      <c r="AS1649" s="87"/>
      <c r="AT1649" s="87"/>
      <c r="AU1649" s="87"/>
      <c r="AV1649" s="87"/>
      <c r="AW1649" s="87"/>
      <c r="AX1649" s="87"/>
      <c r="AY1649" s="87"/>
      <c r="AZ1649" s="87"/>
      <c r="BA1649" s="87"/>
      <c r="BB1649" s="87"/>
      <c r="BC1649" s="87"/>
      <c r="BD1649" s="87"/>
      <c r="BE1649" s="87"/>
      <c r="BF1649" s="87"/>
      <c r="BG1649" s="87"/>
      <c r="BH1649" s="87"/>
      <c r="BI1649" s="87"/>
      <c r="BJ1649" s="87"/>
      <c r="BK1649" s="87"/>
      <c r="BL1649" s="87"/>
      <c r="BM1649" s="87"/>
      <c r="BN1649" s="87"/>
      <c r="BO1649" s="87"/>
      <c r="BP1649" s="87"/>
      <c r="BQ1649" s="87"/>
      <c r="BR1649" s="87"/>
      <c r="BS1649" s="87"/>
      <c r="BT1649" s="87"/>
      <c r="BU1649" s="87"/>
      <c r="BV1649" s="87"/>
      <c r="BW1649" s="87"/>
      <c r="BX1649" s="87"/>
      <c r="BY1649" s="87"/>
    </row>
    <row r="1650" spans="21:77" x14ac:dyDescent="0.3">
      <c r="U1650" s="19"/>
      <c r="V1650" s="87"/>
      <c r="W1650" s="87"/>
      <c r="X1650" s="87"/>
      <c r="Y1650" s="87"/>
      <c r="Z1650" s="87"/>
      <c r="AA1650" s="87"/>
      <c r="AB1650" s="87"/>
      <c r="AC1650" s="87"/>
      <c r="AD1650" s="87"/>
      <c r="AE1650" s="87"/>
      <c r="AF1650" s="87"/>
      <c r="AG1650" s="87"/>
      <c r="AH1650" s="87"/>
      <c r="AI1650" s="87"/>
      <c r="AJ1650" s="87"/>
      <c r="AK1650" s="87"/>
      <c r="AL1650" s="87"/>
      <c r="AM1650" s="87"/>
      <c r="AN1650" s="87"/>
      <c r="AO1650" s="87"/>
      <c r="AP1650" s="87"/>
      <c r="AQ1650" s="87"/>
      <c r="AR1650" s="87"/>
      <c r="AS1650" s="87"/>
      <c r="AT1650" s="87"/>
      <c r="AU1650" s="87"/>
      <c r="AV1650" s="87"/>
      <c r="AW1650" s="87"/>
      <c r="AX1650" s="87"/>
      <c r="AY1650" s="87"/>
      <c r="AZ1650" s="87"/>
      <c r="BA1650" s="87"/>
      <c r="BB1650" s="87"/>
      <c r="BC1650" s="87"/>
      <c r="BD1650" s="87"/>
      <c r="BE1650" s="87"/>
      <c r="BF1650" s="87"/>
      <c r="BG1650" s="87"/>
      <c r="BH1650" s="87"/>
      <c r="BI1650" s="87"/>
      <c r="BJ1650" s="87"/>
      <c r="BK1650" s="87"/>
      <c r="BL1650" s="87"/>
      <c r="BM1650" s="87"/>
      <c r="BN1650" s="87"/>
      <c r="BO1650" s="87"/>
      <c r="BP1650" s="87"/>
      <c r="BQ1650" s="87"/>
      <c r="BR1650" s="87"/>
      <c r="BS1650" s="87"/>
      <c r="BT1650" s="87"/>
      <c r="BU1650" s="87"/>
      <c r="BV1650" s="87"/>
      <c r="BW1650" s="87"/>
      <c r="BX1650" s="87"/>
      <c r="BY1650" s="87"/>
    </row>
    <row r="1651" spans="21:77" x14ac:dyDescent="0.3">
      <c r="U1651" s="19"/>
      <c r="V1651" s="87"/>
      <c r="W1651" s="87"/>
      <c r="X1651" s="87"/>
      <c r="Y1651" s="87"/>
      <c r="Z1651" s="87"/>
      <c r="AA1651" s="87"/>
      <c r="AB1651" s="87"/>
      <c r="AC1651" s="87"/>
      <c r="AD1651" s="87"/>
      <c r="AE1651" s="87"/>
      <c r="AF1651" s="87"/>
      <c r="AG1651" s="87"/>
      <c r="AH1651" s="87"/>
      <c r="AI1651" s="87"/>
      <c r="AJ1651" s="87"/>
      <c r="AK1651" s="87"/>
      <c r="AL1651" s="87"/>
      <c r="AM1651" s="87"/>
      <c r="AN1651" s="87"/>
      <c r="AO1651" s="87"/>
      <c r="AP1651" s="87"/>
      <c r="AQ1651" s="87"/>
      <c r="AR1651" s="87"/>
      <c r="AS1651" s="87"/>
      <c r="AT1651" s="87"/>
      <c r="AU1651" s="87"/>
      <c r="AV1651" s="87"/>
      <c r="AW1651" s="87"/>
      <c r="AX1651" s="87"/>
      <c r="AY1651" s="87"/>
      <c r="AZ1651" s="87"/>
      <c r="BA1651" s="87"/>
      <c r="BB1651" s="87"/>
      <c r="BC1651" s="87"/>
      <c r="BD1651" s="87"/>
      <c r="BE1651" s="87"/>
      <c r="BF1651" s="87"/>
      <c r="BG1651" s="87"/>
      <c r="BH1651" s="87"/>
      <c r="BI1651" s="87"/>
      <c r="BJ1651" s="87"/>
      <c r="BK1651" s="87"/>
      <c r="BL1651" s="87"/>
      <c r="BM1651" s="87"/>
      <c r="BN1651" s="87"/>
      <c r="BO1651" s="87"/>
      <c r="BP1651" s="87"/>
      <c r="BQ1651" s="87"/>
      <c r="BR1651" s="87"/>
      <c r="BS1651" s="87"/>
      <c r="BT1651" s="87"/>
      <c r="BU1651" s="87"/>
      <c r="BV1651" s="87"/>
      <c r="BW1651" s="87"/>
      <c r="BX1651" s="87"/>
      <c r="BY1651" s="87"/>
    </row>
    <row r="1652" spans="21:77" x14ac:dyDescent="0.3">
      <c r="U1652" s="19"/>
      <c r="V1652" s="87"/>
      <c r="W1652" s="87"/>
      <c r="X1652" s="87"/>
      <c r="Y1652" s="87"/>
      <c r="Z1652" s="87"/>
      <c r="AA1652" s="87"/>
      <c r="AB1652" s="87"/>
      <c r="AC1652" s="87"/>
      <c r="AD1652" s="87"/>
      <c r="AE1652" s="87"/>
      <c r="AF1652" s="87"/>
      <c r="AG1652" s="87"/>
      <c r="AH1652" s="87"/>
      <c r="AI1652" s="87"/>
      <c r="AJ1652" s="87"/>
      <c r="AK1652" s="87"/>
      <c r="AL1652" s="87"/>
      <c r="AM1652" s="87"/>
      <c r="AN1652" s="87"/>
      <c r="AO1652" s="87"/>
      <c r="AP1652" s="87"/>
      <c r="AQ1652" s="87"/>
      <c r="AR1652" s="87"/>
      <c r="AS1652" s="87"/>
      <c r="AT1652" s="87"/>
      <c r="AU1652" s="87"/>
      <c r="AV1652" s="87"/>
      <c r="AW1652" s="87"/>
      <c r="AX1652" s="87"/>
      <c r="AY1652" s="87"/>
      <c r="AZ1652" s="87"/>
      <c r="BA1652" s="87"/>
      <c r="BB1652" s="87"/>
      <c r="BC1652" s="87"/>
      <c r="BD1652" s="87"/>
      <c r="BE1652" s="87"/>
      <c r="BF1652" s="87"/>
      <c r="BG1652" s="87"/>
      <c r="BH1652" s="87"/>
      <c r="BI1652" s="87"/>
      <c r="BJ1652" s="87"/>
      <c r="BK1652" s="87"/>
      <c r="BL1652" s="87"/>
      <c r="BM1652" s="87"/>
      <c r="BN1652" s="87"/>
      <c r="BO1652" s="87"/>
      <c r="BP1652" s="87"/>
      <c r="BQ1652" s="87"/>
      <c r="BR1652" s="87"/>
      <c r="BS1652" s="87"/>
      <c r="BT1652" s="87"/>
      <c r="BU1652" s="87"/>
      <c r="BV1652" s="87"/>
      <c r="BW1652" s="87"/>
      <c r="BX1652" s="87"/>
      <c r="BY1652" s="87"/>
    </row>
    <row r="1653" spans="21:77" x14ac:dyDescent="0.3">
      <c r="U1653" s="19"/>
      <c r="V1653" s="87"/>
      <c r="W1653" s="87"/>
      <c r="X1653" s="87"/>
      <c r="Y1653" s="87"/>
      <c r="Z1653" s="87"/>
      <c r="AA1653" s="87"/>
      <c r="AB1653" s="87"/>
      <c r="AC1653" s="87"/>
      <c r="AD1653" s="87"/>
      <c r="AE1653" s="87"/>
      <c r="AF1653" s="87"/>
      <c r="AG1653" s="87"/>
      <c r="AH1653" s="87"/>
      <c r="AI1653" s="87"/>
      <c r="AJ1653" s="87"/>
      <c r="AK1653" s="87"/>
      <c r="AL1653" s="87"/>
      <c r="AM1653" s="87"/>
      <c r="AN1653" s="87"/>
      <c r="AO1653" s="87"/>
      <c r="AP1653" s="87"/>
      <c r="AQ1653" s="87"/>
      <c r="AR1653" s="87"/>
      <c r="AS1653" s="87"/>
      <c r="AT1653" s="87"/>
      <c r="AU1653" s="87"/>
      <c r="AV1653" s="87"/>
      <c r="AW1653" s="87"/>
      <c r="AX1653" s="87"/>
      <c r="AY1653" s="87"/>
      <c r="AZ1653" s="87"/>
      <c r="BA1653" s="87"/>
      <c r="BB1653" s="87"/>
      <c r="BC1653" s="87"/>
      <c r="BD1653" s="87"/>
      <c r="BE1653" s="87"/>
      <c r="BF1653" s="87"/>
      <c r="BG1653" s="87"/>
      <c r="BH1653" s="87"/>
      <c r="BI1653" s="87"/>
      <c r="BJ1653" s="87"/>
      <c r="BK1653" s="87"/>
      <c r="BL1653" s="87"/>
      <c r="BM1653" s="87"/>
      <c r="BN1653" s="87"/>
      <c r="BO1653" s="87"/>
      <c r="BP1653" s="87"/>
      <c r="BQ1653" s="87"/>
      <c r="BR1653" s="87"/>
      <c r="BS1653" s="87"/>
      <c r="BT1653" s="87"/>
      <c r="BU1653" s="87"/>
      <c r="BV1653" s="87"/>
      <c r="BW1653" s="87"/>
      <c r="BX1653" s="87"/>
      <c r="BY1653" s="87"/>
    </row>
    <row r="1654" spans="21:77" x14ac:dyDescent="0.3">
      <c r="U1654" s="19"/>
      <c r="V1654" s="87"/>
      <c r="W1654" s="87"/>
      <c r="X1654" s="87"/>
      <c r="Y1654" s="87"/>
      <c r="Z1654" s="87"/>
      <c r="AA1654" s="87"/>
      <c r="AB1654" s="87"/>
      <c r="AC1654" s="87"/>
      <c r="AD1654" s="87"/>
      <c r="AE1654" s="87"/>
      <c r="AF1654" s="87"/>
      <c r="AG1654" s="87"/>
      <c r="AH1654" s="87"/>
      <c r="AI1654" s="87"/>
      <c r="AJ1654" s="87"/>
      <c r="AK1654" s="87"/>
      <c r="AL1654" s="87"/>
      <c r="AM1654" s="87"/>
      <c r="AN1654" s="87"/>
      <c r="AO1654" s="87"/>
      <c r="AP1654" s="87"/>
      <c r="AQ1654" s="87"/>
      <c r="AR1654" s="87"/>
      <c r="AS1654" s="87"/>
      <c r="AT1654" s="87"/>
      <c r="AU1654" s="87"/>
      <c r="AV1654" s="87"/>
      <c r="AW1654" s="87"/>
      <c r="AX1654" s="87"/>
      <c r="AY1654" s="87"/>
      <c r="AZ1654" s="87"/>
      <c r="BA1654" s="87"/>
      <c r="BB1654" s="87"/>
      <c r="BC1654" s="87"/>
      <c r="BD1654" s="87"/>
      <c r="BE1654" s="87"/>
      <c r="BF1654" s="87"/>
      <c r="BG1654" s="87"/>
      <c r="BH1654" s="87"/>
      <c r="BI1654" s="87"/>
      <c r="BJ1654" s="87"/>
      <c r="BK1654" s="87"/>
      <c r="BL1654" s="87"/>
      <c r="BM1654" s="87"/>
      <c r="BN1654" s="87"/>
      <c r="BO1654" s="87"/>
      <c r="BP1654" s="87"/>
      <c r="BQ1654" s="87"/>
      <c r="BR1654" s="87"/>
      <c r="BS1654" s="87"/>
      <c r="BT1654" s="87"/>
      <c r="BU1654" s="87"/>
      <c r="BV1654" s="87"/>
      <c r="BW1654" s="87"/>
      <c r="BX1654" s="87"/>
      <c r="BY1654" s="87"/>
    </row>
    <row r="1655" spans="21:77" x14ac:dyDescent="0.3">
      <c r="U1655" s="19"/>
      <c r="V1655" s="87"/>
      <c r="W1655" s="87"/>
      <c r="X1655" s="87"/>
      <c r="Y1655" s="87"/>
      <c r="Z1655" s="87"/>
      <c r="AA1655" s="87"/>
      <c r="AB1655" s="87"/>
      <c r="AC1655" s="87"/>
      <c r="AD1655" s="87"/>
      <c r="AE1655" s="87"/>
      <c r="AF1655" s="87"/>
      <c r="AG1655" s="87"/>
      <c r="AH1655" s="87"/>
      <c r="AI1655" s="87"/>
      <c r="AJ1655" s="87"/>
      <c r="AK1655" s="87"/>
      <c r="AL1655" s="87"/>
      <c r="AM1655" s="87"/>
      <c r="AN1655" s="87"/>
      <c r="AO1655" s="87"/>
      <c r="AP1655" s="87"/>
      <c r="AQ1655" s="87"/>
      <c r="AR1655" s="87"/>
      <c r="AS1655" s="87"/>
      <c r="AT1655" s="87"/>
      <c r="AU1655" s="87"/>
      <c r="AV1655" s="87"/>
      <c r="AW1655" s="87"/>
      <c r="AX1655" s="87"/>
      <c r="AY1655" s="87"/>
      <c r="AZ1655" s="87"/>
      <c r="BA1655" s="87"/>
      <c r="BB1655" s="87"/>
      <c r="BC1655" s="87"/>
      <c r="BD1655" s="87"/>
      <c r="BE1655" s="87"/>
      <c r="BF1655" s="87"/>
      <c r="BG1655" s="87"/>
      <c r="BH1655" s="87"/>
      <c r="BI1655" s="87"/>
      <c r="BJ1655" s="87"/>
      <c r="BK1655" s="87"/>
      <c r="BL1655" s="87"/>
      <c r="BM1655" s="87"/>
      <c r="BN1655" s="87"/>
      <c r="BO1655" s="87"/>
      <c r="BP1655" s="87"/>
      <c r="BQ1655" s="87"/>
      <c r="BR1655" s="87"/>
      <c r="BS1655" s="87"/>
      <c r="BT1655" s="87"/>
      <c r="BU1655" s="87"/>
      <c r="BV1655" s="87"/>
      <c r="BW1655" s="87"/>
      <c r="BX1655" s="87"/>
      <c r="BY1655" s="87"/>
    </row>
    <row r="1656" spans="21:77" x14ac:dyDescent="0.3">
      <c r="U1656" s="19"/>
      <c r="V1656" s="87"/>
      <c r="W1656" s="87"/>
      <c r="X1656" s="87"/>
      <c r="Y1656" s="87"/>
      <c r="Z1656" s="87"/>
      <c r="AA1656" s="87"/>
      <c r="AB1656" s="87"/>
      <c r="AC1656" s="87"/>
      <c r="AD1656" s="87"/>
      <c r="AE1656" s="87"/>
      <c r="AF1656" s="87"/>
      <c r="AG1656" s="87"/>
      <c r="AH1656" s="87"/>
      <c r="AI1656" s="87"/>
      <c r="AJ1656" s="87"/>
      <c r="AK1656" s="87"/>
      <c r="AL1656" s="87"/>
      <c r="AM1656" s="87"/>
      <c r="AN1656" s="87"/>
      <c r="AO1656" s="87"/>
      <c r="AP1656" s="87"/>
      <c r="AQ1656" s="87"/>
      <c r="AR1656" s="87"/>
      <c r="AS1656" s="87"/>
      <c r="AT1656" s="87"/>
      <c r="AU1656" s="87"/>
      <c r="AV1656" s="87"/>
      <c r="AW1656" s="87"/>
      <c r="AX1656" s="87"/>
      <c r="AY1656" s="87"/>
      <c r="AZ1656" s="87"/>
      <c r="BA1656" s="87"/>
      <c r="BB1656" s="87"/>
      <c r="BC1656" s="87"/>
      <c r="BD1656" s="87"/>
      <c r="BE1656" s="87"/>
      <c r="BF1656" s="87"/>
      <c r="BG1656" s="87"/>
      <c r="BH1656" s="87"/>
      <c r="BI1656" s="87"/>
      <c r="BJ1656" s="87"/>
      <c r="BK1656" s="87"/>
      <c r="BL1656" s="87"/>
      <c r="BM1656" s="87"/>
      <c r="BN1656" s="87"/>
      <c r="BO1656" s="87"/>
      <c r="BP1656" s="87"/>
      <c r="BQ1656" s="87"/>
      <c r="BR1656" s="87"/>
      <c r="BS1656" s="87"/>
      <c r="BT1656" s="87"/>
      <c r="BU1656" s="87"/>
      <c r="BV1656" s="87"/>
      <c r="BW1656" s="87"/>
      <c r="BX1656" s="87"/>
      <c r="BY1656" s="87"/>
    </row>
    <row r="1657" spans="21:77" x14ac:dyDescent="0.3">
      <c r="U1657" s="19"/>
      <c r="V1657" s="87"/>
      <c r="W1657" s="87"/>
      <c r="X1657" s="87"/>
      <c r="Y1657" s="87"/>
      <c r="Z1657" s="87"/>
      <c r="AA1657" s="87"/>
      <c r="AB1657" s="87"/>
      <c r="AC1657" s="87"/>
      <c r="AD1657" s="87"/>
      <c r="AE1657" s="87"/>
      <c r="AF1657" s="87"/>
      <c r="AG1657" s="87"/>
      <c r="AH1657" s="87"/>
      <c r="AI1657" s="87"/>
      <c r="AJ1657" s="87"/>
      <c r="AK1657" s="87"/>
      <c r="AL1657" s="87"/>
      <c r="AM1657" s="87"/>
      <c r="AN1657" s="87"/>
      <c r="AO1657" s="87"/>
      <c r="AP1657" s="87"/>
      <c r="AQ1657" s="87"/>
      <c r="AR1657" s="87"/>
      <c r="AS1657" s="87"/>
      <c r="AT1657" s="87"/>
      <c r="AU1657" s="87"/>
      <c r="AV1657" s="87"/>
      <c r="AW1657" s="87"/>
      <c r="AX1657" s="87"/>
      <c r="AY1657" s="87"/>
      <c r="AZ1657" s="87"/>
      <c r="BA1657" s="87"/>
      <c r="BB1657" s="87"/>
      <c r="BC1657" s="87"/>
      <c r="BD1657" s="87"/>
      <c r="BE1657" s="87"/>
      <c r="BF1657" s="87"/>
      <c r="BG1657" s="87"/>
      <c r="BH1657" s="87"/>
      <c r="BI1657" s="87"/>
      <c r="BJ1657" s="87"/>
      <c r="BK1657" s="87"/>
      <c r="BL1657" s="87"/>
      <c r="BM1657" s="87"/>
      <c r="BN1657" s="87"/>
      <c r="BO1657" s="87"/>
      <c r="BP1657" s="87"/>
      <c r="BQ1657" s="87"/>
      <c r="BR1657" s="87"/>
      <c r="BS1657" s="87"/>
      <c r="BT1657" s="87"/>
      <c r="BU1657" s="87"/>
      <c r="BV1657" s="87"/>
      <c r="BW1657" s="87"/>
      <c r="BX1657" s="87"/>
      <c r="BY1657" s="87"/>
    </row>
    <row r="1658" spans="21:77" x14ac:dyDescent="0.3">
      <c r="U1658" s="19"/>
      <c r="V1658" s="87"/>
      <c r="W1658" s="87"/>
      <c r="X1658" s="87"/>
      <c r="Y1658" s="87"/>
      <c r="Z1658" s="87"/>
      <c r="AA1658" s="87"/>
      <c r="AB1658" s="87"/>
      <c r="AC1658" s="87"/>
      <c r="AD1658" s="87"/>
      <c r="AE1658" s="87"/>
      <c r="AF1658" s="87"/>
      <c r="AG1658" s="87"/>
      <c r="AH1658" s="87"/>
      <c r="AI1658" s="87"/>
      <c r="AJ1658" s="87"/>
      <c r="AK1658" s="87"/>
      <c r="AL1658" s="87"/>
      <c r="AM1658" s="87"/>
      <c r="AN1658" s="87"/>
      <c r="AO1658" s="87"/>
      <c r="AP1658" s="87"/>
      <c r="AQ1658" s="87"/>
      <c r="AR1658" s="87"/>
      <c r="AS1658" s="87"/>
      <c r="AT1658" s="87"/>
      <c r="AU1658" s="87"/>
      <c r="AV1658" s="87"/>
      <c r="AW1658" s="87"/>
      <c r="AX1658" s="87"/>
      <c r="AY1658" s="87"/>
      <c r="AZ1658" s="87"/>
      <c r="BA1658" s="87"/>
      <c r="BB1658" s="87"/>
      <c r="BC1658" s="87"/>
      <c r="BD1658" s="87"/>
      <c r="BE1658" s="87"/>
      <c r="BF1658" s="87"/>
      <c r="BG1658" s="87"/>
      <c r="BH1658" s="87"/>
      <c r="BI1658" s="87"/>
      <c r="BJ1658" s="87"/>
      <c r="BK1658" s="87"/>
      <c r="BL1658" s="87"/>
      <c r="BM1658" s="87"/>
      <c r="BN1658" s="87"/>
      <c r="BO1658" s="87"/>
      <c r="BP1658" s="87"/>
      <c r="BQ1658" s="87"/>
      <c r="BR1658" s="87"/>
      <c r="BS1658" s="87"/>
      <c r="BT1658" s="87"/>
      <c r="BU1658" s="87"/>
      <c r="BV1658" s="87"/>
      <c r="BW1658" s="87"/>
      <c r="BX1658" s="87"/>
      <c r="BY1658" s="87"/>
    </row>
    <row r="1659" spans="21:77" x14ac:dyDescent="0.3">
      <c r="U1659" s="19"/>
      <c r="V1659" s="87"/>
      <c r="W1659" s="87"/>
      <c r="X1659" s="87"/>
      <c r="Y1659" s="87"/>
      <c r="Z1659" s="87"/>
      <c r="AA1659" s="87"/>
      <c r="AB1659" s="87"/>
      <c r="AC1659" s="87"/>
      <c r="AD1659" s="87"/>
      <c r="AE1659" s="87"/>
      <c r="AF1659" s="87"/>
      <c r="AG1659" s="87"/>
      <c r="AH1659" s="87"/>
      <c r="AI1659" s="87"/>
      <c r="AJ1659" s="87"/>
      <c r="AK1659" s="87"/>
      <c r="AL1659" s="87"/>
      <c r="AM1659" s="87"/>
      <c r="AN1659" s="87"/>
      <c r="AO1659" s="87"/>
      <c r="AP1659" s="87"/>
      <c r="AQ1659" s="87"/>
      <c r="AR1659" s="87"/>
      <c r="AS1659" s="87"/>
      <c r="AT1659" s="87"/>
      <c r="AU1659" s="87"/>
      <c r="AV1659" s="87"/>
      <c r="AW1659" s="87"/>
      <c r="AX1659" s="87"/>
      <c r="AY1659" s="87"/>
      <c r="AZ1659" s="87"/>
      <c r="BA1659" s="87"/>
      <c r="BB1659" s="87"/>
      <c r="BC1659" s="87"/>
      <c r="BD1659" s="87"/>
      <c r="BE1659" s="87"/>
      <c r="BF1659" s="87"/>
      <c r="BG1659" s="87"/>
      <c r="BH1659" s="87"/>
      <c r="BI1659" s="87"/>
      <c r="BJ1659" s="87"/>
      <c r="BK1659" s="87"/>
      <c r="BL1659" s="87"/>
      <c r="BM1659" s="87"/>
      <c r="BN1659" s="87"/>
      <c r="BO1659" s="87"/>
      <c r="BP1659" s="87"/>
      <c r="BQ1659" s="87"/>
      <c r="BR1659" s="87"/>
      <c r="BS1659" s="87"/>
      <c r="BT1659" s="87"/>
      <c r="BU1659" s="87"/>
      <c r="BV1659" s="87"/>
      <c r="BW1659" s="87"/>
      <c r="BX1659" s="87"/>
      <c r="BY1659" s="87"/>
    </row>
    <row r="1660" spans="21:77" x14ac:dyDescent="0.3">
      <c r="U1660" s="19"/>
      <c r="V1660" s="87"/>
      <c r="W1660" s="87"/>
      <c r="X1660" s="87"/>
      <c r="Y1660" s="87"/>
      <c r="Z1660" s="87"/>
      <c r="AA1660" s="87"/>
      <c r="AB1660" s="87"/>
      <c r="AC1660" s="87"/>
      <c r="AD1660" s="87"/>
      <c r="AE1660" s="87"/>
      <c r="AF1660" s="87"/>
      <c r="AG1660" s="87"/>
      <c r="AH1660" s="87"/>
      <c r="AI1660" s="87"/>
      <c r="AJ1660" s="87"/>
      <c r="AK1660" s="87"/>
      <c r="AL1660" s="87"/>
      <c r="AM1660" s="87"/>
      <c r="AN1660" s="87"/>
      <c r="AO1660" s="87"/>
      <c r="AP1660" s="87"/>
      <c r="AQ1660" s="87"/>
      <c r="AR1660" s="87"/>
      <c r="AS1660" s="87"/>
      <c r="AT1660" s="87"/>
      <c r="AU1660" s="87"/>
      <c r="AV1660" s="87"/>
      <c r="AW1660" s="87"/>
      <c r="AX1660" s="87"/>
      <c r="AY1660" s="87"/>
      <c r="AZ1660" s="87"/>
      <c r="BA1660" s="87"/>
      <c r="BB1660" s="87"/>
      <c r="BC1660" s="87"/>
      <c r="BD1660" s="87"/>
      <c r="BE1660" s="87"/>
      <c r="BF1660" s="87"/>
      <c r="BG1660" s="87"/>
      <c r="BH1660" s="87"/>
      <c r="BI1660" s="87"/>
      <c r="BJ1660" s="87"/>
      <c r="BK1660" s="87"/>
      <c r="BL1660" s="87"/>
      <c r="BM1660" s="87"/>
      <c r="BN1660" s="87"/>
      <c r="BO1660" s="87"/>
      <c r="BP1660" s="87"/>
      <c r="BQ1660" s="87"/>
      <c r="BR1660" s="87"/>
      <c r="BS1660" s="87"/>
      <c r="BT1660" s="87"/>
      <c r="BU1660" s="87"/>
      <c r="BV1660" s="87"/>
      <c r="BW1660" s="87"/>
      <c r="BX1660" s="87"/>
      <c r="BY1660" s="87"/>
    </row>
    <row r="1661" spans="21:77" x14ac:dyDescent="0.3">
      <c r="U1661" s="19"/>
      <c r="V1661" s="87"/>
      <c r="W1661" s="87"/>
      <c r="X1661" s="87"/>
      <c r="Y1661" s="87"/>
      <c r="Z1661" s="87"/>
      <c r="AA1661" s="87"/>
      <c r="AB1661" s="87"/>
      <c r="AC1661" s="87"/>
      <c r="AD1661" s="87"/>
      <c r="AE1661" s="87"/>
      <c r="AF1661" s="87"/>
      <c r="AG1661" s="87"/>
      <c r="AH1661" s="87"/>
      <c r="AI1661" s="87"/>
      <c r="AJ1661" s="87"/>
      <c r="AK1661" s="87"/>
      <c r="AL1661" s="87"/>
      <c r="AM1661" s="87"/>
      <c r="AN1661" s="87"/>
      <c r="AO1661" s="87"/>
      <c r="AP1661" s="87"/>
      <c r="AQ1661" s="87"/>
      <c r="AR1661" s="87"/>
      <c r="AS1661" s="87"/>
      <c r="AT1661" s="87"/>
      <c r="AU1661" s="87"/>
      <c r="AV1661" s="87"/>
      <c r="AW1661" s="87"/>
      <c r="AX1661" s="87"/>
      <c r="AY1661" s="87"/>
      <c r="AZ1661" s="87"/>
      <c r="BA1661" s="87"/>
      <c r="BB1661" s="87"/>
      <c r="BC1661" s="87"/>
      <c r="BD1661" s="87"/>
      <c r="BE1661" s="87"/>
      <c r="BF1661" s="87"/>
      <c r="BG1661" s="87"/>
      <c r="BH1661" s="87"/>
      <c r="BI1661" s="87"/>
      <c r="BJ1661" s="87"/>
      <c r="BK1661" s="87"/>
      <c r="BL1661" s="87"/>
      <c r="BM1661" s="87"/>
      <c r="BN1661" s="87"/>
      <c r="BO1661" s="87"/>
      <c r="BP1661" s="87"/>
      <c r="BQ1661" s="87"/>
      <c r="BR1661" s="87"/>
      <c r="BS1661" s="87"/>
      <c r="BT1661" s="87"/>
      <c r="BU1661" s="87"/>
      <c r="BV1661" s="87"/>
      <c r="BW1661" s="87"/>
      <c r="BX1661" s="87"/>
      <c r="BY1661" s="87"/>
    </row>
    <row r="1662" spans="21:77" x14ac:dyDescent="0.3">
      <c r="U1662" s="19"/>
      <c r="V1662" s="87"/>
      <c r="W1662" s="87"/>
      <c r="X1662" s="87"/>
      <c r="Y1662" s="87"/>
      <c r="Z1662" s="87"/>
      <c r="AA1662" s="87"/>
      <c r="AB1662" s="87"/>
      <c r="AC1662" s="87"/>
      <c r="AD1662" s="87"/>
      <c r="AE1662" s="87"/>
      <c r="AF1662" s="87"/>
      <c r="AG1662" s="87"/>
      <c r="AH1662" s="87"/>
      <c r="AI1662" s="87"/>
      <c r="AJ1662" s="87"/>
      <c r="AK1662" s="87"/>
      <c r="AL1662" s="87"/>
      <c r="AM1662" s="87"/>
      <c r="AN1662" s="87"/>
      <c r="AO1662" s="87"/>
      <c r="AP1662" s="87"/>
      <c r="AQ1662" s="87"/>
      <c r="AR1662" s="87"/>
      <c r="AS1662" s="87"/>
      <c r="AT1662" s="87"/>
      <c r="AU1662" s="87"/>
      <c r="AV1662" s="87"/>
      <c r="AW1662" s="87"/>
      <c r="AX1662" s="87"/>
      <c r="AY1662" s="87"/>
      <c r="AZ1662" s="87"/>
      <c r="BA1662" s="87"/>
      <c r="BB1662" s="87"/>
      <c r="BC1662" s="87"/>
      <c r="BD1662" s="87"/>
      <c r="BE1662" s="87"/>
      <c r="BF1662" s="87"/>
      <c r="BG1662" s="87"/>
      <c r="BH1662" s="87"/>
      <c r="BI1662" s="87"/>
      <c r="BJ1662" s="87"/>
      <c r="BK1662" s="87"/>
      <c r="BL1662" s="87"/>
      <c r="BM1662" s="87"/>
      <c r="BN1662" s="87"/>
      <c r="BO1662" s="87"/>
      <c r="BP1662" s="87"/>
      <c r="BQ1662" s="87"/>
      <c r="BR1662" s="87"/>
      <c r="BS1662" s="87"/>
      <c r="BT1662" s="87"/>
      <c r="BU1662" s="87"/>
      <c r="BV1662" s="87"/>
      <c r="BW1662" s="87"/>
      <c r="BX1662" s="87"/>
      <c r="BY1662" s="87"/>
    </row>
    <row r="1663" spans="21:77" x14ac:dyDescent="0.3">
      <c r="U1663" s="19"/>
      <c r="V1663" s="87"/>
      <c r="W1663" s="87"/>
      <c r="X1663" s="87"/>
      <c r="Y1663" s="87"/>
      <c r="Z1663" s="87"/>
      <c r="AA1663" s="87"/>
      <c r="AB1663" s="87"/>
      <c r="AC1663" s="87"/>
      <c r="AD1663" s="87"/>
      <c r="AE1663" s="87"/>
      <c r="AF1663" s="87"/>
      <c r="AG1663" s="87"/>
      <c r="AH1663" s="87"/>
      <c r="AI1663" s="87"/>
      <c r="AJ1663" s="87"/>
      <c r="AK1663" s="87"/>
      <c r="AL1663" s="87"/>
      <c r="AM1663" s="87"/>
      <c r="AN1663" s="87"/>
      <c r="AO1663" s="87"/>
      <c r="AP1663" s="87"/>
      <c r="AQ1663" s="87"/>
      <c r="AR1663" s="87"/>
      <c r="AS1663" s="87"/>
      <c r="AT1663" s="87"/>
      <c r="AU1663" s="87"/>
      <c r="AV1663" s="87"/>
      <c r="AW1663" s="87"/>
      <c r="AX1663" s="87"/>
      <c r="AY1663" s="87"/>
      <c r="AZ1663" s="87"/>
      <c r="BA1663" s="87"/>
      <c r="BB1663" s="87"/>
      <c r="BC1663" s="87"/>
      <c r="BD1663" s="87"/>
      <c r="BE1663" s="87"/>
      <c r="BF1663" s="87"/>
      <c r="BG1663" s="87"/>
      <c r="BH1663" s="87"/>
      <c r="BI1663" s="87"/>
      <c r="BJ1663" s="87"/>
      <c r="BK1663" s="87"/>
      <c r="BL1663" s="87"/>
      <c r="BM1663" s="87"/>
      <c r="BN1663" s="87"/>
      <c r="BO1663" s="87"/>
      <c r="BP1663" s="87"/>
      <c r="BQ1663" s="87"/>
      <c r="BR1663" s="87"/>
      <c r="BS1663" s="87"/>
      <c r="BT1663" s="87"/>
      <c r="BU1663" s="87"/>
      <c r="BV1663" s="87"/>
      <c r="BW1663" s="87"/>
      <c r="BX1663" s="87"/>
      <c r="BY1663" s="87"/>
    </row>
    <row r="1664" spans="21:77" x14ac:dyDescent="0.3">
      <c r="U1664" s="19"/>
      <c r="V1664" s="87"/>
      <c r="W1664" s="87"/>
      <c r="X1664" s="87"/>
      <c r="Y1664" s="87"/>
      <c r="Z1664" s="87"/>
      <c r="AA1664" s="87"/>
      <c r="AB1664" s="87"/>
      <c r="AC1664" s="87"/>
      <c r="AD1664" s="87"/>
      <c r="AE1664" s="87"/>
      <c r="AF1664" s="87"/>
      <c r="AG1664" s="87"/>
      <c r="AH1664" s="87"/>
      <c r="AI1664" s="87"/>
      <c r="AJ1664" s="87"/>
      <c r="AK1664" s="87"/>
      <c r="AL1664" s="87"/>
      <c r="AM1664" s="87"/>
      <c r="AN1664" s="87"/>
      <c r="AO1664" s="87"/>
      <c r="AP1664" s="87"/>
      <c r="AQ1664" s="87"/>
      <c r="AR1664" s="87"/>
      <c r="AS1664" s="87"/>
      <c r="AT1664" s="87"/>
      <c r="AU1664" s="87"/>
      <c r="AV1664" s="87"/>
      <c r="AW1664" s="87"/>
      <c r="AX1664" s="87"/>
      <c r="AY1664" s="87"/>
      <c r="AZ1664" s="87"/>
      <c r="BA1664" s="87"/>
      <c r="BB1664" s="87"/>
      <c r="BC1664" s="87"/>
      <c r="BD1664" s="87"/>
      <c r="BE1664" s="87"/>
      <c r="BF1664" s="87"/>
      <c r="BG1664" s="87"/>
      <c r="BH1664" s="87"/>
      <c r="BI1664" s="87"/>
      <c r="BJ1664" s="87"/>
      <c r="BK1664" s="87"/>
      <c r="BL1664" s="87"/>
      <c r="BM1664" s="87"/>
      <c r="BN1664" s="87"/>
      <c r="BO1664" s="87"/>
      <c r="BP1664" s="87"/>
      <c r="BQ1664" s="87"/>
      <c r="BR1664" s="87"/>
      <c r="BS1664" s="87"/>
      <c r="BT1664" s="87"/>
      <c r="BU1664" s="87"/>
      <c r="BV1664" s="87"/>
      <c r="BW1664" s="87"/>
      <c r="BX1664" s="87"/>
      <c r="BY1664" s="87"/>
    </row>
    <row r="1665" spans="21:77" x14ac:dyDescent="0.3">
      <c r="U1665" s="19"/>
      <c r="V1665" s="87"/>
      <c r="W1665" s="87"/>
      <c r="X1665" s="87"/>
      <c r="Y1665" s="87"/>
      <c r="Z1665" s="87"/>
      <c r="AA1665" s="87"/>
      <c r="AB1665" s="87"/>
      <c r="AC1665" s="87"/>
      <c r="AD1665" s="87"/>
      <c r="AE1665" s="87"/>
      <c r="AF1665" s="87"/>
      <c r="AG1665" s="87"/>
      <c r="AH1665" s="87"/>
      <c r="AI1665" s="87"/>
      <c r="AJ1665" s="87"/>
      <c r="AK1665" s="87"/>
      <c r="AL1665" s="87"/>
      <c r="AM1665" s="87"/>
      <c r="AN1665" s="87"/>
      <c r="AO1665" s="87"/>
      <c r="AP1665" s="87"/>
      <c r="AQ1665" s="87"/>
      <c r="AR1665" s="87"/>
      <c r="AS1665" s="87"/>
      <c r="AT1665" s="87"/>
      <c r="AU1665" s="87"/>
      <c r="AV1665" s="87"/>
      <c r="AW1665" s="87"/>
      <c r="AX1665" s="87"/>
      <c r="AY1665" s="87"/>
      <c r="AZ1665" s="87"/>
      <c r="BA1665" s="87"/>
      <c r="BB1665" s="87"/>
      <c r="BC1665" s="87"/>
      <c r="BD1665" s="87"/>
      <c r="BE1665" s="87"/>
      <c r="BF1665" s="87"/>
      <c r="BG1665" s="87"/>
      <c r="BH1665" s="87"/>
      <c r="BI1665" s="87"/>
      <c r="BJ1665" s="87"/>
      <c r="BK1665" s="87"/>
      <c r="BL1665" s="87"/>
      <c r="BM1665" s="87"/>
      <c r="BN1665" s="87"/>
      <c r="BO1665" s="87"/>
      <c r="BP1665" s="87"/>
      <c r="BQ1665" s="87"/>
      <c r="BR1665" s="87"/>
      <c r="BS1665" s="87"/>
      <c r="BT1665" s="87"/>
      <c r="BU1665" s="87"/>
      <c r="BV1665" s="87"/>
      <c r="BW1665" s="87"/>
      <c r="BX1665" s="87"/>
      <c r="BY1665" s="87"/>
    </row>
    <row r="1666" spans="21:77" x14ac:dyDescent="0.3">
      <c r="U1666" s="19"/>
      <c r="V1666" s="87"/>
      <c r="W1666" s="87"/>
      <c r="X1666" s="87"/>
      <c r="Y1666" s="87"/>
      <c r="Z1666" s="87"/>
      <c r="AA1666" s="87"/>
      <c r="AB1666" s="87"/>
      <c r="AC1666" s="87"/>
      <c r="AD1666" s="87"/>
      <c r="AE1666" s="87"/>
      <c r="AF1666" s="87"/>
      <c r="AG1666" s="87"/>
      <c r="AH1666" s="87"/>
      <c r="AI1666" s="87"/>
      <c r="AJ1666" s="87"/>
      <c r="AK1666" s="87"/>
      <c r="AL1666" s="87"/>
      <c r="AM1666" s="87"/>
      <c r="AN1666" s="87"/>
      <c r="AO1666" s="87"/>
      <c r="AP1666" s="87"/>
      <c r="AQ1666" s="87"/>
      <c r="AR1666" s="87"/>
      <c r="AS1666" s="87"/>
      <c r="AT1666" s="87"/>
      <c r="AU1666" s="87"/>
      <c r="AV1666" s="87"/>
      <c r="AW1666" s="87"/>
      <c r="AX1666" s="87"/>
      <c r="AY1666" s="87"/>
      <c r="AZ1666" s="87"/>
      <c r="BA1666" s="87"/>
      <c r="BB1666" s="87"/>
      <c r="BC1666" s="87"/>
      <c r="BD1666" s="87"/>
      <c r="BE1666" s="87"/>
      <c r="BF1666" s="87"/>
      <c r="BG1666" s="87"/>
      <c r="BH1666" s="87"/>
      <c r="BI1666" s="87"/>
      <c r="BJ1666" s="87"/>
      <c r="BK1666" s="87"/>
      <c r="BL1666" s="87"/>
      <c r="BM1666" s="87"/>
      <c r="BN1666" s="87"/>
      <c r="BO1666" s="87"/>
      <c r="BP1666" s="87"/>
      <c r="BQ1666" s="87"/>
      <c r="BR1666" s="87"/>
      <c r="BS1666" s="87"/>
      <c r="BT1666" s="87"/>
      <c r="BU1666" s="87"/>
      <c r="BV1666" s="87"/>
      <c r="BW1666" s="87"/>
      <c r="BX1666" s="87"/>
      <c r="BY1666" s="87"/>
    </row>
    <row r="1667" spans="21:77" x14ac:dyDescent="0.3">
      <c r="U1667" s="19"/>
      <c r="V1667" s="87"/>
      <c r="W1667" s="87"/>
      <c r="X1667" s="87"/>
      <c r="Y1667" s="87"/>
      <c r="Z1667" s="87"/>
      <c r="AA1667" s="87"/>
      <c r="AB1667" s="87"/>
      <c r="AC1667" s="87"/>
      <c r="AD1667" s="87"/>
      <c r="AE1667" s="87"/>
      <c r="AF1667" s="87"/>
      <c r="AG1667" s="87"/>
      <c r="AH1667" s="87"/>
      <c r="AI1667" s="87"/>
      <c r="AJ1667" s="87"/>
      <c r="AK1667" s="87"/>
      <c r="AL1667" s="87"/>
      <c r="AM1667" s="87"/>
      <c r="AN1667" s="87"/>
      <c r="AO1667" s="87"/>
      <c r="AP1667" s="87"/>
      <c r="AQ1667" s="87"/>
      <c r="AR1667" s="87"/>
      <c r="AS1667" s="87"/>
      <c r="AT1667" s="87"/>
      <c r="AU1667" s="87"/>
      <c r="AV1667" s="87"/>
      <c r="AW1667" s="87"/>
      <c r="AX1667" s="87"/>
      <c r="AY1667" s="87"/>
      <c r="AZ1667" s="87"/>
      <c r="BA1667" s="87"/>
      <c r="BB1667" s="87"/>
      <c r="BC1667" s="87"/>
      <c r="BD1667" s="87"/>
      <c r="BE1667" s="87"/>
      <c r="BF1667" s="87"/>
      <c r="BG1667" s="87"/>
      <c r="BH1667" s="87"/>
      <c r="BI1667" s="87"/>
      <c r="BJ1667" s="87"/>
      <c r="BK1667" s="87"/>
      <c r="BL1667" s="87"/>
      <c r="BM1667" s="87"/>
      <c r="BN1667" s="87"/>
      <c r="BO1667" s="87"/>
      <c r="BP1667" s="87"/>
      <c r="BQ1667" s="87"/>
      <c r="BR1667" s="87"/>
      <c r="BS1667" s="87"/>
      <c r="BT1667" s="87"/>
      <c r="BU1667" s="87"/>
      <c r="BV1667" s="87"/>
      <c r="BW1667" s="87"/>
      <c r="BX1667" s="87"/>
      <c r="BY1667" s="87"/>
    </row>
    <row r="1668" spans="21:77" x14ac:dyDescent="0.3">
      <c r="U1668" s="19"/>
      <c r="V1668" s="87"/>
      <c r="W1668" s="87"/>
      <c r="X1668" s="87"/>
      <c r="Y1668" s="87"/>
      <c r="Z1668" s="87"/>
      <c r="AA1668" s="87"/>
      <c r="AB1668" s="87"/>
      <c r="AC1668" s="87"/>
      <c r="AD1668" s="87"/>
      <c r="AE1668" s="87"/>
      <c r="AF1668" s="87"/>
      <c r="AG1668" s="87"/>
      <c r="AH1668" s="87"/>
      <c r="AI1668" s="87"/>
      <c r="AJ1668" s="87"/>
      <c r="AK1668" s="87"/>
      <c r="AL1668" s="87"/>
      <c r="AM1668" s="87"/>
      <c r="AN1668" s="87"/>
      <c r="AO1668" s="87"/>
      <c r="AP1668" s="87"/>
      <c r="AQ1668" s="87"/>
      <c r="AR1668" s="87"/>
      <c r="AS1668" s="87"/>
      <c r="AT1668" s="87"/>
      <c r="AU1668" s="87"/>
      <c r="AV1668" s="87"/>
      <c r="AW1668" s="87"/>
      <c r="AX1668" s="87"/>
      <c r="AY1668" s="87"/>
      <c r="AZ1668" s="87"/>
      <c r="BA1668" s="87"/>
      <c r="BB1668" s="87"/>
      <c r="BC1668" s="87"/>
      <c r="BD1668" s="87"/>
      <c r="BE1668" s="87"/>
      <c r="BF1668" s="87"/>
      <c r="BG1668" s="87"/>
      <c r="BH1668" s="87"/>
      <c r="BI1668" s="87"/>
      <c r="BJ1668" s="87"/>
      <c r="BK1668" s="87"/>
      <c r="BL1668" s="87"/>
      <c r="BM1668" s="87"/>
      <c r="BN1668" s="87"/>
      <c r="BO1668" s="87"/>
      <c r="BP1668" s="87"/>
      <c r="BQ1668" s="87"/>
      <c r="BR1668" s="87"/>
      <c r="BS1668" s="87"/>
      <c r="BT1668" s="87"/>
      <c r="BU1668" s="87"/>
      <c r="BV1668" s="87"/>
      <c r="BW1668" s="87"/>
      <c r="BX1668" s="87"/>
      <c r="BY1668" s="87"/>
    </row>
    <row r="1669" spans="21:77" x14ac:dyDescent="0.3">
      <c r="U1669" s="19"/>
      <c r="V1669" s="87"/>
      <c r="W1669" s="87"/>
      <c r="X1669" s="87"/>
      <c r="Y1669" s="87"/>
      <c r="Z1669" s="87"/>
      <c r="AA1669" s="87"/>
      <c r="AB1669" s="87"/>
      <c r="AC1669" s="87"/>
      <c r="AD1669" s="87"/>
      <c r="AE1669" s="87"/>
      <c r="AF1669" s="87"/>
      <c r="AG1669" s="87"/>
      <c r="AH1669" s="87"/>
      <c r="AI1669" s="87"/>
      <c r="AJ1669" s="87"/>
      <c r="AK1669" s="87"/>
      <c r="AL1669" s="87"/>
      <c r="AM1669" s="87"/>
      <c r="AN1669" s="87"/>
      <c r="AO1669" s="87"/>
      <c r="AP1669" s="87"/>
      <c r="AQ1669" s="87"/>
      <c r="AR1669" s="87"/>
      <c r="AS1669" s="87"/>
      <c r="AT1669" s="87"/>
      <c r="AU1669" s="87"/>
      <c r="AV1669" s="87"/>
      <c r="AW1669" s="87"/>
      <c r="AX1669" s="87"/>
      <c r="AY1669" s="87"/>
      <c r="AZ1669" s="87"/>
      <c r="BA1669" s="87"/>
      <c r="BB1669" s="87"/>
      <c r="BC1669" s="87"/>
      <c r="BD1669" s="87"/>
      <c r="BE1669" s="87"/>
      <c r="BF1669" s="87"/>
      <c r="BG1669" s="87"/>
      <c r="BH1669" s="87"/>
      <c r="BI1669" s="87"/>
      <c r="BJ1669" s="87"/>
      <c r="BK1669" s="87"/>
      <c r="BL1669" s="87"/>
      <c r="BM1669" s="87"/>
      <c r="BN1669" s="87"/>
      <c r="BO1669" s="87"/>
      <c r="BP1669" s="87"/>
      <c r="BQ1669" s="87"/>
      <c r="BR1669" s="87"/>
      <c r="BS1669" s="87"/>
      <c r="BT1669" s="87"/>
      <c r="BU1669" s="87"/>
      <c r="BV1669" s="87"/>
      <c r="BW1669" s="87"/>
      <c r="BX1669" s="87"/>
      <c r="BY1669" s="87"/>
    </row>
    <row r="1670" spans="21:77" x14ac:dyDescent="0.3">
      <c r="U1670" s="19"/>
      <c r="V1670" s="87"/>
      <c r="W1670" s="87"/>
      <c r="X1670" s="87"/>
      <c r="Y1670" s="87"/>
      <c r="Z1670" s="87"/>
      <c r="AA1670" s="87"/>
      <c r="AB1670" s="87"/>
      <c r="AC1670" s="87"/>
      <c r="AD1670" s="87"/>
      <c r="AE1670" s="87"/>
      <c r="AF1670" s="87"/>
      <c r="AG1670" s="87"/>
      <c r="AH1670" s="87"/>
      <c r="AI1670" s="87"/>
      <c r="AJ1670" s="87"/>
      <c r="AK1670" s="87"/>
      <c r="AL1670" s="87"/>
      <c r="AM1670" s="87"/>
      <c r="AN1670" s="87"/>
      <c r="AO1670" s="87"/>
      <c r="AP1670" s="87"/>
      <c r="AQ1670" s="87"/>
      <c r="AR1670" s="87"/>
      <c r="AS1670" s="87"/>
      <c r="AT1670" s="87"/>
      <c r="AU1670" s="87"/>
      <c r="AV1670" s="87"/>
      <c r="AW1670" s="87"/>
      <c r="AX1670" s="87"/>
      <c r="AY1670" s="87"/>
      <c r="AZ1670" s="87"/>
      <c r="BA1670" s="87"/>
      <c r="BB1670" s="87"/>
      <c r="BC1670" s="87"/>
      <c r="BD1670" s="87"/>
      <c r="BE1670" s="87"/>
      <c r="BF1670" s="87"/>
      <c r="BG1670" s="87"/>
      <c r="BH1670" s="87"/>
      <c r="BI1670" s="87"/>
      <c r="BJ1670" s="87"/>
      <c r="BK1670" s="87"/>
      <c r="BL1670" s="87"/>
      <c r="BM1670" s="87"/>
      <c r="BN1670" s="87"/>
      <c r="BO1670" s="87"/>
      <c r="BP1670" s="87"/>
      <c r="BQ1670" s="87"/>
      <c r="BR1670" s="87"/>
      <c r="BS1670" s="87"/>
      <c r="BT1670" s="87"/>
      <c r="BU1670" s="87"/>
      <c r="BV1670" s="87"/>
      <c r="BW1670" s="87"/>
      <c r="BX1670" s="87"/>
      <c r="BY1670" s="87"/>
    </row>
    <row r="1671" spans="21:77" x14ac:dyDescent="0.3">
      <c r="U1671" s="19"/>
      <c r="V1671" s="87"/>
      <c r="W1671" s="87"/>
      <c r="X1671" s="87"/>
      <c r="Y1671" s="87"/>
      <c r="Z1671" s="87"/>
      <c r="AA1671" s="87"/>
      <c r="AB1671" s="87"/>
      <c r="AC1671" s="87"/>
      <c r="AD1671" s="87"/>
      <c r="AE1671" s="87"/>
      <c r="AF1671" s="87"/>
      <c r="AG1671" s="87"/>
      <c r="AH1671" s="87"/>
      <c r="AI1671" s="87"/>
      <c r="AJ1671" s="87"/>
      <c r="AK1671" s="87"/>
      <c r="AL1671" s="87"/>
      <c r="AM1671" s="87"/>
      <c r="AN1671" s="87"/>
      <c r="AO1671" s="87"/>
      <c r="AP1671" s="87"/>
      <c r="AQ1671" s="87"/>
      <c r="AR1671" s="87"/>
      <c r="AS1671" s="87"/>
      <c r="AT1671" s="87"/>
      <c r="AU1671" s="87"/>
      <c r="AV1671" s="87"/>
      <c r="AW1671" s="87"/>
      <c r="AX1671" s="87"/>
      <c r="AY1671" s="87"/>
      <c r="AZ1671" s="87"/>
      <c r="BA1671" s="87"/>
      <c r="BB1671" s="87"/>
      <c r="BC1671" s="87"/>
      <c r="BD1671" s="87"/>
      <c r="BE1671" s="87"/>
      <c r="BF1671" s="87"/>
      <c r="BG1671" s="87"/>
      <c r="BH1671" s="87"/>
      <c r="BI1671" s="87"/>
      <c r="BJ1671" s="87"/>
      <c r="BK1671" s="87"/>
      <c r="BL1671" s="87"/>
      <c r="BM1671" s="87"/>
      <c r="BN1671" s="87"/>
      <c r="BO1671" s="87"/>
      <c r="BP1671" s="87"/>
      <c r="BQ1671" s="87"/>
      <c r="BR1671" s="87"/>
      <c r="BS1671" s="87"/>
      <c r="BT1671" s="87"/>
      <c r="BU1671" s="87"/>
      <c r="BV1671" s="87"/>
      <c r="BW1671" s="87"/>
      <c r="BX1671" s="87"/>
      <c r="BY1671" s="87"/>
    </row>
    <row r="1672" spans="21:77" x14ac:dyDescent="0.3">
      <c r="U1672" s="19"/>
      <c r="V1672" s="87"/>
      <c r="W1672" s="87"/>
      <c r="X1672" s="87"/>
      <c r="Y1672" s="87"/>
      <c r="Z1672" s="87"/>
      <c r="AA1672" s="87"/>
      <c r="AB1672" s="87"/>
      <c r="AC1672" s="87"/>
      <c r="AD1672" s="87"/>
      <c r="AE1672" s="87"/>
      <c r="AF1672" s="87"/>
      <c r="AG1672" s="87"/>
      <c r="AH1672" s="87"/>
      <c r="AI1672" s="87"/>
      <c r="AJ1672" s="87"/>
      <c r="AK1672" s="87"/>
      <c r="AL1672" s="87"/>
      <c r="AM1672" s="87"/>
      <c r="AN1672" s="87"/>
      <c r="AO1672" s="87"/>
      <c r="AP1672" s="87"/>
      <c r="AQ1672" s="87"/>
      <c r="AR1672" s="87"/>
      <c r="AS1672" s="87"/>
      <c r="AT1672" s="87"/>
      <c r="AU1672" s="87"/>
      <c r="AV1672" s="87"/>
      <c r="AW1672" s="87"/>
      <c r="AX1672" s="87"/>
      <c r="AY1672" s="87"/>
      <c r="AZ1672" s="87"/>
      <c r="BA1672" s="87"/>
      <c r="BB1672" s="87"/>
      <c r="BC1672" s="87"/>
      <c r="BD1672" s="87"/>
      <c r="BE1672" s="87"/>
      <c r="BF1672" s="87"/>
      <c r="BG1672" s="87"/>
      <c r="BH1672" s="87"/>
      <c r="BI1672" s="87"/>
      <c r="BJ1672" s="87"/>
      <c r="BK1672" s="87"/>
      <c r="BL1672" s="87"/>
      <c r="BM1672" s="87"/>
      <c r="BN1672" s="87"/>
      <c r="BO1672" s="87"/>
      <c r="BP1672" s="87"/>
      <c r="BQ1672" s="87"/>
      <c r="BR1672" s="87"/>
      <c r="BS1672" s="87"/>
      <c r="BT1672" s="87"/>
      <c r="BU1672" s="87"/>
      <c r="BV1672" s="87"/>
      <c r="BW1672" s="87"/>
      <c r="BX1672" s="87"/>
      <c r="BY1672" s="87"/>
    </row>
    <row r="1673" spans="21:77" x14ac:dyDescent="0.3">
      <c r="U1673" s="19"/>
      <c r="V1673" s="87"/>
      <c r="W1673" s="87"/>
      <c r="X1673" s="87"/>
      <c r="Y1673" s="87"/>
      <c r="Z1673" s="87"/>
      <c r="AA1673" s="87"/>
      <c r="AB1673" s="87"/>
      <c r="AC1673" s="87"/>
      <c r="AD1673" s="87"/>
      <c r="AE1673" s="87"/>
      <c r="AF1673" s="87"/>
      <c r="AG1673" s="87"/>
      <c r="AH1673" s="87"/>
      <c r="AI1673" s="87"/>
      <c r="AJ1673" s="87"/>
      <c r="AK1673" s="87"/>
      <c r="AL1673" s="87"/>
      <c r="AM1673" s="87"/>
      <c r="AN1673" s="87"/>
      <c r="AO1673" s="87"/>
      <c r="AP1673" s="87"/>
      <c r="AQ1673" s="87"/>
      <c r="AR1673" s="87"/>
      <c r="AS1673" s="87"/>
      <c r="AT1673" s="87"/>
      <c r="AU1673" s="87"/>
      <c r="AV1673" s="87"/>
      <c r="AW1673" s="87"/>
      <c r="AX1673" s="87"/>
      <c r="AY1673" s="87"/>
      <c r="AZ1673" s="87"/>
      <c r="BA1673" s="87"/>
      <c r="BB1673" s="87"/>
      <c r="BC1673" s="87"/>
      <c r="BD1673" s="87"/>
      <c r="BE1673" s="87"/>
      <c r="BF1673" s="87"/>
      <c r="BG1673" s="87"/>
      <c r="BH1673" s="87"/>
      <c r="BI1673" s="87"/>
      <c r="BJ1673" s="87"/>
      <c r="BK1673" s="87"/>
      <c r="BL1673" s="87"/>
      <c r="BM1673" s="87"/>
      <c r="BN1673" s="87"/>
      <c r="BO1673" s="87"/>
      <c r="BP1673" s="87"/>
      <c r="BQ1673" s="87"/>
      <c r="BR1673" s="87"/>
      <c r="BS1673" s="87"/>
      <c r="BT1673" s="87"/>
      <c r="BU1673" s="87"/>
      <c r="BV1673" s="87"/>
      <c r="BW1673" s="87"/>
      <c r="BX1673" s="87"/>
      <c r="BY1673" s="87"/>
    </row>
    <row r="1674" spans="21:77" x14ac:dyDescent="0.3">
      <c r="U1674" s="19"/>
      <c r="V1674" s="87"/>
      <c r="W1674" s="87"/>
      <c r="X1674" s="87"/>
      <c r="Y1674" s="87"/>
      <c r="Z1674" s="87"/>
      <c r="AA1674" s="87"/>
      <c r="AB1674" s="87"/>
      <c r="AC1674" s="87"/>
      <c r="AD1674" s="87"/>
      <c r="AE1674" s="87"/>
      <c r="AF1674" s="87"/>
      <c r="AG1674" s="87"/>
      <c r="AH1674" s="87"/>
      <c r="AI1674" s="87"/>
      <c r="AJ1674" s="87"/>
      <c r="AK1674" s="87"/>
      <c r="AL1674" s="87"/>
      <c r="AM1674" s="87"/>
      <c r="AN1674" s="87"/>
      <c r="AO1674" s="87"/>
      <c r="AP1674" s="87"/>
      <c r="AQ1674" s="87"/>
      <c r="AR1674" s="87"/>
      <c r="AS1674" s="87"/>
      <c r="AT1674" s="87"/>
      <c r="AU1674" s="87"/>
      <c r="AV1674" s="87"/>
      <c r="AW1674" s="87"/>
      <c r="AX1674" s="87"/>
      <c r="AY1674" s="87"/>
      <c r="AZ1674" s="87"/>
      <c r="BA1674" s="87"/>
      <c r="BB1674" s="87"/>
      <c r="BC1674" s="87"/>
      <c r="BD1674" s="87"/>
      <c r="BE1674" s="87"/>
      <c r="BF1674" s="87"/>
      <c r="BG1674" s="87"/>
      <c r="BH1674" s="87"/>
      <c r="BI1674" s="87"/>
      <c r="BJ1674" s="87"/>
      <c r="BK1674" s="87"/>
      <c r="BL1674" s="87"/>
      <c r="BM1674" s="87"/>
      <c r="BN1674" s="87"/>
      <c r="BO1674" s="87"/>
      <c r="BP1674" s="87"/>
      <c r="BQ1674" s="87"/>
      <c r="BR1674" s="87"/>
      <c r="BS1674" s="87"/>
      <c r="BT1674" s="87"/>
      <c r="BU1674" s="87"/>
      <c r="BV1674" s="87"/>
      <c r="BW1674" s="87"/>
      <c r="BX1674" s="87"/>
      <c r="BY1674" s="87"/>
    </row>
    <row r="1675" spans="21:77" x14ac:dyDescent="0.3">
      <c r="U1675" s="19"/>
      <c r="V1675" s="87"/>
      <c r="W1675" s="87"/>
      <c r="X1675" s="87"/>
      <c r="Y1675" s="87"/>
      <c r="Z1675" s="87"/>
      <c r="AA1675" s="87"/>
      <c r="AB1675" s="87"/>
      <c r="AC1675" s="87"/>
      <c r="AD1675" s="87"/>
      <c r="AE1675" s="87"/>
      <c r="AF1675" s="87"/>
      <c r="AG1675" s="87"/>
      <c r="AH1675" s="87"/>
      <c r="AI1675" s="87"/>
      <c r="AJ1675" s="87"/>
      <c r="AK1675" s="87"/>
      <c r="AL1675" s="87"/>
      <c r="AM1675" s="87"/>
      <c r="AN1675" s="87"/>
      <c r="AO1675" s="87"/>
      <c r="AP1675" s="87"/>
      <c r="AQ1675" s="87"/>
      <c r="AR1675" s="87"/>
      <c r="AS1675" s="87"/>
      <c r="AT1675" s="87"/>
      <c r="AU1675" s="87"/>
      <c r="AV1675" s="87"/>
      <c r="AW1675" s="87"/>
      <c r="AX1675" s="87"/>
      <c r="AY1675" s="87"/>
      <c r="AZ1675" s="87"/>
      <c r="BA1675" s="87"/>
      <c r="BB1675" s="87"/>
      <c r="BC1675" s="87"/>
      <c r="BD1675" s="87"/>
      <c r="BE1675" s="87"/>
      <c r="BF1675" s="87"/>
      <c r="BG1675" s="87"/>
      <c r="BH1675" s="87"/>
      <c r="BI1675" s="87"/>
      <c r="BJ1675" s="87"/>
      <c r="BK1675" s="87"/>
      <c r="BL1675" s="87"/>
      <c r="BM1675" s="87"/>
      <c r="BN1675" s="87"/>
      <c r="BO1675" s="87"/>
      <c r="BP1675" s="87"/>
      <c r="BQ1675" s="87"/>
      <c r="BR1675" s="87"/>
      <c r="BS1675" s="87"/>
      <c r="BT1675" s="87"/>
      <c r="BU1675" s="87"/>
      <c r="BV1675" s="87"/>
      <c r="BW1675" s="87"/>
      <c r="BX1675" s="87"/>
      <c r="BY1675" s="87"/>
    </row>
    <row r="1676" spans="21:77" x14ac:dyDescent="0.3">
      <c r="U1676" s="19"/>
      <c r="V1676" s="87"/>
      <c r="W1676" s="87"/>
      <c r="X1676" s="87"/>
      <c r="Y1676" s="87"/>
      <c r="Z1676" s="87"/>
      <c r="AA1676" s="87"/>
      <c r="AB1676" s="87"/>
      <c r="AC1676" s="87"/>
      <c r="AD1676" s="87"/>
      <c r="AE1676" s="87"/>
      <c r="AF1676" s="87"/>
      <c r="AG1676" s="87"/>
      <c r="AH1676" s="87"/>
      <c r="AI1676" s="87"/>
      <c r="AJ1676" s="87"/>
      <c r="AK1676" s="87"/>
      <c r="AL1676" s="87"/>
      <c r="AM1676" s="87"/>
      <c r="AN1676" s="87"/>
      <c r="AO1676" s="87"/>
      <c r="AP1676" s="87"/>
      <c r="AQ1676" s="87"/>
      <c r="AR1676" s="87"/>
      <c r="AS1676" s="87"/>
      <c r="AT1676" s="87"/>
      <c r="AU1676" s="87"/>
      <c r="AV1676" s="87"/>
      <c r="AW1676" s="87"/>
      <c r="AX1676" s="87"/>
      <c r="AY1676" s="87"/>
      <c r="AZ1676" s="87"/>
      <c r="BA1676" s="87"/>
      <c r="BB1676" s="87"/>
      <c r="BC1676" s="87"/>
      <c r="BD1676" s="87"/>
      <c r="BE1676" s="87"/>
      <c r="BF1676" s="87"/>
      <c r="BG1676" s="87"/>
      <c r="BH1676" s="87"/>
      <c r="BI1676" s="87"/>
      <c r="BJ1676" s="87"/>
      <c r="BK1676" s="87"/>
      <c r="BL1676" s="87"/>
      <c r="BM1676" s="87"/>
      <c r="BN1676" s="87"/>
      <c r="BO1676" s="87"/>
      <c r="BP1676" s="87"/>
      <c r="BQ1676" s="87"/>
      <c r="BR1676" s="87"/>
      <c r="BS1676" s="87"/>
      <c r="BT1676" s="87"/>
      <c r="BU1676" s="87"/>
      <c r="BV1676" s="87"/>
      <c r="BW1676" s="87"/>
      <c r="BX1676" s="87"/>
      <c r="BY1676" s="87"/>
    </row>
    <row r="1677" spans="21:77" x14ac:dyDescent="0.3">
      <c r="U1677" s="19"/>
      <c r="V1677" s="87"/>
      <c r="W1677" s="87"/>
      <c r="X1677" s="87"/>
      <c r="Y1677" s="87"/>
      <c r="Z1677" s="87"/>
      <c r="AA1677" s="87"/>
      <c r="AB1677" s="87"/>
      <c r="AC1677" s="87"/>
      <c r="AD1677" s="87"/>
      <c r="AE1677" s="87"/>
      <c r="AF1677" s="87"/>
      <c r="AG1677" s="87"/>
      <c r="AH1677" s="87"/>
      <c r="AI1677" s="87"/>
      <c r="AJ1677" s="87"/>
      <c r="AK1677" s="87"/>
      <c r="AL1677" s="87"/>
      <c r="AM1677" s="87"/>
      <c r="AN1677" s="87"/>
      <c r="AO1677" s="87"/>
      <c r="AP1677" s="87"/>
      <c r="AQ1677" s="87"/>
      <c r="AR1677" s="87"/>
      <c r="AS1677" s="87"/>
      <c r="AT1677" s="87"/>
      <c r="AU1677" s="87"/>
      <c r="AV1677" s="87"/>
      <c r="AW1677" s="87"/>
      <c r="AX1677" s="87"/>
      <c r="AY1677" s="87"/>
      <c r="AZ1677" s="87"/>
      <c r="BA1677" s="87"/>
      <c r="BB1677" s="87"/>
      <c r="BC1677" s="87"/>
      <c r="BD1677" s="87"/>
      <c r="BE1677" s="87"/>
      <c r="BF1677" s="87"/>
      <c r="BG1677" s="87"/>
      <c r="BH1677" s="87"/>
      <c r="BI1677" s="87"/>
      <c r="BJ1677" s="87"/>
      <c r="BK1677" s="87"/>
      <c r="BL1677" s="87"/>
      <c r="BM1677" s="87"/>
      <c r="BN1677" s="87"/>
      <c r="BO1677" s="87"/>
      <c r="BP1677" s="87"/>
      <c r="BQ1677" s="87"/>
      <c r="BR1677" s="87"/>
      <c r="BS1677" s="87"/>
      <c r="BT1677" s="87"/>
      <c r="BU1677" s="87"/>
      <c r="BV1677" s="87"/>
      <c r="BW1677" s="87"/>
      <c r="BX1677" s="87"/>
      <c r="BY1677" s="87"/>
    </row>
    <row r="1678" spans="21:77" x14ac:dyDescent="0.3">
      <c r="U1678" s="19"/>
      <c r="V1678" s="87"/>
      <c r="W1678" s="87"/>
      <c r="X1678" s="87"/>
      <c r="Y1678" s="87"/>
      <c r="Z1678" s="87"/>
      <c r="AA1678" s="87"/>
      <c r="AB1678" s="87"/>
      <c r="AC1678" s="87"/>
      <c r="AD1678" s="87"/>
      <c r="AE1678" s="87"/>
      <c r="AF1678" s="87"/>
      <c r="AG1678" s="87"/>
      <c r="AH1678" s="87"/>
      <c r="AI1678" s="87"/>
      <c r="AJ1678" s="87"/>
      <c r="AK1678" s="87"/>
      <c r="AL1678" s="87"/>
      <c r="AM1678" s="87"/>
      <c r="AN1678" s="87"/>
      <c r="AO1678" s="87"/>
      <c r="AP1678" s="87"/>
      <c r="AQ1678" s="87"/>
      <c r="AR1678" s="87"/>
      <c r="AS1678" s="87"/>
      <c r="AT1678" s="87"/>
      <c r="AU1678" s="87"/>
      <c r="AV1678" s="87"/>
      <c r="AW1678" s="87"/>
      <c r="AX1678" s="87"/>
      <c r="AY1678" s="87"/>
      <c r="AZ1678" s="87"/>
      <c r="BA1678" s="87"/>
      <c r="BB1678" s="87"/>
      <c r="BC1678" s="87"/>
      <c r="BD1678" s="87"/>
      <c r="BE1678" s="87"/>
      <c r="BF1678" s="87"/>
      <c r="BG1678" s="87"/>
      <c r="BH1678" s="87"/>
      <c r="BI1678" s="87"/>
      <c r="BJ1678" s="87"/>
      <c r="BK1678" s="87"/>
      <c r="BL1678" s="87"/>
      <c r="BM1678" s="87"/>
      <c r="BN1678" s="87"/>
      <c r="BO1678" s="87"/>
      <c r="BP1678" s="87"/>
      <c r="BQ1678" s="87"/>
      <c r="BR1678" s="87"/>
      <c r="BS1678" s="87"/>
      <c r="BT1678" s="87"/>
      <c r="BU1678" s="87"/>
      <c r="BV1678" s="87"/>
      <c r="BW1678" s="87"/>
      <c r="BX1678" s="87"/>
      <c r="BY1678" s="87"/>
    </row>
    <row r="1679" spans="21:77" x14ac:dyDescent="0.3">
      <c r="U1679" s="19"/>
      <c r="V1679" s="87"/>
      <c r="W1679" s="87"/>
      <c r="X1679" s="87"/>
      <c r="Y1679" s="87"/>
      <c r="Z1679" s="87"/>
      <c r="AA1679" s="87"/>
      <c r="AB1679" s="87"/>
      <c r="AC1679" s="87"/>
      <c r="AD1679" s="87"/>
      <c r="AE1679" s="87"/>
      <c r="AF1679" s="87"/>
      <c r="AG1679" s="87"/>
      <c r="AH1679" s="87"/>
      <c r="AI1679" s="87"/>
      <c r="AJ1679" s="87"/>
      <c r="AK1679" s="87"/>
      <c r="AL1679" s="87"/>
      <c r="AM1679" s="87"/>
      <c r="AN1679" s="87"/>
      <c r="AO1679" s="87"/>
      <c r="AP1679" s="87"/>
      <c r="AQ1679" s="87"/>
      <c r="AR1679" s="87"/>
      <c r="AS1679" s="87"/>
      <c r="AT1679" s="87"/>
      <c r="AU1679" s="87"/>
      <c r="AV1679" s="87"/>
      <c r="AW1679" s="87"/>
      <c r="AX1679" s="87"/>
      <c r="AY1679" s="87"/>
      <c r="AZ1679" s="87"/>
      <c r="BA1679" s="87"/>
      <c r="BB1679" s="87"/>
      <c r="BC1679" s="87"/>
      <c r="BD1679" s="87"/>
      <c r="BE1679" s="87"/>
      <c r="BF1679" s="87"/>
      <c r="BG1679" s="87"/>
      <c r="BH1679" s="87"/>
      <c r="BI1679" s="87"/>
      <c r="BJ1679" s="87"/>
      <c r="BK1679" s="87"/>
      <c r="BL1679" s="87"/>
      <c r="BM1679" s="87"/>
      <c r="BN1679" s="87"/>
      <c r="BO1679" s="87"/>
      <c r="BP1679" s="87"/>
      <c r="BQ1679" s="87"/>
      <c r="BR1679" s="87"/>
      <c r="BS1679" s="87"/>
      <c r="BT1679" s="87"/>
      <c r="BU1679" s="87"/>
      <c r="BV1679" s="87"/>
      <c r="BW1679" s="87"/>
      <c r="BX1679" s="87"/>
      <c r="BY1679" s="87"/>
    </row>
    <row r="1680" spans="21:77" x14ac:dyDescent="0.3">
      <c r="U1680" s="19"/>
      <c r="V1680" s="87"/>
      <c r="W1680" s="87"/>
      <c r="X1680" s="87"/>
      <c r="Y1680" s="87"/>
      <c r="Z1680" s="87"/>
      <c r="AA1680" s="87"/>
      <c r="AB1680" s="87"/>
      <c r="AC1680" s="87"/>
      <c r="AD1680" s="87"/>
      <c r="AE1680" s="87"/>
      <c r="AF1680" s="87"/>
      <c r="AG1680" s="87"/>
      <c r="AH1680" s="87"/>
      <c r="AI1680" s="87"/>
      <c r="AJ1680" s="87"/>
      <c r="AK1680" s="87"/>
      <c r="AL1680" s="87"/>
      <c r="AM1680" s="87"/>
      <c r="AN1680" s="87"/>
      <c r="AO1680" s="87"/>
      <c r="AP1680" s="87"/>
      <c r="AQ1680" s="87"/>
      <c r="AR1680" s="87"/>
      <c r="AS1680" s="87"/>
      <c r="AT1680" s="87"/>
      <c r="AU1680" s="87"/>
      <c r="AV1680" s="87"/>
      <c r="AW1680" s="87"/>
      <c r="AX1680" s="87"/>
      <c r="AY1680" s="87"/>
      <c r="AZ1680" s="87"/>
      <c r="BA1680" s="87"/>
      <c r="BB1680" s="87"/>
      <c r="BC1680" s="87"/>
      <c r="BD1680" s="87"/>
      <c r="BE1680" s="87"/>
      <c r="BF1680" s="87"/>
      <c r="BG1680" s="87"/>
      <c r="BH1680" s="87"/>
      <c r="BI1680" s="87"/>
      <c r="BJ1680" s="87"/>
      <c r="BK1680" s="87"/>
      <c r="BL1680" s="87"/>
      <c r="BM1680" s="87"/>
      <c r="BN1680" s="87"/>
      <c r="BO1680" s="87"/>
      <c r="BP1680" s="87"/>
      <c r="BQ1680" s="87"/>
      <c r="BR1680" s="87"/>
      <c r="BS1680" s="87"/>
      <c r="BT1680" s="87"/>
      <c r="BU1680" s="87"/>
      <c r="BV1680" s="87"/>
      <c r="BW1680" s="87"/>
      <c r="BX1680" s="87"/>
      <c r="BY1680" s="87"/>
    </row>
    <row r="1681" spans="21:77" x14ac:dyDescent="0.3">
      <c r="U1681" s="19"/>
      <c r="V1681" s="87"/>
      <c r="W1681" s="87"/>
      <c r="X1681" s="87"/>
      <c r="Y1681" s="87"/>
      <c r="Z1681" s="87"/>
      <c r="AA1681" s="87"/>
      <c r="AB1681" s="87"/>
      <c r="AC1681" s="87"/>
      <c r="AD1681" s="87"/>
      <c r="AE1681" s="87"/>
      <c r="AF1681" s="87"/>
      <c r="AG1681" s="87"/>
      <c r="AH1681" s="87"/>
      <c r="AI1681" s="87"/>
      <c r="AJ1681" s="87"/>
      <c r="AK1681" s="87"/>
      <c r="AL1681" s="87"/>
      <c r="AM1681" s="87"/>
      <c r="AN1681" s="87"/>
      <c r="AO1681" s="87"/>
      <c r="AP1681" s="87"/>
      <c r="AQ1681" s="87"/>
      <c r="AR1681" s="87"/>
      <c r="AS1681" s="87"/>
      <c r="AT1681" s="87"/>
      <c r="AU1681" s="87"/>
      <c r="AV1681" s="87"/>
      <c r="AW1681" s="87"/>
      <c r="AX1681" s="87"/>
      <c r="AY1681" s="87"/>
      <c r="AZ1681" s="87"/>
      <c r="BA1681" s="87"/>
      <c r="BB1681" s="87"/>
      <c r="BC1681" s="87"/>
      <c r="BD1681" s="87"/>
      <c r="BE1681" s="87"/>
      <c r="BF1681" s="87"/>
      <c r="BG1681" s="87"/>
      <c r="BH1681" s="87"/>
      <c r="BI1681" s="87"/>
      <c r="BJ1681" s="87"/>
      <c r="BK1681" s="87"/>
      <c r="BL1681" s="87"/>
      <c r="BM1681" s="87"/>
      <c r="BN1681" s="87"/>
      <c r="BO1681" s="87"/>
      <c r="BP1681" s="87"/>
      <c r="BQ1681" s="87"/>
      <c r="BR1681" s="87"/>
      <c r="BS1681" s="87"/>
      <c r="BT1681" s="87"/>
      <c r="BU1681" s="87"/>
      <c r="BV1681" s="87"/>
      <c r="BW1681" s="87"/>
      <c r="BX1681" s="87"/>
      <c r="BY1681" s="87"/>
    </row>
    <row r="1682" spans="21:77" x14ac:dyDescent="0.3">
      <c r="U1682" s="19"/>
      <c r="V1682" s="87"/>
      <c r="W1682" s="87"/>
      <c r="X1682" s="87"/>
      <c r="Y1682" s="87"/>
      <c r="Z1682" s="87"/>
      <c r="AA1682" s="87"/>
      <c r="AB1682" s="87"/>
      <c r="AC1682" s="87"/>
      <c r="AD1682" s="87"/>
      <c r="AE1682" s="87"/>
      <c r="AF1682" s="87"/>
      <c r="AG1682" s="87"/>
      <c r="AH1682" s="87"/>
      <c r="AI1682" s="87"/>
      <c r="AJ1682" s="87"/>
      <c r="AK1682" s="87"/>
      <c r="AL1682" s="87"/>
      <c r="AM1682" s="87"/>
      <c r="AN1682" s="87"/>
      <c r="AO1682" s="87"/>
      <c r="AP1682" s="87"/>
      <c r="AQ1682" s="87"/>
      <c r="AR1682" s="87"/>
      <c r="AS1682" s="87"/>
      <c r="AT1682" s="87"/>
      <c r="AU1682" s="87"/>
      <c r="AV1682" s="87"/>
      <c r="AW1682" s="87"/>
      <c r="AX1682" s="87"/>
      <c r="AY1682" s="87"/>
      <c r="AZ1682" s="87"/>
      <c r="BA1682" s="87"/>
      <c r="BB1682" s="87"/>
      <c r="BC1682" s="87"/>
      <c r="BD1682" s="87"/>
      <c r="BE1682" s="87"/>
      <c r="BF1682" s="87"/>
      <c r="BG1682" s="87"/>
      <c r="BH1682" s="87"/>
      <c r="BI1682" s="87"/>
      <c r="BJ1682" s="87"/>
      <c r="BK1682" s="87"/>
      <c r="BL1682" s="87"/>
      <c r="BM1682" s="87"/>
      <c r="BN1682" s="87"/>
      <c r="BO1682" s="87"/>
      <c r="BP1682" s="87"/>
      <c r="BQ1682" s="87"/>
      <c r="BR1682" s="87"/>
      <c r="BS1682" s="87"/>
      <c r="BT1682" s="87"/>
      <c r="BU1682" s="87"/>
      <c r="BV1682" s="87"/>
      <c r="BW1682" s="87"/>
      <c r="BX1682" s="87"/>
      <c r="BY1682" s="87"/>
    </row>
    <row r="1683" spans="21:77" x14ac:dyDescent="0.3">
      <c r="U1683" s="19"/>
      <c r="V1683" s="87"/>
      <c r="W1683" s="87"/>
      <c r="X1683" s="87"/>
      <c r="Y1683" s="87"/>
      <c r="Z1683" s="87"/>
      <c r="AA1683" s="87"/>
      <c r="AB1683" s="87"/>
      <c r="AC1683" s="87"/>
      <c r="AD1683" s="87"/>
      <c r="AE1683" s="87"/>
      <c r="AF1683" s="87"/>
      <c r="AG1683" s="87"/>
      <c r="AH1683" s="87"/>
      <c r="AI1683" s="87"/>
      <c r="AJ1683" s="87"/>
      <c r="AK1683" s="87"/>
      <c r="AL1683" s="87"/>
      <c r="AM1683" s="87"/>
      <c r="AN1683" s="87"/>
      <c r="AO1683" s="87"/>
      <c r="AP1683" s="87"/>
      <c r="AQ1683" s="87"/>
      <c r="AR1683" s="87"/>
      <c r="AS1683" s="87"/>
      <c r="AT1683" s="87"/>
      <c r="AU1683" s="87"/>
      <c r="AV1683" s="87"/>
      <c r="AW1683" s="87"/>
      <c r="AX1683" s="87"/>
      <c r="AY1683" s="87"/>
      <c r="AZ1683" s="87"/>
      <c r="BA1683" s="87"/>
      <c r="BB1683" s="87"/>
      <c r="BC1683" s="87"/>
      <c r="BD1683" s="87"/>
      <c r="BE1683" s="87"/>
      <c r="BF1683" s="87"/>
      <c r="BG1683" s="87"/>
      <c r="BH1683" s="87"/>
      <c r="BI1683" s="87"/>
      <c r="BJ1683" s="87"/>
      <c r="BK1683" s="87"/>
      <c r="BL1683" s="87"/>
      <c r="BM1683" s="87"/>
      <c r="BN1683" s="87"/>
      <c r="BO1683" s="87"/>
      <c r="BP1683" s="87"/>
      <c r="BQ1683" s="87"/>
      <c r="BR1683" s="87"/>
      <c r="BS1683" s="87"/>
      <c r="BT1683" s="87"/>
      <c r="BU1683" s="87"/>
      <c r="BV1683" s="87"/>
      <c r="BW1683" s="87"/>
      <c r="BX1683" s="87"/>
      <c r="BY1683" s="87"/>
    </row>
    <row r="1684" spans="21:77" x14ac:dyDescent="0.3">
      <c r="U1684" s="19"/>
      <c r="V1684" s="87"/>
      <c r="W1684" s="87"/>
      <c r="X1684" s="87"/>
      <c r="Y1684" s="87"/>
      <c r="Z1684" s="87"/>
      <c r="AA1684" s="87"/>
      <c r="AB1684" s="87"/>
      <c r="AC1684" s="87"/>
      <c r="AD1684" s="87"/>
      <c r="AE1684" s="87"/>
      <c r="AF1684" s="87"/>
      <c r="AG1684" s="87"/>
      <c r="AH1684" s="87"/>
      <c r="AI1684" s="87"/>
      <c r="AJ1684" s="87"/>
      <c r="AK1684" s="87"/>
      <c r="AL1684" s="87"/>
      <c r="AM1684" s="87"/>
      <c r="AN1684" s="87"/>
      <c r="AO1684" s="87"/>
      <c r="AP1684" s="87"/>
      <c r="AQ1684" s="87"/>
      <c r="AR1684" s="87"/>
      <c r="AS1684" s="87"/>
      <c r="AT1684" s="87"/>
      <c r="AU1684" s="87"/>
      <c r="AV1684" s="87"/>
      <c r="AW1684" s="87"/>
      <c r="AX1684" s="87"/>
      <c r="AY1684" s="87"/>
      <c r="AZ1684" s="87"/>
      <c r="BA1684" s="87"/>
      <c r="BB1684" s="87"/>
      <c r="BC1684" s="87"/>
      <c r="BD1684" s="87"/>
      <c r="BE1684" s="87"/>
      <c r="BF1684" s="87"/>
      <c r="BG1684" s="87"/>
      <c r="BH1684" s="87"/>
      <c r="BI1684" s="87"/>
      <c r="BJ1684" s="87"/>
      <c r="BK1684" s="87"/>
      <c r="BL1684" s="87"/>
      <c r="BM1684" s="87"/>
      <c r="BN1684" s="87"/>
      <c r="BO1684" s="87"/>
      <c r="BP1684" s="87"/>
      <c r="BQ1684" s="87"/>
      <c r="BR1684" s="87"/>
      <c r="BS1684" s="87"/>
      <c r="BT1684" s="87"/>
      <c r="BU1684" s="87"/>
      <c r="BV1684" s="87"/>
      <c r="BW1684" s="87"/>
      <c r="BX1684" s="87"/>
      <c r="BY1684" s="87"/>
    </row>
    <row r="1685" spans="21:77" x14ac:dyDescent="0.3">
      <c r="U1685" s="19"/>
      <c r="V1685" s="87"/>
      <c r="W1685" s="87"/>
      <c r="X1685" s="87"/>
      <c r="Y1685" s="87"/>
      <c r="Z1685" s="87"/>
      <c r="AA1685" s="87"/>
      <c r="AB1685" s="87"/>
      <c r="AC1685" s="87"/>
      <c r="AD1685" s="87"/>
      <c r="AE1685" s="87"/>
      <c r="AF1685" s="87"/>
      <c r="AG1685" s="87"/>
      <c r="AH1685" s="87"/>
      <c r="AI1685" s="87"/>
      <c r="AJ1685" s="87"/>
      <c r="AK1685" s="87"/>
      <c r="AL1685" s="87"/>
      <c r="AM1685" s="87"/>
      <c r="AN1685" s="87"/>
      <c r="AO1685" s="87"/>
      <c r="AP1685" s="87"/>
      <c r="AQ1685" s="87"/>
      <c r="AR1685" s="87"/>
      <c r="AS1685" s="87"/>
      <c r="AT1685" s="87"/>
      <c r="AU1685" s="87"/>
      <c r="AV1685" s="87"/>
      <c r="AW1685" s="87"/>
      <c r="AX1685" s="87"/>
      <c r="AY1685" s="87"/>
      <c r="AZ1685" s="87"/>
      <c r="BA1685" s="87"/>
      <c r="BB1685" s="87"/>
      <c r="BC1685" s="87"/>
      <c r="BD1685" s="87"/>
      <c r="BE1685" s="87"/>
      <c r="BF1685" s="87"/>
      <c r="BG1685" s="87"/>
      <c r="BH1685" s="87"/>
      <c r="BI1685" s="87"/>
      <c r="BJ1685" s="87"/>
      <c r="BK1685" s="87"/>
      <c r="BL1685" s="87"/>
      <c r="BM1685" s="87"/>
      <c r="BN1685" s="87"/>
      <c r="BO1685" s="87"/>
      <c r="BP1685" s="87"/>
      <c r="BQ1685" s="87"/>
      <c r="BR1685" s="87"/>
      <c r="BS1685" s="87"/>
      <c r="BT1685" s="87"/>
      <c r="BU1685" s="87"/>
      <c r="BV1685" s="87"/>
      <c r="BW1685" s="87"/>
      <c r="BX1685" s="87"/>
      <c r="BY1685" s="87"/>
    </row>
    <row r="1686" spans="21:77" x14ac:dyDescent="0.3">
      <c r="U1686" s="19"/>
      <c r="V1686" s="87"/>
      <c r="W1686" s="87"/>
      <c r="X1686" s="87"/>
      <c r="Y1686" s="87"/>
      <c r="Z1686" s="87"/>
      <c r="AA1686" s="87"/>
      <c r="AB1686" s="87"/>
      <c r="AC1686" s="87"/>
      <c r="AD1686" s="87"/>
      <c r="AE1686" s="87"/>
      <c r="AF1686" s="87"/>
      <c r="AG1686" s="87"/>
      <c r="AH1686" s="87"/>
      <c r="AI1686" s="87"/>
      <c r="AJ1686" s="87"/>
      <c r="AK1686" s="87"/>
      <c r="AL1686" s="87"/>
      <c r="AM1686" s="87"/>
      <c r="AN1686" s="87"/>
      <c r="AO1686" s="87"/>
      <c r="AP1686" s="87"/>
      <c r="AQ1686" s="87"/>
      <c r="AR1686" s="87"/>
      <c r="AS1686" s="87"/>
      <c r="AT1686" s="87"/>
      <c r="AU1686" s="87"/>
      <c r="AV1686" s="87"/>
      <c r="AW1686" s="87"/>
      <c r="AX1686" s="87"/>
      <c r="AY1686" s="87"/>
      <c r="AZ1686" s="87"/>
      <c r="BA1686" s="87"/>
      <c r="BB1686" s="87"/>
      <c r="BC1686" s="87"/>
      <c r="BD1686" s="87"/>
      <c r="BE1686" s="87"/>
      <c r="BF1686" s="87"/>
      <c r="BG1686" s="87"/>
      <c r="BH1686" s="87"/>
      <c r="BI1686" s="87"/>
      <c r="BJ1686" s="87"/>
      <c r="BK1686" s="87"/>
      <c r="BL1686" s="87"/>
      <c r="BM1686" s="87"/>
      <c r="BN1686" s="87"/>
      <c r="BO1686" s="87"/>
      <c r="BP1686" s="87"/>
      <c r="BQ1686" s="87"/>
      <c r="BR1686" s="87"/>
      <c r="BS1686" s="87"/>
      <c r="BT1686" s="87"/>
      <c r="BU1686" s="87"/>
      <c r="BV1686" s="87"/>
      <c r="BW1686" s="87"/>
      <c r="BX1686" s="87"/>
      <c r="BY1686" s="87"/>
    </row>
    <row r="1687" spans="21:77" x14ac:dyDescent="0.3">
      <c r="U1687" s="19"/>
      <c r="V1687" s="87"/>
      <c r="W1687" s="87"/>
      <c r="X1687" s="87"/>
      <c r="Y1687" s="87"/>
      <c r="Z1687" s="87"/>
      <c r="AA1687" s="87"/>
      <c r="AB1687" s="87"/>
      <c r="AC1687" s="87"/>
      <c r="AD1687" s="87"/>
      <c r="AE1687" s="87"/>
      <c r="AF1687" s="87"/>
      <c r="AG1687" s="87"/>
      <c r="AH1687" s="87"/>
      <c r="AI1687" s="87"/>
      <c r="AJ1687" s="87"/>
      <c r="AK1687" s="87"/>
      <c r="AL1687" s="87"/>
      <c r="AM1687" s="87"/>
      <c r="AN1687" s="87"/>
      <c r="AO1687" s="87"/>
      <c r="AP1687" s="87"/>
      <c r="AQ1687" s="87"/>
      <c r="AR1687" s="87"/>
      <c r="AS1687" s="87"/>
      <c r="AT1687" s="87"/>
      <c r="AU1687" s="87"/>
      <c r="AV1687" s="87"/>
      <c r="AW1687" s="87"/>
      <c r="AX1687" s="87"/>
      <c r="AY1687" s="87"/>
      <c r="AZ1687" s="87"/>
      <c r="BA1687" s="87"/>
      <c r="BB1687" s="87"/>
      <c r="BC1687" s="87"/>
      <c r="BD1687" s="87"/>
      <c r="BE1687" s="87"/>
      <c r="BF1687" s="87"/>
      <c r="BG1687" s="87"/>
      <c r="BH1687" s="87"/>
      <c r="BI1687" s="87"/>
      <c r="BJ1687" s="87"/>
      <c r="BK1687" s="87"/>
      <c r="BL1687" s="87"/>
      <c r="BM1687" s="87"/>
      <c r="BN1687" s="87"/>
      <c r="BO1687" s="87"/>
      <c r="BP1687" s="87"/>
      <c r="BQ1687" s="87"/>
      <c r="BR1687" s="87"/>
      <c r="BS1687" s="87"/>
      <c r="BT1687" s="87"/>
      <c r="BU1687" s="87"/>
      <c r="BV1687" s="87"/>
      <c r="BW1687" s="87"/>
      <c r="BX1687" s="87"/>
      <c r="BY1687" s="87"/>
    </row>
    <row r="1688" spans="21:77" x14ac:dyDescent="0.3">
      <c r="U1688" s="19"/>
      <c r="V1688" s="87"/>
      <c r="W1688" s="87"/>
      <c r="X1688" s="87"/>
      <c r="Y1688" s="87"/>
      <c r="Z1688" s="87"/>
      <c r="AA1688" s="87"/>
      <c r="AB1688" s="87"/>
      <c r="AC1688" s="87"/>
      <c r="AD1688" s="87"/>
      <c r="AE1688" s="87"/>
      <c r="AF1688" s="87"/>
      <c r="AG1688" s="87"/>
      <c r="AH1688" s="87"/>
      <c r="AI1688" s="87"/>
      <c r="AJ1688" s="87"/>
      <c r="AK1688" s="87"/>
      <c r="AL1688" s="87"/>
      <c r="AM1688" s="87"/>
      <c r="AN1688" s="87"/>
      <c r="AO1688" s="87"/>
      <c r="AP1688" s="87"/>
      <c r="AQ1688" s="87"/>
      <c r="AR1688" s="87"/>
      <c r="AS1688" s="87"/>
      <c r="AT1688" s="87"/>
      <c r="AU1688" s="87"/>
      <c r="AV1688" s="87"/>
      <c r="AW1688" s="87"/>
      <c r="AX1688" s="87"/>
      <c r="AY1688" s="87"/>
      <c r="AZ1688" s="87"/>
      <c r="BA1688" s="87"/>
      <c r="BB1688" s="87"/>
      <c r="BC1688" s="87"/>
      <c r="BD1688" s="87"/>
      <c r="BE1688" s="87"/>
      <c r="BF1688" s="87"/>
      <c r="BG1688" s="87"/>
      <c r="BH1688" s="87"/>
      <c r="BI1688" s="87"/>
      <c r="BJ1688" s="87"/>
      <c r="BK1688" s="87"/>
      <c r="BL1688" s="87"/>
      <c r="BM1688" s="87"/>
      <c r="BN1688" s="87"/>
      <c r="BO1688" s="87"/>
      <c r="BP1688" s="87"/>
      <c r="BQ1688" s="87"/>
      <c r="BR1688" s="87"/>
      <c r="BS1688" s="87"/>
      <c r="BT1688" s="87"/>
      <c r="BU1688" s="87"/>
      <c r="BV1688" s="87"/>
      <c r="BW1688" s="87"/>
      <c r="BX1688" s="87"/>
      <c r="BY1688" s="87"/>
    </row>
    <row r="1689" spans="21:77" x14ac:dyDescent="0.3">
      <c r="U1689" s="19"/>
      <c r="V1689" s="87"/>
      <c r="W1689" s="87"/>
      <c r="X1689" s="87"/>
      <c r="Y1689" s="87"/>
      <c r="Z1689" s="87"/>
      <c r="AA1689" s="87"/>
      <c r="AB1689" s="87"/>
      <c r="AC1689" s="87"/>
      <c r="AD1689" s="87"/>
      <c r="AE1689" s="87"/>
      <c r="AF1689" s="87"/>
      <c r="AG1689" s="87"/>
      <c r="AH1689" s="87"/>
      <c r="AI1689" s="87"/>
      <c r="AJ1689" s="87"/>
      <c r="AK1689" s="87"/>
      <c r="AL1689" s="87"/>
      <c r="AM1689" s="87"/>
      <c r="AN1689" s="87"/>
      <c r="AO1689" s="87"/>
      <c r="AP1689" s="87"/>
      <c r="AQ1689" s="87"/>
      <c r="AR1689" s="87"/>
      <c r="AS1689" s="87"/>
      <c r="AT1689" s="87"/>
      <c r="AU1689" s="87"/>
      <c r="AV1689" s="87"/>
      <c r="AW1689" s="87"/>
      <c r="AX1689" s="87"/>
      <c r="AY1689" s="87"/>
      <c r="AZ1689" s="87"/>
      <c r="BA1689" s="87"/>
      <c r="BB1689" s="87"/>
      <c r="BC1689" s="87"/>
      <c r="BD1689" s="87"/>
      <c r="BE1689" s="87"/>
      <c r="BF1689" s="87"/>
      <c r="BG1689" s="87"/>
      <c r="BH1689" s="87"/>
      <c r="BI1689" s="87"/>
      <c r="BJ1689" s="87"/>
      <c r="BK1689" s="87"/>
      <c r="BL1689" s="87"/>
      <c r="BM1689" s="87"/>
      <c r="BN1689" s="87"/>
      <c r="BO1689" s="87"/>
      <c r="BP1689" s="87"/>
      <c r="BQ1689" s="87"/>
      <c r="BR1689" s="87"/>
      <c r="BS1689" s="87"/>
      <c r="BT1689" s="87"/>
      <c r="BU1689" s="87"/>
      <c r="BV1689" s="87"/>
      <c r="BW1689" s="87"/>
      <c r="BX1689" s="87"/>
      <c r="BY1689" s="87"/>
    </row>
    <row r="1690" spans="21:77" x14ac:dyDescent="0.3">
      <c r="U1690" s="19"/>
      <c r="V1690" s="87"/>
      <c r="W1690" s="87"/>
      <c r="X1690" s="87"/>
      <c r="Y1690" s="87"/>
      <c r="Z1690" s="87"/>
      <c r="AA1690" s="87"/>
      <c r="AB1690" s="87"/>
      <c r="AC1690" s="87"/>
      <c r="AD1690" s="87"/>
      <c r="AE1690" s="87"/>
      <c r="AF1690" s="87"/>
      <c r="AG1690" s="87"/>
      <c r="AH1690" s="87"/>
      <c r="AI1690" s="87"/>
      <c r="AJ1690" s="87"/>
      <c r="AK1690" s="87"/>
      <c r="AL1690" s="87"/>
      <c r="AM1690" s="87"/>
      <c r="AN1690" s="87"/>
      <c r="AO1690" s="87"/>
      <c r="AP1690" s="87"/>
      <c r="AQ1690" s="87"/>
      <c r="AR1690" s="87"/>
      <c r="AS1690" s="87"/>
      <c r="AT1690" s="87"/>
      <c r="AU1690" s="87"/>
      <c r="AV1690" s="87"/>
      <c r="AW1690" s="87"/>
      <c r="AX1690" s="87"/>
      <c r="AY1690" s="87"/>
      <c r="AZ1690" s="87"/>
      <c r="BA1690" s="87"/>
      <c r="BB1690" s="87"/>
      <c r="BC1690" s="87"/>
      <c r="BD1690" s="87"/>
      <c r="BE1690" s="87"/>
      <c r="BF1690" s="87"/>
      <c r="BG1690" s="87"/>
      <c r="BH1690" s="87"/>
      <c r="BI1690" s="87"/>
      <c r="BJ1690" s="87"/>
      <c r="BK1690" s="87"/>
      <c r="BL1690" s="87"/>
      <c r="BM1690" s="87"/>
      <c r="BN1690" s="87"/>
      <c r="BO1690" s="87"/>
      <c r="BP1690" s="87"/>
      <c r="BQ1690" s="87"/>
      <c r="BR1690" s="87"/>
      <c r="BS1690" s="87"/>
      <c r="BT1690" s="87"/>
      <c r="BU1690" s="87"/>
      <c r="BV1690" s="87"/>
      <c r="BW1690" s="87"/>
      <c r="BX1690" s="87"/>
      <c r="BY1690" s="87"/>
    </row>
    <row r="1691" spans="21:77" x14ac:dyDescent="0.3">
      <c r="U1691" s="19"/>
      <c r="V1691" s="87"/>
      <c r="W1691" s="87"/>
      <c r="X1691" s="87"/>
      <c r="Y1691" s="87"/>
      <c r="Z1691" s="87"/>
      <c r="AA1691" s="87"/>
      <c r="AB1691" s="87"/>
      <c r="AC1691" s="87"/>
      <c r="AD1691" s="87"/>
      <c r="AE1691" s="87"/>
      <c r="AF1691" s="87"/>
      <c r="AG1691" s="87"/>
      <c r="AH1691" s="87"/>
      <c r="AI1691" s="87"/>
      <c r="AJ1691" s="87"/>
      <c r="AK1691" s="87"/>
      <c r="AL1691" s="87"/>
      <c r="AM1691" s="87"/>
      <c r="AN1691" s="87"/>
      <c r="AO1691" s="87"/>
      <c r="AP1691" s="87"/>
      <c r="AQ1691" s="87"/>
      <c r="AR1691" s="87"/>
      <c r="AS1691" s="87"/>
      <c r="AT1691" s="87"/>
      <c r="AU1691" s="87"/>
      <c r="AV1691" s="87"/>
      <c r="AW1691" s="87"/>
      <c r="AX1691" s="87"/>
      <c r="AY1691" s="87"/>
      <c r="AZ1691" s="87"/>
      <c r="BA1691" s="87"/>
      <c r="BB1691" s="87"/>
      <c r="BC1691" s="87"/>
      <c r="BD1691" s="87"/>
      <c r="BE1691" s="87"/>
      <c r="BF1691" s="87"/>
      <c r="BG1691" s="87"/>
      <c r="BH1691" s="87"/>
      <c r="BI1691" s="87"/>
      <c r="BJ1691" s="87"/>
      <c r="BK1691" s="87"/>
      <c r="BL1691" s="87"/>
      <c r="BM1691" s="87"/>
      <c r="BN1691" s="87"/>
      <c r="BO1691" s="87"/>
      <c r="BP1691" s="87"/>
      <c r="BQ1691" s="87"/>
      <c r="BR1691" s="87"/>
      <c r="BS1691" s="87"/>
      <c r="BT1691" s="87"/>
      <c r="BU1691" s="87"/>
      <c r="BV1691" s="87"/>
      <c r="BW1691" s="87"/>
      <c r="BX1691" s="87"/>
      <c r="BY1691" s="87"/>
    </row>
    <row r="1692" spans="21:77" x14ac:dyDescent="0.3">
      <c r="U1692" s="19"/>
      <c r="V1692" s="87"/>
      <c r="W1692" s="87"/>
      <c r="X1692" s="87"/>
      <c r="Y1692" s="87"/>
      <c r="Z1692" s="87"/>
      <c r="AA1692" s="87"/>
      <c r="AB1692" s="87"/>
      <c r="AC1692" s="87"/>
      <c r="AD1692" s="87"/>
      <c r="AE1692" s="87"/>
      <c r="AF1692" s="87"/>
      <c r="AG1692" s="87"/>
      <c r="AH1692" s="87"/>
      <c r="AI1692" s="87"/>
      <c r="AJ1692" s="87"/>
      <c r="AK1692" s="87"/>
      <c r="AL1692" s="87"/>
      <c r="AM1692" s="87"/>
      <c r="AN1692" s="87"/>
      <c r="AO1692" s="87"/>
      <c r="AP1692" s="87"/>
      <c r="AQ1692" s="87"/>
      <c r="AR1692" s="87"/>
      <c r="AS1692" s="87"/>
      <c r="AT1692" s="87"/>
      <c r="AU1692" s="87"/>
      <c r="AV1692" s="87"/>
      <c r="AW1692" s="87"/>
      <c r="AX1692" s="87"/>
      <c r="AY1692" s="87"/>
      <c r="AZ1692" s="87"/>
      <c r="BA1692" s="87"/>
      <c r="BB1692" s="87"/>
      <c r="BC1692" s="87"/>
      <c r="BD1692" s="87"/>
      <c r="BE1692" s="87"/>
      <c r="BF1692" s="87"/>
      <c r="BG1692" s="87"/>
      <c r="BH1692" s="87"/>
      <c r="BI1692" s="87"/>
      <c r="BJ1692" s="87"/>
      <c r="BK1692" s="87"/>
      <c r="BL1692" s="87"/>
      <c r="BM1692" s="87"/>
      <c r="BN1692" s="87"/>
      <c r="BO1692" s="87"/>
      <c r="BP1692" s="87"/>
      <c r="BQ1692" s="87"/>
      <c r="BR1692" s="87"/>
      <c r="BS1692" s="87"/>
      <c r="BT1692" s="87"/>
      <c r="BU1692" s="87"/>
      <c r="BV1692" s="87"/>
      <c r="BW1692" s="87"/>
      <c r="BX1692" s="87"/>
      <c r="BY1692" s="87"/>
    </row>
    <row r="1693" spans="21:77" x14ac:dyDescent="0.3">
      <c r="U1693" s="19"/>
      <c r="V1693" s="87"/>
      <c r="W1693" s="87"/>
      <c r="X1693" s="87"/>
      <c r="Y1693" s="87"/>
      <c r="Z1693" s="87"/>
      <c r="AA1693" s="87"/>
      <c r="AB1693" s="87"/>
      <c r="AC1693" s="87"/>
      <c r="AD1693" s="87"/>
      <c r="AE1693" s="87"/>
      <c r="AF1693" s="87"/>
      <c r="AG1693" s="87"/>
      <c r="AH1693" s="87"/>
      <c r="AI1693" s="87"/>
      <c r="AJ1693" s="87"/>
      <c r="AK1693" s="87"/>
      <c r="AL1693" s="87"/>
      <c r="AM1693" s="87"/>
      <c r="AN1693" s="87"/>
      <c r="AO1693" s="87"/>
      <c r="AP1693" s="87"/>
      <c r="AQ1693" s="87"/>
      <c r="AR1693" s="87"/>
      <c r="AS1693" s="87"/>
      <c r="AT1693" s="87"/>
      <c r="AU1693" s="87"/>
      <c r="AV1693" s="87"/>
      <c r="AW1693" s="87"/>
      <c r="AX1693" s="87"/>
      <c r="AY1693" s="87"/>
      <c r="AZ1693" s="87"/>
      <c r="BA1693" s="87"/>
      <c r="BB1693" s="87"/>
      <c r="BC1693" s="87"/>
      <c r="BD1693" s="87"/>
      <c r="BE1693" s="87"/>
      <c r="BF1693" s="87"/>
      <c r="BG1693" s="87"/>
      <c r="BH1693" s="87"/>
      <c r="BI1693" s="87"/>
      <c r="BJ1693" s="87"/>
      <c r="BK1693" s="87"/>
      <c r="BL1693" s="87"/>
      <c r="BM1693" s="87"/>
      <c r="BN1693" s="87"/>
      <c r="BO1693" s="87"/>
      <c r="BP1693" s="87"/>
      <c r="BQ1693" s="87"/>
      <c r="BR1693" s="87"/>
      <c r="BS1693" s="87"/>
      <c r="BT1693" s="87"/>
      <c r="BU1693" s="87"/>
      <c r="BV1693" s="87"/>
      <c r="BW1693" s="87"/>
      <c r="BX1693" s="87"/>
      <c r="BY1693" s="87"/>
    </row>
    <row r="1694" spans="21:77" x14ac:dyDescent="0.3">
      <c r="U1694" s="19"/>
      <c r="V1694" s="87"/>
      <c r="W1694" s="87"/>
      <c r="X1694" s="87"/>
      <c r="Y1694" s="87"/>
      <c r="Z1694" s="87"/>
      <c r="AA1694" s="87"/>
      <c r="AB1694" s="87"/>
      <c r="AC1694" s="87"/>
      <c r="AD1694" s="87"/>
      <c r="AE1694" s="87"/>
      <c r="AF1694" s="87"/>
      <c r="AG1694" s="87"/>
      <c r="AH1694" s="87"/>
      <c r="AI1694" s="87"/>
      <c r="AJ1694" s="87"/>
      <c r="AK1694" s="87"/>
      <c r="AL1694" s="87"/>
      <c r="AM1694" s="87"/>
      <c r="AN1694" s="87"/>
      <c r="AO1694" s="87"/>
      <c r="AP1694" s="87"/>
      <c r="AQ1694" s="87"/>
      <c r="AR1694" s="87"/>
      <c r="AS1694" s="87"/>
      <c r="AT1694" s="87"/>
      <c r="AU1694" s="87"/>
      <c r="AV1694" s="87"/>
      <c r="AW1694" s="87"/>
      <c r="AX1694" s="87"/>
      <c r="AY1694" s="87"/>
      <c r="AZ1694" s="87"/>
      <c r="BA1694" s="87"/>
      <c r="BB1694" s="87"/>
      <c r="BC1694" s="87"/>
      <c r="BD1694" s="87"/>
      <c r="BE1694" s="87"/>
      <c r="BF1694" s="87"/>
      <c r="BG1694" s="87"/>
      <c r="BH1694" s="87"/>
      <c r="BI1694" s="87"/>
      <c r="BJ1694" s="87"/>
      <c r="BK1694" s="87"/>
      <c r="BL1694" s="87"/>
      <c r="BM1694" s="87"/>
      <c r="BN1694" s="87"/>
      <c r="BO1694" s="87"/>
      <c r="BP1694" s="87"/>
      <c r="BQ1694" s="87"/>
      <c r="BR1694" s="87"/>
      <c r="BS1694" s="87"/>
      <c r="BT1694" s="87"/>
      <c r="BU1694" s="87"/>
      <c r="BV1694" s="87"/>
      <c r="BW1694" s="87"/>
      <c r="BX1694" s="87"/>
      <c r="BY1694" s="87"/>
    </row>
    <row r="1695" spans="21:77" x14ac:dyDescent="0.3">
      <c r="U1695" s="19"/>
      <c r="V1695" s="87"/>
      <c r="W1695" s="87"/>
      <c r="X1695" s="87"/>
      <c r="Y1695" s="87"/>
      <c r="Z1695" s="87"/>
      <c r="AA1695" s="87"/>
      <c r="AB1695" s="87"/>
      <c r="AC1695" s="87"/>
      <c r="AD1695" s="87"/>
      <c r="AE1695" s="87"/>
      <c r="AF1695" s="87"/>
      <c r="AG1695" s="87"/>
      <c r="AH1695" s="87"/>
      <c r="AI1695" s="87"/>
      <c r="AJ1695" s="87"/>
      <c r="AK1695" s="87"/>
      <c r="AL1695" s="87"/>
      <c r="AM1695" s="87"/>
      <c r="AN1695" s="87"/>
      <c r="AO1695" s="87"/>
      <c r="AP1695" s="87"/>
      <c r="AQ1695" s="87"/>
      <c r="AR1695" s="87"/>
      <c r="AS1695" s="87"/>
      <c r="AT1695" s="87"/>
      <c r="AU1695" s="87"/>
      <c r="AV1695" s="87"/>
      <c r="AW1695" s="87"/>
      <c r="AX1695" s="87"/>
      <c r="AY1695" s="87"/>
      <c r="AZ1695" s="87"/>
      <c r="BA1695" s="87"/>
      <c r="BB1695" s="87"/>
      <c r="BC1695" s="87"/>
      <c r="BD1695" s="87"/>
      <c r="BE1695" s="87"/>
      <c r="BF1695" s="87"/>
      <c r="BG1695" s="87"/>
      <c r="BH1695" s="87"/>
      <c r="BI1695" s="87"/>
      <c r="BJ1695" s="87"/>
      <c r="BK1695" s="87"/>
      <c r="BL1695" s="87"/>
      <c r="BM1695" s="87"/>
      <c r="BN1695" s="87"/>
      <c r="BO1695" s="87"/>
      <c r="BP1695" s="87"/>
      <c r="BQ1695" s="87"/>
      <c r="BR1695" s="87"/>
      <c r="BS1695" s="87"/>
      <c r="BT1695" s="87"/>
      <c r="BU1695" s="87"/>
      <c r="BV1695" s="87"/>
      <c r="BW1695" s="87"/>
      <c r="BX1695" s="87"/>
      <c r="BY1695" s="87"/>
    </row>
    <row r="1696" spans="21:77" x14ac:dyDescent="0.3">
      <c r="U1696" s="19"/>
      <c r="V1696" s="87"/>
      <c r="W1696" s="87"/>
      <c r="X1696" s="87"/>
      <c r="Y1696" s="87"/>
      <c r="Z1696" s="87"/>
      <c r="AA1696" s="87"/>
      <c r="AB1696" s="87"/>
      <c r="AC1696" s="87"/>
      <c r="AD1696" s="87"/>
      <c r="AE1696" s="87"/>
      <c r="AF1696" s="87"/>
      <c r="AG1696" s="87"/>
      <c r="AH1696" s="87"/>
      <c r="AI1696" s="87"/>
      <c r="AJ1696" s="87"/>
      <c r="AK1696" s="87"/>
      <c r="AL1696" s="87"/>
      <c r="AM1696" s="87"/>
      <c r="AN1696" s="87"/>
      <c r="AO1696" s="87"/>
      <c r="AP1696" s="87"/>
      <c r="AQ1696" s="87"/>
      <c r="AR1696" s="87"/>
      <c r="AS1696" s="87"/>
      <c r="AT1696" s="87"/>
      <c r="AU1696" s="87"/>
      <c r="AV1696" s="87"/>
      <c r="AW1696" s="87"/>
      <c r="AX1696" s="87"/>
      <c r="AY1696" s="87"/>
      <c r="AZ1696" s="87"/>
      <c r="BA1696" s="87"/>
      <c r="BB1696" s="87"/>
      <c r="BC1696" s="87"/>
      <c r="BD1696" s="87"/>
      <c r="BE1696" s="87"/>
      <c r="BF1696" s="87"/>
      <c r="BG1696" s="87"/>
      <c r="BH1696" s="87"/>
      <c r="BI1696" s="87"/>
      <c r="BJ1696" s="87"/>
      <c r="BK1696" s="87"/>
      <c r="BL1696" s="87"/>
      <c r="BM1696" s="87"/>
      <c r="BN1696" s="87"/>
      <c r="BO1696" s="87"/>
      <c r="BP1696" s="87"/>
      <c r="BQ1696" s="87"/>
      <c r="BR1696" s="87"/>
      <c r="BS1696" s="87"/>
      <c r="BT1696" s="87"/>
      <c r="BU1696" s="87"/>
      <c r="BV1696" s="87"/>
      <c r="BW1696" s="87"/>
      <c r="BX1696" s="87"/>
      <c r="BY1696" s="87"/>
    </row>
    <row r="1697" spans="21:77" x14ac:dyDescent="0.3">
      <c r="U1697" s="19"/>
      <c r="V1697" s="87"/>
      <c r="W1697" s="87"/>
      <c r="X1697" s="87"/>
      <c r="Y1697" s="87"/>
      <c r="Z1697" s="87"/>
      <c r="AA1697" s="87"/>
      <c r="AB1697" s="87"/>
      <c r="AC1697" s="87"/>
      <c r="AD1697" s="87"/>
      <c r="AE1697" s="87"/>
      <c r="AF1697" s="87"/>
      <c r="AG1697" s="87"/>
      <c r="AH1697" s="87"/>
      <c r="AI1697" s="87"/>
      <c r="AJ1697" s="87"/>
      <c r="AK1697" s="87"/>
      <c r="AL1697" s="87"/>
      <c r="AM1697" s="87"/>
      <c r="AN1697" s="87"/>
      <c r="AO1697" s="87"/>
      <c r="AP1697" s="87"/>
      <c r="AQ1697" s="87"/>
      <c r="AR1697" s="87"/>
      <c r="AS1697" s="87"/>
      <c r="AT1697" s="87"/>
      <c r="AU1697" s="87"/>
      <c r="AV1697" s="87"/>
      <c r="AW1697" s="87"/>
      <c r="AX1697" s="87"/>
      <c r="AY1697" s="87"/>
      <c r="AZ1697" s="87"/>
      <c r="BA1697" s="87"/>
      <c r="BB1697" s="87"/>
      <c r="BC1697" s="87"/>
      <c r="BD1697" s="87"/>
      <c r="BE1697" s="87"/>
      <c r="BF1697" s="87"/>
      <c r="BG1697" s="87"/>
      <c r="BH1697" s="87"/>
      <c r="BI1697" s="87"/>
      <c r="BJ1697" s="87"/>
      <c r="BK1697" s="87"/>
      <c r="BL1697" s="87"/>
      <c r="BM1697" s="87"/>
      <c r="BN1697" s="87"/>
      <c r="BO1697" s="87"/>
      <c r="BP1697" s="87"/>
      <c r="BQ1697" s="87"/>
      <c r="BR1697" s="87"/>
      <c r="BS1697" s="87"/>
      <c r="BT1697" s="87"/>
      <c r="BU1697" s="87"/>
      <c r="BV1697" s="87"/>
      <c r="BW1697" s="87"/>
      <c r="BX1697" s="87"/>
      <c r="BY1697" s="87"/>
    </row>
    <row r="1698" spans="21:77" x14ac:dyDescent="0.3">
      <c r="U1698" s="19"/>
      <c r="V1698" s="87"/>
      <c r="W1698" s="87"/>
      <c r="X1698" s="87"/>
      <c r="Y1698" s="87"/>
      <c r="Z1698" s="87"/>
      <c r="AA1698" s="87"/>
      <c r="AB1698" s="87"/>
      <c r="AC1698" s="87"/>
      <c r="AD1698" s="87"/>
      <c r="AE1698" s="87"/>
      <c r="AF1698" s="87"/>
      <c r="AG1698" s="87"/>
      <c r="AH1698" s="87"/>
      <c r="AI1698" s="87"/>
      <c r="AJ1698" s="87"/>
      <c r="AK1698" s="87"/>
      <c r="AL1698" s="87"/>
      <c r="AM1698" s="87"/>
      <c r="AN1698" s="87"/>
      <c r="AO1698" s="87"/>
      <c r="AP1698" s="87"/>
      <c r="AQ1698" s="87"/>
      <c r="AR1698" s="87"/>
      <c r="AS1698" s="87"/>
      <c r="AT1698" s="87"/>
      <c r="AU1698" s="87"/>
      <c r="AV1698" s="87"/>
      <c r="AW1698" s="87"/>
      <c r="AX1698" s="87"/>
      <c r="AY1698" s="87"/>
      <c r="AZ1698" s="87"/>
      <c r="BA1698" s="87"/>
      <c r="BB1698" s="87"/>
      <c r="BC1698" s="87"/>
      <c r="BD1698" s="87"/>
      <c r="BE1698" s="87"/>
      <c r="BF1698" s="87"/>
      <c r="BG1698" s="87"/>
      <c r="BH1698" s="87"/>
      <c r="BI1698" s="87"/>
      <c r="BJ1698" s="87"/>
      <c r="BK1698" s="87"/>
      <c r="BL1698" s="87"/>
      <c r="BM1698" s="87"/>
      <c r="BN1698" s="87"/>
      <c r="BO1698" s="87"/>
      <c r="BP1698" s="87"/>
      <c r="BQ1698" s="87"/>
      <c r="BR1698" s="87"/>
      <c r="BS1698" s="87"/>
      <c r="BT1698" s="87"/>
      <c r="BU1698" s="87"/>
      <c r="BV1698" s="87"/>
      <c r="BW1698" s="87"/>
      <c r="BX1698" s="87"/>
      <c r="BY1698" s="87"/>
    </row>
    <row r="1699" spans="21:77" x14ac:dyDescent="0.3">
      <c r="U1699" s="19"/>
      <c r="V1699" s="87"/>
      <c r="W1699" s="87"/>
      <c r="X1699" s="87"/>
      <c r="Y1699" s="87"/>
      <c r="Z1699" s="87"/>
      <c r="AA1699" s="87"/>
      <c r="AB1699" s="87"/>
      <c r="AC1699" s="87"/>
      <c r="AD1699" s="87"/>
      <c r="AE1699" s="87"/>
      <c r="AF1699" s="87"/>
      <c r="AG1699" s="87"/>
      <c r="AH1699" s="87"/>
      <c r="AI1699" s="87"/>
      <c r="AJ1699" s="87"/>
      <c r="AK1699" s="87"/>
      <c r="AL1699" s="87"/>
      <c r="AM1699" s="87"/>
      <c r="AN1699" s="87"/>
      <c r="AO1699" s="87"/>
      <c r="AP1699" s="87"/>
      <c r="AQ1699" s="87"/>
      <c r="AR1699" s="87"/>
      <c r="AS1699" s="87"/>
      <c r="AT1699" s="87"/>
      <c r="AU1699" s="87"/>
      <c r="AV1699" s="87"/>
      <c r="AW1699" s="87"/>
      <c r="AX1699" s="87"/>
      <c r="AY1699" s="87"/>
      <c r="AZ1699" s="87"/>
      <c r="BA1699" s="87"/>
      <c r="BB1699" s="87"/>
      <c r="BC1699" s="87"/>
      <c r="BD1699" s="87"/>
      <c r="BE1699" s="87"/>
      <c r="BF1699" s="87"/>
      <c r="BG1699" s="87"/>
      <c r="BH1699" s="87"/>
      <c r="BI1699" s="87"/>
      <c r="BJ1699" s="87"/>
      <c r="BK1699" s="87"/>
      <c r="BL1699" s="87"/>
      <c r="BM1699" s="87"/>
      <c r="BN1699" s="87"/>
      <c r="BO1699" s="87"/>
      <c r="BP1699" s="87"/>
      <c r="BQ1699" s="87"/>
      <c r="BR1699" s="87"/>
      <c r="BS1699" s="87"/>
      <c r="BT1699" s="87"/>
      <c r="BU1699" s="87"/>
      <c r="BV1699" s="87"/>
      <c r="BW1699" s="87"/>
      <c r="BX1699" s="87"/>
      <c r="BY1699" s="87"/>
    </row>
    <row r="1700" spans="21:77" x14ac:dyDescent="0.3">
      <c r="U1700" s="19"/>
      <c r="V1700" s="87"/>
      <c r="W1700" s="87"/>
      <c r="X1700" s="87"/>
      <c r="Y1700" s="87"/>
      <c r="Z1700" s="87"/>
      <c r="AA1700" s="87"/>
      <c r="AB1700" s="87"/>
      <c r="AC1700" s="87"/>
      <c r="AD1700" s="87"/>
      <c r="AE1700" s="87"/>
      <c r="AF1700" s="87"/>
      <c r="AG1700" s="87"/>
      <c r="AH1700" s="87"/>
      <c r="AI1700" s="87"/>
      <c r="AJ1700" s="87"/>
      <c r="AK1700" s="87"/>
      <c r="AL1700" s="87"/>
      <c r="AM1700" s="87"/>
      <c r="AN1700" s="87"/>
      <c r="AO1700" s="87"/>
      <c r="AP1700" s="87"/>
      <c r="AQ1700" s="87"/>
      <c r="AR1700" s="87"/>
      <c r="AS1700" s="87"/>
      <c r="AT1700" s="87"/>
      <c r="AU1700" s="87"/>
      <c r="AV1700" s="87"/>
      <c r="AW1700" s="87"/>
      <c r="AX1700" s="87"/>
      <c r="AY1700" s="87"/>
      <c r="AZ1700" s="87"/>
      <c r="BA1700" s="87"/>
      <c r="BB1700" s="87"/>
      <c r="BC1700" s="87"/>
      <c r="BD1700" s="87"/>
      <c r="BE1700" s="87"/>
      <c r="BF1700" s="87"/>
      <c r="BG1700" s="87"/>
      <c r="BH1700" s="87"/>
      <c r="BI1700" s="87"/>
      <c r="BJ1700" s="87"/>
      <c r="BK1700" s="87"/>
      <c r="BL1700" s="87"/>
      <c r="BM1700" s="87"/>
      <c r="BN1700" s="87"/>
      <c r="BO1700" s="87"/>
      <c r="BP1700" s="87"/>
      <c r="BQ1700" s="87"/>
      <c r="BR1700" s="87"/>
      <c r="BS1700" s="87"/>
      <c r="BT1700" s="87"/>
      <c r="BU1700" s="87"/>
      <c r="BV1700" s="87"/>
      <c r="BW1700" s="87"/>
      <c r="BX1700" s="87"/>
      <c r="BY1700" s="87"/>
    </row>
    <row r="1701" spans="21:77" x14ac:dyDescent="0.3">
      <c r="U1701" s="19"/>
      <c r="V1701" s="87"/>
      <c r="W1701" s="87"/>
      <c r="X1701" s="87"/>
      <c r="Y1701" s="87"/>
      <c r="Z1701" s="87"/>
      <c r="AA1701" s="87"/>
      <c r="AB1701" s="87"/>
      <c r="AC1701" s="87"/>
      <c r="AD1701" s="87"/>
      <c r="AE1701" s="87"/>
      <c r="AF1701" s="87"/>
      <c r="AG1701" s="87"/>
      <c r="AH1701" s="87"/>
      <c r="AI1701" s="87"/>
      <c r="AJ1701" s="87"/>
      <c r="AK1701" s="87"/>
      <c r="AL1701" s="87"/>
      <c r="AM1701" s="87"/>
      <c r="AN1701" s="87"/>
      <c r="AO1701" s="87"/>
      <c r="AP1701" s="87"/>
      <c r="AQ1701" s="87"/>
      <c r="AR1701" s="87"/>
      <c r="AS1701" s="87"/>
      <c r="AT1701" s="87"/>
      <c r="AU1701" s="87"/>
      <c r="AV1701" s="87"/>
      <c r="AW1701" s="87"/>
      <c r="AX1701" s="87"/>
      <c r="AY1701" s="87"/>
      <c r="AZ1701" s="87"/>
      <c r="BA1701" s="87"/>
      <c r="BB1701" s="87"/>
      <c r="BC1701" s="87"/>
      <c r="BD1701" s="87"/>
      <c r="BE1701" s="87"/>
      <c r="BF1701" s="87"/>
      <c r="BG1701" s="87"/>
      <c r="BH1701" s="87"/>
      <c r="BI1701" s="87"/>
      <c r="BJ1701" s="87"/>
      <c r="BK1701" s="87"/>
      <c r="BL1701" s="87"/>
      <c r="BM1701" s="87"/>
      <c r="BN1701" s="87"/>
      <c r="BO1701" s="87"/>
      <c r="BP1701" s="87"/>
      <c r="BQ1701" s="87"/>
      <c r="BR1701" s="87"/>
      <c r="BS1701" s="87"/>
      <c r="BT1701" s="87"/>
      <c r="BU1701" s="87"/>
      <c r="BV1701" s="87"/>
      <c r="BW1701" s="87"/>
      <c r="BX1701" s="87"/>
      <c r="BY1701" s="87"/>
    </row>
    <row r="1702" spans="21:77" x14ac:dyDescent="0.3">
      <c r="U1702" s="19"/>
      <c r="V1702" s="87"/>
      <c r="W1702" s="87"/>
      <c r="X1702" s="87"/>
      <c r="Y1702" s="87"/>
      <c r="Z1702" s="87"/>
      <c r="AA1702" s="87"/>
      <c r="AB1702" s="87"/>
      <c r="AC1702" s="87"/>
      <c r="AD1702" s="87"/>
      <c r="AE1702" s="87"/>
      <c r="AF1702" s="87"/>
      <c r="AG1702" s="87"/>
      <c r="AH1702" s="87"/>
      <c r="AI1702" s="87"/>
      <c r="AJ1702" s="87"/>
      <c r="AK1702" s="87"/>
      <c r="AL1702" s="87"/>
      <c r="AM1702" s="87"/>
      <c r="AN1702" s="87"/>
      <c r="AO1702" s="87"/>
      <c r="AP1702" s="87"/>
      <c r="AQ1702" s="87"/>
      <c r="AR1702" s="87"/>
      <c r="AS1702" s="87"/>
      <c r="AT1702" s="87"/>
      <c r="AU1702" s="87"/>
      <c r="AV1702" s="87"/>
      <c r="AW1702" s="87"/>
      <c r="AX1702" s="87"/>
      <c r="AY1702" s="87"/>
      <c r="AZ1702" s="87"/>
      <c r="BA1702" s="87"/>
      <c r="BB1702" s="87"/>
      <c r="BC1702" s="87"/>
      <c r="BD1702" s="87"/>
      <c r="BE1702" s="87"/>
      <c r="BF1702" s="87"/>
      <c r="BG1702" s="87"/>
      <c r="BH1702" s="87"/>
      <c r="BI1702" s="87"/>
      <c r="BJ1702" s="87"/>
      <c r="BK1702" s="87"/>
      <c r="BL1702" s="87"/>
      <c r="BM1702" s="87"/>
      <c r="BN1702" s="87"/>
      <c r="BO1702" s="87"/>
      <c r="BP1702" s="87"/>
      <c r="BQ1702" s="87"/>
      <c r="BR1702" s="87"/>
      <c r="BS1702" s="87"/>
      <c r="BT1702" s="87"/>
      <c r="BU1702" s="87"/>
      <c r="BV1702" s="87"/>
      <c r="BW1702" s="87"/>
      <c r="BX1702" s="87"/>
      <c r="BY1702" s="87"/>
    </row>
    <row r="1703" spans="21:77" x14ac:dyDescent="0.3">
      <c r="U1703" s="19"/>
      <c r="V1703" s="87"/>
      <c r="W1703" s="87"/>
      <c r="X1703" s="87"/>
      <c r="Y1703" s="87"/>
      <c r="Z1703" s="87"/>
      <c r="AA1703" s="87"/>
      <c r="AB1703" s="87"/>
      <c r="AC1703" s="87"/>
      <c r="AD1703" s="87"/>
      <c r="AE1703" s="87"/>
      <c r="AF1703" s="87"/>
      <c r="AG1703" s="87"/>
      <c r="AH1703" s="87"/>
      <c r="AI1703" s="87"/>
      <c r="AJ1703" s="87"/>
      <c r="AK1703" s="87"/>
      <c r="AL1703" s="87"/>
      <c r="AM1703" s="87"/>
      <c r="AN1703" s="87"/>
      <c r="AO1703" s="87"/>
      <c r="AP1703" s="87"/>
      <c r="AQ1703" s="87"/>
      <c r="AR1703" s="87"/>
      <c r="AS1703" s="87"/>
      <c r="AT1703" s="87"/>
      <c r="AU1703" s="87"/>
      <c r="AV1703" s="87"/>
      <c r="AW1703" s="87"/>
      <c r="AX1703" s="87"/>
      <c r="AY1703" s="87"/>
      <c r="AZ1703" s="87"/>
      <c r="BA1703" s="87"/>
      <c r="BB1703" s="87"/>
      <c r="BC1703" s="87"/>
      <c r="BD1703" s="87"/>
      <c r="BE1703" s="87"/>
      <c r="BF1703" s="87"/>
      <c r="BG1703" s="87"/>
      <c r="BH1703" s="87"/>
      <c r="BI1703" s="87"/>
      <c r="BJ1703" s="87"/>
      <c r="BK1703" s="87"/>
      <c r="BL1703" s="87"/>
      <c r="BM1703" s="87"/>
      <c r="BN1703" s="87"/>
      <c r="BO1703" s="87"/>
      <c r="BP1703" s="87"/>
      <c r="BQ1703" s="87"/>
      <c r="BR1703" s="87"/>
      <c r="BS1703" s="87"/>
      <c r="BT1703" s="87"/>
      <c r="BU1703" s="87"/>
      <c r="BV1703" s="87"/>
      <c r="BW1703" s="87"/>
      <c r="BX1703" s="87"/>
      <c r="BY1703" s="87"/>
    </row>
    <row r="1704" spans="21:77" x14ac:dyDescent="0.3">
      <c r="U1704" s="19"/>
      <c r="V1704" s="87"/>
      <c r="W1704" s="87"/>
      <c r="X1704" s="87"/>
      <c r="Y1704" s="87"/>
      <c r="Z1704" s="87"/>
      <c r="AA1704" s="87"/>
      <c r="AB1704" s="87"/>
      <c r="AC1704" s="87"/>
      <c r="AD1704" s="87"/>
      <c r="AE1704" s="87"/>
      <c r="AF1704" s="87"/>
      <c r="AG1704" s="87"/>
      <c r="AH1704" s="87"/>
      <c r="AI1704" s="87"/>
      <c r="AJ1704" s="87"/>
      <c r="AK1704" s="87"/>
      <c r="AL1704" s="87"/>
      <c r="AM1704" s="87"/>
      <c r="AN1704" s="87"/>
      <c r="AO1704" s="87"/>
      <c r="AP1704" s="87"/>
      <c r="AQ1704" s="87"/>
      <c r="AR1704" s="87"/>
      <c r="AS1704" s="87"/>
      <c r="AT1704" s="87"/>
      <c r="AU1704" s="87"/>
      <c r="AV1704" s="87"/>
      <c r="AW1704" s="87"/>
      <c r="AX1704" s="87"/>
      <c r="AY1704" s="87"/>
      <c r="AZ1704" s="87"/>
      <c r="BA1704" s="87"/>
      <c r="BB1704" s="87"/>
      <c r="BC1704" s="87"/>
      <c r="BD1704" s="87"/>
      <c r="BE1704" s="87"/>
      <c r="BF1704" s="87"/>
      <c r="BG1704" s="87"/>
      <c r="BH1704" s="87"/>
      <c r="BI1704" s="87"/>
      <c r="BJ1704" s="87"/>
      <c r="BK1704" s="87"/>
      <c r="BL1704" s="87"/>
      <c r="BM1704" s="87"/>
      <c r="BN1704" s="87"/>
      <c r="BO1704" s="87"/>
      <c r="BP1704" s="87"/>
      <c r="BQ1704" s="87"/>
      <c r="BR1704" s="87"/>
      <c r="BS1704" s="87"/>
      <c r="BT1704" s="87"/>
      <c r="BU1704" s="87"/>
      <c r="BV1704" s="87"/>
      <c r="BW1704" s="87"/>
      <c r="BX1704" s="87"/>
      <c r="BY1704" s="87"/>
    </row>
    <row r="1705" spans="21:77" x14ac:dyDescent="0.3">
      <c r="U1705" s="19"/>
      <c r="V1705" s="87"/>
      <c r="W1705" s="87"/>
      <c r="X1705" s="87"/>
      <c r="Y1705" s="87"/>
      <c r="Z1705" s="87"/>
      <c r="AA1705" s="87"/>
      <c r="AB1705" s="87"/>
      <c r="AC1705" s="87"/>
      <c r="AD1705" s="87"/>
      <c r="AE1705" s="87"/>
      <c r="AF1705" s="87"/>
      <c r="AG1705" s="87"/>
      <c r="AH1705" s="87"/>
      <c r="AI1705" s="87"/>
      <c r="AJ1705" s="87"/>
      <c r="AK1705" s="87"/>
      <c r="AL1705" s="87"/>
      <c r="AM1705" s="87"/>
      <c r="AN1705" s="87"/>
      <c r="AO1705" s="87"/>
      <c r="AP1705" s="87"/>
      <c r="AQ1705" s="87"/>
      <c r="AR1705" s="87"/>
      <c r="AS1705" s="87"/>
      <c r="AT1705" s="87"/>
      <c r="AU1705" s="87"/>
      <c r="AV1705" s="87"/>
      <c r="AW1705" s="87"/>
      <c r="AX1705" s="87"/>
      <c r="AY1705" s="87"/>
      <c r="AZ1705" s="87"/>
      <c r="BA1705" s="87"/>
      <c r="BB1705" s="87"/>
      <c r="BC1705" s="87"/>
      <c r="BD1705" s="87"/>
      <c r="BE1705" s="87"/>
      <c r="BF1705" s="87"/>
      <c r="BG1705" s="87"/>
      <c r="BH1705" s="87"/>
      <c r="BI1705" s="87"/>
      <c r="BJ1705" s="87"/>
      <c r="BK1705" s="87"/>
      <c r="BL1705" s="87"/>
      <c r="BM1705" s="87"/>
      <c r="BN1705" s="87"/>
      <c r="BO1705" s="87"/>
      <c r="BP1705" s="87"/>
      <c r="BQ1705" s="87"/>
      <c r="BR1705" s="87"/>
      <c r="BS1705" s="87"/>
      <c r="BT1705" s="87"/>
      <c r="BU1705" s="87"/>
      <c r="BV1705" s="87"/>
      <c r="BW1705" s="87"/>
      <c r="BX1705" s="87"/>
      <c r="BY1705" s="87"/>
    </row>
    <row r="1706" spans="21:77" x14ac:dyDescent="0.3">
      <c r="U1706" s="19"/>
      <c r="V1706" s="87"/>
      <c r="W1706" s="87"/>
      <c r="X1706" s="87"/>
      <c r="Y1706" s="87"/>
      <c r="Z1706" s="87"/>
      <c r="AA1706" s="87"/>
      <c r="AB1706" s="87"/>
      <c r="AC1706" s="87"/>
      <c r="AD1706" s="87"/>
      <c r="AE1706" s="87"/>
      <c r="AF1706" s="87"/>
      <c r="AG1706" s="87"/>
      <c r="AH1706" s="87"/>
      <c r="AI1706" s="87"/>
      <c r="AJ1706" s="87"/>
      <c r="AK1706" s="87"/>
      <c r="AL1706" s="87"/>
      <c r="AM1706" s="87"/>
      <c r="AN1706" s="87"/>
      <c r="AO1706" s="87"/>
      <c r="AP1706" s="87"/>
      <c r="AQ1706" s="87"/>
      <c r="AR1706" s="87"/>
      <c r="AS1706" s="87"/>
      <c r="AT1706" s="87"/>
      <c r="AU1706" s="87"/>
      <c r="AV1706" s="87"/>
      <c r="AW1706" s="87"/>
      <c r="AX1706" s="87"/>
      <c r="AY1706" s="87"/>
      <c r="AZ1706" s="87"/>
      <c r="BA1706" s="87"/>
      <c r="BB1706" s="87"/>
      <c r="BC1706" s="87"/>
      <c r="BD1706" s="87"/>
      <c r="BE1706" s="87"/>
      <c r="BF1706" s="87"/>
      <c r="BG1706" s="87"/>
      <c r="BH1706" s="87"/>
      <c r="BI1706" s="87"/>
      <c r="BJ1706" s="87"/>
      <c r="BK1706" s="87"/>
      <c r="BL1706" s="87"/>
      <c r="BM1706" s="87"/>
      <c r="BN1706" s="87"/>
      <c r="BO1706" s="87"/>
      <c r="BP1706" s="87"/>
      <c r="BQ1706" s="87"/>
      <c r="BR1706" s="87"/>
      <c r="BS1706" s="87"/>
      <c r="BT1706" s="87"/>
      <c r="BU1706" s="87"/>
      <c r="BV1706" s="87"/>
      <c r="BW1706" s="87"/>
      <c r="BX1706" s="87"/>
      <c r="BY1706" s="87"/>
    </row>
    <row r="1707" spans="21:77" x14ac:dyDescent="0.3">
      <c r="U1707" s="19"/>
      <c r="V1707" s="87"/>
      <c r="W1707" s="87"/>
      <c r="X1707" s="87"/>
      <c r="Y1707" s="87"/>
      <c r="Z1707" s="87"/>
      <c r="AA1707" s="87"/>
      <c r="AB1707" s="87"/>
      <c r="AC1707" s="87"/>
      <c r="AD1707" s="87"/>
      <c r="AE1707" s="87"/>
      <c r="AF1707" s="87"/>
      <c r="AG1707" s="87"/>
      <c r="AH1707" s="87"/>
      <c r="AI1707" s="87"/>
      <c r="AJ1707" s="87"/>
      <c r="AK1707" s="87"/>
      <c r="AL1707" s="87"/>
      <c r="AM1707" s="87"/>
      <c r="AN1707" s="87"/>
      <c r="AO1707" s="87"/>
      <c r="AP1707" s="87"/>
      <c r="AQ1707" s="87"/>
      <c r="AR1707" s="87"/>
      <c r="AS1707" s="87"/>
      <c r="AT1707" s="87"/>
      <c r="AU1707" s="87"/>
      <c r="AV1707" s="87"/>
      <c r="AW1707" s="87"/>
      <c r="AX1707" s="87"/>
      <c r="AY1707" s="87"/>
      <c r="AZ1707" s="87"/>
      <c r="BA1707" s="87"/>
      <c r="BB1707" s="87"/>
      <c r="BC1707" s="87"/>
      <c r="BD1707" s="87"/>
      <c r="BE1707" s="87"/>
      <c r="BF1707" s="87"/>
      <c r="BG1707" s="87"/>
      <c r="BH1707" s="87"/>
      <c r="BI1707" s="87"/>
      <c r="BJ1707" s="87"/>
      <c r="BK1707" s="87"/>
      <c r="BL1707" s="87"/>
      <c r="BM1707" s="87"/>
      <c r="BN1707" s="87"/>
      <c r="BO1707" s="87"/>
      <c r="BP1707" s="87"/>
      <c r="BQ1707" s="87"/>
      <c r="BR1707" s="87"/>
      <c r="BS1707" s="87"/>
      <c r="BT1707" s="87"/>
      <c r="BU1707" s="87"/>
      <c r="BV1707" s="87"/>
      <c r="BW1707" s="87"/>
      <c r="BX1707" s="87"/>
      <c r="BY1707" s="87"/>
    </row>
    <row r="1708" spans="21:77" x14ac:dyDescent="0.3">
      <c r="U1708" s="19"/>
      <c r="V1708" s="87"/>
      <c r="W1708" s="87"/>
      <c r="X1708" s="87"/>
      <c r="Y1708" s="87"/>
      <c r="Z1708" s="87"/>
      <c r="AA1708" s="87"/>
      <c r="AB1708" s="87"/>
      <c r="AC1708" s="87"/>
      <c r="AD1708" s="87"/>
      <c r="AE1708" s="87"/>
      <c r="AF1708" s="87"/>
      <c r="AG1708" s="87"/>
      <c r="AH1708" s="87"/>
      <c r="AI1708" s="87"/>
      <c r="AJ1708" s="87"/>
      <c r="AK1708" s="87"/>
      <c r="AL1708" s="87"/>
      <c r="AM1708" s="87"/>
      <c r="AN1708" s="87"/>
      <c r="AO1708" s="87"/>
      <c r="AP1708" s="87"/>
      <c r="AQ1708" s="87"/>
      <c r="AR1708" s="87"/>
      <c r="AS1708" s="87"/>
      <c r="AT1708" s="87"/>
      <c r="AU1708" s="87"/>
      <c r="AV1708" s="87"/>
      <c r="AW1708" s="87"/>
      <c r="AX1708" s="87"/>
      <c r="AY1708" s="87"/>
      <c r="AZ1708" s="87"/>
      <c r="BA1708" s="87"/>
      <c r="BB1708" s="87"/>
      <c r="BC1708" s="87"/>
      <c r="BD1708" s="87"/>
      <c r="BE1708" s="87"/>
      <c r="BF1708" s="87"/>
      <c r="BG1708" s="87"/>
      <c r="BH1708" s="87"/>
      <c r="BI1708" s="87"/>
      <c r="BJ1708" s="87"/>
      <c r="BK1708" s="87"/>
      <c r="BL1708" s="87"/>
      <c r="BM1708" s="87"/>
      <c r="BN1708" s="87"/>
      <c r="BO1708" s="87"/>
      <c r="BP1708" s="87"/>
      <c r="BQ1708" s="87"/>
      <c r="BR1708" s="87"/>
      <c r="BS1708" s="87"/>
      <c r="BT1708" s="87"/>
      <c r="BU1708" s="87"/>
      <c r="BV1708" s="87"/>
      <c r="BW1708" s="87"/>
      <c r="BX1708" s="87"/>
      <c r="BY1708" s="87"/>
    </row>
    <row r="1709" spans="21:77" x14ac:dyDescent="0.3">
      <c r="U1709" s="19"/>
      <c r="V1709" s="87"/>
      <c r="W1709" s="87"/>
      <c r="X1709" s="87"/>
      <c r="Y1709" s="87"/>
      <c r="Z1709" s="87"/>
      <c r="AA1709" s="87"/>
      <c r="AB1709" s="87"/>
      <c r="AC1709" s="87"/>
      <c r="AD1709" s="87"/>
      <c r="AE1709" s="87"/>
      <c r="AF1709" s="87"/>
      <c r="AG1709" s="87"/>
      <c r="AH1709" s="87"/>
      <c r="AI1709" s="87"/>
      <c r="AJ1709" s="87"/>
      <c r="AK1709" s="87"/>
      <c r="AL1709" s="87"/>
      <c r="AM1709" s="87"/>
      <c r="AN1709" s="87"/>
      <c r="AO1709" s="87"/>
      <c r="AP1709" s="87"/>
      <c r="AQ1709" s="87"/>
      <c r="AR1709" s="87"/>
      <c r="AS1709" s="87"/>
      <c r="AT1709" s="87"/>
      <c r="AU1709" s="87"/>
      <c r="AV1709" s="87"/>
      <c r="AW1709" s="87"/>
      <c r="AX1709" s="87"/>
      <c r="AY1709" s="87"/>
      <c r="AZ1709" s="87"/>
      <c r="BA1709" s="87"/>
      <c r="BB1709" s="87"/>
      <c r="BC1709" s="87"/>
      <c r="BD1709" s="87"/>
      <c r="BE1709" s="87"/>
      <c r="BF1709" s="87"/>
      <c r="BG1709" s="87"/>
      <c r="BH1709" s="87"/>
      <c r="BI1709" s="87"/>
      <c r="BJ1709" s="87"/>
      <c r="BK1709" s="87"/>
      <c r="BL1709" s="87"/>
      <c r="BM1709" s="87"/>
      <c r="BN1709" s="87"/>
      <c r="BO1709" s="87"/>
      <c r="BP1709" s="87"/>
      <c r="BQ1709" s="87"/>
      <c r="BR1709" s="87"/>
      <c r="BS1709" s="87"/>
      <c r="BT1709" s="87"/>
      <c r="BU1709" s="87"/>
      <c r="BV1709" s="87"/>
      <c r="BW1709" s="87"/>
      <c r="BX1709" s="87"/>
      <c r="BY1709" s="87"/>
    </row>
    <row r="1710" spans="21:77" x14ac:dyDescent="0.3">
      <c r="U1710" s="19"/>
      <c r="V1710" s="87"/>
      <c r="W1710" s="87"/>
      <c r="X1710" s="87"/>
      <c r="Y1710" s="87"/>
      <c r="Z1710" s="87"/>
      <c r="AA1710" s="87"/>
      <c r="AB1710" s="87"/>
      <c r="AC1710" s="87"/>
      <c r="AD1710" s="87"/>
      <c r="AE1710" s="87"/>
      <c r="AF1710" s="87"/>
      <c r="AG1710" s="87"/>
      <c r="AH1710" s="87"/>
      <c r="AI1710" s="87"/>
      <c r="AJ1710" s="87"/>
      <c r="AK1710" s="87"/>
      <c r="AL1710" s="87"/>
      <c r="AM1710" s="87"/>
      <c r="AN1710" s="87"/>
      <c r="AO1710" s="87"/>
      <c r="AP1710" s="87"/>
      <c r="AQ1710" s="87"/>
      <c r="AR1710" s="87"/>
      <c r="AS1710" s="87"/>
      <c r="AT1710" s="87"/>
      <c r="AU1710" s="87"/>
      <c r="AV1710" s="87"/>
      <c r="AW1710" s="87"/>
      <c r="AX1710" s="87"/>
      <c r="AY1710" s="87"/>
      <c r="AZ1710" s="87"/>
      <c r="BA1710" s="87"/>
      <c r="BB1710" s="87"/>
      <c r="BC1710" s="87"/>
      <c r="BD1710" s="87"/>
      <c r="BE1710" s="87"/>
      <c r="BF1710" s="87"/>
      <c r="BG1710" s="87"/>
      <c r="BH1710" s="87"/>
      <c r="BI1710" s="87"/>
      <c r="BJ1710" s="87"/>
      <c r="BK1710" s="87"/>
      <c r="BL1710" s="87"/>
      <c r="BM1710" s="87"/>
      <c r="BN1710" s="87"/>
      <c r="BO1710" s="87"/>
      <c r="BP1710" s="87"/>
      <c r="BQ1710" s="87"/>
      <c r="BR1710" s="87"/>
      <c r="BS1710" s="87"/>
      <c r="BT1710" s="87"/>
      <c r="BU1710" s="87"/>
      <c r="BV1710" s="87"/>
      <c r="BW1710" s="87"/>
      <c r="BX1710" s="87"/>
      <c r="BY1710" s="87"/>
    </row>
    <row r="1711" spans="21:77" x14ac:dyDescent="0.3">
      <c r="U1711" s="19"/>
      <c r="V1711" s="87"/>
      <c r="W1711" s="87"/>
      <c r="X1711" s="87"/>
      <c r="Y1711" s="87"/>
      <c r="Z1711" s="87"/>
      <c r="AA1711" s="87"/>
      <c r="AB1711" s="87"/>
      <c r="AC1711" s="87"/>
      <c r="AD1711" s="87"/>
      <c r="AE1711" s="87"/>
      <c r="AF1711" s="87"/>
      <c r="AG1711" s="87"/>
      <c r="AH1711" s="87"/>
      <c r="AI1711" s="87"/>
      <c r="AJ1711" s="87"/>
      <c r="AK1711" s="87"/>
      <c r="AL1711" s="87"/>
      <c r="AM1711" s="87"/>
      <c r="AN1711" s="87"/>
      <c r="AO1711" s="87"/>
      <c r="AP1711" s="87"/>
      <c r="AQ1711" s="87"/>
      <c r="AR1711" s="87"/>
      <c r="AS1711" s="87"/>
      <c r="AT1711" s="87"/>
      <c r="AU1711" s="87"/>
      <c r="AV1711" s="87"/>
      <c r="AW1711" s="87"/>
      <c r="AX1711" s="87"/>
      <c r="AY1711" s="87"/>
      <c r="AZ1711" s="87"/>
      <c r="BA1711" s="87"/>
      <c r="BB1711" s="87"/>
      <c r="BC1711" s="87"/>
      <c r="BD1711" s="87"/>
      <c r="BE1711" s="87"/>
      <c r="BF1711" s="87"/>
      <c r="BG1711" s="87"/>
      <c r="BH1711" s="87"/>
      <c r="BI1711" s="87"/>
      <c r="BJ1711" s="87"/>
      <c r="BK1711" s="87"/>
      <c r="BL1711" s="87"/>
      <c r="BM1711" s="87"/>
      <c r="BN1711" s="87"/>
      <c r="BO1711" s="87"/>
      <c r="BP1711" s="87"/>
      <c r="BQ1711" s="87"/>
      <c r="BR1711" s="87"/>
      <c r="BS1711" s="87"/>
      <c r="BT1711" s="87"/>
      <c r="BU1711" s="87"/>
      <c r="BV1711" s="87"/>
      <c r="BW1711" s="87"/>
      <c r="BX1711" s="87"/>
      <c r="BY1711" s="87"/>
    </row>
    <row r="1712" spans="21:77" x14ac:dyDescent="0.3">
      <c r="U1712" s="19"/>
      <c r="V1712" s="87"/>
      <c r="W1712" s="87"/>
      <c r="X1712" s="87"/>
      <c r="Y1712" s="87"/>
      <c r="Z1712" s="87"/>
      <c r="AA1712" s="87"/>
      <c r="AB1712" s="87"/>
      <c r="AC1712" s="87"/>
      <c r="AD1712" s="87"/>
      <c r="AE1712" s="87"/>
      <c r="AF1712" s="87"/>
      <c r="AG1712" s="87"/>
      <c r="AH1712" s="87"/>
      <c r="AI1712" s="87"/>
      <c r="AJ1712" s="87"/>
      <c r="AK1712" s="87"/>
      <c r="AL1712" s="87"/>
      <c r="AM1712" s="87"/>
      <c r="AN1712" s="87"/>
      <c r="AO1712" s="87"/>
      <c r="AP1712" s="87"/>
      <c r="AQ1712" s="87"/>
      <c r="AR1712" s="87"/>
      <c r="AS1712" s="87"/>
      <c r="AT1712" s="87"/>
      <c r="AU1712" s="87"/>
      <c r="AV1712" s="87"/>
      <c r="AW1712" s="87"/>
      <c r="AX1712" s="87"/>
      <c r="AY1712" s="87"/>
      <c r="AZ1712" s="87"/>
      <c r="BA1712" s="87"/>
      <c r="BB1712" s="87"/>
      <c r="BC1712" s="87"/>
      <c r="BD1712" s="87"/>
      <c r="BE1712" s="87"/>
      <c r="BF1712" s="87"/>
      <c r="BG1712" s="87"/>
      <c r="BH1712" s="87"/>
      <c r="BI1712" s="87"/>
      <c r="BJ1712" s="87"/>
      <c r="BK1712" s="87"/>
      <c r="BL1712" s="87"/>
      <c r="BM1712" s="87"/>
      <c r="BN1712" s="87"/>
      <c r="BO1712" s="87"/>
      <c r="BP1712" s="87"/>
      <c r="BQ1712" s="87"/>
      <c r="BR1712" s="87"/>
      <c r="BS1712" s="87"/>
      <c r="BT1712" s="87"/>
      <c r="BU1712" s="87"/>
      <c r="BV1712" s="87"/>
      <c r="BW1712" s="87"/>
      <c r="BX1712" s="87"/>
      <c r="BY1712" s="87"/>
    </row>
    <row r="1713" spans="21:77" x14ac:dyDescent="0.3">
      <c r="U1713" s="19"/>
      <c r="V1713" s="87"/>
      <c r="W1713" s="87"/>
      <c r="X1713" s="87"/>
      <c r="Y1713" s="87"/>
      <c r="Z1713" s="87"/>
      <c r="AA1713" s="87"/>
      <c r="AB1713" s="87"/>
      <c r="AC1713" s="87"/>
      <c r="AD1713" s="87"/>
      <c r="AE1713" s="87"/>
      <c r="AF1713" s="87"/>
      <c r="AG1713" s="87"/>
      <c r="AH1713" s="87"/>
      <c r="AI1713" s="87"/>
      <c r="AJ1713" s="87"/>
      <c r="AK1713" s="87"/>
      <c r="AL1713" s="87"/>
      <c r="AM1713" s="87"/>
      <c r="AN1713" s="87"/>
      <c r="AO1713" s="87"/>
      <c r="AP1713" s="87"/>
      <c r="AQ1713" s="87"/>
      <c r="AR1713" s="87"/>
      <c r="AS1713" s="87"/>
      <c r="AT1713" s="87"/>
      <c r="AU1713" s="87"/>
      <c r="AV1713" s="87"/>
      <c r="AW1713" s="87"/>
      <c r="AX1713" s="87"/>
      <c r="AY1713" s="87"/>
      <c r="AZ1713" s="87"/>
      <c r="BA1713" s="87"/>
      <c r="BB1713" s="87"/>
      <c r="BC1713" s="87"/>
      <c r="BD1713" s="87"/>
      <c r="BE1713" s="87"/>
      <c r="BF1713" s="87"/>
      <c r="BG1713" s="87"/>
      <c r="BH1713" s="87"/>
      <c r="BI1713" s="87"/>
      <c r="BJ1713" s="87"/>
      <c r="BK1713" s="87"/>
      <c r="BL1713" s="87"/>
      <c r="BM1713" s="87"/>
      <c r="BN1713" s="87"/>
      <c r="BO1713" s="87"/>
      <c r="BP1713" s="87"/>
      <c r="BQ1713" s="87"/>
      <c r="BR1713" s="87"/>
      <c r="BS1713" s="87"/>
      <c r="BT1713" s="87"/>
      <c r="BU1713" s="87"/>
      <c r="BV1713" s="87"/>
      <c r="BW1713" s="87"/>
      <c r="BX1713" s="87"/>
      <c r="BY1713" s="87"/>
    </row>
    <row r="1714" spans="21:77" x14ac:dyDescent="0.3">
      <c r="U1714" s="19"/>
      <c r="V1714" s="87"/>
      <c r="W1714" s="87"/>
      <c r="X1714" s="87"/>
      <c r="Y1714" s="87"/>
      <c r="Z1714" s="87"/>
      <c r="AA1714" s="87"/>
      <c r="AB1714" s="87"/>
      <c r="AC1714" s="87"/>
      <c r="AD1714" s="87"/>
      <c r="AE1714" s="87"/>
      <c r="AF1714" s="87"/>
      <c r="AG1714" s="87"/>
      <c r="AH1714" s="87"/>
      <c r="AI1714" s="87"/>
      <c r="AJ1714" s="87"/>
      <c r="AK1714" s="87"/>
      <c r="AL1714" s="87"/>
      <c r="AM1714" s="87"/>
      <c r="AN1714" s="87"/>
      <c r="AO1714" s="87"/>
      <c r="AP1714" s="87"/>
      <c r="AQ1714" s="87"/>
      <c r="AR1714" s="87"/>
      <c r="AS1714" s="87"/>
      <c r="AT1714" s="87"/>
      <c r="AU1714" s="87"/>
      <c r="AV1714" s="87"/>
      <c r="AW1714" s="87"/>
      <c r="AX1714" s="87"/>
      <c r="AY1714" s="87"/>
      <c r="AZ1714" s="87"/>
      <c r="BA1714" s="87"/>
      <c r="BB1714" s="87"/>
      <c r="BC1714" s="87"/>
      <c r="BD1714" s="87"/>
      <c r="BE1714" s="87"/>
      <c r="BF1714" s="87"/>
      <c r="BG1714" s="87"/>
      <c r="BH1714" s="87"/>
      <c r="BI1714" s="87"/>
      <c r="BJ1714" s="87"/>
      <c r="BK1714" s="87"/>
      <c r="BL1714" s="87"/>
      <c r="BM1714" s="87"/>
      <c r="BN1714" s="87"/>
      <c r="BO1714" s="87"/>
      <c r="BP1714" s="87"/>
      <c r="BQ1714" s="87"/>
      <c r="BR1714" s="87"/>
      <c r="BS1714" s="87"/>
      <c r="BT1714" s="87"/>
      <c r="BU1714" s="87"/>
      <c r="BV1714" s="87"/>
      <c r="BW1714" s="87"/>
      <c r="BX1714" s="87"/>
      <c r="BY1714" s="87"/>
    </row>
    <row r="1715" spans="21:77" x14ac:dyDescent="0.3">
      <c r="U1715" s="19"/>
      <c r="V1715" s="87"/>
      <c r="W1715" s="87"/>
      <c r="X1715" s="87"/>
      <c r="Y1715" s="87"/>
      <c r="Z1715" s="87"/>
      <c r="AA1715" s="87"/>
      <c r="AB1715" s="87"/>
      <c r="AC1715" s="87"/>
      <c r="AD1715" s="87"/>
      <c r="AE1715" s="87"/>
      <c r="AF1715" s="87"/>
      <c r="AG1715" s="87"/>
      <c r="AH1715" s="87"/>
      <c r="AI1715" s="87"/>
      <c r="AJ1715" s="87"/>
      <c r="AK1715" s="87"/>
      <c r="AL1715" s="87"/>
      <c r="AM1715" s="87"/>
      <c r="AN1715" s="87"/>
      <c r="AO1715" s="87"/>
      <c r="AP1715" s="87"/>
      <c r="AQ1715" s="87"/>
      <c r="AR1715" s="87"/>
      <c r="AS1715" s="87"/>
      <c r="AT1715" s="87"/>
      <c r="AU1715" s="87"/>
      <c r="AV1715" s="87"/>
      <c r="AW1715" s="87"/>
      <c r="AX1715" s="87"/>
      <c r="AY1715" s="87"/>
      <c r="AZ1715" s="87"/>
      <c r="BA1715" s="87"/>
      <c r="BB1715" s="87"/>
      <c r="BC1715" s="87"/>
      <c r="BD1715" s="87"/>
      <c r="BE1715" s="87"/>
      <c r="BF1715" s="87"/>
      <c r="BG1715" s="87"/>
      <c r="BH1715" s="87"/>
      <c r="BI1715" s="87"/>
      <c r="BJ1715" s="87"/>
      <c r="BK1715" s="87"/>
      <c r="BL1715" s="87"/>
      <c r="BM1715" s="87"/>
      <c r="BN1715" s="87"/>
      <c r="BO1715" s="87"/>
      <c r="BP1715" s="87"/>
      <c r="BQ1715" s="87"/>
      <c r="BR1715" s="87"/>
      <c r="BS1715" s="87"/>
      <c r="BT1715" s="87"/>
      <c r="BU1715" s="87"/>
      <c r="BV1715" s="87"/>
      <c r="BW1715" s="87"/>
      <c r="BX1715" s="87"/>
      <c r="BY1715" s="87"/>
    </row>
    <row r="1716" spans="21:77" x14ac:dyDescent="0.3">
      <c r="U1716" s="19"/>
      <c r="V1716" s="87"/>
      <c r="W1716" s="87"/>
      <c r="X1716" s="87"/>
      <c r="Y1716" s="87"/>
      <c r="Z1716" s="87"/>
      <c r="AA1716" s="87"/>
      <c r="AB1716" s="87"/>
      <c r="AC1716" s="87"/>
      <c r="AD1716" s="87"/>
      <c r="AE1716" s="87"/>
      <c r="AF1716" s="87"/>
      <c r="AG1716" s="87"/>
      <c r="AH1716" s="87"/>
      <c r="AI1716" s="87"/>
      <c r="AJ1716" s="87"/>
      <c r="AK1716" s="87"/>
      <c r="AL1716" s="87"/>
      <c r="AM1716" s="87"/>
      <c r="AN1716" s="87"/>
      <c r="AO1716" s="87"/>
      <c r="AP1716" s="87"/>
      <c r="AQ1716" s="87"/>
      <c r="AR1716" s="87"/>
      <c r="AS1716" s="87"/>
      <c r="AT1716" s="87"/>
      <c r="AU1716" s="87"/>
      <c r="AV1716" s="87"/>
      <c r="AW1716" s="87"/>
      <c r="AX1716" s="87"/>
      <c r="AY1716" s="87"/>
      <c r="AZ1716" s="87"/>
      <c r="BA1716" s="87"/>
      <c r="BB1716" s="87"/>
      <c r="BC1716" s="87"/>
      <c r="BD1716" s="87"/>
      <c r="BE1716" s="87"/>
      <c r="BF1716" s="87"/>
      <c r="BG1716" s="87"/>
      <c r="BH1716" s="87"/>
      <c r="BI1716" s="87"/>
      <c r="BJ1716" s="87"/>
      <c r="BK1716" s="87"/>
      <c r="BL1716" s="87"/>
      <c r="BM1716" s="87"/>
      <c r="BN1716" s="87"/>
      <c r="BO1716" s="87"/>
      <c r="BP1716" s="87"/>
      <c r="BQ1716" s="87"/>
      <c r="BR1716" s="87"/>
      <c r="BS1716" s="87"/>
      <c r="BT1716" s="87"/>
      <c r="BU1716" s="87"/>
      <c r="BV1716" s="87"/>
      <c r="BW1716" s="87"/>
      <c r="BX1716" s="87"/>
      <c r="BY1716" s="87"/>
    </row>
    <row r="1717" spans="21:77" x14ac:dyDescent="0.3">
      <c r="U1717" s="19"/>
      <c r="V1717" s="87"/>
      <c r="W1717" s="87"/>
      <c r="X1717" s="87"/>
      <c r="Y1717" s="87"/>
      <c r="Z1717" s="87"/>
      <c r="AA1717" s="87"/>
      <c r="AB1717" s="87"/>
      <c r="AC1717" s="87"/>
      <c r="AD1717" s="87"/>
      <c r="AE1717" s="87"/>
      <c r="AF1717" s="87"/>
      <c r="AG1717" s="87"/>
      <c r="AH1717" s="87"/>
      <c r="AI1717" s="87"/>
      <c r="AJ1717" s="87"/>
      <c r="AK1717" s="87"/>
      <c r="AL1717" s="87"/>
      <c r="AM1717" s="87"/>
      <c r="AN1717" s="87"/>
      <c r="AO1717" s="87"/>
      <c r="AP1717" s="87"/>
      <c r="AQ1717" s="87"/>
      <c r="AR1717" s="87"/>
      <c r="AS1717" s="87"/>
      <c r="AT1717" s="87"/>
      <c r="AU1717" s="87"/>
      <c r="AV1717" s="87"/>
      <c r="AW1717" s="87"/>
      <c r="AX1717" s="87"/>
      <c r="AY1717" s="87"/>
      <c r="AZ1717" s="87"/>
      <c r="BA1717" s="87"/>
      <c r="BB1717" s="87"/>
      <c r="BC1717" s="87"/>
      <c r="BD1717" s="87"/>
      <c r="BE1717" s="87"/>
      <c r="BF1717" s="87"/>
      <c r="BG1717" s="87"/>
      <c r="BH1717" s="87"/>
      <c r="BI1717" s="87"/>
      <c r="BJ1717" s="87"/>
      <c r="BK1717" s="87"/>
      <c r="BL1717" s="87"/>
      <c r="BM1717" s="87"/>
      <c r="BN1717" s="87"/>
      <c r="BO1717" s="87"/>
      <c r="BP1717" s="87"/>
      <c r="BQ1717" s="87"/>
      <c r="BR1717" s="87"/>
      <c r="BS1717" s="87"/>
      <c r="BT1717" s="87"/>
      <c r="BU1717" s="87"/>
      <c r="BV1717" s="87"/>
      <c r="BW1717" s="87"/>
      <c r="BX1717" s="87"/>
      <c r="BY1717" s="87"/>
    </row>
    <row r="1718" spans="21:77" x14ac:dyDescent="0.3">
      <c r="U1718" s="19"/>
      <c r="V1718" s="87"/>
      <c r="W1718" s="87"/>
      <c r="X1718" s="87"/>
      <c r="Y1718" s="87"/>
      <c r="Z1718" s="87"/>
      <c r="AA1718" s="87"/>
      <c r="AB1718" s="87"/>
      <c r="AC1718" s="87"/>
      <c r="AD1718" s="87"/>
      <c r="AE1718" s="87"/>
      <c r="AF1718" s="87"/>
      <c r="AG1718" s="87"/>
      <c r="AH1718" s="87"/>
      <c r="AI1718" s="87"/>
      <c r="AJ1718" s="87"/>
      <c r="AK1718" s="87"/>
      <c r="AL1718" s="87"/>
      <c r="AM1718" s="87"/>
      <c r="AN1718" s="87"/>
      <c r="AO1718" s="87"/>
      <c r="AP1718" s="87"/>
      <c r="AQ1718" s="87"/>
      <c r="AR1718" s="87"/>
      <c r="AS1718" s="87"/>
      <c r="AT1718" s="87"/>
      <c r="AU1718" s="87"/>
      <c r="AV1718" s="87"/>
      <c r="AW1718" s="87"/>
      <c r="AX1718" s="87"/>
      <c r="AY1718" s="87"/>
      <c r="AZ1718" s="87"/>
      <c r="BA1718" s="87"/>
      <c r="BB1718" s="87"/>
      <c r="BC1718" s="87"/>
      <c r="BD1718" s="87"/>
      <c r="BE1718" s="87"/>
      <c r="BF1718" s="87"/>
      <c r="BG1718" s="87"/>
      <c r="BH1718" s="87"/>
      <c r="BI1718" s="87"/>
      <c r="BJ1718" s="87"/>
      <c r="BK1718" s="87"/>
      <c r="BL1718" s="87"/>
      <c r="BM1718" s="87"/>
      <c r="BN1718" s="87"/>
      <c r="BO1718" s="87"/>
      <c r="BP1718" s="87"/>
      <c r="BQ1718" s="87"/>
      <c r="BR1718" s="87"/>
      <c r="BS1718" s="87"/>
      <c r="BT1718" s="87"/>
      <c r="BU1718" s="87"/>
      <c r="BV1718" s="87"/>
      <c r="BW1718" s="87"/>
      <c r="BX1718" s="87"/>
      <c r="BY1718" s="87"/>
    </row>
    <row r="1719" spans="21:77" x14ac:dyDescent="0.3">
      <c r="U1719" s="19"/>
      <c r="V1719" s="87"/>
      <c r="W1719" s="87"/>
      <c r="X1719" s="87"/>
      <c r="Y1719" s="87"/>
      <c r="Z1719" s="87"/>
      <c r="AA1719" s="87"/>
      <c r="AB1719" s="87"/>
      <c r="AC1719" s="87"/>
      <c r="AD1719" s="87"/>
      <c r="AE1719" s="87"/>
      <c r="AF1719" s="87"/>
      <c r="AG1719" s="87"/>
      <c r="AH1719" s="87"/>
      <c r="AI1719" s="87"/>
      <c r="AJ1719" s="87"/>
      <c r="AK1719" s="87"/>
      <c r="AL1719" s="87"/>
      <c r="AM1719" s="87"/>
      <c r="AN1719" s="87"/>
      <c r="AO1719" s="87"/>
      <c r="AP1719" s="87"/>
      <c r="AQ1719" s="87"/>
      <c r="AR1719" s="87"/>
      <c r="AS1719" s="87"/>
      <c r="AT1719" s="87"/>
      <c r="AU1719" s="87"/>
      <c r="AV1719" s="87"/>
      <c r="AW1719" s="87"/>
      <c r="AX1719" s="87"/>
      <c r="AY1719" s="87"/>
      <c r="AZ1719" s="87"/>
      <c r="BA1719" s="87"/>
      <c r="BB1719" s="87"/>
      <c r="BC1719" s="87"/>
      <c r="BD1719" s="87"/>
      <c r="BE1719" s="87"/>
      <c r="BF1719" s="87"/>
      <c r="BG1719" s="87"/>
      <c r="BH1719" s="87"/>
      <c r="BI1719" s="87"/>
      <c r="BJ1719" s="87"/>
      <c r="BK1719" s="87"/>
      <c r="BL1719" s="87"/>
      <c r="BM1719" s="87"/>
      <c r="BN1719" s="87"/>
      <c r="BO1719" s="87"/>
      <c r="BP1719" s="87"/>
      <c r="BQ1719" s="87"/>
      <c r="BR1719" s="87"/>
      <c r="BS1719" s="87"/>
      <c r="BT1719" s="87"/>
      <c r="BU1719" s="87"/>
      <c r="BV1719" s="87"/>
      <c r="BW1719" s="87"/>
      <c r="BX1719" s="87"/>
      <c r="BY1719" s="87"/>
    </row>
    <row r="1720" spans="21:77" x14ac:dyDescent="0.3">
      <c r="U1720" s="19"/>
      <c r="V1720" s="87"/>
      <c r="W1720" s="87"/>
      <c r="X1720" s="87"/>
      <c r="Y1720" s="87"/>
      <c r="Z1720" s="87"/>
      <c r="AA1720" s="87"/>
      <c r="AB1720" s="87"/>
      <c r="AC1720" s="87"/>
      <c r="AD1720" s="87"/>
      <c r="AE1720" s="87"/>
      <c r="AF1720" s="87"/>
      <c r="AG1720" s="87"/>
      <c r="AH1720" s="87"/>
      <c r="AI1720" s="87"/>
      <c r="AJ1720" s="87"/>
      <c r="AK1720" s="87"/>
      <c r="AL1720" s="87"/>
      <c r="AM1720" s="87"/>
      <c r="AN1720" s="87"/>
      <c r="AO1720" s="87"/>
      <c r="AP1720" s="87"/>
      <c r="AQ1720" s="87"/>
      <c r="AR1720" s="87"/>
      <c r="AS1720" s="87"/>
      <c r="AT1720" s="87"/>
      <c r="AU1720" s="87"/>
      <c r="AV1720" s="87"/>
      <c r="AW1720" s="87"/>
      <c r="AX1720" s="87"/>
      <c r="AY1720" s="87"/>
      <c r="AZ1720" s="87"/>
      <c r="BA1720" s="87"/>
      <c r="BB1720" s="87"/>
      <c r="BC1720" s="87"/>
      <c r="BD1720" s="87"/>
      <c r="BE1720" s="87"/>
      <c r="BF1720" s="87"/>
      <c r="BG1720" s="87"/>
      <c r="BH1720" s="87"/>
      <c r="BI1720" s="87"/>
      <c r="BJ1720" s="87"/>
      <c r="BK1720" s="87"/>
      <c r="BL1720" s="87"/>
      <c r="BM1720" s="87"/>
      <c r="BN1720" s="87"/>
      <c r="BO1720" s="87"/>
      <c r="BP1720" s="87"/>
      <c r="BQ1720" s="87"/>
      <c r="BR1720" s="87"/>
      <c r="BS1720" s="87"/>
      <c r="BT1720" s="87"/>
      <c r="BU1720" s="87"/>
      <c r="BV1720" s="87"/>
      <c r="BW1720" s="87"/>
      <c r="BX1720" s="87"/>
      <c r="BY1720" s="87"/>
    </row>
    <row r="1721" spans="21:77" x14ac:dyDescent="0.3">
      <c r="U1721" s="19"/>
      <c r="V1721" s="87"/>
      <c r="W1721" s="87"/>
      <c r="X1721" s="87"/>
      <c r="Y1721" s="87"/>
      <c r="Z1721" s="87"/>
      <c r="AA1721" s="87"/>
      <c r="AB1721" s="87"/>
      <c r="AC1721" s="87"/>
      <c r="AD1721" s="87"/>
      <c r="AE1721" s="87"/>
      <c r="AF1721" s="87"/>
      <c r="AG1721" s="87"/>
      <c r="AH1721" s="87"/>
      <c r="AI1721" s="87"/>
      <c r="AJ1721" s="87"/>
      <c r="AK1721" s="87"/>
      <c r="AL1721" s="87"/>
      <c r="AM1721" s="87"/>
      <c r="AN1721" s="87"/>
      <c r="AO1721" s="87"/>
      <c r="AP1721" s="87"/>
      <c r="AQ1721" s="87"/>
      <c r="AR1721" s="87"/>
      <c r="AS1721" s="87"/>
      <c r="AT1721" s="87"/>
      <c r="AU1721" s="87"/>
      <c r="AV1721" s="87"/>
      <c r="AW1721" s="87"/>
      <c r="AX1721" s="87"/>
      <c r="AY1721" s="87"/>
      <c r="AZ1721" s="87"/>
      <c r="BA1721" s="87"/>
      <c r="BB1721" s="87"/>
      <c r="BC1721" s="87"/>
      <c r="BD1721" s="87"/>
      <c r="BE1721" s="87"/>
      <c r="BF1721" s="87"/>
      <c r="BG1721" s="87"/>
      <c r="BH1721" s="87"/>
      <c r="BI1721" s="87"/>
      <c r="BJ1721" s="87"/>
      <c r="BK1721" s="87"/>
      <c r="BL1721" s="87"/>
      <c r="BM1721" s="87"/>
      <c r="BN1721" s="87"/>
      <c r="BO1721" s="87"/>
      <c r="BP1721" s="87"/>
      <c r="BQ1721" s="87"/>
      <c r="BR1721" s="87"/>
      <c r="BS1721" s="87"/>
      <c r="BT1721" s="87"/>
      <c r="BU1721" s="87"/>
      <c r="BV1721" s="87"/>
      <c r="BW1721" s="87"/>
      <c r="BX1721" s="87"/>
      <c r="BY1721" s="87"/>
    </row>
    <row r="1722" spans="21:77" x14ac:dyDescent="0.3">
      <c r="U1722" s="19"/>
      <c r="V1722" s="87"/>
      <c r="W1722" s="87"/>
      <c r="X1722" s="87"/>
      <c r="Y1722" s="87"/>
      <c r="Z1722" s="87"/>
      <c r="AA1722" s="87"/>
      <c r="AB1722" s="87"/>
      <c r="AC1722" s="87"/>
      <c r="AD1722" s="87"/>
      <c r="AE1722" s="87"/>
      <c r="AF1722" s="87"/>
      <c r="AG1722" s="87"/>
      <c r="AH1722" s="87"/>
      <c r="AI1722" s="87"/>
      <c r="AJ1722" s="87"/>
      <c r="AK1722" s="87"/>
      <c r="AL1722" s="87"/>
      <c r="AM1722" s="87"/>
      <c r="AN1722" s="87"/>
      <c r="AO1722" s="87"/>
      <c r="AP1722" s="87"/>
      <c r="AQ1722" s="87"/>
      <c r="AR1722" s="87"/>
      <c r="AS1722" s="87"/>
      <c r="AT1722" s="87"/>
      <c r="AU1722" s="87"/>
      <c r="AV1722" s="87"/>
      <c r="AW1722" s="87"/>
      <c r="AX1722" s="87"/>
      <c r="AY1722" s="87"/>
      <c r="AZ1722" s="87"/>
      <c r="BA1722" s="87"/>
      <c r="BB1722" s="87"/>
      <c r="BC1722" s="87"/>
      <c r="BD1722" s="87"/>
      <c r="BE1722" s="87"/>
      <c r="BF1722" s="87"/>
      <c r="BG1722" s="87"/>
      <c r="BH1722" s="87"/>
      <c r="BI1722" s="87"/>
      <c r="BJ1722" s="87"/>
      <c r="BK1722" s="87"/>
      <c r="BL1722" s="87"/>
      <c r="BM1722" s="87"/>
      <c r="BN1722" s="87"/>
      <c r="BO1722" s="87"/>
      <c r="BP1722" s="87"/>
      <c r="BQ1722" s="87"/>
      <c r="BR1722" s="87"/>
      <c r="BS1722" s="87"/>
      <c r="BT1722" s="87"/>
      <c r="BU1722" s="87"/>
      <c r="BV1722" s="87"/>
      <c r="BW1722" s="87"/>
      <c r="BX1722" s="87"/>
      <c r="BY1722" s="87"/>
    </row>
    <row r="1723" spans="21:77" x14ac:dyDescent="0.3">
      <c r="U1723" s="19"/>
      <c r="V1723" s="87"/>
      <c r="W1723" s="87"/>
      <c r="X1723" s="87"/>
      <c r="Y1723" s="87"/>
      <c r="Z1723" s="87"/>
      <c r="AA1723" s="87"/>
      <c r="AB1723" s="87"/>
      <c r="AC1723" s="87"/>
      <c r="AD1723" s="87"/>
      <c r="AE1723" s="87"/>
      <c r="AF1723" s="87"/>
      <c r="AG1723" s="87"/>
      <c r="AH1723" s="87"/>
      <c r="AI1723" s="87"/>
      <c r="AJ1723" s="87"/>
      <c r="AK1723" s="87"/>
      <c r="AL1723" s="87"/>
      <c r="AM1723" s="87"/>
      <c r="AN1723" s="87"/>
      <c r="AO1723" s="87"/>
      <c r="AP1723" s="87"/>
      <c r="AQ1723" s="87"/>
      <c r="AR1723" s="87"/>
      <c r="AS1723" s="87"/>
      <c r="AT1723" s="87"/>
      <c r="AU1723" s="87"/>
      <c r="AV1723" s="87"/>
      <c r="AW1723" s="87"/>
      <c r="AX1723" s="87"/>
      <c r="AY1723" s="87"/>
      <c r="AZ1723" s="87"/>
      <c r="BA1723" s="87"/>
      <c r="BB1723" s="87"/>
      <c r="BC1723" s="87"/>
      <c r="BD1723" s="87"/>
      <c r="BE1723" s="87"/>
      <c r="BF1723" s="87"/>
      <c r="BG1723" s="87"/>
      <c r="BH1723" s="87"/>
      <c r="BI1723" s="87"/>
      <c r="BJ1723" s="87"/>
      <c r="BK1723" s="87"/>
      <c r="BL1723" s="87"/>
      <c r="BM1723" s="87"/>
      <c r="BN1723" s="87"/>
      <c r="BO1723" s="87"/>
      <c r="BP1723" s="87"/>
      <c r="BQ1723" s="87"/>
      <c r="BR1723" s="87"/>
      <c r="BS1723" s="87"/>
      <c r="BT1723" s="87"/>
      <c r="BU1723" s="87"/>
      <c r="BV1723" s="87"/>
      <c r="BW1723" s="87"/>
      <c r="BX1723" s="87"/>
      <c r="BY1723" s="87"/>
    </row>
    <row r="1724" spans="21:77" x14ac:dyDescent="0.3">
      <c r="U1724" s="19"/>
      <c r="V1724" s="87"/>
      <c r="W1724" s="87"/>
      <c r="X1724" s="87"/>
      <c r="Y1724" s="87"/>
      <c r="Z1724" s="87"/>
      <c r="AA1724" s="87"/>
      <c r="AB1724" s="87"/>
      <c r="AC1724" s="87"/>
      <c r="AD1724" s="87"/>
      <c r="AE1724" s="87"/>
      <c r="AF1724" s="87"/>
      <c r="AG1724" s="87"/>
      <c r="AH1724" s="87"/>
      <c r="AI1724" s="87"/>
      <c r="AJ1724" s="87"/>
      <c r="AK1724" s="87"/>
      <c r="AL1724" s="87"/>
      <c r="AM1724" s="87"/>
      <c r="AN1724" s="87"/>
      <c r="AO1724" s="87"/>
      <c r="AP1724" s="87"/>
      <c r="AQ1724" s="87"/>
      <c r="AR1724" s="87"/>
      <c r="AS1724" s="87"/>
      <c r="AT1724" s="87"/>
      <c r="AU1724" s="87"/>
      <c r="AV1724" s="87"/>
      <c r="AW1724" s="87"/>
      <c r="AX1724" s="87"/>
      <c r="AY1724" s="87"/>
      <c r="AZ1724" s="87"/>
      <c r="BA1724" s="87"/>
      <c r="BB1724" s="87"/>
      <c r="BC1724" s="87"/>
      <c r="BD1724" s="87"/>
      <c r="BE1724" s="87"/>
      <c r="BF1724" s="87"/>
      <c r="BG1724" s="87"/>
      <c r="BH1724" s="87"/>
      <c r="BI1724" s="87"/>
      <c r="BJ1724" s="87"/>
      <c r="BK1724" s="87"/>
      <c r="BL1724" s="87"/>
      <c r="BM1724" s="87"/>
      <c r="BN1724" s="87"/>
      <c r="BO1724" s="87"/>
      <c r="BP1724" s="87"/>
      <c r="BQ1724" s="87"/>
      <c r="BR1724" s="87"/>
      <c r="BS1724" s="87"/>
      <c r="BT1724" s="87"/>
      <c r="BU1724" s="87"/>
      <c r="BV1724" s="87"/>
      <c r="BW1724" s="87"/>
      <c r="BX1724" s="87"/>
      <c r="BY1724" s="87"/>
    </row>
    <row r="1725" spans="21:77" x14ac:dyDescent="0.3">
      <c r="U1725" s="19"/>
      <c r="V1725" s="87"/>
      <c r="W1725" s="87"/>
      <c r="X1725" s="87"/>
      <c r="Y1725" s="87"/>
      <c r="Z1725" s="87"/>
      <c r="AA1725" s="87"/>
      <c r="AB1725" s="87"/>
      <c r="AC1725" s="87"/>
      <c r="AD1725" s="87"/>
      <c r="AE1725" s="87"/>
      <c r="AF1725" s="87"/>
      <c r="AG1725" s="87"/>
      <c r="AH1725" s="87"/>
      <c r="AI1725" s="87"/>
      <c r="AJ1725" s="87"/>
      <c r="AK1725" s="87"/>
      <c r="AL1725" s="87"/>
      <c r="AM1725" s="87"/>
      <c r="AN1725" s="87"/>
      <c r="AO1725" s="87"/>
      <c r="AP1725" s="87"/>
      <c r="AQ1725" s="87"/>
      <c r="AR1725" s="87"/>
      <c r="AS1725" s="87"/>
      <c r="AT1725" s="87"/>
      <c r="AU1725" s="87"/>
      <c r="AV1725" s="87"/>
      <c r="AW1725" s="87"/>
      <c r="AX1725" s="87"/>
      <c r="AY1725" s="87"/>
      <c r="AZ1725" s="87"/>
      <c r="BA1725" s="87"/>
      <c r="BB1725" s="87"/>
      <c r="BC1725" s="87"/>
      <c r="BD1725" s="87"/>
      <c r="BE1725" s="87"/>
      <c r="BF1725" s="87"/>
      <c r="BG1725" s="87"/>
      <c r="BH1725" s="87"/>
      <c r="BI1725" s="87"/>
      <c r="BJ1725" s="87"/>
      <c r="BK1725" s="87"/>
      <c r="BL1725" s="87"/>
      <c r="BM1725" s="87"/>
      <c r="BN1725" s="87"/>
      <c r="BO1725" s="87"/>
      <c r="BP1725" s="87"/>
      <c r="BQ1725" s="87"/>
      <c r="BR1725" s="87"/>
      <c r="BS1725" s="87"/>
      <c r="BT1725" s="87"/>
      <c r="BU1725" s="87"/>
      <c r="BV1725" s="87"/>
      <c r="BW1725" s="87"/>
      <c r="BX1725" s="87"/>
      <c r="BY1725" s="87"/>
    </row>
    <row r="1726" spans="21:77" x14ac:dyDescent="0.3">
      <c r="U1726" s="19"/>
      <c r="V1726" s="87"/>
      <c r="W1726" s="87"/>
      <c r="X1726" s="87"/>
      <c r="Y1726" s="87"/>
      <c r="Z1726" s="87"/>
      <c r="AA1726" s="87"/>
      <c r="AB1726" s="87"/>
      <c r="AC1726" s="87"/>
      <c r="AD1726" s="87"/>
      <c r="AE1726" s="87"/>
      <c r="AF1726" s="87"/>
      <c r="AG1726" s="87"/>
      <c r="AH1726" s="87"/>
      <c r="AI1726" s="87"/>
      <c r="AJ1726" s="87"/>
      <c r="AK1726" s="87"/>
      <c r="AL1726" s="87"/>
      <c r="AM1726" s="87"/>
      <c r="AN1726" s="87"/>
      <c r="AO1726" s="87"/>
      <c r="AP1726" s="87"/>
      <c r="AQ1726" s="87"/>
      <c r="AR1726" s="87"/>
      <c r="AS1726" s="87"/>
      <c r="AT1726" s="87"/>
      <c r="AU1726" s="87"/>
      <c r="AV1726" s="87"/>
      <c r="AW1726" s="87"/>
      <c r="AX1726" s="87"/>
      <c r="AY1726" s="87"/>
      <c r="AZ1726" s="87"/>
      <c r="BA1726" s="87"/>
      <c r="BB1726" s="87"/>
      <c r="BC1726" s="87"/>
      <c r="BD1726" s="87"/>
      <c r="BE1726" s="87"/>
      <c r="BF1726" s="87"/>
      <c r="BG1726" s="87"/>
      <c r="BH1726" s="87"/>
      <c r="BI1726" s="87"/>
      <c r="BJ1726" s="87"/>
      <c r="BK1726" s="87"/>
      <c r="BL1726" s="87"/>
      <c r="BM1726" s="87"/>
      <c r="BN1726" s="87"/>
      <c r="BO1726" s="87"/>
      <c r="BP1726" s="87"/>
      <c r="BQ1726" s="87"/>
      <c r="BR1726" s="87"/>
      <c r="BS1726" s="87"/>
      <c r="BT1726" s="87"/>
      <c r="BU1726" s="87"/>
      <c r="BV1726" s="87"/>
      <c r="BW1726" s="87"/>
      <c r="BX1726" s="87"/>
      <c r="BY1726" s="87"/>
    </row>
    <row r="1727" spans="21:77" x14ac:dyDescent="0.3">
      <c r="U1727" s="19"/>
      <c r="V1727" s="87"/>
      <c r="W1727" s="87"/>
      <c r="X1727" s="87"/>
      <c r="Y1727" s="87"/>
      <c r="Z1727" s="87"/>
      <c r="AA1727" s="87"/>
      <c r="AB1727" s="87"/>
      <c r="AC1727" s="87"/>
      <c r="AD1727" s="87"/>
      <c r="AE1727" s="87"/>
      <c r="AF1727" s="87"/>
      <c r="AG1727" s="87"/>
      <c r="AH1727" s="87"/>
      <c r="AI1727" s="87"/>
      <c r="AJ1727" s="87"/>
      <c r="AK1727" s="87"/>
      <c r="AL1727" s="87"/>
      <c r="AM1727" s="87"/>
      <c r="AN1727" s="87"/>
      <c r="AO1727" s="87"/>
      <c r="AP1727" s="87"/>
      <c r="AQ1727" s="87"/>
      <c r="AR1727" s="87"/>
      <c r="AS1727" s="87"/>
      <c r="AT1727" s="87"/>
      <c r="AU1727" s="87"/>
      <c r="AV1727" s="87"/>
      <c r="AW1727" s="87"/>
      <c r="AX1727" s="87"/>
      <c r="AY1727" s="87"/>
      <c r="AZ1727" s="87"/>
      <c r="BA1727" s="87"/>
      <c r="BB1727" s="87"/>
      <c r="BC1727" s="87"/>
      <c r="BD1727" s="87"/>
      <c r="BE1727" s="87"/>
      <c r="BF1727" s="87"/>
      <c r="BG1727" s="87"/>
      <c r="BH1727" s="87"/>
      <c r="BI1727" s="87"/>
      <c r="BJ1727" s="87"/>
      <c r="BK1727" s="87"/>
      <c r="BL1727" s="87"/>
      <c r="BM1727" s="87"/>
      <c r="BN1727" s="87"/>
      <c r="BO1727" s="87"/>
      <c r="BP1727" s="87"/>
      <c r="BQ1727" s="87"/>
      <c r="BR1727" s="87"/>
      <c r="BS1727" s="87"/>
      <c r="BT1727" s="87"/>
      <c r="BU1727" s="87"/>
      <c r="BV1727" s="87"/>
      <c r="BW1727" s="87"/>
      <c r="BX1727" s="87"/>
      <c r="BY1727" s="87"/>
    </row>
    <row r="1728" spans="21:77" x14ac:dyDescent="0.3">
      <c r="U1728" s="19"/>
      <c r="V1728" s="87"/>
      <c r="W1728" s="87"/>
      <c r="X1728" s="87"/>
      <c r="Y1728" s="87"/>
      <c r="Z1728" s="87"/>
      <c r="AA1728" s="87"/>
      <c r="AB1728" s="87"/>
      <c r="AC1728" s="87"/>
      <c r="AD1728" s="87"/>
      <c r="AE1728" s="87"/>
      <c r="AF1728" s="87"/>
      <c r="AG1728" s="87"/>
      <c r="AH1728" s="87"/>
      <c r="AI1728" s="87"/>
      <c r="AJ1728" s="87"/>
      <c r="AK1728" s="87"/>
      <c r="AL1728" s="87"/>
      <c r="AM1728" s="87"/>
      <c r="AN1728" s="87"/>
      <c r="AO1728" s="87"/>
      <c r="AP1728" s="87"/>
      <c r="AQ1728" s="87"/>
      <c r="AR1728" s="87"/>
      <c r="AS1728" s="87"/>
      <c r="AT1728" s="87"/>
      <c r="AU1728" s="87"/>
      <c r="AV1728" s="87"/>
      <c r="AW1728" s="87"/>
      <c r="AX1728" s="87"/>
      <c r="AY1728" s="87"/>
      <c r="AZ1728" s="87"/>
      <c r="BA1728" s="87"/>
      <c r="BB1728" s="87"/>
      <c r="BC1728" s="87"/>
      <c r="BD1728" s="87"/>
      <c r="BE1728" s="87"/>
      <c r="BF1728" s="87"/>
      <c r="BG1728" s="87"/>
      <c r="BH1728" s="87"/>
      <c r="BI1728" s="87"/>
      <c r="BJ1728" s="87"/>
      <c r="BK1728" s="87"/>
      <c r="BL1728" s="87"/>
      <c r="BM1728" s="87"/>
      <c r="BN1728" s="87"/>
      <c r="BO1728" s="87"/>
      <c r="BP1728" s="87"/>
      <c r="BQ1728" s="87"/>
      <c r="BR1728" s="87"/>
      <c r="BS1728" s="87"/>
      <c r="BT1728" s="87"/>
      <c r="BU1728" s="87"/>
      <c r="BV1728" s="87"/>
      <c r="BW1728" s="87"/>
      <c r="BX1728" s="87"/>
      <c r="BY1728" s="87"/>
    </row>
    <row r="1729" spans="21:77" x14ac:dyDescent="0.3">
      <c r="U1729" s="19"/>
      <c r="V1729" s="87"/>
      <c r="W1729" s="87"/>
      <c r="X1729" s="87"/>
      <c r="Y1729" s="87"/>
      <c r="Z1729" s="87"/>
      <c r="AA1729" s="87"/>
      <c r="AB1729" s="87"/>
      <c r="AC1729" s="87"/>
      <c r="AD1729" s="87"/>
      <c r="AE1729" s="87"/>
      <c r="AF1729" s="87"/>
      <c r="AG1729" s="87"/>
      <c r="AH1729" s="87"/>
      <c r="AI1729" s="87"/>
      <c r="AJ1729" s="87"/>
      <c r="AK1729" s="87"/>
      <c r="AL1729" s="87"/>
      <c r="AM1729" s="87"/>
      <c r="AN1729" s="87"/>
      <c r="AO1729" s="87"/>
      <c r="AP1729" s="87"/>
      <c r="AQ1729" s="87"/>
      <c r="AR1729" s="87"/>
      <c r="AS1729" s="87"/>
      <c r="AT1729" s="87"/>
      <c r="AU1729" s="87"/>
      <c r="AV1729" s="87"/>
      <c r="AW1729" s="87"/>
      <c r="AX1729" s="87"/>
      <c r="AY1729" s="87"/>
      <c r="AZ1729" s="87"/>
      <c r="BA1729" s="87"/>
      <c r="BB1729" s="87"/>
      <c r="BC1729" s="87"/>
      <c r="BD1729" s="87"/>
      <c r="BE1729" s="87"/>
      <c r="BF1729" s="87"/>
      <c r="BG1729" s="87"/>
      <c r="BH1729" s="87"/>
      <c r="BI1729" s="87"/>
      <c r="BJ1729" s="87"/>
      <c r="BK1729" s="87"/>
      <c r="BL1729" s="87"/>
      <c r="BM1729" s="87"/>
      <c r="BN1729" s="87"/>
      <c r="BO1729" s="87"/>
      <c r="BP1729" s="87"/>
      <c r="BQ1729" s="87"/>
      <c r="BR1729" s="87"/>
      <c r="BS1729" s="87"/>
      <c r="BT1729" s="87"/>
      <c r="BU1729" s="87"/>
      <c r="BV1729" s="87"/>
      <c r="BW1729" s="87"/>
      <c r="BX1729" s="87"/>
      <c r="BY1729" s="87"/>
    </row>
    <row r="1730" spans="21:77" x14ac:dyDescent="0.3">
      <c r="U1730" s="19"/>
      <c r="V1730" s="87"/>
      <c r="W1730" s="87"/>
      <c r="X1730" s="87"/>
      <c r="Y1730" s="87"/>
      <c r="Z1730" s="87"/>
      <c r="AA1730" s="87"/>
      <c r="AB1730" s="87"/>
      <c r="AC1730" s="87"/>
      <c r="AD1730" s="87"/>
      <c r="AE1730" s="87"/>
      <c r="AF1730" s="87"/>
      <c r="AG1730" s="87"/>
      <c r="AH1730" s="87"/>
      <c r="AI1730" s="87"/>
      <c r="AJ1730" s="87"/>
      <c r="AK1730" s="87"/>
      <c r="AL1730" s="87"/>
      <c r="AM1730" s="87"/>
      <c r="AN1730" s="87"/>
      <c r="AO1730" s="87"/>
      <c r="AP1730" s="87"/>
      <c r="AQ1730" s="87"/>
      <c r="AR1730" s="87"/>
      <c r="AS1730" s="87"/>
      <c r="AT1730" s="87"/>
      <c r="AU1730" s="87"/>
      <c r="AV1730" s="87"/>
      <c r="AW1730" s="87"/>
      <c r="AX1730" s="87"/>
      <c r="AY1730" s="87"/>
      <c r="AZ1730" s="87"/>
      <c r="BA1730" s="87"/>
      <c r="BB1730" s="87"/>
      <c r="BC1730" s="87"/>
      <c r="BD1730" s="87"/>
      <c r="BE1730" s="87"/>
      <c r="BF1730" s="87"/>
      <c r="BG1730" s="87"/>
      <c r="BH1730" s="87"/>
      <c r="BI1730" s="87"/>
      <c r="BJ1730" s="87"/>
      <c r="BK1730" s="87"/>
      <c r="BL1730" s="87"/>
      <c r="BM1730" s="87"/>
      <c r="BN1730" s="87"/>
      <c r="BO1730" s="87"/>
      <c r="BP1730" s="87"/>
      <c r="BQ1730" s="87"/>
      <c r="BR1730" s="87"/>
      <c r="BS1730" s="87"/>
      <c r="BT1730" s="87"/>
      <c r="BU1730" s="87"/>
      <c r="BV1730" s="87"/>
      <c r="BW1730" s="87"/>
      <c r="BX1730" s="87"/>
      <c r="BY1730" s="87"/>
    </row>
    <row r="1731" spans="21:77" x14ac:dyDescent="0.3">
      <c r="U1731" s="19"/>
      <c r="V1731" s="87"/>
      <c r="W1731" s="87"/>
      <c r="X1731" s="87"/>
      <c r="Y1731" s="87"/>
      <c r="Z1731" s="87"/>
      <c r="AA1731" s="87"/>
      <c r="AB1731" s="87"/>
      <c r="AC1731" s="87"/>
      <c r="AD1731" s="87"/>
      <c r="AE1731" s="87"/>
      <c r="AF1731" s="87"/>
      <c r="AG1731" s="87"/>
      <c r="AH1731" s="87"/>
      <c r="AI1731" s="87"/>
      <c r="AJ1731" s="87"/>
      <c r="AK1731" s="87"/>
      <c r="AL1731" s="87"/>
      <c r="AM1731" s="87"/>
      <c r="AN1731" s="87"/>
      <c r="AO1731" s="87"/>
      <c r="AP1731" s="87"/>
      <c r="AQ1731" s="87"/>
      <c r="AR1731" s="87"/>
      <c r="AS1731" s="87"/>
      <c r="AT1731" s="87"/>
      <c r="AU1731" s="87"/>
      <c r="AV1731" s="87"/>
      <c r="AW1731" s="87"/>
      <c r="AX1731" s="87"/>
      <c r="AY1731" s="87"/>
      <c r="AZ1731" s="87"/>
      <c r="BA1731" s="87"/>
      <c r="BB1731" s="87"/>
      <c r="BC1731" s="87"/>
      <c r="BD1731" s="87"/>
      <c r="BE1731" s="87"/>
      <c r="BF1731" s="87"/>
      <c r="BG1731" s="87"/>
      <c r="BH1731" s="87"/>
      <c r="BI1731" s="87"/>
      <c r="BJ1731" s="87"/>
      <c r="BK1731" s="87"/>
      <c r="BL1731" s="87"/>
      <c r="BM1731" s="87"/>
      <c r="BN1731" s="87"/>
      <c r="BO1731" s="87"/>
      <c r="BP1731" s="87"/>
      <c r="BQ1731" s="87"/>
      <c r="BR1731" s="87"/>
      <c r="BS1731" s="87"/>
      <c r="BT1731" s="87"/>
      <c r="BU1731" s="87"/>
      <c r="BV1731" s="87"/>
      <c r="BW1731" s="87"/>
      <c r="BX1731" s="87"/>
      <c r="BY1731" s="87"/>
    </row>
    <row r="1732" spans="21:77" x14ac:dyDescent="0.3">
      <c r="U1732" s="19"/>
      <c r="V1732" s="87"/>
      <c r="W1732" s="87"/>
      <c r="X1732" s="87"/>
      <c r="Y1732" s="87"/>
      <c r="Z1732" s="87"/>
      <c r="AA1732" s="87"/>
      <c r="AB1732" s="87"/>
      <c r="AC1732" s="87"/>
      <c r="AD1732" s="87"/>
      <c r="AE1732" s="87"/>
      <c r="AF1732" s="87"/>
      <c r="AG1732" s="87"/>
      <c r="AH1732" s="87"/>
      <c r="AI1732" s="87"/>
      <c r="AJ1732" s="87"/>
      <c r="AK1732" s="87"/>
      <c r="AL1732" s="87"/>
      <c r="AM1732" s="87"/>
      <c r="AN1732" s="87"/>
      <c r="AO1732" s="87"/>
      <c r="AP1732" s="87"/>
      <c r="AQ1732" s="87"/>
      <c r="AR1732" s="87"/>
      <c r="AS1732" s="87"/>
      <c r="AT1732" s="87"/>
      <c r="AU1732" s="87"/>
      <c r="AV1732" s="87"/>
      <c r="AW1732" s="87"/>
      <c r="AX1732" s="87"/>
      <c r="AY1732" s="87"/>
      <c r="AZ1732" s="87"/>
      <c r="BA1732" s="87"/>
      <c r="BB1732" s="87"/>
      <c r="BC1732" s="87"/>
      <c r="BD1732" s="87"/>
      <c r="BE1732" s="87"/>
      <c r="BF1732" s="87"/>
      <c r="BG1732" s="87"/>
      <c r="BH1732" s="87"/>
      <c r="BI1732" s="87"/>
      <c r="BJ1732" s="87"/>
      <c r="BK1732" s="87"/>
      <c r="BL1732" s="87"/>
      <c r="BM1732" s="87"/>
      <c r="BN1732" s="87"/>
      <c r="BO1732" s="87"/>
      <c r="BP1732" s="87"/>
      <c r="BQ1732" s="87"/>
      <c r="BR1732" s="87"/>
      <c r="BS1732" s="87"/>
      <c r="BT1732" s="87"/>
      <c r="BU1732" s="87"/>
      <c r="BV1732" s="87"/>
      <c r="BW1732" s="87"/>
      <c r="BX1732" s="87"/>
      <c r="BY1732" s="87"/>
    </row>
    <row r="1733" spans="21:77" x14ac:dyDescent="0.3">
      <c r="U1733" s="19"/>
      <c r="V1733" s="87"/>
      <c r="W1733" s="87"/>
      <c r="X1733" s="87"/>
      <c r="Y1733" s="87"/>
      <c r="Z1733" s="87"/>
      <c r="AA1733" s="87"/>
      <c r="AB1733" s="87"/>
      <c r="AC1733" s="87"/>
      <c r="AD1733" s="87"/>
      <c r="AE1733" s="87"/>
      <c r="AF1733" s="87"/>
      <c r="AG1733" s="87"/>
      <c r="AH1733" s="87"/>
      <c r="AI1733" s="87"/>
      <c r="AJ1733" s="87"/>
      <c r="AK1733" s="87"/>
      <c r="AL1733" s="87"/>
      <c r="AM1733" s="87"/>
      <c r="AN1733" s="87"/>
      <c r="AO1733" s="87"/>
      <c r="AP1733" s="87"/>
      <c r="AQ1733" s="87"/>
      <c r="AR1733" s="87"/>
      <c r="AS1733" s="87"/>
      <c r="AT1733" s="87"/>
      <c r="AU1733" s="87"/>
      <c r="AV1733" s="87"/>
      <c r="AW1733" s="87"/>
      <c r="AX1733" s="87"/>
      <c r="AY1733" s="87"/>
      <c r="AZ1733" s="87"/>
      <c r="BA1733" s="87"/>
      <c r="BB1733" s="87"/>
      <c r="BC1733" s="87"/>
      <c r="BD1733" s="87"/>
      <c r="BE1733" s="87"/>
      <c r="BF1733" s="87"/>
      <c r="BG1733" s="87"/>
      <c r="BH1733" s="87"/>
      <c r="BI1733" s="87"/>
      <c r="BJ1733" s="87"/>
      <c r="BK1733" s="87"/>
      <c r="BL1733" s="87"/>
      <c r="BM1733" s="87"/>
      <c r="BN1733" s="87"/>
      <c r="BO1733" s="87"/>
      <c r="BP1733" s="87"/>
      <c r="BQ1733" s="87"/>
      <c r="BR1733" s="87"/>
      <c r="BS1733" s="87"/>
      <c r="BT1733" s="87"/>
      <c r="BU1733" s="87"/>
      <c r="BV1733" s="87"/>
      <c r="BW1733" s="87"/>
      <c r="BX1733" s="87"/>
      <c r="BY1733" s="87"/>
    </row>
    <row r="1734" spans="21:77" x14ac:dyDescent="0.3">
      <c r="U1734" s="19"/>
      <c r="V1734" s="87"/>
      <c r="W1734" s="87"/>
      <c r="X1734" s="87"/>
      <c r="Y1734" s="87"/>
      <c r="Z1734" s="87"/>
      <c r="AA1734" s="87"/>
      <c r="AB1734" s="87"/>
      <c r="AC1734" s="87"/>
      <c r="AD1734" s="87"/>
      <c r="AE1734" s="87"/>
      <c r="AF1734" s="87"/>
      <c r="AG1734" s="87"/>
      <c r="AH1734" s="87"/>
      <c r="AI1734" s="87"/>
      <c r="AJ1734" s="87"/>
      <c r="AK1734" s="87"/>
      <c r="AL1734" s="87"/>
      <c r="AM1734" s="87"/>
      <c r="AN1734" s="87"/>
      <c r="AO1734" s="87"/>
      <c r="AP1734" s="87"/>
      <c r="AQ1734" s="87"/>
      <c r="AR1734" s="87"/>
      <c r="AS1734" s="87"/>
      <c r="AT1734" s="87"/>
      <c r="AU1734" s="87"/>
      <c r="AV1734" s="87"/>
      <c r="AW1734" s="87"/>
      <c r="AX1734" s="87"/>
      <c r="AY1734" s="87"/>
      <c r="AZ1734" s="87"/>
      <c r="BA1734" s="87"/>
      <c r="BB1734" s="87"/>
      <c r="BC1734" s="87"/>
      <c r="BD1734" s="87"/>
      <c r="BE1734" s="87"/>
      <c r="BF1734" s="87"/>
      <c r="BG1734" s="87"/>
      <c r="BH1734" s="87"/>
      <c r="BI1734" s="87"/>
      <c r="BJ1734" s="87"/>
      <c r="BK1734" s="87"/>
      <c r="BL1734" s="87"/>
      <c r="BM1734" s="87"/>
      <c r="BN1734" s="87"/>
      <c r="BO1734" s="87"/>
      <c r="BP1734" s="87"/>
      <c r="BQ1734" s="87"/>
      <c r="BR1734" s="87"/>
      <c r="BS1734" s="87"/>
      <c r="BT1734" s="87"/>
      <c r="BU1734" s="87"/>
      <c r="BV1734" s="87"/>
      <c r="BW1734" s="87"/>
      <c r="BX1734" s="87"/>
      <c r="BY1734" s="87"/>
    </row>
    <row r="1735" spans="21:77" x14ac:dyDescent="0.3">
      <c r="U1735" s="19"/>
      <c r="V1735" s="87"/>
      <c r="W1735" s="87"/>
      <c r="X1735" s="87"/>
      <c r="Y1735" s="87"/>
      <c r="Z1735" s="87"/>
      <c r="AA1735" s="87"/>
      <c r="AB1735" s="87"/>
      <c r="AC1735" s="87"/>
      <c r="AD1735" s="87"/>
      <c r="AE1735" s="87"/>
      <c r="AF1735" s="87"/>
      <c r="AG1735" s="87"/>
      <c r="AH1735" s="87"/>
      <c r="AI1735" s="87"/>
      <c r="AJ1735" s="87"/>
      <c r="AK1735" s="87"/>
      <c r="AL1735" s="87"/>
      <c r="AM1735" s="87"/>
      <c r="AN1735" s="87"/>
      <c r="AO1735" s="87"/>
      <c r="AP1735" s="87"/>
      <c r="AQ1735" s="87"/>
      <c r="AR1735" s="87"/>
      <c r="AS1735" s="87"/>
      <c r="AT1735" s="87"/>
      <c r="AU1735" s="87"/>
      <c r="AV1735" s="87"/>
      <c r="AW1735" s="87"/>
      <c r="AX1735" s="87"/>
      <c r="AY1735" s="87"/>
      <c r="AZ1735" s="87"/>
      <c r="BA1735" s="87"/>
      <c r="BB1735" s="87"/>
      <c r="BC1735" s="87"/>
      <c r="BD1735" s="87"/>
      <c r="BE1735" s="87"/>
      <c r="BF1735" s="87"/>
      <c r="BG1735" s="87"/>
      <c r="BH1735" s="87"/>
      <c r="BI1735" s="87"/>
      <c r="BJ1735" s="87"/>
      <c r="BK1735" s="87"/>
      <c r="BL1735" s="87"/>
      <c r="BM1735" s="87"/>
      <c r="BN1735" s="87"/>
      <c r="BO1735" s="87"/>
      <c r="BP1735" s="87"/>
      <c r="BQ1735" s="87"/>
      <c r="BR1735" s="87"/>
      <c r="BS1735" s="87"/>
      <c r="BT1735" s="87"/>
      <c r="BU1735" s="87"/>
      <c r="BV1735" s="87"/>
      <c r="BW1735" s="87"/>
      <c r="BX1735" s="87"/>
      <c r="BY1735" s="87"/>
    </row>
    <row r="1736" spans="21:77" x14ac:dyDescent="0.3">
      <c r="U1736" s="19"/>
      <c r="V1736" s="87"/>
      <c r="W1736" s="87"/>
      <c r="X1736" s="87"/>
      <c r="Y1736" s="87"/>
      <c r="Z1736" s="87"/>
      <c r="AA1736" s="87"/>
      <c r="AB1736" s="87"/>
      <c r="AC1736" s="87"/>
      <c r="AD1736" s="87"/>
      <c r="AE1736" s="87"/>
      <c r="AF1736" s="87"/>
      <c r="AG1736" s="87"/>
      <c r="AH1736" s="87"/>
      <c r="AI1736" s="87"/>
      <c r="AJ1736" s="87"/>
      <c r="AK1736" s="87"/>
      <c r="AL1736" s="87"/>
      <c r="AM1736" s="87"/>
      <c r="AN1736" s="87"/>
      <c r="AO1736" s="87"/>
      <c r="AP1736" s="87"/>
      <c r="AQ1736" s="87"/>
      <c r="AR1736" s="87"/>
      <c r="AS1736" s="87"/>
      <c r="AT1736" s="87"/>
      <c r="AU1736" s="87"/>
      <c r="AV1736" s="87"/>
      <c r="AW1736" s="87"/>
      <c r="AX1736" s="87"/>
      <c r="AY1736" s="87"/>
      <c r="AZ1736" s="87"/>
      <c r="BA1736" s="87"/>
      <c r="BB1736" s="87"/>
      <c r="BC1736" s="87"/>
      <c r="BD1736" s="87"/>
      <c r="BE1736" s="87"/>
      <c r="BF1736" s="87"/>
      <c r="BG1736" s="87"/>
      <c r="BH1736" s="87"/>
      <c r="BI1736" s="87"/>
      <c r="BJ1736" s="87"/>
      <c r="BK1736" s="87"/>
      <c r="BL1736" s="87"/>
      <c r="BM1736" s="87"/>
      <c r="BN1736" s="87"/>
      <c r="BO1736" s="87"/>
      <c r="BP1736" s="87"/>
      <c r="BQ1736" s="87"/>
      <c r="BR1736" s="87"/>
      <c r="BS1736" s="87"/>
      <c r="BT1736" s="87"/>
      <c r="BU1736" s="87"/>
      <c r="BV1736" s="87"/>
      <c r="BW1736" s="87"/>
      <c r="BX1736" s="87"/>
      <c r="BY1736" s="87"/>
    </row>
    <row r="1737" spans="21:77" x14ac:dyDescent="0.3">
      <c r="U1737" s="19"/>
      <c r="V1737" s="87"/>
      <c r="W1737" s="87"/>
      <c r="X1737" s="87"/>
      <c r="Y1737" s="87"/>
      <c r="Z1737" s="87"/>
      <c r="AA1737" s="87"/>
      <c r="AB1737" s="87"/>
      <c r="AC1737" s="87"/>
      <c r="AD1737" s="87"/>
      <c r="AE1737" s="87"/>
      <c r="AF1737" s="87"/>
      <c r="AG1737" s="87"/>
      <c r="AH1737" s="87"/>
      <c r="AI1737" s="87"/>
      <c r="AJ1737" s="87"/>
      <c r="AK1737" s="87"/>
      <c r="AL1737" s="87"/>
      <c r="AM1737" s="87"/>
      <c r="AN1737" s="87"/>
      <c r="AO1737" s="87"/>
      <c r="AP1737" s="87"/>
      <c r="AQ1737" s="87"/>
      <c r="AR1737" s="87"/>
      <c r="AS1737" s="87"/>
      <c r="AT1737" s="87"/>
      <c r="AU1737" s="87"/>
      <c r="AV1737" s="87"/>
      <c r="AW1737" s="87"/>
      <c r="AX1737" s="87"/>
      <c r="AY1737" s="87"/>
      <c r="AZ1737" s="87"/>
      <c r="BA1737" s="87"/>
      <c r="BB1737" s="87"/>
      <c r="BC1737" s="87"/>
      <c r="BD1737" s="87"/>
      <c r="BE1737" s="87"/>
      <c r="BF1737" s="87"/>
      <c r="BG1737" s="87"/>
      <c r="BH1737" s="87"/>
      <c r="BI1737" s="87"/>
      <c r="BJ1737" s="87"/>
      <c r="BK1737" s="87"/>
      <c r="BL1737" s="87"/>
      <c r="BM1737" s="87"/>
      <c r="BN1737" s="87"/>
      <c r="BO1737" s="87"/>
      <c r="BP1737" s="87"/>
      <c r="BQ1737" s="87"/>
      <c r="BR1737" s="87"/>
      <c r="BS1737" s="87"/>
      <c r="BT1737" s="87"/>
      <c r="BU1737" s="87"/>
      <c r="BV1737" s="87"/>
      <c r="BW1737" s="87"/>
      <c r="BX1737" s="87"/>
      <c r="BY1737" s="87"/>
    </row>
    <row r="1738" spans="21:77" x14ac:dyDescent="0.3">
      <c r="U1738" s="19"/>
      <c r="V1738" s="87"/>
      <c r="W1738" s="87"/>
      <c r="X1738" s="87"/>
      <c r="Y1738" s="87"/>
      <c r="Z1738" s="87"/>
      <c r="AA1738" s="87"/>
      <c r="AB1738" s="87"/>
      <c r="AC1738" s="87"/>
      <c r="AD1738" s="87"/>
      <c r="AE1738" s="87"/>
      <c r="AF1738" s="87"/>
      <c r="AG1738" s="87"/>
      <c r="AH1738" s="87"/>
      <c r="AI1738" s="87"/>
      <c r="AJ1738" s="87"/>
      <c r="AK1738" s="87"/>
      <c r="AL1738" s="87"/>
      <c r="AM1738" s="87"/>
      <c r="AN1738" s="87"/>
      <c r="AO1738" s="87"/>
      <c r="AP1738" s="87"/>
      <c r="AQ1738" s="87"/>
      <c r="AR1738" s="87"/>
      <c r="AS1738" s="87"/>
      <c r="AT1738" s="87"/>
      <c r="AU1738" s="87"/>
      <c r="AV1738" s="87"/>
      <c r="AW1738" s="87"/>
      <c r="AX1738" s="87"/>
      <c r="AY1738" s="87"/>
      <c r="AZ1738" s="87"/>
      <c r="BA1738" s="87"/>
      <c r="BB1738" s="87"/>
      <c r="BC1738" s="87"/>
      <c r="BD1738" s="87"/>
      <c r="BE1738" s="87"/>
      <c r="BF1738" s="87"/>
      <c r="BG1738" s="87"/>
      <c r="BH1738" s="87"/>
      <c r="BI1738" s="87"/>
      <c r="BJ1738" s="87"/>
      <c r="BK1738" s="87"/>
      <c r="BL1738" s="87"/>
      <c r="BM1738" s="87"/>
      <c r="BN1738" s="87"/>
      <c r="BO1738" s="87"/>
      <c r="BP1738" s="87"/>
      <c r="BQ1738" s="87"/>
      <c r="BR1738" s="87"/>
      <c r="BS1738" s="87"/>
      <c r="BT1738" s="87"/>
      <c r="BU1738" s="87"/>
      <c r="BV1738" s="87"/>
      <c r="BW1738" s="87"/>
      <c r="BX1738" s="87"/>
      <c r="BY1738" s="87"/>
    </row>
    <row r="1739" spans="21:77" x14ac:dyDescent="0.3">
      <c r="U1739" s="19"/>
      <c r="V1739" s="87"/>
      <c r="W1739" s="87"/>
      <c r="X1739" s="87"/>
      <c r="Y1739" s="87"/>
      <c r="Z1739" s="87"/>
      <c r="AA1739" s="87"/>
      <c r="AB1739" s="87"/>
      <c r="AC1739" s="87"/>
      <c r="AD1739" s="87"/>
      <c r="AE1739" s="87"/>
      <c r="AF1739" s="87"/>
      <c r="AG1739" s="87"/>
      <c r="AH1739" s="87"/>
      <c r="AI1739" s="87"/>
      <c r="AJ1739" s="87"/>
      <c r="AK1739" s="87"/>
      <c r="AL1739" s="87"/>
      <c r="AM1739" s="87"/>
      <c r="AN1739" s="87"/>
      <c r="AO1739" s="87"/>
      <c r="AP1739" s="87"/>
      <c r="AQ1739" s="87"/>
      <c r="AR1739" s="87"/>
      <c r="AS1739" s="87"/>
      <c r="AT1739" s="87"/>
      <c r="AU1739" s="87"/>
      <c r="AV1739" s="87"/>
      <c r="AW1739" s="87"/>
      <c r="AX1739" s="87"/>
      <c r="AY1739" s="87"/>
      <c r="AZ1739" s="87"/>
      <c r="BA1739" s="87"/>
      <c r="BB1739" s="87"/>
      <c r="BC1739" s="87"/>
      <c r="BD1739" s="87"/>
      <c r="BE1739" s="87"/>
      <c r="BF1739" s="87"/>
      <c r="BG1739" s="87"/>
      <c r="BH1739" s="87"/>
      <c r="BI1739" s="87"/>
      <c r="BJ1739" s="87"/>
      <c r="BK1739" s="87"/>
      <c r="BL1739" s="87"/>
      <c r="BM1739" s="87"/>
      <c r="BN1739" s="87"/>
      <c r="BO1739" s="87"/>
      <c r="BP1739" s="87"/>
      <c r="BQ1739" s="87"/>
      <c r="BR1739" s="87"/>
      <c r="BS1739" s="87"/>
      <c r="BT1739" s="87"/>
      <c r="BU1739" s="87"/>
      <c r="BV1739" s="87"/>
      <c r="BW1739" s="87"/>
      <c r="BX1739" s="87"/>
      <c r="BY1739" s="87"/>
    </row>
    <row r="1740" spans="21:77" x14ac:dyDescent="0.3">
      <c r="U1740" s="19"/>
      <c r="V1740" s="87"/>
      <c r="W1740" s="87"/>
      <c r="X1740" s="87"/>
      <c r="Y1740" s="87"/>
      <c r="Z1740" s="87"/>
      <c r="AA1740" s="87"/>
      <c r="AB1740" s="87"/>
      <c r="AC1740" s="87"/>
      <c r="AD1740" s="87"/>
      <c r="AE1740" s="87"/>
      <c r="AF1740" s="87"/>
      <c r="AG1740" s="87"/>
      <c r="AH1740" s="87"/>
      <c r="AI1740" s="87"/>
      <c r="AJ1740" s="87"/>
      <c r="AK1740" s="87"/>
      <c r="AL1740" s="87"/>
      <c r="AM1740" s="87"/>
      <c r="AN1740" s="87"/>
      <c r="AO1740" s="87"/>
      <c r="AP1740" s="87"/>
      <c r="AQ1740" s="87"/>
      <c r="AR1740" s="87"/>
      <c r="AS1740" s="87"/>
      <c r="AT1740" s="87"/>
      <c r="AU1740" s="87"/>
      <c r="AV1740" s="87"/>
      <c r="AW1740" s="87"/>
      <c r="AX1740" s="87"/>
      <c r="AY1740" s="87"/>
      <c r="AZ1740" s="87"/>
      <c r="BA1740" s="87"/>
      <c r="BB1740" s="87"/>
      <c r="BC1740" s="87"/>
      <c r="BD1740" s="87"/>
      <c r="BE1740" s="87"/>
      <c r="BF1740" s="87"/>
      <c r="BG1740" s="87"/>
      <c r="BH1740" s="87"/>
      <c r="BI1740" s="87"/>
      <c r="BJ1740" s="87"/>
      <c r="BK1740" s="87"/>
      <c r="BL1740" s="87"/>
      <c r="BM1740" s="87"/>
      <c r="BN1740" s="87"/>
      <c r="BO1740" s="87"/>
      <c r="BP1740" s="87"/>
      <c r="BQ1740" s="87"/>
      <c r="BR1740" s="87"/>
      <c r="BS1740" s="87"/>
      <c r="BT1740" s="87"/>
      <c r="BU1740" s="87"/>
      <c r="BV1740" s="87"/>
      <c r="BW1740" s="87"/>
      <c r="BX1740" s="87"/>
      <c r="BY1740" s="87"/>
    </row>
    <row r="1741" spans="21:77" x14ac:dyDescent="0.3">
      <c r="U1741" s="19"/>
      <c r="V1741" s="87"/>
      <c r="W1741" s="87"/>
      <c r="X1741" s="87"/>
      <c r="Y1741" s="87"/>
      <c r="Z1741" s="87"/>
      <c r="AA1741" s="87"/>
      <c r="AB1741" s="87"/>
      <c r="AC1741" s="87"/>
      <c r="AD1741" s="87"/>
      <c r="AE1741" s="87"/>
      <c r="AF1741" s="87"/>
      <c r="AG1741" s="87"/>
      <c r="AH1741" s="87"/>
      <c r="AI1741" s="87"/>
      <c r="AJ1741" s="87"/>
      <c r="AK1741" s="87"/>
      <c r="AL1741" s="87"/>
      <c r="AM1741" s="87"/>
      <c r="AN1741" s="87"/>
      <c r="AO1741" s="87"/>
      <c r="AP1741" s="87"/>
      <c r="AQ1741" s="87"/>
      <c r="AR1741" s="87"/>
      <c r="AS1741" s="87"/>
      <c r="AT1741" s="87"/>
      <c r="AU1741" s="87"/>
      <c r="AV1741" s="87"/>
      <c r="AW1741" s="87"/>
      <c r="AX1741" s="87"/>
      <c r="AY1741" s="87"/>
      <c r="AZ1741" s="87"/>
      <c r="BA1741" s="87"/>
      <c r="BB1741" s="87"/>
      <c r="BC1741" s="87"/>
      <c r="BD1741" s="87"/>
      <c r="BE1741" s="87"/>
      <c r="BF1741" s="87"/>
      <c r="BG1741" s="87"/>
      <c r="BH1741" s="87"/>
      <c r="BI1741" s="87"/>
      <c r="BJ1741" s="87"/>
      <c r="BK1741" s="87"/>
      <c r="BL1741" s="87"/>
      <c r="BM1741" s="87"/>
      <c r="BN1741" s="87"/>
      <c r="BO1741" s="87"/>
      <c r="BP1741" s="87"/>
      <c r="BQ1741" s="87"/>
      <c r="BR1741" s="87"/>
      <c r="BS1741" s="87"/>
      <c r="BT1741" s="87"/>
      <c r="BU1741" s="87"/>
      <c r="BV1741" s="87"/>
      <c r="BW1741" s="87"/>
      <c r="BX1741" s="87"/>
      <c r="BY1741" s="87"/>
    </row>
    <row r="1742" spans="21:77" x14ac:dyDescent="0.3">
      <c r="U1742" s="19"/>
      <c r="V1742" s="87"/>
      <c r="W1742" s="87"/>
      <c r="X1742" s="87"/>
      <c r="Y1742" s="87"/>
      <c r="Z1742" s="87"/>
      <c r="AA1742" s="87"/>
      <c r="AB1742" s="87"/>
      <c r="AC1742" s="87"/>
      <c r="AD1742" s="87"/>
      <c r="AE1742" s="87"/>
      <c r="AF1742" s="87"/>
      <c r="AG1742" s="87"/>
      <c r="AH1742" s="87"/>
      <c r="AI1742" s="87"/>
      <c r="AJ1742" s="87"/>
      <c r="AK1742" s="87"/>
      <c r="AL1742" s="87"/>
      <c r="AM1742" s="87"/>
      <c r="AN1742" s="87"/>
      <c r="AO1742" s="87"/>
      <c r="AP1742" s="87"/>
      <c r="AQ1742" s="87"/>
      <c r="AR1742" s="87"/>
      <c r="AS1742" s="87"/>
      <c r="AT1742" s="87"/>
      <c r="AU1742" s="87"/>
      <c r="AV1742" s="87"/>
      <c r="AW1742" s="87"/>
      <c r="AX1742" s="87"/>
      <c r="AY1742" s="87"/>
      <c r="AZ1742" s="87"/>
      <c r="BA1742" s="87"/>
      <c r="BB1742" s="87"/>
      <c r="BC1742" s="87"/>
      <c r="BD1742" s="87"/>
      <c r="BE1742" s="87"/>
      <c r="BF1742" s="87"/>
      <c r="BG1742" s="87"/>
      <c r="BH1742" s="87"/>
      <c r="BI1742" s="87"/>
      <c r="BJ1742" s="87"/>
      <c r="BK1742" s="87"/>
      <c r="BL1742" s="87"/>
      <c r="BM1742" s="87"/>
      <c r="BN1742" s="87"/>
      <c r="BO1742" s="87"/>
      <c r="BP1742" s="87"/>
      <c r="BQ1742" s="87"/>
      <c r="BR1742" s="87"/>
      <c r="BS1742" s="87"/>
      <c r="BT1742" s="87"/>
      <c r="BU1742" s="87"/>
      <c r="BV1742" s="87"/>
      <c r="BW1742" s="87"/>
      <c r="BX1742" s="87"/>
      <c r="BY1742" s="87"/>
    </row>
    <row r="1743" spans="21:77" x14ac:dyDescent="0.3">
      <c r="U1743" s="19"/>
      <c r="V1743" s="87"/>
      <c r="W1743" s="87"/>
      <c r="X1743" s="87"/>
      <c r="Y1743" s="87"/>
      <c r="Z1743" s="87"/>
      <c r="AA1743" s="87"/>
      <c r="AB1743" s="87"/>
      <c r="AC1743" s="87"/>
      <c r="AD1743" s="87"/>
      <c r="AE1743" s="87"/>
      <c r="AF1743" s="87"/>
      <c r="AG1743" s="87"/>
      <c r="AH1743" s="87"/>
      <c r="AI1743" s="87"/>
      <c r="AJ1743" s="87"/>
      <c r="AK1743" s="87"/>
      <c r="AL1743" s="87"/>
      <c r="AM1743" s="87"/>
      <c r="AN1743" s="87"/>
      <c r="AO1743" s="87"/>
      <c r="AP1743" s="87"/>
      <c r="AQ1743" s="87"/>
      <c r="AR1743" s="87"/>
      <c r="AS1743" s="87"/>
      <c r="AT1743" s="87"/>
      <c r="AU1743" s="87"/>
      <c r="AV1743" s="87"/>
      <c r="AW1743" s="87"/>
      <c r="AX1743" s="87"/>
      <c r="AY1743" s="87"/>
      <c r="AZ1743" s="87"/>
      <c r="BA1743" s="87"/>
      <c r="BB1743" s="87"/>
      <c r="BC1743" s="87"/>
      <c r="BD1743" s="87"/>
      <c r="BE1743" s="87"/>
      <c r="BF1743" s="87"/>
      <c r="BG1743" s="87"/>
      <c r="BH1743" s="87"/>
      <c r="BI1743" s="87"/>
      <c r="BJ1743" s="87"/>
      <c r="BK1743" s="87"/>
      <c r="BL1743" s="87"/>
      <c r="BM1743" s="87"/>
      <c r="BN1743" s="87"/>
      <c r="BO1743" s="87"/>
      <c r="BP1743" s="87"/>
      <c r="BQ1743" s="87"/>
      <c r="BR1743" s="87"/>
      <c r="BS1743" s="87"/>
      <c r="BT1743" s="87"/>
      <c r="BU1743" s="87"/>
      <c r="BV1743" s="87"/>
      <c r="BW1743" s="87"/>
      <c r="BX1743" s="87"/>
      <c r="BY1743" s="87"/>
    </row>
    <row r="1744" spans="21:77" x14ac:dyDescent="0.3">
      <c r="U1744" s="19"/>
      <c r="V1744" s="87"/>
      <c r="W1744" s="87"/>
      <c r="X1744" s="87"/>
      <c r="Y1744" s="87"/>
      <c r="Z1744" s="87"/>
      <c r="AA1744" s="87"/>
      <c r="AB1744" s="87"/>
      <c r="AC1744" s="87"/>
      <c r="AD1744" s="87"/>
      <c r="AE1744" s="87"/>
      <c r="AF1744" s="87"/>
      <c r="AG1744" s="87"/>
      <c r="AH1744" s="87"/>
      <c r="AI1744" s="87"/>
      <c r="AJ1744" s="87"/>
      <c r="AK1744" s="87"/>
      <c r="AL1744" s="87"/>
      <c r="AM1744" s="87"/>
      <c r="AN1744" s="87"/>
      <c r="AO1744" s="87"/>
      <c r="AP1744" s="87"/>
      <c r="AQ1744" s="87"/>
      <c r="AR1744" s="87"/>
      <c r="AS1744" s="87"/>
      <c r="AT1744" s="87"/>
      <c r="AU1744" s="87"/>
      <c r="AV1744" s="87"/>
      <c r="AW1744" s="87"/>
      <c r="AX1744" s="87"/>
      <c r="AY1744" s="87"/>
      <c r="AZ1744" s="87"/>
      <c r="BA1744" s="87"/>
      <c r="BB1744" s="87"/>
      <c r="BC1744" s="87"/>
      <c r="BD1744" s="87"/>
      <c r="BE1744" s="87"/>
      <c r="BF1744" s="87"/>
      <c r="BG1744" s="87"/>
      <c r="BH1744" s="87"/>
      <c r="BI1744" s="87"/>
      <c r="BJ1744" s="87"/>
      <c r="BK1744" s="87"/>
      <c r="BL1744" s="87"/>
      <c r="BM1744" s="87"/>
      <c r="BN1744" s="87"/>
      <c r="BO1744" s="87"/>
      <c r="BP1744" s="87"/>
      <c r="BQ1744" s="87"/>
      <c r="BR1744" s="87"/>
      <c r="BS1744" s="87"/>
      <c r="BT1744" s="87"/>
      <c r="BU1744" s="87"/>
      <c r="BV1744" s="87"/>
      <c r="BW1744" s="87"/>
      <c r="BX1744" s="87"/>
      <c r="BY1744" s="87"/>
    </row>
    <row r="1745" spans="21:77" x14ac:dyDescent="0.3">
      <c r="U1745" s="19"/>
      <c r="V1745" s="87"/>
      <c r="W1745" s="87"/>
      <c r="X1745" s="87"/>
      <c r="Y1745" s="87"/>
      <c r="Z1745" s="87"/>
      <c r="AA1745" s="87"/>
      <c r="AB1745" s="87"/>
      <c r="AC1745" s="87"/>
      <c r="AD1745" s="87"/>
      <c r="AE1745" s="87"/>
      <c r="AF1745" s="87"/>
      <c r="AG1745" s="87"/>
      <c r="AH1745" s="87"/>
      <c r="AI1745" s="87"/>
      <c r="AJ1745" s="87"/>
      <c r="AK1745" s="87"/>
      <c r="AL1745" s="87"/>
      <c r="AM1745" s="87"/>
      <c r="AN1745" s="87"/>
      <c r="AO1745" s="87"/>
      <c r="AP1745" s="87"/>
      <c r="AQ1745" s="87"/>
      <c r="AR1745" s="87"/>
      <c r="AS1745" s="87"/>
      <c r="AT1745" s="87"/>
      <c r="AU1745" s="87"/>
      <c r="AV1745" s="87"/>
      <c r="AW1745" s="87"/>
      <c r="AX1745" s="87"/>
      <c r="AY1745" s="87"/>
      <c r="AZ1745" s="87"/>
      <c r="BA1745" s="87"/>
      <c r="BB1745" s="87"/>
      <c r="BC1745" s="87"/>
      <c r="BD1745" s="87"/>
      <c r="BE1745" s="87"/>
      <c r="BF1745" s="87"/>
      <c r="BG1745" s="87"/>
      <c r="BH1745" s="87"/>
      <c r="BI1745" s="87"/>
      <c r="BJ1745" s="87"/>
      <c r="BK1745" s="87"/>
      <c r="BL1745" s="87"/>
      <c r="BM1745" s="87"/>
      <c r="BN1745" s="87"/>
      <c r="BO1745" s="87"/>
      <c r="BP1745" s="87"/>
      <c r="BQ1745" s="87"/>
      <c r="BR1745" s="87"/>
      <c r="BS1745" s="87"/>
      <c r="BT1745" s="87"/>
      <c r="BU1745" s="87"/>
      <c r="BV1745" s="87"/>
      <c r="BW1745" s="87"/>
      <c r="BX1745" s="87"/>
      <c r="BY1745" s="87"/>
    </row>
    <row r="1746" spans="21:77" x14ac:dyDescent="0.3">
      <c r="U1746" s="19"/>
      <c r="V1746" s="87"/>
      <c r="W1746" s="87"/>
      <c r="X1746" s="87"/>
      <c r="Y1746" s="87"/>
      <c r="Z1746" s="87"/>
      <c r="AA1746" s="87"/>
      <c r="AB1746" s="87"/>
      <c r="AC1746" s="87"/>
      <c r="AD1746" s="87"/>
      <c r="AE1746" s="87"/>
      <c r="AF1746" s="87"/>
      <c r="AG1746" s="87"/>
      <c r="AH1746" s="87"/>
      <c r="AI1746" s="87"/>
      <c r="AJ1746" s="87"/>
      <c r="AK1746" s="87"/>
      <c r="AL1746" s="87"/>
      <c r="AM1746" s="87"/>
      <c r="AN1746" s="87"/>
      <c r="AO1746" s="87"/>
      <c r="AP1746" s="87"/>
      <c r="AQ1746" s="87"/>
      <c r="AR1746" s="87"/>
      <c r="AS1746" s="87"/>
      <c r="AT1746" s="87"/>
      <c r="AU1746" s="87"/>
      <c r="AV1746" s="87"/>
      <c r="AW1746" s="87"/>
      <c r="AX1746" s="87"/>
      <c r="AY1746" s="87"/>
      <c r="AZ1746" s="87"/>
      <c r="BA1746" s="87"/>
      <c r="BB1746" s="87"/>
      <c r="BC1746" s="87"/>
      <c r="BD1746" s="87"/>
      <c r="BE1746" s="87"/>
      <c r="BF1746" s="87"/>
      <c r="BG1746" s="87"/>
      <c r="BH1746" s="87"/>
      <c r="BI1746" s="87"/>
      <c r="BJ1746" s="87"/>
      <c r="BK1746" s="87"/>
      <c r="BL1746" s="87"/>
      <c r="BM1746" s="87"/>
      <c r="BN1746" s="87"/>
      <c r="BO1746" s="87"/>
      <c r="BP1746" s="87"/>
      <c r="BQ1746" s="87"/>
      <c r="BR1746" s="87"/>
      <c r="BS1746" s="87"/>
      <c r="BT1746" s="87"/>
      <c r="BU1746" s="87"/>
      <c r="BV1746" s="87"/>
      <c r="BW1746" s="87"/>
      <c r="BX1746" s="87"/>
      <c r="BY1746" s="87"/>
    </row>
    <row r="1747" spans="21:77" x14ac:dyDescent="0.3">
      <c r="U1747" s="19"/>
      <c r="V1747" s="87"/>
      <c r="W1747" s="87"/>
      <c r="X1747" s="87"/>
      <c r="Y1747" s="87"/>
      <c r="Z1747" s="87"/>
      <c r="AA1747" s="87"/>
      <c r="AB1747" s="87"/>
      <c r="AC1747" s="87"/>
      <c r="AD1747" s="87"/>
      <c r="AE1747" s="87"/>
      <c r="AF1747" s="87"/>
      <c r="AG1747" s="87"/>
      <c r="AH1747" s="87"/>
      <c r="AI1747" s="87"/>
      <c r="AJ1747" s="87"/>
      <c r="AK1747" s="87"/>
      <c r="AL1747" s="87"/>
      <c r="AM1747" s="87"/>
      <c r="AN1747" s="87"/>
      <c r="AO1747" s="87"/>
      <c r="AP1747" s="87"/>
      <c r="AQ1747" s="87"/>
      <c r="AR1747" s="87"/>
      <c r="AS1747" s="87"/>
      <c r="AT1747" s="87"/>
      <c r="AU1747" s="87"/>
      <c r="AV1747" s="87"/>
      <c r="AW1747" s="87"/>
      <c r="AX1747" s="87"/>
      <c r="AY1747" s="87"/>
      <c r="AZ1747" s="87"/>
      <c r="BA1747" s="87"/>
      <c r="BB1747" s="87"/>
      <c r="BC1747" s="87"/>
      <c r="BD1747" s="87"/>
      <c r="BE1747" s="87"/>
      <c r="BF1747" s="87"/>
      <c r="BG1747" s="87"/>
      <c r="BH1747" s="87"/>
      <c r="BI1747" s="87"/>
      <c r="BJ1747" s="87"/>
      <c r="BK1747" s="87"/>
      <c r="BL1747" s="87"/>
      <c r="BM1747" s="87"/>
      <c r="BN1747" s="87"/>
      <c r="BO1747" s="87"/>
      <c r="BP1747" s="87"/>
      <c r="BQ1747" s="87"/>
      <c r="BR1747" s="87"/>
      <c r="BS1747" s="87"/>
      <c r="BT1747" s="87"/>
      <c r="BU1747" s="87"/>
      <c r="BV1747" s="87"/>
      <c r="BW1747" s="87"/>
      <c r="BX1747" s="87"/>
      <c r="BY1747" s="87"/>
    </row>
    <row r="1748" spans="21:77" x14ac:dyDescent="0.3">
      <c r="U1748" s="19"/>
      <c r="V1748" s="87"/>
      <c r="W1748" s="87"/>
      <c r="X1748" s="87"/>
      <c r="Y1748" s="87"/>
      <c r="Z1748" s="87"/>
      <c r="AA1748" s="87"/>
      <c r="AB1748" s="87"/>
      <c r="AC1748" s="87"/>
      <c r="AD1748" s="87"/>
      <c r="AE1748" s="87"/>
      <c r="AF1748" s="87"/>
      <c r="AG1748" s="87"/>
      <c r="AH1748" s="87"/>
      <c r="AI1748" s="87"/>
      <c r="AJ1748" s="87"/>
      <c r="AK1748" s="87"/>
      <c r="AL1748" s="87"/>
      <c r="AM1748" s="87"/>
      <c r="AN1748" s="87"/>
      <c r="AO1748" s="87"/>
      <c r="AP1748" s="87"/>
      <c r="AQ1748" s="87"/>
      <c r="AR1748" s="87"/>
      <c r="AS1748" s="87"/>
      <c r="AT1748" s="87"/>
      <c r="AU1748" s="87"/>
      <c r="AV1748" s="87"/>
      <c r="AW1748" s="87"/>
      <c r="AX1748" s="87"/>
      <c r="AY1748" s="87"/>
      <c r="AZ1748" s="87"/>
      <c r="BA1748" s="87"/>
      <c r="BB1748" s="87"/>
      <c r="BC1748" s="87"/>
      <c r="BD1748" s="87"/>
      <c r="BE1748" s="87"/>
      <c r="BF1748" s="87"/>
      <c r="BG1748" s="87"/>
      <c r="BH1748" s="87"/>
      <c r="BI1748" s="87"/>
      <c r="BJ1748" s="87"/>
      <c r="BK1748" s="87"/>
      <c r="BL1748" s="87"/>
      <c r="BM1748" s="87"/>
      <c r="BN1748" s="87"/>
      <c r="BO1748" s="87"/>
      <c r="BP1748" s="87"/>
      <c r="BQ1748" s="87"/>
      <c r="BR1748" s="87"/>
      <c r="BS1748" s="87"/>
      <c r="BT1748" s="87"/>
      <c r="BU1748" s="87"/>
      <c r="BV1748" s="87"/>
      <c r="BW1748" s="87"/>
      <c r="BX1748" s="87"/>
      <c r="BY1748" s="87"/>
    </row>
    <row r="1749" spans="21:77" x14ac:dyDescent="0.3">
      <c r="U1749" s="19"/>
      <c r="V1749" s="87"/>
      <c r="W1749" s="87"/>
      <c r="X1749" s="87"/>
      <c r="Y1749" s="87"/>
      <c r="Z1749" s="87"/>
      <c r="AA1749" s="87"/>
      <c r="AB1749" s="87"/>
      <c r="AC1749" s="87"/>
      <c r="AD1749" s="87"/>
      <c r="AE1749" s="87"/>
      <c r="AF1749" s="87"/>
      <c r="AG1749" s="87"/>
      <c r="AH1749" s="87"/>
      <c r="AI1749" s="87"/>
      <c r="AJ1749" s="87"/>
      <c r="AK1749" s="87"/>
      <c r="AL1749" s="87"/>
      <c r="AM1749" s="87"/>
      <c r="AN1749" s="87"/>
      <c r="AO1749" s="87"/>
      <c r="AP1749" s="87"/>
      <c r="AQ1749" s="87"/>
      <c r="AR1749" s="87"/>
      <c r="AS1749" s="87"/>
      <c r="AT1749" s="87"/>
      <c r="AU1749" s="87"/>
      <c r="AV1749" s="87"/>
      <c r="AW1749" s="87"/>
      <c r="AX1749" s="87"/>
      <c r="AY1749" s="87"/>
      <c r="AZ1749" s="87"/>
      <c r="BA1749" s="87"/>
      <c r="BB1749" s="87"/>
      <c r="BC1749" s="87"/>
      <c r="BD1749" s="87"/>
      <c r="BE1749" s="87"/>
      <c r="BF1749" s="87"/>
      <c r="BG1749" s="87"/>
      <c r="BH1749" s="87"/>
      <c r="BI1749" s="87"/>
      <c r="BJ1749" s="87"/>
      <c r="BK1749" s="87"/>
      <c r="BL1749" s="87"/>
      <c r="BM1749" s="87"/>
      <c r="BN1749" s="87"/>
      <c r="BO1749" s="87"/>
      <c r="BP1749" s="87"/>
      <c r="BQ1749" s="87"/>
      <c r="BR1749" s="87"/>
      <c r="BS1749" s="87"/>
      <c r="BT1749" s="87"/>
      <c r="BU1749" s="87"/>
      <c r="BV1749" s="87"/>
      <c r="BW1749" s="87"/>
      <c r="BX1749" s="87"/>
      <c r="BY1749" s="87"/>
    </row>
    <row r="1750" spans="21:77" x14ac:dyDescent="0.3">
      <c r="U1750" s="19"/>
      <c r="V1750" s="87"/>
      <c r="W1750" s="87"/>
      <c r="X1750" s="87"/>
      <c r="Y1750" s="87"/>
      <c r="Z1750" s="87"/>
      <c r="AA1750" s="87"/>
      <c r="AB1750" s="87"/>
      <c r="AC1750" s="87"/>
      <c r="AD1750" s="87"/>
      <c r="AE1750" s="87"/>
      <c r="AF1750" s="87"/>
      <c r="AG1750" s="87"/>
      <c r="AH1750" s="87"/>
      <c r="AI1750" s="87"/>
      <c r="AJ1750" s="87"/>
      <c r="AK1750" s="87"/>
      <c r="AL1750" s="87"/>
      <c r="AM1750" s="87"/>
      <c r="AN1750" s="87"/>
      <c r="AO1750" s="87"/>
      <c r="AP1750" s="87"/>
      <c r="AQ1750" s="87"/>
      <c r="AR1750" s="87"/>
      <c r="AS1750" s="87"/>
      <c r="AT1750" s="87"/>
      <c r="AU1750" s="87"/>
      <c r="AV1750" s="87"/>
      <c r="AW1750" s="87"/>
      <c r="AX1750" s="87"/>
      <c r="AY1750" s="87"/>
      <c r="AZ1750" s="87"/>
      <c r="BA1750" s="87"/>
      <c r="BB1750" s="87"/>
      <c r="BC1750" s="87"/>
      <c r="BD1750" s="87"/>
      <c r="BE1750" s="87"/>
      <c r="BF1750" s="87"/>
      <c r="BG1750" s="87"/>
      <c r="BH1750" s="87"/>
      <c r="BI1750" s="87"/>
      <c r="BJ1750" s="87"/>
      <c r="BK1750" s="87"/>
      <c r="BL1750" s="87"/>
      <c r="BM1750" s="87"/>
      <c r="BN1750" s="87"/>
      <c r="BO1750" s="87"/>
      <c r="BP1750" s="87"/>
      <c r="BQ1750" s="87"/>
      <c r="BR1750" s="87"/>
      <c r="BS1750" s="87"/>
      <c r="BT1750" s="87"/>
      <c r="BU1750" s="87"/>
      <c r="BV1750" s="87"/>
      <c r="BW1750" s="87"/>
      <c r="BX1750" s="87"/>
      <c r="BY1750" s="87"/>
    </row>
    <row r="1751" spans="21:77" x14ac:dyDescent="0.3">
      <c r="U1751" s="19"/>
      <c r="V1751" s="87"/>
      <c r="W1751" s="87"/>
      <c r="X1751" s="87"/>
      <c r="Y1751" s="87"/>
      <c r="Z1751" s="87"/>
      <c r="AA1751" s="87"/>
      <c r="AB1751" s="87"/>
      <c r="AC1751" s="87"/>
      <c r="AD1751" s="87"/>
      <c r="AE1751" s="87"/>
      <c r="AF1751" s="87"/>
      <c r="AG1751" s="87"/>
      <c r="AH1751" s="87"/>
      <c r="AI1751" s="87"/>
      <c r="AJ1751" s="87"/>
      <c r="AK1751" s="87"/>
      <c r="AL1751" s="87"/>
      <c r="AM1751" s="87"/>
      <c r="AN1751" s="87"/>
      <c r="AO1751" s="87"/>
      <c r="AP1751" s="87"/>
      <c r="AQ1751" s="87"/>
      <c r="AR1751" s="87"/>
      <c r="AS1751" s="87"/>
      <c r="AT1751" s="87"/>
      <c r="AU1751" s="87"/>
      <c r="AV1751" s="87"/>
      <c r="AW1751" s="87"/>
      <c r="AX1751" s="87"/>
      <c r="AY1751" s="87"/>
      <c r="AZ1751" s="87"/>
      <c r="BA1751" s="87"/>
      <c r="BB1751" s="87"/>
      <c r="BC1751" s="87"/>
      <c r="BD1751" s="87"/>
      <c r="BE1751" s="87"/>
      <c r="BF1751" s="87"/>
      <c r="BG1751" s="87"/>
      <c r="BH1751" s="87"/>
      <c r="BI1751" s="87"/>
      <c r="BJ1751" s="87"/>
      <c r="BK1751" s="87"/>
      <c r="BL1751" s="87"/>
      <c r="BM1751" s="87"/>
      <c r="BN1751" s="87"/>
      <c r="BO1751" s="87"/>
      <c r="BP1751" s="87"/>
      <c r="BQ1751" s="87"/>
      <c r="BR1751" s="87"/>
      <c r="BS1751" s="87"/>
      <c r="BT1751" s="87"/>
      <c r="BU1751" s="87"/>
      <c r="BV1751" s="87"/>
      <c r="BW1751" s="87"/>
      <c r="BX1751" s="87"/>
      <c r="BY1751" s="87"/>
    </row>
    <row r="1752" spans="21:77" x14ac:dyDescent="0.3">
      <c r="U1752" s="19"/>
      <c r="V1752" s="87"/>
      <c r="W1752" s="87"/>
      <c r="X1752" s="87"/>
      <c r="Y1752" s="87"/>
      <c r="Z1752" s="87"/>
      <c r="AA1752" s="87"/>
      <c r="AB1752" s="87"/>
      <c r="AC1752" s="87"/>
      <c r="AD1752" s="87"/>
      <c r="AE1752" s="87"/>
      <c r="AF1752" s="87"/>
      <c r="AG1752" s="87"/>
      <c r="AH1752" s="87"/>
      <c r="AI1752" s="87"/>
      <c r="AJ1752" s="87"/>
      <c r="AK1752" s="87"/>
      <c r="AL1752" s="87"/>
      <c r="AM1752" s="87"/>
      <c r="AN1752" s="87"/>
      <c r="AO1752" s="87"/>
      <c r="AP1752" s="87"/>
      <c r="AQ1752" s="87"/>
      <c r="AR1752" s="87"/>
      <c r="AS1752" s="87"/>
      <c r="AT1752" s="87"/>
      <c r="AU1752" s="87"/>
      <c r="AV1752" s="87"/>
      <c r="AW1752" s="87"/>
      <c r="AX1752" s="87"/>
      <c r="AY1752" s="87"/>
      <c r="AZ1752" s="87"/>
      <c r="BA1752" s="87"/>
      <c r="BB1752" s="87"/>
      <c r="BC1752" s="87"/>
      <c r="BD1752" s="87"/>
      <c r="BE1752" s="87"/>
      <c r="BF1752" s="87"/>
      <c r="BG1752" s="87"/>
      <c r="BH1752" s="87"/>
      <c r="BI1752" s="87"/>
      <c r="BJ1752" s="87"/>
      <c r="BK1752" s="87"/>
      <c r="BL1752" s="87"/>
      <c r="BM1752" s="87"/>
      <c r="BN1752" s="87"/>
      <c r="BO1752" s="87"/>
      <c r="BP1752" s="87"/>
      <c r="BQ1752" s="87"/>
      <c r="BR1752" s="87"/>
      <c r="BS1752" s="87"/>
      <c r="BT1752" s="87"/>
      <c r="BU1752" s="87"/>
      <c r="BV1752" s="87"/>
      <c r="BW1752" s="87"/>
      <c r="BX1752" s="87"/>
      <c r="BY1752" s="87"/>
    </row>
    <row r="1753" spans="21:77" x14ac:dyDescent="0.3">
      <c r="U1753" s="19"/>
      <c r="V1753" s="87"/>
      <c r="W1753" s="87"/>
      <c r="X1753" s="87"/>
      <c r="Y1753" s="87"/>
      <c r="Z1753" s="87"/>
      <c r="AA1753" s="87"/>
      <c r="AB1753" s="87"/>
      <c r="AC1753" s="87"/>
      <c r="AD1753" s="87"/>
      <c r="AE1753" s="87"/>
      <c r="AF1753" s="87"/>
      <c r="AG1753" s="87"/>
      <c r="AH1753" s="87"/>
      <c r="AI1753" s="87"/>
      <c r="AJ1753" s="87"/>
      <c r="AK1753" s="87"/>
      <c r="AL1753" s="87"/>
      <c r="AM1753" s="87"/>
      <c r="AN1753" s="87"/>
      <c r="AO1753" s="87"/>
      <c r="AP1753" s="87"/>
      <c r="AQ1753" s="87"/>
      <c r="AR1753" s="87"/>
      <c r="AS1753" s="87"/>
      <c r="AT1753" s="87"/>
      <c r="AU1753" s="87"/>
      <c r="AV1753" s="87"/>
      <c r="AW1753" s="87"/>
      <c r="AX1753" s="87"/>
      <c r="AY1753" s="87"/>
      <c r="AZ1753" s="87"/>
      <c r="BA1753" s="87"/>
      <c r="BB1753" s="87"/>
      <c r="BC1753" s="87"/>
      <c r="BD1753" s="87"/>
      <c r="BE1753" s="87"/>
      <c r="BF1753" s="87"/>
      <c r="BG1753" s="87"/>
      <c r="BH1753" s="87"/>
      <c r="BI1753" s="87"/>
      <c r="BJ1753" s="87"/>
      <c r="BK1753" s="87"/>
      <c r="BL1753" s="87"/>
      <c r="BM1753" s="87"/>
      <c r="BN1753" s="87"/>
      <c r="BO1753" s="87"/>
      <c r="BP1753" s="87"/>
      <c r="BQ1753" s="87"/>
      <c r="BR1753" s="87"/>
      <c r="BS1753" s="87"/>
      <c r="BT1753" s="87"/>
      <c r="BU1753" s="87"/>
      <c r="BV1753" s="87"/>
      <c r="BW1753" s="87"/>
      <c r="BX1753" s="87"/>
      <c r="BY1753" s="87"/>
    </row>
    <row r="1754" spans="21:77" x14ac:dyDescent="0.3">
      <c r="U1754" s="19"/>
      <c r="V1754" s="87"/>
      <c r="W1754" s="87"/>
      <c r="X1754" s="87"/>
      <c r="Y1754" s="87"/>
      <c r="Z1754" s="87"/>
      <c r="AA1754" s="87"/>
      <c r="AB1754" s="87"/>
      <c r="AC1754" s="87"/>
      <c r="AD1754" s="87"/>
      <c r="AE1754" s="87"/>
      <c r="AF1754" s="87"/>
      <c r="AG1754" s="87"/>
      <c r="AH1754" s="87"/>
      <c r="AI1754" s="87"/>
      <c r="AJ1754" s="87"/>
      <c r="AK1754" s="87"/>
      <c r="AL1754" s="87"/>
      <c r="AM1754" s="87"/>
      <c r="AN1754" s="87"/>
      <c r="AO1754" s="87"/>
      <c r="AP1754" s="87"/>
      <c r="AQ1754" s="87"/>
      <c r="AR1754" s="87"/>
      <c r="AS1754" s="87"/>
      <c r="AT1754" s="87"/>
      <c r="AU1754" s="87"/>
      <c r="AV1754" s="87"/>
      <c r="AW1754" s="87"/>
      <c r="AX1754" s="87"/>
      <c r="AY1754" s="87"/>
      <c r="AZ1754" s="87"/>
      <c r="BA1754" s="87"/>
      <c r="BB1754" s="87"/>
      <c r="BC1754" s="87"/>
      <c r="BD1754" s="87"/>
      <c r="BE1754" s="87"/>
      <c r="BF1754" s="87"/>
      <c r="BG1754" s="87"/>
      <c r="BH1754" s="87"/>
      <c r="BI1754" s="87"/>
      <c r="BJ1754" s="87"/>
      <c r="BK1754" s="87"/>
      <c r="BL1754" s="87"/>
      <c r="BM1754" s="87"/>
      <c r="BN1754" s="87"/>
      <c r="BO1754" s="87"/>
      <c r="BP1754" s="87"/>
      <c r="BQ1754" s="87"/>
      <c r="BR1754" s="87"/>
      <c r="BS1754" s="87"/>
      <c r="BT1754" s="87"/>
      <c r="BU1754" s="87"/>
      <c r="BV1754" s="87"/>
      <c r="BW1754" s="87"/>
      <c r="BX1754" s="87"/>
      <c r="BY1754" s="87"/>
    </row>
    <row r="1755" spans="21:77" x14ac:dyDescent="0.3">
      <c r="U1755" s="19"/>
      <c r="V1755" s="87"/>
      <c r="W1755" s="87"/>
      <c r="X1755" s="87"/>
      <c r="Y1755" s="87"/>
      <c r="Z1755" s="87"/>
      <c r="AA1755" s="87"/>
      <c r="AB1755" s="87"/>
      <c r="AC1755" s="87"/>
      <c r="AD1755" s="87"/>
      <c r="AE1755" s="87"/>
      <c r="AF1755" s="87"/>
      <c r="AG1755" s="87"/>
      <c r="AH1755" s="87"/>
      <c r="AI1755" s="87"/>
      <c r="AJ1755" s="87"/>
      <c r="AK1755" s="87"/>
      <c r="AL1755" s="87"/>
      <c r="AM1755" s="87"/>
      <c r="AN1755" s="87"/>
      <c r="AO1755" s="87"/>
      <c r="AP1755" s="87"/>
      <c r="AQ1755" s="87"/>
      <c r="AR1755" s="87"/>
      <c r="AS1755" s="87"/>
      <c r="AT1755" s="87"/>
      <c r="AU1755" s="87"/>
      <c r="AV1755" s="87"/>
      <c r="AW1755" s="87"/>
      <c r="AX1755" s="87"/>
      <c r="AY1755" s="87"/>
      <c r="AZ1755" s="87"/>
      <c r="BA1755" s="87"/>
      <c r="BB1755" s="87"/>
      <c r="BC1755" s="87"/>
      <c r="BD1755" s="87"/>
      <c r="BE1755" s="87"/>
      <c r="BF1755" s="87"/>
      <c r="BG1755" s="87"/>
      <c r="BH1755" s="87"/>
      <c r="BI1755" s="87"/>
      <c r="BJ1755" s="87"/>
      <c r="BK1755" s="87"/>
      <c r="BL1755" s="87"/>
      <c r="BM1755" s="87"/>
      <c r="BN1755" s="87"/>
      <c r="BO1755" s="87"/>
      <c r="BP1755" s="87"/>
      <c r="BQ1755" s="87"/>
      <c r="BR1755" s="87"/>
      <c r="BS1755" s="87"/>
      <c r="BT1755" s="87"/>
      <c r="BU1755" s="87"/>
      <c r="BV1755" s="87"/>
      <c r="BW1755" s="87"/>
      <c r="BX1755" s="87"/>
      <c r="BY1755" s="87"/>
    </row>
    <row r="1756" spans="21:77" x14ac:dyDescent="0.3">
      <c r="U1756" s="19"/>
      <c r="V1756" s="87"/>
      <c r="W1756" s="87"/>
      <c r="X1756" s="87"/>
      <c r="Y1756" s="87"/>
      <c r="Z1756" s="87"/>
      <c r="AA1756" s="87"/>
      <c r="AB1756" s="87"/>
      <c r="AC1756" s="87"/>
      <c r="AD1756" s="87"/>
      <c r="AE1756" s="87"/>
      <c r="AF1756" s="87"/>
      <c r="AG1756" s="87"/>
      <c r="AH1756" s="87"/>
      <c r="AI1756" s="87"/>
      <c r="AJ1756" s="87"/>
      <c r="AK1756" s="87"/>
      <c r="AL1756" s="87"/>
      <c r="AM1756" s="87"/>
      <c r="AN1756" s="87"/>
      <c r="AO1756" s="87"/>
      <c r="AP1756" s="87"/>
      <c r="AQ1756" s="87"/>
      <c r="AR1756" s="87"/>
      <c r="AS1756" s="87"/>
      <c r="AT1756" s="87"/>
      <c r="AU1756" s="87"/>
      <c r="AV1756" s="87"/>
      <c r="AW1756" s="87"/>
      <c r="AX1756" s="87"/>
      <c r="AY1756" s="87"/>
      <c r="AZ1756" s="87"/>
      <c r="BA1756" s="87"/>
      <c r="BB1756" s="87"/>
      <c r="BC1756" s="87"/>
      <c r="BD1756" s="87"/>
      <c r="BE1756" s="87"/>
      <c r="BF1756" s="87"/>
      <c r="BG1756" s="87"/>
      <c r="BH1756" s="87"/>
      <c r="BI1756" s="87"/>
      <c r="BJ1756" s="87"/>
      <c r="BK1756" s="87"/>
      <c r="BL1756" s="87"/>
      <c r="BM1756" s="87"/>
      <c r="BN1756" s="87"/>
      <c r="BO1756" s="87"/>
      <c r="BP1756" s="87"/>
      <c r="BQ1756" s="87"/>
      <c r="BR1756" s="87"/>
      <c r="BS1756" s="87"/>
      <c r="BT1756" s="87"/>
      <c r="BU1756" s="87"/>
      <c r="BV1756" s="87"/>
      <c r="BW1756" s="87"/>
      <c r="BX1756" s="87"/>
      <c r="BY1756" s="87"/>
    </row>
    <row r="1757" spans="21:77" x14ac:dyDescent="0.3">
      <c r="U1757" s="19"/>
      <c r="V1757" s="87"/>
      <c r="W1757" s="87"/>
      <c r="X1757" s="87"/>
      <c r="Y1757" s="87"/>
      <c r="Z1757" s="87"/>
      <c r="AA1757" s="87"/>
      <c r="AB1757" s="87"/>
      <c r="AC1757" s="87"/>
      <c r="AD1757" s="87"/>
      <c r="AE1757" s="87"/>
      <c r="AF1757" s="87"/>
      <c r="AG1757" s="87"/>
      <c r="AH1757" s="87"/>
      <c r="AI1757" s="87"/>
      <c r="AJ1757" s="87"/>
      <c r="AK1757" s="87"/>
      <c r="AL1757" s="87"/>
      <c r="AM1757" s="87"/>
      <c r="AN1757" s="87"/>
      <c r="AO1757" s="87"/>
      <c r="AP1757" s="87"/>
      <c r="AQ1757" s="87"/>
      <c r="AR1757" s="87"/>
      <c r="AS1757" s="87"/>
      <c r="AT1757" s="87"/>
      <c r="AU1757" s="87"/>
      <c r="AV1757" s="87"/>
      <c r="AW1757" s="87"/>
      <c r="AX1757" s="87"/>
      <c r="AY1757" s="87"/>
      <c r="AZ1757" s="87"/>
      <c r="BA1757" s="87"/>
      <c r="BB1757" s="87"/>
      <c r="BC1757" s="87"/>
      <c r="BD1757" s="87"/>
      <c r="BE1757" s="87"/>
      <c r="BF1757" s="87"/>
      <c r="BG1757" s="87"/>
      <c r="BH1757" s="87"/>
      <c r="BI1757" s="87"/>
      <c r="BJ1757" s="87"/>
      <c r="BK1757" s="87"/>
      <c r="BL1757" s="87"/>
      <c r="BM1757" s="87"/>
      <c r="BN1757" s="87"/>
      <c r="BO1757" s="87"/>
      <c r="BP1757" s="87"/>
      <c r="BQ1757" s="87"/>
      <c r="BR1757" s="87"/>
      <c r="BS1757" s="87"/>
      <c r="BT1757" s="87"/>
      <c r="BU1757" s="87"/>
      <c r="BV1757" s="87"/>
      <c r="BW1757" s="87"/>
      <c r="BX1757" s="87"/>
      <c r="BY1757" s="87"/>
    </row>
    <row r="1758" spans="21:77" x14ac:dyDescent="0.3">
      <c r="U1758" s="19"/>
      <c r="V1758" s="87"/>
      <c r="W1758" s="87"/>
      <c r="X1758" s="87"/>
      <c r="Y1758" s="87"/>
      <c r="Z1758" s="87"/>
      <c r="AA1758" s="87"/>
      <c r="AB1758" s="87"/>
      <c r="AC1758" s="87"/>
      <c r="AD1758" s="87"/>
      <c r="AE1758" s="87"/>
      <c r="AF1758" s="87"/>
      <c r="AG1758" s="87"/>
      <c r="AH1758" s="87"/>
      <c r="AI1758" s="87"/>
      <c r="AJ1758" s="87"/>
      <c r="AK1758" s="87"/>
      <c r="AL1758" s="87"/>
      <c r="AM1758" s="87"/>
      <c r="AN1758" s="87"/>
      <c r="AO1758" s="87"/>
      <c r="AP1758" s="87"/>
      <c r="AQ1758" s="87"/>
      <c r="AR1758" s="87"/>
      <c r="AS1758" s="87"/>
      <c r="AT1758" s="87"/>
      <c r="AU1758" s="87"/>
      <c r="AV1758" s="87"/>
      <c r="AW1758" s="87"/>
      <c r="AX1758" s="87"/>
      <c r="AY1758" s="87"/>
      <c r="AZ1758" s="87"/>
      <c r="BA1758" s="87"/>
      <c r="BB1758" s="87"/>
      <c r="BC1758" s="87"/>
      <c r="BD1758" s="87"/>
      <c r="BE1758" s="87"/>
      <c r="BF1758" s="87"/>
      <c r="BG1758" s="87"/>
      <c r="BH1758" s="87"/>
      <c r="BI1758" s="87"/>
      <c r="BJ1758" s="87"/>
      <c r="BK1758" s="87"/>
      <c r="BL1758" s="87"/>
      <c r="BM1758" s="87"/>
      <c r="BN1758" s="87"/>
      <c r="BO1758" s="87"/>
      <c r="BP1758" s="87"/>
      <c r="BQ1758" s="87"/>
      <c r="BR1758" s="87"/>
      <c r="BS1758" s="87"/>
      <c r="BT1758" s="87"/>
      <c r="BU1758" s="87"/>
      <c r="BV1758" s="87"/>
      <c r="BW1758" s="87"/>
      <c r="BX1758" s="87"/>
      <c r="BY1758" s="87"/>
    </row>
    <row r="1759" spans="21:77" x14ac:dyDescent="0.3">
      <c r="U1759" s="19"/>
      <c r="V1759" s="87"/>
      <c r="W1759" s="87"/>
      <c r="X1759" s="87"/>
      <c r="Y1759" s="87"/>
      <c r="Z1759" s="87"/>
      <c r="AA1759" s="87"/>
      <c r="AB1759" s="87"/>
      <c r="AC1759" s="87"/>
      <c r="AD1759" s="87"/>
      <c r="AE1759" s="87"/>
      <c r="AF1759" s="87"/>
      <c r="AG1759" s="87"/>
      <c r="AH1759" s="87"/>
      <c r="AI1759" s="87"/>
      <c r="AJ1759" s="87"/>
      <c r="AK1759" s="87"/>
      <c r="AL1759" s="87"/>
      <c r="AM1759" s="87"/>
      <c r="AN1759" s="87"/>
      <c r="AO1759" s="87"/>
      <c r="AP1759" s="87"/>
      <c r="AQ1759" s="87"/>
      <c r="AR1759" s="87"/>
      <c r="AS1759" s="87"/>
      <c r="AT1759" s="87"/>
      <c r="AU1759" s="87"/>
      <c r="AV1759" s="87"/>
      <c r="AW1759" s="87"/>
      <c r="AX1759" s="87"/>
      <c r="AY1759" s="87"/>
      <c r="AZ1759" s="87"/>
      <c r="BA1759" s="87"/>
      <c r="BB1759" s="87"/>
      <c r="BC1759" s="87"/>
      <c r="BD1759" s="87"/>
      <c r="BE1759" s="87"/>
      <c r="BF1759" s="87"/>
      <c r="BG1759" s="87"/>
      <c r="BH1759" s="87"/>
      <c r="BI1759" s="87"/>
      <c r="BJ1759" s="87"/>
      <c r="BK1759" s="87"/>
      <c r="BL1759" s="87"/>
      <c r="BM1759" s="87"/>
      <c r="BN1759" s="87"/>
      <c r="BO1759" s="87"/>
      <c r="BP1759" s="87"/>
      <c r="BQ1759" s="87"/>
      <c r="BR1759" s="87"/>
      <c r="BS1759" s="87"/>
      <c r="BT1759" s="87"/>
      <c r="BU1759" s="87"/>
      <c r="BV1759" s="87"/>
      <c r="BW1759" s="87"/>
      <c r="BX1759" s="87"/>
      <c r="BY1759" s="87"/>
    </row>
    <row r="1760" spans="21:77" x14ac:dyDescent="0.3">
      <c r="U1760" s="19"/>
      <c r="V1760" s="87"/>
      <c r="W1760" s="87"/>
      <c r="X1760" s="87"/>
      <c r="Y1760" s="87"/>
      <c r="Z1760" s="87"/>
      <c r="AA1760" s="87"/>
      <c r="AB1760" s="87"/>
      <c r="AC1760" s="87"/>
      <c r="AD1760" s="87"/>
      <c r="AE1760" s="87"/>
      <c r="AF1760" s="87"/>
      <c r="AG1760" s="87"/>
      <c r="AH1760" s="87"/>
      <c r="AI1760" s="87"/>
      <c r="AJ1760" s="87"/>
      <c r="AK1760" s="87"/>
      <c r="AL1760" s="87"/>
      <c r="AM1760" s="87"/>
      <c r="AN1760" s="87"/>
      <c r="AO1760" s="87"/>
      <c r="AP1760" s="87"/>
      <c r="AQ1760" s="87"/>
      <c r="AR1760" s="87"/>
      <c r="AS1760" s="87"/>
      <c r="AT1760" s="87"/>
      <c r="AU1760" s="87"/>
      <c r="AV1760" s="87"/>
      <c r="AW1760" s="87"/>
      <c r="AX1760" s="87"/>
      <c r="AY1760" s="87"/>
      <c r="AZ1760" s="87"/>
      <c r="BA1760" s="87"/>
      <c r="BB1760" s="87"/>
      <c r="BC1760" s="87"/>
      <c r="BD1760" s="87"/>
      <c r="BE1760" s="87"/>
      <c r="BF1760" s="87"/>
      <c r="BG1760" s="87"/>
      <c r="BH1760" s="87"/>
      <c r="BI1760" s="87"/>
      <c r="BJ1760" s="87"/>
      <c r="BK1760" s="87"/>
      <c r="BL1760" s="87"/>
      <c r="BM1760" s="87"/>
      <c r="BN1760" s="87"/>
      <c r="BO1760" s="87"/>
      <c r="BP1760" s="87"/>
      <c r="BQ1760" s="87"/>
      <c r="BR1760" s="87"/>
      <c r="BS1760" s="87"/>
      <c r="BT1760" s="87"/>
      <c r="BU1760" s="87"/>
      <c r="BV1760" s="87"/>
      <c r="BW1760" s="87"/>
      <c r="BX1760" s="87"/>
      <c r="BY1760" s="87"/>
    </row>
    <row r="1761" spans="21:77" x14ac:dyDescent="0.3">
      <c r="U1761" s="19"/>
      <c r="V1761" s="87"/>
      <c r="W1761" s="87"/>
      <c r="X1761" s="87"/>
      <c r="Y1761" s="87"/>
      <c r="Z1761" s="87"/>
      <c r="AA1761" s="87"/>
      <c r="AB1761" s="87"/>
      <c r="AC1761" s="87"/>
      <c r="AD1761" s="87"/>
      <c r="AE1761" s="87"/>
      <c r="AF1761" s="87"/>
      <c r="AG1761" s="87"/>
      <c r="AH1761" s="87"/>
      <c r="AI1761" s="87"/>
      <c r="AJ1761" s="87"/>
      <c r="AK1761" s="87"/>
      <c r="AL1761" s="87"/>
      <c r="AM1761" s="87"/>
      <c r="AN1761" s="87"/>
      <c r="AO1761" s="87"/>
      <c r="AP1761" s="87"/>
      <c r="AQ1761" s="87"/>
      <c r="AR1761" s="87"/>
      <c r="AS1761" s="87"/>
      <c r="AT1761" s="87"/>
      <c r="AU1761" s="87"/>
      <c r="AV1761" s="87"/>
      <c r="AW1761" s="87"/>
      <c r="AX1761" s="87"/>
      <c r="AY1761" s="87"/>
      <c r="AZ1761" s="87"/>
      <c r="BA1761" s="87"/>
      <c r="BB1761" s="87"/>
      <c r="BC1761" s="87"/>
      <c r="BD1761" s="87"/>
      <c r="BE1761" s="87"/>
      <c r="BF1761" s="87"/>
      <c r="BG1761" s="87"/>
      <c r="BH1761" s="87"/>
      <c r="BI1761" s="87"/>
      <c r="BJ1761" s="87"/>
      <c r="BK1761" s="87"/>
      <c r="BL1761" s="87"/>
      <c r="BM1761" s="87"/>
      <c r="BN1761" s="87"/>
      <c r="BO1761" s="87"/>
      <c r="BP1761" s="87"/>
      <c r="BQ1761" s="87"/>
      <c r="BR1761" s="87"/>
      <c r="BS1761" s="87"/>
      <c r="BT1761" s="87"/>
      <c r="BU1761" s="87"/>
      <c r="BV1761" s="87"/>
      <c r="BW1761" s="87"/>
      <c r="BX1761" s="87"/>
      <c r="BY1761" s="87"/>
    </row>
    <row r="1762" spans="21:77" x14ac:dyDescent="0.3">
      <c r="U1762" s="19"/>
      <c r="V1762" s="87"/>
      <c r="W1762" s="87"/>
      <c r="X1762" s="87"/>
      <c r="Y1762" s="87"/>
      <c r="Z1762" s="87"/>
      <c r="AA1762" s="87"/>
      <c r="AB1762" s="87"/>
      <c r="AC1762" s="87"/>
      <c r="AD1762" s="87"/>
      <c r="AE1762" s="87"/>
      <c r="AF1762" s="87"/>
      <c r="AG1762" s="87"/>
      <c r="AH1762" s="87"/>
      <c r="AI1762" s="87"/>
      <c r="AJ1762" s="87"/>
      <c r="AK1762" s="87"/>
      <c r="AL1762" s="87"/>
      <c r="AM1762" s="87"/>
      <c r="AN1762" s="87"/>
      <c r="AO1762" s="87"/>
      <c r="AP1762" s="87"/>
      <c r="AQ1762" s="87"/>
      <c r="AR1762" s="87"/>
      <c r="AS1762" s="87"/>
      <c r="AT1762" s="87"/>
      <c r="AU1762" s="87"/>
      <c r="AV1762" s="87"/>
      <c r="AW1762" s="87"/>
      <c r="AX1762" s="87"/>
      <c r="AY1762" s="87"/>
      <c r="AZ1762" s="87"/>
      <c r="BA1762" s="87"/>
      <c r="BB1762" s="87"/>
      <c r="BC1762" s="87"/>
      <c r="BD1762" s="87"/>
      <c r="BE1762" s="87"/>
      <c r="BF1762" s="87"/>
      <c r="BG1762" s="87"/>
      <c r="BH1762" s="87"/>
      <c r="BI1762" s="87"/>
      <c r="BJ1762" s="87"/>
      <c r="BK1762" s="87"/>
      <c r="BL1762" s="87"/>
      <c r="BM1762" s="87"/>
      <c r="BN1762" s="87"/>
      <c r="BO1762" s="87"/>
      <c r="BP1762" s="87"/>
      <c r="BQ1762" s="87"/>
      <c r="BR1762" s="87"/>
      <c r="BS1762" s="87"/>
      <c r="BT1762" s="87"/>
      <c r="BU1762" s="87"/>
      <c r="BV1762" s="87"/>
      <c r="BW1762" s="87"/>
      <c r="BX1762" s="87"/>
      <c r="BY1762" s="87"/>
    </row>
    <row r="1763" spans="21:77" x14ac:dyDescent="0.3">
      <c r="U1763" s="19"/>
      <c r="V1763" s="87"/>
      <c r="W1763" s="87"/>
      <c r="X1763" s="87"/>
      <c r="Y1763" s="87"/>
      <c r="Z1763" s="87"/>
      <c r="AA1763" s="87"/>
      <c r="AB1763" s="87"/>
      <c r="AC1763" s="87"/>
      <c r="AD1763" s="87"/>
      <c r="AE1763" s="87"/>
      <c r="AF1763" s="87"/>
      <c r="AG1763" s="87"/>
      <c r="AH1763" s="87"/>
      <c r="AI1763" s="87"/>
      <c r="AJ1763" s="87"/>
      <c r="AK1763" s="87"/>
      <c r="AL1763" s="87"/>
      <c r="AM1763" s="87"/>
      <c r="AN1763" s="87"/>
      <c r="AO1763" s="87"/>
      <c r="AP1763" s="87"/>
      <c r="AQ1763" s="87"/>
      <c r="AR1763" s="87"/>
      <c r="AS1763" s="87"/>
      <c r="AT1763" s="87"/>
      <c r="AU1763" s="87"/>
      <c r="AV1763" s="87"/>
      <c r="AW1763" s="87"/>
      <c r="AX1763" s="87"/>
      <c r="AY1763" s="87"/>
      <c r="AZ1763" s="87"/>
      <c r="BA1763" s="87"/>
      <c r="BB1763" s="87"/>
      <c r="BC1763" s="87"/>
      <c r="BD1763" s="87"/>
      <c r="BE1763" s="87"/>
      <c r="BF1763" s="87"/>
      <c r="BG1763" s="87"/>
      <c r="BH1763" s="87"/>
      <c r="BI1763" s="87"/>
      <c r="BJ1763" s="87"/>
      <c r="BK1763" s="87"/>
      <c r="BL1763" s="87"/>
      <c r="BM1763" s="87"/>
      <c r="BN1763" s="87"/>
      <c r="BO1763" s="87"/>
      <c r="BP1763" s="87"/>
      <c r="BQ1763" s="87"/>
      <c r="BR1763" s="87"/>
      <c r="BS1763" s="87"/>
      <c r="BT1763" s="87"/>
      <c r="BU1763" s="87"/>
      <c r="BV1763" s="87"/>
      <c r="BW1763" s="87"/>
      <c r="BX1763" s="87"/>
      <c r="BY1763" s="87"/>
    </row>
    <row r="1764" spans="21:77" x14ac:dyDescent="0.3">
      <c r="U1764" s="19"/>
      <c r="V1764" s="87"/>
      <c r="W1764" s="87"/>
      <c r="X1764" s="87"/>
      <c r="Y1764" s="87"/>
      <c r="Z1764" s="87"/>
      <c r="AA1764" s="87"/>
      <c r="AB1764" s="87"/>
      <c r="AC1764" s="87"/>
      <c r="AD1764" s="87"/>
      <c r="AE1764" s="87"/>
      <c r="AF1764" s="87"/>
      <c r="AG1764" s="87"/>
      <c r="AH1764" s="87"/>
      <c r="AI1764" s="87"/>
      <c r="AJ1764" s="87"/>
      <c r="AK1764" s="87"/>
      <c r="AL1764" s="87"/>
      <c r="AM1764" s="87"/>
      <c r="AN1764" s="87"/>
      <c r="AO1764" s="87"/>
      <c r="AP1764" s="87"/>
      <c r="AQ1764" s="87"/>
      <c r="AR1764" s="87"/>
      <c r="AS1764" s="87"/>
      <c r="AT1764" s="87"/>
      <c r="AU1764" s="87"/>
      <c r="AV1764" s="87"/>
      <c r="AW1764" s="87"/>
      <c r="AX1764" s="87"/>
      <c r="AY1764" s="87"/>
      <c r="AZ1764" s="87"/>
      <c r="BA1764" s="87"/>
      <c r="BB1764" s="87"/>
      <c r="BC1764" s="87"/>
      <c r="BD1764" s="87"/>
      <c r="BE1764" s="87"/>
      <c r="BF1764" s="87"/>
      <c r="BG1764" s="87"/>
      <c r="BH1764" s="87"/>
      <c r="BI1764" s="87"/>
      <c r="BJ1764" s="87"/>
      <c r="BK1764" s="87"/>
      <c r="BL1764" s="87"/>
      <c r="BM1764" s="87"/>
      <c r="BN1764" s="87"/>
      <c r="BO1764" s="87"/>
      <c r="BP1764" s="87"/>
      <c r="BQ1764" s="87"/>
      <c r="BR1764" s="87"/>
      <c r="BS1764" s="87"/>
      <c r="BT1764" s="87"/>
      <c r="BU1764" s="87"/>
      <c r="BV1764" s="87"/>
      <c r="BW1764" s="87"/>
      <c r="BX1764" s="87"/>
      <c r="BY1764" s="87"/>
    </row>
    <row r="1765" spans="21:77" x14ac:dyDescent="0.3">
      <c r="U1765" s="19"/>
      <c r="V1765" s="87"/>
      <c r="W1765" s="87"/>
      <c r="X1765" s="87"/>
      <c r="Y1765" s="87"/>
      <c r="Z1765" s="87"/>
      <c r="AA1765" s="87"/>
      <c r="AB1765" s="87"/>
      <c r="AC1765" s="87"/>
      <c r="AD1765" s="87"/>
      <c r="AE1765" s="87"/>
      <c r="AF1765" s="87"/>
      <c r="AG1765" s="87"/>
      <c r="AH1765" s="87"/>
      <c r="AI1765" s="87"/>
      <c r="AJ1765" s="87"/>
      <c r="AK1765" s="87"/>
      <c r="AL1765" s="87"/>
      <c r="AM1765" s="87"/>
      <c r="AN1765" s="87"/>
      <c r="AO1765" s="87"/>
      <c r="AP1765" s="87"/>
      <c r="AQ1765" s="87"/>
      <c r="AR1765" s="87"/>
      <c r="AS1765" s="87"/>
      <c r="AT1765" s="87"/>
      <c r="AU1765" s="87"/>
      <c r="AV1765" s="87"/>
      <c r="AW1765" s="87"/>
      <c r="AX1765" s="87"/>
      <c r="AY1765" s="87"/>
      <c r="AZ1765" s="87"/>
      <c r="BA1765" s="87"/>
      <c r="BB1765" s="87"/>
      <c r="BC1765" s="87"/>
      <c r="BD1765" s="87"/>
      <c r="BE1765" s="87"/>
      <c r="BF1765" s="87"/>
      <c r="BG1765" s="87"/>
      <c r="BH1765" s="87"/>
      <c r="BI1765" s="87"/>
      <c r="BJ1765" s="87"/>
      <c r="BK1765" s="87"/>
      <c r="BL1765" s="87"/>
      <c r="BM1765" s="87"/>
      <c r="BN1765" s="87"/>
      <c r="BO1765" s="87"/>
      <c r="BP1765" s="87"/>
      <c r="BQ1765" s="87"/>
      <c r="BR1765" s="87"/>
      <c r="BS1765" s="87"/>
      <c r="BT1765" s="87"/>
      <c r="BU1765" s="87"/>
      <c r="BV1765" s="87"/>
      <c r="BW1765" s="87"/>
      <c r="BX1765" s="87"/>
      <c r="BY1765" s="87"/>
    </row>
    <row r="1766" spans="21:77" x14ac:dyDescent="0.3">
      <c r="U1766" s="19"/>
      <c r="V1766" s="87"/>
      <c r="W1766" s="87"/>
      <c r="X1766" s="87"/>
      <c r="Y1766" s="87"/>
      <c r="Z1766" s="87"/>
      <c r="AA1766" s="87"/>
      <c r="AB1766" s="87"/>
      <c r="AC1766" s="87"/>
      <c r="AD1766" s="87"/>
      <c r="AE1766" s="87"/>
      <c r="AF1766" s="87"/>
      <c r="AG1766" s="87"/>
      <c r="AH1766" s="87"/>
      <c r="AI1766" s="87"/>
      <c r="AJ1766" s="87"/>
      <c r="AK1766" s="87"/>
      <c r="AL1766" s="87"/>
      <c r="AM1766" s="87"/>
      <c r="AN1766" s="87"/>
      <c r="AO1766" s="87"/>
      <c r="AP1766" s="87"/>
      <c r="AQ1766" s="87"/>
      <c r="AR1766" s="87"/>
      <c r="AS1766" s="87"/>
      <c r="AT1766" s="87"/>
      <c r="AU1766" s="87"/>
      <c r="AV1766" s="87"/>
      <c r="AW1766" s="87"/>
      <c r="AX1766" s="87"/>
      <c r="AY1766" s="87"/>
      <c r="AZ1766" s="87"/>
      <c r="BA1766" s="87"/>
      <c r="BB1766" s="87"/>
      <c r="BC1766" s="87"/>
      <c r="BD1766" s="87"/>
      <c r="BE1766" s="87"/>
      <c r="BF1766" s="87"/>
      <c r="BG1766" s="87"/>
      <c r="BH1766" s="87"/>
      <c r="BI1766" s="87"/>
      <c r="BJ1766" s="87"/>
      <c r="BK1766" s="87"/>
      <c r="BL1766" s="87"/>
      <c r="BM1766" s="87"/>
      <c r="BN1766" s="87"/>
      <c r="BO1766" s="87"/>
      <c r="BP1766" s="87"/>
      <c r="BQ1766" s="87"/>
      <c r="BR1766" s="87"/>
      <c r="BS1766" s="87"/>
      <c r="BT1766" s="87"/>
      <c r="BU1766" s="87"/>
      <c r="BV1766" s="87"/>
      <c r="BW1766" s="87"/>
      <c r="BX1766" s="87"/>
      <c r="BY1766" s="87"/>
    </row>
    <row r="1767" spans="21:77" x14ac:dyDescent="0.3">
      <c r="U1767" s="19"/>
      <c r="V1767" s="87"/>
      <c r="W1767" s="87"/>
      <c r="X1767" s="87"/>
      <c r="Y1767" s="87"/>
      <c r="Z1767" s="87"/>
      <c r="AA1767" s="87"/>
      <c r="AB1767" s="87"/>
      <c r="AC1767" s="87"/>
      <c r="AD1767" s="87"/>
      <c r="AE1767" s="87"/>
      <c r="AF1767" s="87"/>
      <c r="AG1767" s="87"/>
      <c r="AH1767" s="87"/>
      <c r="AI1767" s="87"/>
      <c r="AJ1767" s="87"/>
      <c r="AK1767" s="87"/>
      <c r="AL1767" s="87"/>
      <c r="AM1767" s="87"/>
      <c r="AN1767" s="87"/>
      <c r="AO1767" s="87"/>
      <c r="AP1767" s="87"/>
      <c r="AQ1767" s="87"/>
      <c r="AR1767" s="87"/>
      <c r="AS1767" s="87"/>
      <c r="AT1767" s="87"/>
      <c r="AU1767" s="87"/>
      <c r="AV1767" s="87"/>
      <c r="AW1767" s="87"/>
      <c r="AX1767" s="87"/>
      <c r="AY1767" s="87"/>
      <c r="AZ1767" s="87"/>
      <c r="BA1767" s="87"/>
      <c r="BB1767" s="87"/>
      <c r="BC1767" s="87"/>
      <c r="BD1767" s="87"/>
      <c r="BE1767" s="87"/>
      <c r="BF1767" s="87"/>
      <c r="BG1767" s="87"/>
      <c r="BH1767" s="87"/>
      <c r="BI1767" s="87"/>
      <c r="BJ1767" s="87"/>
      <c r="BK1767" s="87"/>
      <c r="BL1767" s="87"/>
      <c r="BM1767" s="87"/>
      <c r="BN1767" s="87"/>
      <c r="BO1767" s="87"/>
      <c r="BP1767" s="87"/>
      <c r="BQ1767" s="87"/>
      <c r="BR1767" s="87"/>
      <c r="BS1767" s="87"/>
      <c r="BT1767" s="87"/>
      <c r="BU1767" s="87"/>
      <c r="BV1767" s="87"/>
      <c r="BW1767" s="87"/>
      <c r="BX1767" s="87"/>
      <c r="BY1767" s="87"/>
    </row>
    <row r="1768" spans="21:77" x14ac:dyDescent="0.3">
      <c r="U1768" s="19"/>
      <c r="V1768" s="87"/>
      <c r="W1768" s="87"/>
      <c r="X1768" s="87"/>
      <c r="Y1768" s="87"/>
      <c r="Z1768" s="87"/>
      <c r="AA1768" s="87"/>
      <c r="AB1768" s="87"/>
      <c r="AC1768" s="87"/>
      <c r="AD1768" s="87"/>
      <c r="AE1768" s="87"/>
      <c r="AF1768" s="87"/>
      <c r="AG1768" s="87"/>
      <c r="AH1768" s="87"/>
      <c r="AI1768" s="87"/>
      <c r="AJ1768" s="87"/>
      <c r="AK1768" s="87"/>
      <c r="AL1768" s="87"/>
      <c r="AM1768" s="87"/>
      <c r="AN1768" s="87"/>
      <c r="AO1768" s="87"/>
      <c r="AP1768" s="87"/>
      <c r="AQ1768" s="87"/>
      <c r="AR1768" s="87"/>
      <c r="AS1768" s="87"/>
      <c r="AT1768" s="87"/>
      <c r="AU1768" s="87"/>
      <c r="AV1768" s="87"/>
      <c r="AW1768" s="87"/>
      <c r="AX1768" s="87"/>
      <c r="AY1768" s="87"/>
      <c r="AZ1768" s="87"/>
      <c r="BA1768" s="87"/>
      <c r="BB1768" s="87"/>
      <c r="BC1768" s="87"/>
      <c r="BD1768" s="87"/>
      <c r="BE1768" s="87"/>
      <c r="BF1768" s="87"/>
      <c r="BG1768" s="87"/>
      <c r="BH1768" s="87"/>
      <c r="BI1768" s="87"/>
      <c r="BJ1768" s="87"/>
      <c r="BK1768" s="87"/>
      <c r="BL1768" s="87"/>
      <c r="BM1768" s="87"/>
      <c r="BN1768" s="87"/>
      <c r="BO1768" s="87"/>
      <c r="BP1768" s="87"/>
      <c r="BQ1768" s="87"/>
      <c r="BR1768" s="87"/>
      <c r="BS1768" s="87"/>
      <c r="BT1768" s="87"/>
      <c r="BU1768" s="87"/>
      <c r="BV1768" s="87"/>
      <c r="BW1768" s="87"/>
      <c r="BX1768" s="87"/>
      <c r="BY1768" s="87"/>
    </row>
    <row r="1769" spans="21:77" x14ac:dyDescent="0.3">
      <c r="U1769" s="19"/>
      <c r="V1769" s="87"/>
      <c r="W1769" s="87"/>
      <c r="X1769" s="87"/>
      <c r="Y1769" s="87"/>
      <c r="Z1769" s="87"/>
      <c r="AA1769" s="87"/>
      <c r="AB1769" s="87"/>
      <c r="AC1769" s="87"/>
      <c r="AD1769" s="87"/>
      <c r="AE1769" s="87"/>
      <c r="AF1769" s="87"/>
      <c r="AG1769" s="87"/>
      <c r="AH1769" s="87"/>
      <c r="AI1769" s="87"/>
      <c r="AJ1769" s="87"/>
      <c r="AK1769" s="87"/>
      <c r="AL1769" s="87"/>
      <c r="AM1769" s="87"/>
      <c r="AN1769" s="87"/>
      <c r="AO1769" s="87"/>
      <c r="AP1769" s="87"/>
      <c r="AQ1769" s="87"/>
      <c r="AR1769" s="87"/>
      <c r="AS1769" s="87"/>
      <c r="AT1769" s="87"/>
      <c r="AU1769" s="87"/>
      <c r="AV1769" s="87"/>
      <c r="AW1769" s="87"/>
      <c r="AX1769" s="87"/>
      <c r="AY1769" s="87"/>
      <c r="AZ1769" s="87"/>
      <c r="BA1769" s="87"/>
      <c r="BB1769" s="87"/>
      <c r="BC1769" s="87"/>
      <c r="BD1769" s="87"/>
      <c r="BE1769" s="87"/>
      <c r="BF1769" s="87"/>
      <c r="BG1769" s="87"/>
      <c r="BH1769" s="87"/>
      <c r="BI1769" s="87"/>
      <c r="BJ1769" s="87"/>
      <c r="BK1769" s="87"/>
      <c r="BL1769" s="87"/>
      <c r="BM1769" s="87"/>
      <c r="BN1769" s="87"/>
      <c r="BO1769" s="87"/>
      <c r="BP1769" s="87"/>
      <c r="BQ1769" s="87"/>
      <c r="BR1769" s="87"/>
      <c r="BS1769" s="87"/>
      <c r="BT1769" s="87"/>
      <c r="BU1769" s="87"/>
      <c r="BV1769" s="87"/>
      <c r="BW1769" s="87"/>
      <c r="BX1769" s="87"/>
      <c r="BY1769" s="87"/>
    </row>
    <row r="1770" spans="21:77" x14ac:dyDescent="0.3">
      <c r="U1770" s="19"/>
      <c r="V1770" s="87"/>
      <c r="W1770" s="87"/>
      <c r="X1770" s="87"/>
      <c r="Y1770" s="87"/>
      <c r="Z1770" s="87"/>
      <c r="AA1770" s="87"/>
      <c r="AB1770" s="87"/>
      <c r="AC1770" s="87"/>
      <c r="AD1770" s="87"/>
      <c r="AE1770" s="87"/>
      <c r="AF1770" s="87"/>
      <c r="AG1770" s="87"/>
      <c r="AH1770" s="87"/>
      <c r="AI1770" s="87"/>
      <c r="AJ1770" s="87"/>
      <c r="AK1770" s="87"/>
      <c r="AL1770" s="87"/>
      <c r="AM1770" s="87"/>
      <c r="AN1770" s="87"/>
      <c r="AO1770" s="87"/>
      <c r="AP1770" s="87"/>
      <c r="AQ1770" s="87"/>
      <c r="AR1770" s="87"/>
      <c r="AS1770" s="87"/>
      <c r="AT1770" s="87"/>
      <c r="AU1770" s="87"/>
      <c r="AV1770" s="87"/>
      <c r="AW1770" s="87"/>
      <c r="AX1770" s="87"/>
      <c r="AY1770" s="87"/>
      <c r="AZ1770" s="87"/>
      <c r="BA1770" s="87"/>
      <c r="BB1770" s="87"/>
      <c r="BC1770" s="87"/>
      <c r="BD1770" s="87"/>
      <c r="BE1770" s="87"/>
      <c r="BF1770" s="87"/>
      <c r="BG1770" s="87"/>
      <c r="BH1770" s="87"/>
      <c r="BI1770" s="87"/>
      <c r="BJ1770" s="87"/>
      <c r="BK1770" s="87"/>
      <c r="BL1770" s="87"/>
      <c r="BM1770" s="87"/>
      <c r="BN1770" s="87"/>
      <c r="BO1770" s="87"/>
      <c r="BP1770" s="87"/>
      <c r="BQ1770" s="87"/>
      <c r="BR1770" s="87"/>
      <c r="BS1770" s="87"/>
      <c r="BT1770" s="87"/>
      <c r="BU1770" s="87"/>
      <c r="BV1770" s="87"/>
      <c r="BW1770" s="87"/>
      <c r="BX1770" s="87"/>
      <c r="BY1770" s="87"/>
    </row>
    <row r="1771" spans="21:77" x14ac:dyDescent="0.3">
      <c r="U1771" s="19"/>
      <c r="V1771" s="87"/>
      <c r="W1771" s="87"/>
      <c r="X1771" s="87"/>
      <c r="Y1771" s="87"/>
      <c r="Z1771" s="87"/>
      <c r="AA1771" s="87"/>
      <c r="AB1771" s="87"/>
      <c r="AC1771" s="87"/>
      <c r="AD1771" s="87"/>
      <c r="AE1771" s="87"/>
      <c r="AF1771" s="87"/>
      <c r="AG1771" s="87"/>
      <c r="AH1771" s="87"/>
      <c r="AI1771" s="87"/>
      <c r="AJ1771" s="87"/>
      <c r="AK1771" s="87"/>
      <c r="AL1771" s="87"/>
      <c r="AM1771" s="87"/>
      <c r="AN1771" s="87"/>
      <c r="AO1771" s="87"/>
      <c r="AP1771" s="87"/>
      <c r="AQ1771" s="87"/>
      <c r="AR1771" s="87"/>
      <c r="AS1771" s="87"/>
      <c r="AT1771" s="87"/>
      <c r="AU1771" s="87"/>
      <c r="AV1771" s="87"/>
      <c r="AW1771" s="87"/>
      <c r="AX1771" s="87"/>
      <c r="AY1771" s="87"/>
      <c r="AZ1771" s="87"/>
      <c r="BA1771" s="87"/>
      <c r="BB1771" s="87"/>
      <c r="BC1771" s="87"/>
      <c r="BD1771" s="87"/>
      <c r="BE1771" s="87"/>
      <c r="BF1771" s="87"/>
      <c r="BG1771" s="87"/>
      <c r="BH1771" s="87"/>
      <c r="BI1771" s="87"/>
      <c r="BJ1771" s="87"/>
      <c r="BK1771" s="87"/>
      <c r="BL1771" s="87"/>
      <c r="BM1771" s="87"/>
      <c r="BN1771" s="87"/>
      <c r="BO1771" s="87"/>
      <c r="BP1771" s="87"/>
      <c r="BQ1771" s="87"/>
      <c r="BR1771" s="87"/>
      <c r="BS1771" s="87"/>
      <c r="BT1771" s="87"/>
      <c r="BU1771" s="87"/>
      <c r="BV1771" s="87"/>
      <c r="BW1771" s="87"/>
      <c r="BX1771" s="87"/>
      <c r="BY1771" s="87"/>
    </row>
    <row r="1772" spans="21:77" x14ac:dyDescent="0.3">
      <c r="U1772" s="19"/>
      <c r="V1772" s="87"/>
      <c r="W1772" s="87"/>
      <c r="X1772" s="87"/>
      <c r="Y1772" s="87"/>
      <c r="Z1772" s="87"/>
      <c r="AA1772" s="87"/>
      <c r="AB1772" s="87"/>
      <c r="AC1772" s="87"/>
      <c r="AD1772" s="87"/>
      <c r="AE1772" s="87"/>
      <c r="AF1772" s="87"/>
      <c r="AG1772" s="87"/>
      <c r="AH1772" s="87"/>
      <c r="AI1772" s="87"/>
      <c r="AJ1772" s="87"/>
      <c r="AK1772" s="87"/>
      <c r="AL1772" s="87"/>
      <c r="AM1772" s="87"/>
      <c r="AN1772" s="87"/>
      <c r="AO1772" s="87"/>
      <c r="AP1772" s="87"/>
      <c r="AQ1772" s="87"/>
      <c r="AR1772" s="87"/>
      <c r="AS1772" s="87"/>
      <c r="AT1772" s="87"/>
      <c r="AU1772" s="87"/>
      <c r="AV1772" s="87"/>
      <c r="AW1772" s="87"/>
      <c r="AX1772" s="87"/>
      <c r="AY1772" s="87"/>
      <c r="AZ1772" s="87"/>
      <c r="BA1772" s="87"/>
      <c r="BB1772" s="87"/>
      <c r="BC1772" s="87"/>
      <c r="BD1772" s="87"/>
      <c r="BE1772" s="87"/>
      <c r="BF1772" s="87"/>
      <c r="BG1772" s="87"/>
      <c r="BH1772" s="87"/>
      <c r="BI1772" s="87"/>
      <c r="BJ1772" s="87"/>
      <c r="BK1772" s="87"/>
      <c r="BL1772" s="87"/>
      <c r="BM1772" s="87"/>
      <c r="BN1772" s="87"/>
      <c r="BO1772" s="87"/>
      <c r="BP1772" s="87"/>
      <c r="BQ1772" s="87"/>
      <c r="BR1772" s="87"/>
      <c r="BS1772" s="87"/>
      <c r="BT1772" s="87"/>
      <c r="BU1772" s="87"/>
      <c r="BV1772" s="87"/>
      <c r="BW1772" s="87"/>
      <c r="BX1772" s="87"/>
      <c r="BY1772" s="87"/>
    </row>
    <row r="1773" spans="21:77" x14ac:dyDescent="0.3">
      <c r="U1773" s="19"/>
      <c r="V1773" s="87"/>
      <c r="W1773" s="87"/>
      <c r="X1773" s="87"/>
      <c r="Y1773" s="87"/>
      <c r="Z1773" s="87"/>
      <c r="AA1773" s="87"/>
      <c r="AB1773" s="87"/>
      <c r="AC1773" s="87"/>
      <c r="AD1773" s="87"/>
      <c r="AE1773" s="87"/>
      <c r="AF1773" s="87"/>
      <c r="AG1773" s="87"/>
      <c r="AH1773" s="87"/>
      <c r="AI1773" s="87"/>
      <c r="AJ1773" s="87"/>
      <c r="AK1773" s="87"/>
      <c r="AL1773" s="87"/>
      <c r="AM1773" s="87"/>
      <c r="AN1773" s="87"/>
      <c r="AO1773" s="87"/>
      <c r="AP1773" s="87"/>
      <c r="AQ1773" s="87"/>
      <c r="AR1773" s="87"/>
      <c r="AS1773" s="87"/>
      <c r="AT1773" s="87"/>
      <c r="AU1773" s="87"/>
      <c r="AV1773" s="87"/>
      <c r="AW1773" s="87"/>
      <c r="AX1773" s="87"/>
      <c r="AY1773" s="87"/>
      <c r="AZ1773" s="87"/>
      <c r="BA1773" s="87"/>
      <c r="BB1773" s="87"/>
      <c r="BC1773" s="87"/>
      <c r="BD1773" s="87"/>
      <c r="BE1773" s="87"/>
      <c r="BF1773" s="87"/>
      <c r="BG1773" s="87"/>
      <c r="BH1773" s="87"/>
      <c r="BI1773" s="87"/>
      <c r="BJ1773" s="87"/>
      <c r="BK1773" s="87"/>
      <c r="BL1773" s="87"/>
      <c r="BM1773" s="87"/>
      <c r="BN1773" s="87"/>
      <c r="BO1773" s="87"/>
      <c r="BP1773" s="87"/>
      <c r="BQ1773" s="87"/>
      <c r="BR1773" s="87"/>
      <c r="BS1773" s="87"/>
      <c r="BT1773" s="87"/>
      <c r="BU1773" s="87"/>
      <c r="BV1773" s="87"/>
      <c r="BW1773" s="87"/>
      <c r="BX1773" s="87"/>
      <c r="BY1773" s="87"/>
    </row>
    <row r="1774" spans="21:77" x14ac:dyDescent="0.3">
      <c r="U1774" s="19"/>
      <c r="V1774" s="87"/>
      <c r="W1774" s="87"/>
      <c r="X1774" s="87"/>
      <c r="Y1774" s="87"/>
      <c r="Z1774" s="87"/>
      <c r="AA1774" s="87"/>
      <c r="AB1774" s="87"/>
      <c r="AC1774" s="87"/>
      <c r="AD1774" s="87"/>
      <c r="AE1774" s="87"/>
      <c r="AF1774" s="87"/>
      <c r="AG1774" s="87"/>
      <c r="AH1774" s="87"/>
      <c r="AI1774" s="87"/>
      <c r="AJ1774" s="87"/>
      <c r="AK1774" s="87"/>
      <c r="AL1774" s="87"/>
      <c r="AM1774" s="87"/>
      <c r="AN1774" s="87"/>
      <c r="AO1774" s="87"/>
      <c r="AP1774" s="87"/>
      <c r="AQ1774" s="87"/>
      <c r="AR1774" s="87"/>
      <c r="AS1774" s="87"/>
      <c r="AT1774" s="87"/>
      <c r="AU1774" s="87"/>
      <c r="AV1774" s="87"/>
      <c r="AW1774" s="87"/>
      <c r="AX1774" s="87"/>
      <c r="AY1774" s="87"/>
      <c r="AZ1774" s="87"/>
      <c r="BA1774" s="87"/>
      <c r="BB1774" s="87"/>
      <c r="BC1774" s="87"/>
      <c r="BD1774" s="87"/>
      <c r="BE1774" s="87"/>
      <c r="BF1774" s="87"/>
      <c r="BG1774" s="87"/>
      <c r="BH1774" s="87"/>
      <c r="BI1774" s="87"/>
      <c r="BJ1774" s="87"/>
      <c r="BK1774" s="87"/>
      <c r="BL1774" s="87"/>
      <c r="BM1774" s="87"/>
      <c r="BN1774" s="87"/>
      <c r="BO1774" s="87"/>
      <c r="BP1774" s="87"/>
      <c r="BQ1774" s="87"/>
      <c r="BR1774" s="87"/>
      <c r="BS1774" s="87"/>
      <c r="BT1774" s="87"/>
      <c r="BU1774" s="87"/>
      <c r="BV1774" s="87"/>
      <c r="BW1774" s="87"/>
      <c r="BX1774" s="87"/>
      <c r="BY1774" s="87"/>
    </row>
    <row r="1775" spans="21:77" x14ac:dyDescent="0.3">
      <c r="U1775" s="19"/>
      <c r="V1775" s="87"/>
      <c r="W1775" s="87"/>
      <c r="X1775" s="87"/>
      <c r="Y1775" s="87"/>
      <c r="Z1775" s="87"/>
      <c r="AA1775" s="87"/>
      <c r="AB1775" s="87"/>
      <c r="AC1775" s="87"/>
      <c r="AD1775" s="87"/>
      <c r="AE1775" s="87"/>
      <c r="AF1775" s="87"/>
      <c r="AG1775" s="87"/>
      <c r="AH1775" s="87"/>
      <c r="AI1775" s="87"/>
      <c r="AJ1775" s="87"/>
      <c r="AK1775" s="87"/>
      <c r="AL1775" s="87"/>
      <c r="AM1775" s="87"/>
      <c r="AN1775" s="87"/>
      <c r="AO1775" s="87"/>
      <c r="AP1775" s="87"/>
      <c r="AQ1775" s="87"/>
      <c r="AR1775" s="87"/>
      <c r="AS1775" s="87"/>
      <c r="AT1775" s="87"/>
      <c r="AU1775" s="87"/>
      <c r="AV1775" s="87"/>
      <c r="AW1775" s="87"/>
      <c r="AX1775" s="87"/>
      <c r="AY1775" s="87"/>
      <c r="AZ1775" s="87"/>
      <c r="BA1775" s="87"/>
      <c r="BB1775" s="87"/>
      <c r="BC1775" s="87"/>
      <c r="BD1775" s="87"/>
      <c r="BE1775" s="87"/>
      <c r="BF1775" s="87"/>
      <c r="BG1775" s="87"/>
      <c r="BH1775" s="87"/>
      <c r="BI1775" s="87"/>
      <c r="BJ1775" s="87"/>
      <c r="BK1775" s="87"/>
      <c r="BL1775" s="87"/>
      <c r="BM1775" s="87"/>
      <c r="BN1775" s="87"/>
      <c r="BO1775" s="87"/>
      <c r="BP1775" s="87"/>
      <c r="BQ1775" s="87"/>
      <c r="BR1775" s="87"/>
      <c r="BS1775" s="87"/>
      <c r="BT1775" s="87"/>
      <c r="BU1775" s="87"/>
      <c r="BV1775" s="87"/>
      <c r="BW1775" s="87"/>
      <c r="BX1775" s="87"/>
      <c r="BY1775" s="87"/>
    </row>
    <row r="1776" spans="21:77" x14ac:dyDescent="0.3">
      <c r="U1776" s="19"/>
      <c r="V1776" s="87"/>
      <c r="W1776" s="87"/>
      <c r="X1776" s="87"/>
      <c r="Y1776" s="87"/>
      <c r="Z1776" s="87"/>
      <c r="AA1776" s="87"/>
      <c r="AB1776" s="87"/>
      <c r="AC1776" s="87"/>
      <c r="AD1776" s="87"/>
      <c r="AE1776" s="87"/>
      <c r="AF1776" s="87"/>
      <c r="AG1776" s="87"/>
      <c r="AH1776" s="87"/>
      <c r="AI1776" s="87"/>
      <c r="AJ1776" s="87"/>
      <c r="AK1776" s="87"/>
      <c r="AL1776" s="87"/>
      <c r="AM1776" s="87"/>
      <c r="AN1776" s="87"/>
      <c r="AO1776" s="87"/>
      <c r="AP1776" s="87"/>
      <c r="AQ1776" s="87"/>
      <c r="AR1776" s="87"/>
      <c r="AS1776" s="87"/>
      <c r="AT1776" s="87"/>
      <c r="AU1776" s="87"/>
      <c r="AV1776" s="87"/>
      <c r="AW1776" s="87"/>
      <c r="AX1776" s="87"/>
      <c r="AY1776" s="87"/>
      <c r="AZ1776" s="87"/>
      <c r="BA1776" s="87"/>
      <c r="BB1776" s="87"/>
      <c r="BC1776" s="87"/>
      <c r="BD1776" s="87"/>
      <c r="BE1776" s="87"/>
      <c r="BF1776" s="87"/>
      <c r="BG1776" s="87"/>
      <c r="BH1776" s="87"/>
      <c r="BI1776" s="87"/>
      <c r="BJ1776" s="87"/>
      <c r="BK1776" s="87"/>
      <c r="BL1776" s="87"/>
      <c r="BM1776" s="87"/>
      <c r="BN1776" s="87"/>
      <c r="BO1776" s="87"/>
      <c r="BP1776" s="87"/>
      <c r="BQ1776" s="87"/>
      <c r="BR1776" s="87"/>
      <c r="BS1776" s="87"/>
      <c r="BT1776" s="87"/>
      <c r="BU1776" s="87"/>
      <c r="BV1776" s="87"/>
      <c r="BW1776" s="87"/>
      <c r="BX1776" s="87"/>
      <c r="BY1776" s="87"/>
    </row>
    <row r="1777" spans="21:77" x14ac:dyDescent="0.3">
      <c r="U1777" s="19"/>
      <c r="V1777" s="87"/>
      <c r="W1777" s="87"/>
      <c r="X1777" s="87"/>
      <c r="Y1777" s="87"/>
      <c r="Z1777" s="87"/>
      <c r="AA1777" s="87"/>
      <c r="AB1777" s="87"/>
      <c r="AC1777" s="87"/>
      <c r="AD1777" s="87"/>
      <c r="AE1777" s="87"/>
      <c r="AF1777" s="87"/>
      <c r="AG1777" s="87"/>
      <c r="AH1777" s="87"/>
      <c r="AI1777" s="87"/>
      <c r="AJ1777" s="87"/>
      <c r="AK1777" s="87"/>
      <c r="AL1777" s="87"/>
      <c r="AM1777" s="87"/>
      <c r="AN1777" s="87"/>
      <c r="AO1777" s="87"/>
      <c r="AP1777" s="87"/>
      <c r="AQ1777" s="87"/>
      <c r="AR1777" s="87"/>
      <c r="AS1777" s="87"/>
      <c r="AT1777" s="87"/>
      <c r="AU1777" s="87"/>
      <c r="AV1777" s="87"/>
      <c r="AW1777" s="87"/>
      <c r="AX1777" s="87"/>
      <c r="AY1777" s="87"/>
      <c r="AZ1777" s="87"/>
      <c r="BA1777" s="87"/>
      <c r="BB1777" s="87"/>
      <c r="BC1777" s="87"/>
      <c r="BD1777" s="87"/>
      <c r="BE1777" s="87"/>
      <c r="BF1777" s="87"/>
      <c r="BG1777" s="87"/>
      <c r="BH1777" s="87"/>
      <c r="BI1777" s="87"/>
      <c r="BJ1777" s="87"/>
      <c r="BK1777" s="87"/>
      <c r="BL1777" s="87"/>
      <c r="BM1777" s="87"/>
      <c r="BN1777" s="87"/>
      <c r="BO1777" s="87"/>
      <c r="BP1777" s="87"/>
      <c r="BQ1777" s="87"/>
      <c r="BR1777" s="87"/>
      <c r="BS1777" s="87"/>
      <c r="BT1777" s="87"/>
      <c r="BU1777" s="87"/>
      <c r="BV1777" s="87"/>
      <c r="BW1777" s="87"/>
      <c r="BX1777" s="87"/>
      <c r="BY1777" s="87"/>
    </row>
    <row r="1778" spans="21:77" x14ac:dyDescent="0.3">
      <c r="U1778" s="19"/>
      <c r="V1778" s="87"/>
      <c r="W1778" s="87"/>
      <c r="X1778" s="87"/>
      <c r="Y1778" s="87"/>
      <c r="Z1778" s="87"/>
      <c r="AA1778" s="87"/>
      <c r="AB1778" s="87"/>
      <c r="AC1778" s="87"/>
      <c r="AD1778" s="87"/>
      <c r="AE1778" s="87"/>
      <c r="AF1778" s="87"/>
      <c r="AG1778" s="87"/>
      <c r="AH1778" s="87"/>
      <c r="AI1778" s="87"/>
      <c r="AJ1778" s="87"/>
      <c r="AK1778" s="87"/>
      <c r="AL1778" s="87"/>
      <c r="AM1778" s="87"/>
      <c r="AN1778" s="87"/>
      <c r="AO1778" s="87"/>
      <c r="AP1778" s="87"/>
      <c r="AQ1778" s="87"/>
      <c r="AR1778" s="87"/>
      <c r="AS1778" s="87"/>
      <c r="AT1778" s="87"/>
      <c r="AU1778" s="87"/>
      <c r="AV1778" s="87"/>
      <c r="AW1778" s="87"/>
      <c r="AX1778" s="87"/>
      <c r="AY1778" s="87"/>
      <c r="AZ1778" s="87"/>
      <c r="BA1778" s="87"/>
      <c r="BB1778" s="87"/>
      <c r="BC1778" s="87"/>
      <c r="BD1778" s="87"/>
      <c r="BE1778" s="87"/>
      <c r="BF1778" s="87"/>
      <c r="BG1778" s="87"/>
      <c r="BH1778" s="87"/>
      <c r="BI1778" s="87"/>
      <c r="BJ1778" s="87"/>
      <c r="BK1778" s="87"/>
      <c r="BL1778" s="87"/>
      <c r="BM1778" s="87"/>
      <c r="BN1778" s="87"/>
      <c r="BO1778" s="87"/>
      <c r="BP1778" s="87"/>
      <c r="BQ1778" s="87"/>
      <c r="BR1778" s="87"/>
      <c r="BS1778" s="87"/>
      <c r="BT1778" s="87"/>
      <c r="BU1778" s="87"/>
      <c r="BV1778" s="87"/>
      <c r="BW1778" s="87"/>
      <c r="BX1778" s="87"/>
      <c r="BY1778" s="87"/>
    </row>
    <row r="1779" spans="21:77" x14ac:dyDescent="0.3">
      <c r="U1779" s="19"/>
      <c r="V1779" s="87"/>
      <c r="W1779" s="87"/>
      <c r="X1779" s="87"/>
      <c r="Y1779" s="87"/>
      <c r="Z1779" s="87"/>
      <c r="AA1779" s="87"/>
      <c r="AB1779" s="87"/>
      <c r="AC1779" s="87"/>
      <c r="AD1779" s="87"/>
      <c r="AE1779" s="87"/>
      <c r="AF1779" s="87"/>
      <c r="AG1779" s="87"/>
      <c r="AH1779" s="87"/>
      <c r="AI1779" s="87"/>
      <c r="AJ1779" s="87"/>
      <c r="AK1779" s="87"/>
      <c r="AL1779" s="87"/>
      <c r="AM1779" s="87"/>
      <c r="AN1779" s="87"/>
      <c r="AO1779" s="87"/>
      <c r="AP1779" s="87"/>
      <c r="AQ1779" s="87"/>
      <c r="AR1779" s="87"/>
      <c r="AS1779" s="87"/>
      <c r="AT1779" s="87"/>
      <c r="AU1779" s="87"/>
      <c r="AV1779" s="87"/>
      <c r="AW1779" s="87"/>
      <c r="AX1779" s="87"/>
      <c r="AY1779" s="87"/>
      <c r="AZ1779" s="87"/>
      <c r="BA1779" s="87"/>
      <c r="BB1779" s="87"/>
      <c r="BC1779" s="87"/>
      <c r="BD1779" s="87"/>
      <c r="BE1779" s="87"/>
      <c r="BF1779" s="87"/>
      <c r="BG1779" s="87"/>
      <c r="BH1779" s="87"/>
      <c r="BI1779" s="87"/>
      <c r="BJ1779" s="87"/>
      <c r="BK1779" s="87"/>
      <c r="BL1779" s="87"/>
      <c r="BM1779" s="87"/>
      <c r="BN1779" s="87"/>
      <c r="BO1779" s="87"/>
      <c r="BP1779" s="87"/>
      <c r="BQ1779" s="87"/>
      <c r="BR1779" s="87"/>
      <c r="BS1779" s="87"/>
      <c r="BT1779" s="87"/>
      <c r="BU1779" s="87"/>
      <c r="BV1779" s="87"/>
      <c r="BW1779" s="87"/>
      <c r="BX1779" s="87"/>
      <c r="BY1779" s="87"/>
    </row>
    <row r="1780" spans="21:77" x14ac:dyDescent="0.3">
      <c r="U1780" s="19"/>
      <c r="V1780" s="87"/>
      <c r="W1780" s="87"/>
      <c r="X1780" s="87"/>
      <c r="Y1780" s="87"/>
      <c r="Z1780" s="87"/>
      <c r="AA1780" s="87"/>
      <c r="AB1780" s="87"/>
      <c r="AC1780" s="87"/>
      <c r="AD1780" s="87"/>
      <c r="AE1780" s="87"/>
      <c r="AF1780" s="87"/>
      <c r="AG1780" s="87"/>
      <c r="AH1780" s="87"/>
      <c r="AI1780" s="87"/>
      <c r="AJ1780" s="87"/>
      <c r="AK1780" s="87"/>
      <c r="AL1780" s="87"/>
      <c r="AM1780" s="87"/>
      <c r="AN1780" s="87"/>
      <c r="AO1780" s="87"/>
      <c r="AP1780" s="87"/>
      <c r="AQ1780" s="87"/>
      <c r="AR1780" s="87"/>
      <c r="AS1780" s="87"/>
      <c r="AT1780" s="87"/>
      <c r="AU1780" s="87"/>
      <c r="AV1780" s="87"/>
      <c r="AW1780" s="87"/>
      <c r="AX1780" s="87"/>
      <c r="AY1780" s="87"/>
      <c r="AZ1780" s="87"/>
      <c r="BA1780" s="87"/>
      <c r="BB1780" s="87"/>
      <c r="BC1780" s="87"/>
      <c r="BD1780" s="87"/>
      <c r="BE1780" s="87"/>
      <c r="BF1780" s="87"/>
      <c r="BG1780" s="87"/>
      <c r="BH1780" s="87"/>
      <c r="BI1780" s="87"/>
      <c r="BJ1780" s="87"/>
      <c r="BK1780" s="87"/>
      <c r="BL1780" s="87"/>
      <c r="BM1780" s="87"/>
      <c r="BN1780" s="87"/>
      <c r="BO1780" s="87"/>
      <c r="BP1780" s="87"/>
      <c r="BQ1780" s="87"/>
      <c r="BR1780" s="87"/>
      <c r="BS1780" s="87"/>
      <c r="BT1780" s="87"/>
      <c r="BU1780" s="87"/>
      <c r="BV1780" s="87"/>
      <c r="BW1780" s="87"/>
      <c r="BX1780" s="87"/>
      <c r="BY1780" s="87"/>
    </row>
    <row r="1781" spans="21:77" x14ac:dyDescent="0.3">
      <c r="U1781" s="19"/>
      <c r="V1781" s="87"/>
      <c r="W1781" s="87"/>
      <c r="X1781" s="87"/>
      <c r="Y1781" s="87"/>
      <c r="Z1781" s="87"/>
      <c r="AA1781" s="87"/>
      <c r="AB1781" s="87"/>
      <c r="AC1781" s="87"/>
      <c r="AD1781" s="87"/>
      <c r="AE1781" s="87"/>
      <c r="AF1781" s="87"/>
      <c r="AG1781" s="87"/>
      <c r="AH1781" s="87"/>
      <c r="AI1781" s="87"/>
      <c r="AJ1781" s="87"/>
      <c r="AK1781" s="87"/>
      <c r="AL1781" s="87"/>
      <c r="AM1781" s="87"/>
      <c r="AN1781" s="87"/>
      <c r="AO1781" s="87"/>
      <c r="AP1781" s="87"/>
      <c r="AQ1781" s="87"/>
      <c r="AR1781" s="87"/>
      <c r="AS1781" s="87"/>
      <c r="AT1781" s="87"/>
      <c r="AU1781" s="87"/>
      <c r="AV1781" s="87"/>
      <c r="AW1781" s="87"/>
      <c r="AX1781" s="87"/>
      <c r="AY1781" s="87"/>
      <c r="AZ1781" s="87"/>
      <c r="BA1781" s="87"/>
      <c r="BB1781" s="87"/>
      <c r="BC1781" s="87"/>
      <c r="BD1781" s="87"/>
      <c r="BE1781" s="87"/>
      <c r="BF1781" s="87"/>
      <c r="BG1781" s="87"/>
      <c r="BH1781" s="87"/>
      <c r="BI1781" s="87"/>
      <c r="BJ1781" s="87"/>
      <c r="BK1781" s="87"/>
      <c r="BL1781" s="87"/>
      <c r="BM1781" s="87"/>
      <c r="BN1781" s="87"/>
      <c r="BO1781" s="87"/>
      <c r="BP1781" s="87"/>
      <c r="BQ1781" s="87"/>
      <c r="BR1781" s="87"/>
      <c r="BS1781" s="87"/>
      <c r="BT1781" s="87"/>
      <c r="BU1781" s="87"/>
      <c r="BV1781" s="87"/>
      <c r="BW1781" s="87"/>
      <c r="BX1781" s="87"/>
      <c r="BY1781" s="87"/>
    </row>
    <row r="1782" spans="21:77" x14ac:dyDescent="0.3">
      <c r="U1782" s="19"/>
      <c r="V1782" s="87"/>
      <c r="W1782" s="87"/>
      <c r="X1782" s="87"/>
      <c r="Y1782" s="87"/>
      <c r="Z1782" s="87"/>
      <c r="AA1782" s="87"/>
      <c r="AB1782" s="87"/>
      <c r="AC1782" s="87"/>
      <c r="AD1782" s="87"/>
      <c r="AE1782" s="87"/>
      <c r="AF1782" s="87"/>
      <c r="AG1782" s="87"/>
      <c r="AH1782" s="87"/>
      <c r="AI1782" s="87"/>
      <c r="AJ1782" s="87"/>
      <c r="AK1782" s="87"/>
      <c r="AL1782" s="87"/>
      <c r="AM1782" s="87"/>
      <c r="AN1782" s="87"/>
      <c r="AO1782" s="87"/>
      <c r="AP1782" s="87"/>
      <c r="AQ1782" s="87"/>
      <c r="AR1782" s="87"/>
      <c r="AS1782" s="87"/>
      <c r="AT1782" s="87"/>
      <c r="AU1782" s="87"/>
      <c r="AV1782" s="87"/>
      <c r="AW1782" s="87"/>
      <c r="AX1782" s="87"/>
      <c r="AY1782" s="87"/>
      <c r="AZ1782" s="87"/>
      <c r="BA1782" s="87"/>
      <c r="BB1782" s="87"/>
      <c r="BC1782" s="87"/>
      <c r="BD1782" s="87"/>
      <c r="BE1782" s="87"/>
      <c r="BF1782" s="87"/>
      <c r="BG1782" s="87"/>
      <c r="BH1782" s="87"/>
      <c r="BI1782" s="87"/>
      <c r="BJ1782" s="87"/>
      <c r="BK1782" s="87"/>
      <c r="BL1782" s="87"/>
      <c r="BM1782" s="87"/>
      <c r="BN1782" s="87"/>
      <c r="BO1782" s="87"/>
      <c r="BP1782" s="87"/>
      <c r="BQ1782" s="87"/>
      <c r="BR1782" s="87"/>
      <c r="BS1782" s="87"/>
      <c r="BT1782" s="87"/>
      <c r="BU1782" s="87"/>
      <c r="BV1782" s="87"/>
      <c r="BW1782" s="87"/>
      <c r="BX1782" s="87"/>
      <c r="BY1782" s="87"/>
    </row>
    <row r="1783" spans="21:77" x14ac:dyDescent="0.3">
      <c r="U1783" s="19"/>
      <c r="V1783" s="87"/>
      <c r="W1783" s="87"/>
      <c r="X1783" s="87"/>
      <c r="Y1783" s="87"/>
      <c r="Z1783" s="87"/>
      <c r="AA1783" s="87"/>
      <c r="AB1783" s="87"/>
      <c r="AC1783" s="87"/>
      <c r="AD1783" s="87"/>
      <c r="AE1783" s="87"/>
      <c r="AF1783" s="87"/>
      <c r="AG1783" s="87"/>
      <c r="AH1783" s="87"/>
      <c r="AI1783" s="87"/>
      <c r="AJ1783" s="87"/>
      <c r="AK1783" s="87"/>
      <c r="AL1783" s="87"/>
      <c r="AM1783" s="87"/>
      <c r="AN1783" s="87"/>
      <c r="AO1783" s="87"/>
      <c r="AP1783" s="87"/>
      <c r="AQ1783" s="87"/>
      <c r="AR1783" s="87"/>
      <c r="AS1783" s="87"/>
      <c r="AT1783" s="87"/>
      <c r="AU1783" s="87"/>
      <c r="AV1783" s="87"/>
      <c r="AW1783" s="87"/>
      <c r="AX1783" s="87"/>
      <c r="AY1783" s="87"/>
      <c r="AZ1783" s="87"/>
      <c r="BA1783" s="87"/>
      <c r="BB1783" s="87"/>
      <c r="BC1783" s="87"/>
      <c r="BD1783" s="87"/>
      <c r="BE1783" s="87"/>
      <c r="BF1783" s="87"/>
      <c r="BG1783" s="87"/>
      <c r="BH1783" s="87"/>
      <c r="BI1783" s="87"/>
      <c r="BJ1783" s="87"/>
      <c r="BK1783" s="87"/>
      <c r="BL1783" s="87"/>
      <c r="BM1783" s="87"/>
      <c r="BN1783" s="87"/>
      <c r="BO1783" s="87"/>
      <c r="BP1783" s="87"/>
      <c r="BQ1783" s="87"/>
      <c r="BR1783" s="87"/>
      <c r="BS1783" s="87"/>
      <c r="BT1783" s="87"/>
      <c r="BU1783" s="87"/>
      <c r="BV1783" s="87"/>
      <c r="BW1783" s="87"/>
      <c r="BX1783" s="87"/>
      <c r="BY1783" s="87"/>
    </row>
    <row r="1784" spans="21:77" x14ac:dyDescent="0.3">
      <c r="U1784" s="19"/>
      <c r="V1784" s="87"/>
      <c r="W1784" s="87"/>
      <c r="X1784" s="87"/>
      <c r="Y1784" s="87"/>
      <c r="Z1784" s="87"/>
      <c r="AA1784" s="87"/>
      <c r="AB1784" s="87"/>
      <c r="AC1784" s="87"/>
      <c r="AD1784" s="87"/>
      <c r="AE1784" s="87"/>
      <c r="AF1784" s="87"/>
      <c r="AG1784" s="87"/>
      <c r="AH1784" s="87"/>
      <c r="AI1784" s="87"/>
      <c r="AJ1784" s="87"/>
      <c r="AK1784" s="87"/>
      <c r="AL1784" s="87"/>
      <c r="AM1784" s="87"/>
      <c r="AN1784" s="87"/>
      <c r="AO1784" s="87"/>
      <c r="AP1784" s="87"/>
      <c r="AQ1784" s="87"/>
      <c r="AR1784" s="87"/>
      <c r="AS1784" s="87"/>
      <c r="AT1784" s="87"/>
      <c r="AU1784" s="87"/>
      <c r="AV1784" s="87"/>
      <c r="AW1784" s="87"/>
      <c r="AX1784" s="87"/>
      <c r="AY1784" s="87"/>
      <c r="AZ1784" s="87"/>
      <c r="BA1784" s="87"/>
      <c r="BB1784" s="87"/>
      <c r="BC1784" s="87"/>
      <c r="BD1784" s="87"/>
      <c r="BE1784" s="87"/>
      <c r="BF1784" s="87"/>
      <c r="BG1784" s="87"/>
      <c r="BH1784" s="87"/>
      <c r="BI1784" s="87"/>
      <c r="BJ1784" s="87"/>
      <c r="BK1784" s="87"/>
      <c r="BL1784" s="87"/>
      <c r="BM1784" s="87"/>
      <c r="BN1784" s="87"/>
      <c r="BO1784" s="87"/>
      <c r="BP1784" s="87"/>
      <c r="BQ1784" s="87"/>
      <c r="BR1784" s="87"/>
      <c r="BS1784" s="87"/>
      <c r="BT1784" s="87"/>
      <c r="BU1784" s="87"/>
      <c r="BV1784" s="87"/>
      <c r="BW1784" s="87"/>
      <c r="BX1784" s="87"/>
      <c r="BY1784" s="87"/>
    </row>
    <row r="1785" spans="21:77" x14ac:dyDescent="0.3">
      <c r="U1785" s="19"/>
      <c r="V1785" s="87"/>
      <c r="W1785" s="87"/>
      <c r="X1785" s="87"/>
      <c r="Y1785" s="87"/>
      <c r="Z1785" s="87"/>
      <c r="AA1785" s="87"/>
      <c r="AB1785" s="87"/>
      <c r="AC1785" s="87"/>
      <c r="AD1785" s="87"/>
      <c r="AE1785" s="87"/>
      <c r="AF1785" s="87"/>
      <c r="AG1785" s="87"/>
      <c r="AH1785" s="87"/>
      <c r="AI1785" s="87"/>
      <c r="AJ1785" s="87"/>
      <c r="AK1785" s="87"/>
      <c r="AL1785" s="87"/>
      <c r="AM1785" s="87"/>
      <c r="AN1785" s="87"/>
      <c r="AO1785" s="87"/>
      <c r="AP1785" s="87"/>
      <c r="AQ1785" s="87"/>
      <c r="AR1785" s="87"/>
      <c r="AS1785" s="87"/>
      <c r="AT1785" s="87"/>
      <c r="AU1785" s="87"/>
      <c r="AV1785" s="87"/>
      <c r="AW1785" s="87"/>
      <c r="AX1785" s="87"/>
      <c r="AY1785" s="87"/>
      <c r="AZ1785" s="87"/>
      <c r="BA1785" s="87"/>
      <c r="BB1785" s="87"/>
      <c r="BC1785" s="87"/>
      <c r="BD1785" s="87"/>
      <c r="BE1785" s="87"/>
      <c r="BF1785" s="87"/>
      <c r="BG1785" s="87"/>
      <c r="BH1785" s="87"/>
      <c r="BI1785" s="87"/>
      <c r="BJ1785" s="87"/>
      <c r="BK1785" s="87"/>
      <c r="BL1785" s="87"/>
      <c r="BM1785" s="87"/>
      <c r="BN1785" s="87"/>
      <c r="BO1785" s="87"/>
      <c r="BP1785" s="87"/>
      <c r="BQ1785" s="87"/>
      <c r="BR1785" s="87"/>
      <c r="BS1785" s="87"/>
      <c r="BT1785" s="87"/>
      <c r="BU1785" s="87"/>
      <c r="BV1785" s="87"/>
      <c r="BW1785" s="87"/>
      <c r="BX1785" s="87"/>
      <c r="BY1785" s="87"/>
    </row>
    <row r="1786" spans="21:77" x14ac:dyDescent="0.3">
      <c r="U1786" s="19"/>
      <c r="V1786" s="87"/>
      <c r="W1786" s="87"/>
      <c r="X1786" s="87"/>
      <c r="Y1786" s="87"/>
      <c r="Z1786" s="87"/>
      <c r="AA1786" s="87"/>
      <c r="AB1786" s="87"/>
      <c r="AC1786" s="87"/>
      <c r="AD1786" s="87"/>
      <c r="AE1786" s="87"/>
      <c r="AF1786" s="87"/>
      <c r="AG1786" s="87"/>
      <c r="AH1786" s="87"/>
      <c r="AI1786" s="87"/>
      <c r="AJ1786" s="87"/>
      <c r="AK1786" s="87"/>
      <c r="AL1786" s="87"/>
      <c r="AM1786" s="87"/>
      <c r="AN1786" s="87"/>
      <c r="AO1786" s="87"/>
      <c r="AP1786" s="87"/>
      <c r="AQ1786" s="87"/>
      <c r="AR1786" s="87"/>
      <c r="AS1786" s="87"/>
      <c r="AT1786" s="87"/>
      <c r="AU1786" s="87"/>
      <c r="AV1786" s="87"/>
      <c r="AW1786" s="87"/>
      <c r="AX1786" s="87"/>
      <c r="AY1786" s="87"/>
      <c r="AZ1786" s="87"/>
      <c r="BA1786" s="87"/>
      <c r="BB1786" s="87"/>
      <c r="BC1786" s="87"/>
      <c r="BD1786" s="87"/>
      <c r="BE1786" s="87"/>
      <c r="BF1786" s="87"/>
      <c r="BG1786" s="87"/>
      <c r="BH1786" s="87"/>
      <c r="BI1786" s="87"/>
      <c r="BJ1786" s="87"/>
      <c r="BK1786" s="87"/>
      <c r="BL1786" s="87"/>
      <c r="BM1786" s="87"/>
      <c r="BN1786" s="87"/>
      <c r="BO1786" s="87"/>
      <c r="BP1786" s="87"/>
      <c r="BQ1786" s="87"/>
      <c r="BR1786" s="87"/>
      <c r="BS1786" s="87"/>
      <c r="BT1786" s="87"/>
      <c r="BU1786" s="87"/>
      <c r="BV1786" s="87"/>
      <c r="BW1786" s="87"/>
      <c r="BX1786" s="87"/>
      <c r="BY1786" s="87"/>
    </row>
    <row r="1787" spans="21:77" x14ac:dyDescent="0.3">
      <c r="U1787" s="19"/>
      <c r="V1787" s="87"/>
      <c r="W1787" s="87"/>
      <c r="X1787" s="87"/>
      <c r="Y1787" s="87"/>
      <c r="Z1787" s="87"/>
      <c r="AA1787" s="87"/>
      <c r="AB1787" s="87"/>
      <c r="AC1787" s="87"/>
      <c r="AD1787" s="87"/>
      <c r="AE1787" s="87"/>
      <c r="AF1787" s="87"/>
      <c r="AG1787" s="87"/>
      <c r="AH1787" s="87"/>
      <c r="AI1787" s="87"/>
      <c r="AJ1787" s="87"/>
      <c r="AK1787" s="87"/>
      <c r="AL1787" s="87"/>
      <c r="AM1787" s="87"/>
      <c r="AN1787" s="87"/>
      <c r="AO1787" s="87"/>
      <c r="AP1787" s="87"/>
      <c r="AQ1787" s="87"/>
      <c r="AR1787" s="87"/>
      <c r="AS1787" s="87"/>
      <c r="AT1787" s="87"/>
      <c r="AU1787" s="87"/>
      <c r="AV1787" s="87"/>
      <c r="AW1787" s="87"/>
      <c r="AX1787" s="87"/>
      <c r="AY1787" s="87"/>
      <c r="AZ1787" s="87"/>
      <c r="BA1787" s="87"/>
      <c r="BB1787" s="87"/>
      <c r="BC1787" s="87"/>
      <c r="BD1787" s="87"/>
      <c r="BE1787" s="87"/>
      <c r="BF1787" s="87"/>
      <c r="BG1787" s="87"/>
      <c r="BH1787" s="87"/>
      <c r="BI1787" s="87"/>
      <c r="BJ1787" s="87"/>
      <c r="BK1787" s="87"/>
      <c r="BL1787" s="87"/>
      <c r="BM1787" s="87"/>
      <c r="BN1787" s="87"/>
      <c r="BO1787" s="87"/>
      <c r="BP1787" s="87"/>
      <c r="BQ1787" s="87"/>
      <c r="BR1787" s="87"/>
      <c r="BS1787" s="87"/>
      <c r="BT1787" s="87"/>
      <c r="BU1787" s="87"/>
      <c r="BV1787" s="87"/>
      <c r="BW1787" s="87"/>
      <c r="BX1787" s="87"/>
      <c r="BY1787" s="87"/>
    </row>
    <row r="1788" spans="21:77" x14ac:dyDescent="0.3">
      <c r="U1788" s="19"/>
      <c r="V1788" s="87"/>
      <c r="W1788" s="87"/>
      <c r="X1788" s="87"/>
      <c r="Y1788" s="87"/>
      <c r="Z1788" s="87"/>
      <c r="AA1788" s="87"/>
      <c r="AB1788" s="87"/>
      <c r="AC1788" s="87"/>
      <c r="AD1788" s="87"/>
      <c r="AE1788" s="87"/>
      <c r="AF1788" s="87"/>
      <c r="AG1788" s="87"/>
      <c r="AH1788" s="87"/>
      <c r="AI1788" s="87"/>
      <c r="AJ1788" s="87"/>
      <c r="AK1788" s="87"/>
      <c r="AL1788" s="87"/>
      <c r="AM1788" s="87"/>
      <c r="AN1788" s="87"/>
      <c r="AO1788" s="87"/>
      <c r="AP1788" s="87"/>
      <c r="AQ1788" s="87"/>
      <c r="AR1788" s="87"/>
      <c r="AS1788" s="87"/>
      <c r="AT1788" s="87"/>
      <c r="AU1788" s="87"/>
      <c r="AV1788" s="87"/>
      <c r="AW1788" s="87"/>
      <c r="AX1788" s="87"/>
      <c r="AY1788" s="87"/>
      <c r="AZ1788" s="87"/>
      <c r="BA1788" s="87"/>
      <c r="BB1788" s="87"/>
      <c r="BC1788" s="87"/>
      <c r="BD1788" s="87"/>
      <c r="BE1788" s="87"/>
      <c r="BF1788" s="87"/>
      <c r="BG1788" s="87"/>
      <c r="BH1788" s="87"/>
      <c r="BI1788" s="87"/>
      <c r="BJ1788" s="87"/>
      <c r="BK1788" s="87"/>
      <c r="BL1788" s="87"/>
      <c r="BM1788" s="87"/>
      <c r="BN1788" s="87"/>
      <c r="BO1788" s="87"/>
      <c r="BP1788" s="87"/>
      <c r="BQ1788" s="87"/>
      <c r="BR1788" s="87"/>
      <c r="BS1788" s="87"/>
      <c r="BT1788" s="87"/>
      <c r="BU1788" s="87"/>
      <c r="BV1788" s="87"/>
      <c r="BW1788" s="87"/>
      <c r="BX1788" s="87"/>
      <c r="BY1788" s="87"/>
    </row>
    <row r="1789" spans="21:77" x14ac:dyDescent="0.3">
      <c r="U1789" s="19"/>
      <c r="V1789" s="87"/>
      <c r="W1789" s="87"/>
      <c r="X1789" s="87"/>
      <c r="Y1789" s="87"/>
      <c r="Z1789" s="87"/>
      <c r="AA1789" s="87"/>
      <c r="AB1789" s="87"/>
      <c r="AC1789" s="87"/>
      <c r="AD1789" s="87"/>
      <c r="AE1789" s="87"/>
      <c r="AF1789" s="87"/>
      <c r="AG1789" s="87"/>
      <c r="AH1789" s="87"/>
      <c r="AI1789" s="87"/>
      <c r="AJ1789" s="87"/>
      <c r="AK1789" s="87"/>
      <c r="AL1789" s="87"/>
      <c r="AM1789" s="87"/>
      <c r="AN1789" s="87"/>
      <c r="AO1789" s="87"/>
      <c r="AP1789" s="87"/>
      <c r="AQ1789" s="87"/>
      <c r="AR1789" s="87"/>
      <c r="AS1789" s="87"/>
      <c r="AT1789" s="87"/>
      <c r="AU1789" s="87"/>
      <c r="AV1789" s="87"/>
      <c r="AW1789" s="87"/>
      <c r="AX1789" s="87"/>
      <c r="AY1789" s="87"/>
      <c r="AZ1789" s="87"/>
      <c r="BA1789" s="87"/>
      <c r="BB1789" s="87"/>
      <c r="BC1789" s="87"/>
      <c r="BD1789" s="87"/>
      <c r="BE1789" s="87"/>
      <c r="BF1789" s="87"/>
      <c r="BG1789" s="87"/>
      <c r="BH1789" s="87"/>
      <c r="BI1789" s="87"/>
      <c r="BJ1789" s="87"/>
      <c r="BK1789" s="87"/>
      <c r="BL1789" s="87"/>
      <c r="BM1789" s="87"/>
      <c r="BN1789" s="87"/>
      <c r="BO1789" s="87"/>
      <c r="BP1789" s="87"/>
      <c r="BQ1789" s="87"/>
      <c r="BR1789" s="87"/>
      <c r="BS1789" s="87"/>
      <c r="BT1789" s="87"/>
      <c r="BU1789" s="87"/>
      <c r="BV1789" s="87"/>
      <c r="BW1789" s="87"/>
      <c r="BX1789" s="87"/>
      <c r="BY1789" s="87"/>
    </row>
    <row r="1790" spans="21:77" x14ac:dyDescent="0.3">
      <c r="U1790" s="19"/>
      <c r="V1790" s="87"/>
      <c r="W1790" s="87"/>
      <c r="X1790" s="87"/>
      <c r="Y1790" s="87"/>
      <c r="Z1790" s="87"/>
      <c r="AA1790" s="87"/>
      <c r="AB1790" s="87"/>
      <c r="AC1790" s="87"/>
      <c r="AD1790" s="87"/>
      <c r="AE1790" s="87"/>
      <c r="AF1790" s="87"/>
      <c r="AG1790" s="87"/>
      <c r="AH1790" s="87"/>
      <c r="AI1790" s="87"/>
      <c r="AJ1790" s="87"/>
      <c r="AK1790" s="87"/>
      <c r="AL1790" s="87"/>
      <c r="AM1790" s="87"/>
      <c r="AN1790" s="87"/>
      <c r="AO1790" s="87"/>
      <c r="AP1790" s="87"/>
      <c r="AQ1790" s="87"/>
      <c r="AR1790" s="87"/>
      <c r="AS1790" s="87"/>
      <c r="AT1790" s="87"/>
      <c r="AU1790" s="87"/>
      <c r="AV1790" s="87"/>
      <c r="AW1790" s="87"/>
      <c r="AX1790" s="87"/>
      <c r="AY1790" s="87"/>
      <c r="AZ1790" s="87"/>
      <c r="BA1790" s="87"/>
      <c r="BB1790" s="87"/>
      <c r="BC1790" s="87"/>
      <c r="BD1790" s="87"/>
      <c r="BE1790" s="87"/>
      <c r="BF1790" s="87"/>
      <c r="BG1790" s="87"/>
      <c r="BH1790" s="87"/>
      <c r="BI1790" s="87"/>
      <c r="BJ1790" s="87"/>
      <c r="BK1790" s="87"/>
      <c r="BL1790" s="87"/>
      <c r="BM1790" s="87"/>
      <c r="BN1790" s="87"/>
      <c r="BO1790" s="87"/>
      <c r="BP1790" s="87"/>
      <c r="BQ1790" s="87"/>
      <c r="BR1790" s="87"/>
      <c r="BS1790" s="87"/>
      <c r="BT1790" s="87"/>
      <c r="BU1790" s="87"/>
      <c r="BV1790" s="87"/>
      <c r="BW1790" s="87"/>
      <c r="BX1790" s="87"/>
      <c r="BY1790" s="87"/>
    </row>
    <row r="1791" spans="21:77" x14ac:dyDescent="0.3">
      <c r="U1791" s="19"/>
      <c r="V1791" s="87"/>
      <c r="W1791" s="87"/>
      <c r="X1791" s="87"/>
      <c r="Y1791" s="87"/>
      <c r="Z1791" s="87"/>
      <c r="AA1791" s="87"/>
      <c r="AB1791" s="87"/>
      <c r="AC1791" s="87"/>
      <c r="AD1791" s="87"/>
      <c r="AE1791" s="87"/>
      <c r="AF1791" s="87"/>
      <c r="AG1791" s="87"/>
      <c r="AH1791" s="87"/>
      <c r="AI1791" s="87"/>
      <c r="AJ1791" s="87"/>
      <c r="AK1791" s="87"/>
      <c r="AL1791" s="87"/>
      <c r="AM1791" s="87"/>
      <c r="AN1791" s="87"/>
      <c r="AO1791" s="87"/>
      <c r="AP1791" s="87"/>
      <c r="AQ1791" s="87"/>
      <c r="AR1791" s="87"/>
      <c r="AS1791" s="87"/>
      <c r="AT1791" s="87"/>
      <c r="AU1791" s="87"/>
      <c r="AV1791" s="87"/>
      <c r="AW1791" s="87"/>
      <c r="AX1791" s="87"/>
      <c r="AY1791" s="87"/>
      <c r="AZ1791" s="87"/>
      <c r="BA1791" s="87"/>
      <c r="BB1791" s="87"/>
      <c r="BC1791" s="87"/>
      <c r="BD1791" s="87"/>
      <c r="BE1791" s="87"/>
      <c r="BF1791" s="87"/>
      <c r="BG1791" s="87"/>
      <c r="BH1791" s="87"/>
      <c r="BI1791" s="87"/>
      <c r="BJ1791" s="87"/>
      <c r="BK1791" s="87"/>
      <c r="BL1791" s="87"/>
      <c r="BM1791" s="87"/>
      <c r="BN1791" s="87"/>
      <c r="BO1791" s="87"/>
      <c r="BP1791" s="87"/>
      <c r="BQ1791" s="87"/>
      <c r="BR1791" s="87"/>
      <c r="BS1791" s="87"/>
      <c r="BT1791" s="87"/>
      <c r="BU1791" s="87"/>
      <c r="BV1791" s="87"/>
      <c r="BW1791" s="87"/>
      <c r="BX1791" s="87"/>
      <c r="BY1791" s="87"/>
    </row>
    <row r="1792" spans="21:77" x14ac:dyDescent="0.3">
      <c r="U1792" s="19"/>
      <c r="V1792" s="87"/>
      <c r="W1792" s="87"/>
      <c r="X1792" s="87"/>
      <c r="Y1792" s="87"/>
      <c r="Z1792" s="87"/>
      <c r="AA1792" s="87"/>
      <c r="AB1792" s="87"/>
      <c r="AC1792" s="87"/>
      <c r="AD1792" s="87"/>
      <c r="AE1792" s="87"/>
      <c r="AF1792" s="87"/>
      <c r="AG1792" s="87"/>
      <c r="AH1792" s="87"/>
      <c r="AI1792" s="87"/>
      <c r="AJ1792" s="87"/>
      <c r="AK1792" s="87"/>
      <c r="AL1792" s="87"/>
      <c r="AM1792" s="87"/>
      <c r="AN1792" s="87"/>
      <c r="AO1792" s="87"/>
      <c r="AP1792" s="87"/>
      <c r="AQ1792" s="87"/>
      <c r="AR1792" s="87"/>
      <c r="AS1792" s="87"/>
      <c r="AT1792" s="87"/>
      <c r="AU1792" s="87"/>
      <c r="AV1792" s="87"/>
      <c r="AW1792" s="87"/>
      <c r="AX1792" s="87"/>
      <c r="AY1792" s="87"/>
      <c r="AZ1792" s="87"/>
      <c r="BA1792" s="87"/>
      <c r="BB1792" s="87"/>
      <c r="BC1792" s="87"/>
      <c r="BD1792" s="87"/>
      <c r="BE1792" s="87"/>
      <c r="BF1792" s="87"/>
      <c r="BG1792" s="87"/>
      <c r="BH1792" s="87"/>
      <c r="BI1792" s="87"/>
      <c r="BJ1792" s="87"/>
      <c r="BK1792" s="87"/>
      <c r="BL1792" s="87"/>
      <c r="BM1792" s="87"/>
      <c r="BN1792" s="87"/>
      <c r="BO1792" s="87"/>
      <c r="BP1792" s="87"/>
      <c r="BQ1792" s="87"/>
      <c r="BR1792" s="87"/>
      <c r="BS1792" s="87"/>
      <c r="BT1792" s="87"/>
      <c r="BU1792" s="87"/>
      <c r="BV1792" s="87"/>
      <c r="BW1792" s="87"/>
      <c r="BX1792" s="87"/>
      <c r="BY1792" s="87"/>
    </row>
    <row r="1793" spans="21:77" x14ac:dyDescent="0.3">
      <c r="U1793" s="19"/>
      <c r="V1793" s="87"/>
      <c r="W1793" s="87"/>
      <c r="X1793" s="87"/>
      <c r="Y1793" s="87"/>
      <c r="Z1793" s="87"/>
      <c r="AA1793" s="87"/>
      <c r="AB1793" s="87"/>
      <c r="AC1793" s="87"/>
      <c r="AD1793" s="87"/>
      <c r="AE1793" s="87"/>
      <c r="AF1793" s="87"/>
      <c r="AG1793" s="87"/>
      <c r="AH1793" s="87"/>
      <c r="AI1793" s="87"/>
      <c r="AJ1793" s="87"/>
      <c r="AK1793" s="87"/>
      <c r="AL1793" s="87"/>
      <c r="AM1793" s="87"/>
      <c r="AN1793" s="87"/>
      <c r="AO1793" s="87"/>
      <c r="AP1793" s="87"/>
      <c r="AQ1793" s="87"/>
      <c r="AR1793" s="87"/>
      <c r="AS1793" s="87"/>
      <c r="AT1793" s="87"/>
      <c r="AU1793" s="87"/>
      <c r="AV1793" s="87"/>
      <c r="AW1793" s="87"/>
      <c r="AX1793" s="87"/>
      <c r="AY1793" s="87"/>
      <c r="AZ1793" s="87"/>
      <c r="BA1793" s="87"/>
      <c r="BB1793" s="87"/>
      <c r="BC1793" s="87"/>
      <c r="BD1793" s="87"/>
      <c r="BE1793" s="87"/>
      <c r="BF1793" s="87"/>
      <c r="BG1793" s="87"/>
      <c r="BH1793" s="87"/>
      <c r="BI1793" s="87"/>
      <c r="BJ1793" s="87"/>
      <c r="BK1793" s="87"/>
      <c r="BL1793" s="87"/>
      <c r="BM1793" s="87"/>
      <c r="BN1793" s="87"/>
      <c r="BO1793" s="87"/>
      <c r="BP1793" s="87"/>
      <c r="BQ1793" s="87"/>
      <c r="BR1793" s="87"/>
      <c r="BS1793" s="87"/>
      <c r="BT1793" s="87"/>
      <c r="BU1793" s="87"/>
      <c r="BV1793" s="87"/>
      <c r="BW1793" s="87"/>
      <c r="BX1793" s="87"/>
      <c r="BY1793" s="87"/>
    </row>
    <row r="1794" spans="21:77" x14ac:dyDescent="0.3">
      <c r="U1794" s="19"/>
      <c r="V1794" s="87"/>
      <c r="W1794" s="87"/>
      <c r="X1794" s="87"/>
      <c r="Y1794" s="87"/>
      <c r="Z1794" s="87"/>
      <c r="AA1794" s="87"/>
      <c r="AB1794" s="87"/>
      <c r="AC1794" s="87"/>
      <c r="AD1794" s="87"/>
      <c r="AE1794" s="87"/>
      <c r="AF1794" s="87"/>
      <c r="AG1794" s="87"/>
      <c r="AH1794" s="87"/>
      <c r="AI1794" s="87"/>
      <c r="AJ1794" s="87"/>
      <c r="AK1794" s="87"/>
      <c r="AL1794" s="87"/>
      <c r="AM1794" s="87"/>
      <c r="AN1794" s="87"/>
      <c r="AO1794" s="87"/>
      <c r="AP1794" s="87"/>
      <c r="AQ1794" s="87"/>
      <c r="AR1794" s="87"/>
      <c r="AS1794" s="87"/>
      <c r="AT1794" s="87"/>
      <c r="AU1794" s="87"/>
      <c r="AV1794" s="87"/>
      <c r="AW1794" s="87"/>
      <c r="AX1794" s="87"/>
      <c r="AY1794" s="87"/>
      <c r="AZ1794" s="87"/>
      <c r="BA1794" s="87"/>
      <c r="BB1794" s="87"/>
      <c r="BC1794" s="87"/>
      <c r="BD1794" s="87"/>
      <c r="BE1794" s="87"/>
      <c r="BF1794" s="87"/>
      <c r="BG1794" s="87"/>
      <c r="BH1794" s="87"/>
      <c r="BI1794" s="87"/>
      <c r="BJ1794" s="87"/>
      <c r="BK1794" s="87"/>
      <c r="BL1794" s="87"/>
      <c r="BM1794" s="87"/>
      <c r="BN1794" s="87"/>
      <c r="BO1794" s="87"/>
      <c r="BP1794" s="87"/>
      <c r="BQ1794" s="87"/>
      <c r="BR1794" s="87"/>
      <c r="BS1794" s="87"/>
      <c r="BT1794" s="87"/>
      <c r="BU1794" s="87"/>
      <c r="BV1794" s="87"/>
      <c r="BW1794" s="87"/>
      <c r="BX1794" s="87"/>
      <c r="BY1794" s="87"/>
    </row>
    <row r="1795" spans="21:77" x14ac:dyDescent="0.3">
      <c r="U1795" s="19"/>
      <c r="V1795" s="87"/>
      <c r="W1795" s="87"/>
      <c r="X1795" s="87"/>
      <c r="Y1795" s="87"/>
      <c r="Z1795" s="87"/>
      <c r="AA1795" s="87"/>
      <c r="AB1795" s="87"/>
      <c r="AC1795" s="87"/>
      <c r="AD1795" s="87"/>
      <c r="AE1795" s="87"/>
      <c r="AF1795" s="87"/>
      <c r="AG1795" s="87"/>
      <c r="AH1795" s="87"/>
      <c r="AI1795" s="87"/>
      <c r="AJ1795" s="87"/>
      <c r="AK1795" s="87"/>
      <c r="AL1795" s="87"/>
      <c r="AM1795" s="87"/>
      <c r="AN1795" s="87"/>
      <c r="AO1795" s="87"/>
      <c r="AP1795" s="87"/>
      <c r="AQ1795" s="87"/>
      <c r="AR1795" s="87"/>
      <c r="AS1795" s="87"/>
      <c r="AT1795" s="87"/>
      <c r="AU1795" s="87"/>
      <c r="AV1795" s="87"/>
      <c r="AW1795" s="87"/>
      <c r="AX1795" s="87"/>
      <c r="AY1795" s="87"/>
      <c r="AZ1795" s="87"/>
      <c r="BA1795" s="87"/>
      <c r="BB1795" s="87"/>
      <c r="BC1795" s="87"/>
      <c r="BD1795" s="87"/>
      <c r="BE1795" s="87"/>
      <c r="BF1795" s="87"/>
      <c r="BG1795" s="87"/>
      <c r="BH1795" s="87"/>
      <c r="BI1795" s="87"/>
      <c r="BJ1795" s="87"/>
      <c r="BK1795" s="87"/>
      <c r="BL1795" s="87"/>
      <c r="BM1795" s="87"/>
      <c r="BN1795" s="87"/>
      <c r="BO1795" s="87"/>
      <c r="BP1795" s="87"/>
      <c r="BQ1795" s="87"/>
      <c r="BR1795" s="87"/>
      <c r="BS1795" s="87"/>
      <c r="BT1795" s="87"/>
      <c r="BU1795" s="87"/>
      <c r="BV1795" s="87"/>
      <c r="BW1795" s="87"/>
      <c r="BX1795" s="87"/>
      <c r="BY1795" s="87"/>
    </row>
    <row r="1796" spans="21:77" x14ac:dyDescent="0.3">
      <c r="U1796" s="19"/>
      <c r="V1796" s="87"/>
      <c r="W1796" s="87"/>
      <c r="X1796" s="87"/>
      <c r="Y1796" s="87"/>
      <c r="Z1796" s="87"/>
      <c r="AA1796" s="87"/>
      <c r="AB1796" s="87"/>
      <c r="AC1796" s="87"/>
      <c r="AD1796" s="87"/>
      <c r="AE1796" s="87"/>
      <c r="AF1796" s="87"/>
      <c r="AG1796" s="87"/>
      <c r="AH1796" s="87"/>
      <c r="AI1796" s="87"/>
      <c r="AJ1796" s="87"/>
      <c r="AK1796" s="87"/>
      <c r="AL1796" s="87"/>
      <c r="AM1796" s="87"/>
      <c r="AN1796" s="87"/>
      <c r="AO1796" s="87"/>
      <c r="AP1796" s="87"/>
      <c r="AQ1796" s="87"/>
      <c r="AR1796" s="87"/>
      <c r="AS1796" s="87"/>
      <c r="AT1796" s="87"/>
      <c r="AU1796" s="87"/>
      <c r="AV1796" s="87"/>
      <c r="AW1796" s="87"/>
      <c r="AX1796" s="87"/>
      <c r="AY1796" s="87"/>
      <c r="AZ1796" s="87"/>
      <c r="BA1796" s="87"/>
      <c r="BB1796" s="87"/>
      <c r="BC1796" s="87"/>
      <c r="BD1796" s="87"/>
      <c r="BE1796" s="87"/>
      <c r="BF1796" s="87"/>
      <c r="BG1796" s="87"/>
      <c r="BH1796" s="87"/>
      <c r="BI1796" s="87"/>
      <c r="BJ1796" s="87"/>
      <c r="BK1796" s="87"/>
      <c r="BL1796" s="87"/>
      <c r="BM1796" s="87"/>
      <c r="BN1796" s="87"/>
      <c r="BO1796" s="87"/>
      <c r="BP1796" s="87"/>
      <c r="BQ1796" s="87"/>
      <c r="BR1796" s="87"/>
      <c r="BS1796" s="87"/>
      <c r="BT1796" s="87"/>
      <c r="BU1796" s="87"/>
      <c r="BV1796" s="87"/>
      <c r="BW1796" s="87"/>
      <c r="BX1796" s="87"/>
      <c r="BY1796" s="87"/>
    </row>
    <row r="1797" spans="21:77" x14ac:dyDescent="0.3">
      <c r="U1797" s="19"/>
      <c r="V1797" s="87"/>
      <c r="W1797" s="87"/>
      <c r="X1797" s="87"/>
      <c r="Y1797" s="87"/>
      <c r="Z1797" s="87"/>
      <c r="AA1797" s="87"/>
      <c r="AB1797" s="87"/>
      <c r="AC1797" s="87"/>
      <c r="AD1797" s="87"/>
      <c r="AE1797" s="87"/>
      <c r="AF1797" s="87"/>
      <c r="AG1797" s="87"/>
      <c r="AH1797" s="87"/>
      <c r="AI1797" s="87"/>
      <c r="AJ1797" s="87"/>
      <c r="AK1797" s="87"/>
      <c r="AL1797" s="87"/>
      <c r="AM1797" s="87"/>
      <c r="AN1797" s="87"/>
      <c r="AO1797" s="87"/>
      <c r="AP1797" s="87"/>
      <c r="AQ1797" s="87"/>
      <c r="AR1797" s="87"/>
      <c r="AS1797" s="87"/>
      <c r="AT1797" s="87"/>
      <c r="AU1797" s="87"/>
      <c r="AV1797" s="87"/>
      <c r="AW1797" s="87"/>
      <c r="AX1797" s="87"/>
      <c r="AY1797" s="87"/>
      <c r="AZ1797" s="87"/>
      <c r="BA1797" s="87"/>
      <c r="BB1797" s="87"/>
      <c r="BC1797" s="87"/>
      <c r="BD1797" s="87"/>
      <c r="BE1797" s="87"/>
      <c r="BF1797" s="87"/>
      <c r="BG1797" s="87"/>
      <c r="BH1797" s="87"/>
      <c r="BI1797" s="87"/>
      <c r="BJ1797" s="87"/>
      <c r="BK1797" s="87"/>
      <c r="BL1797" s="87"/>
      <c r="BM1797" s="87"/>
      <c r="BN1797" s="87"/>
      <c r="BO1797" s="87"/>
      <c r="BP1797" s="87"/>
      <c r="BQ1797" s="87"/>
      <c r="BR1797" s="87"/>
      <c r="BS1797" s="87"/>
      <c r="BT1797" s="87"/>
      <c r="BU1797" s="87"/>
      <c r="BV1797" s="87"/>
      <c r="BW1797" s="87"/>
      <c r="BX1797" s="87"/>
      <c r="BY1797" s="87"/>
    </row>
    <row r="1798" spans="21:77" x14ac:dyDescent="0.3">
      <c r="U1798" s="19"/>
      <c r="V1798" s="87"/>
      <c r="W1798" s="87"/>
      <c r="X1798" s="87"/>
      <c r="Y1798" s="87"/>
      <c r="Z1798" s="87"/>
      <c r="AA1798" s="87"/>
      <c r="AB1798" s="87"/>
      <c r="AC1798" s="87"/>
      <c r="AD1798" s="87"/>
      <c r="AE1798" s="87"/>
      <c r="AF1798" s="87"/>
      <c r="AG1798" s="87"/>
      <c r="AH1798" s="87"/>
      <c r="AI1798" s="87"/>
      <c r="AJ1798" s="87"/>
      <c r="AK1798" s="87"/>
      <c r="AL1798" s="87"/>
      <c r="AM1798" s="87"/>
      <c r="AN1798" s="87"/>
      <c r="AO1798" s="87"/>
      <c r="AP1798" s="87"/>
      <c r="AQ1798" s="87"/>
      <c r="AR1798" s="87"/>
      <c r="AS1798" s="87"/>
      <c r="AT1798" s="87"/>
      <c r="AU1798" s="87"/>
      <c r="AV1798" s="87"/>
      <c r="AW1798" s="87"/>
      <c r="AX1798" s="87"/>
      <c r="AY1798" s="87"/>
      <c r="AZ1798" s="87"/>
      <c r="BA1798" s="87"/>
      <c r="BB1798" s="87"/>
      <c r="BC1798" s="87"/>
      <c r="BD1798" s="87"/>
      <c r="BE1798" s="87"/>
      <c r="BF1798" s="87"/>
      <c r="BG1798" s="87"/>
      <c r="BH1798" s="87"/>
      <c r="BI1798" s="87"/>
      <c r="BJ1798" s="87"/>
      <c r="BK1798" s="87"/>
      <c r="BL1798" s="87"/>
      <c r="BM1798" s="87"/>
      <c r="BN1798" s="87"/>
      <c r="BO1798" s="87"/>
      <c r="BP1798" s="87"/>
      <c r="BQ1798" s="87"/>
      <c r="BR1798" s="87"/>
      <c r="BS1798" s="87"/>
      <c r="BT1798" s="87"/>
      <c r="BU1798" s="87"/>
      <c r="BV1798" s="87"/>
      <c r="BW1798" s="87"/>
      <c r="BX1798" s="87"/>
      <c r="BY1798" s="87"/>
    </row>
    <row r="1799" spans="21:77" x14ac:dyDescent="0.3">
      <c r="U1799" s="19"/>
      <c r="V1799" s="87"/>
      <c r="W1799" s="87"/>
      <c r="X1799" s="87"/>
      <c r="Y1799" s="87"/>
      <c r="Z1799" s="87"/>
      <c r="AA1799" s="87"/>
      <c r="AB1799" s="87"/>
      <c r="AC1799" s="87"/>
      <c r="AD1799" s="87"/>
      <c r="AE1799" s="87"/>
      <c r="AF1799" s="87"/>
      <c r="AG1799" s="87"/>
      <c r="AH1799" s="87"/>
      <c r="AI1799" s="87"/>
      <c r="AJ1799" s="87"/>
      <c r="AK1799" s="87"/>
      <c r="AL1799" s="87"/>
      <c r="AM1799" s="87"/>
      <c r="AN1799" s="87"/>
      <c r="AO1799" s="87"/>
      <c r="AP1799" s="87"/>
      <c r="AQ1799" s="87"/>
      <c r="AR1799" s="87"/>
      <c r="AS1799" s="87"/>
      <c r="AT1799" s="87"/>
      <c r="AU1799" s="87"/>
      <c r="AV1799" s="87"/>
      <c r="AW1799" s="87"/>
      <c r="AX1799" s="87"/>
      <c r="AY1799" s="87"/>
      <c r="AZ1799" s="87"/>
      <c r="BA1799" s="87"/>
      <c r="BB1799" s="87"/>
      <c r="BC1799" s="87"/>
      <c r="BD1799" s="87"/>
      <c r="BE1799" s="87"/>
      <c r="BF1799" s="87"/>
      <c r="BG1799" s="87"/>
      <c r="BH1799" s="87"/>
      <c r="BI1799" s="87"/>
      <c r="BJ1799" s="87"/>
      <c r="BK1799" s="87"/>
      <c r="BL1799" s="87"/>
      <c r="BM1799" s="87"/>
      <c r="BN1799" s="87"/>
      <c r="BO1799" s="87"/>
      <c r="BP1799" s="87"/>
      <c r="BQ1799" s="87"/>
      <c r="BR1799" s="87"/>
      <c r="BS1799" s="87"/>
      <c r="BT1799" s="87"/>
      <c r="BU1799" s="87"/>
      <c r="BV1799" s="87"/>
      <c r="BW1799" s="87"/>
      <c r="BX1799" s="87"/>
      <c r="BY1799" s="87"/>
    </row>
    <row r="1800" spans="21:77" x14ac:dyDescent="0.3">
      <c r="U1800" s="19"/>
      <c r="V1800" s="87"/>
      <c r="W1800" s="87"/>
      <c r="X1800" s="87"/>
      <c r="Y1800" s="87"/>
      <c r="Z1800" s="87"/>
      <c r="AA1800" s="87"/>
      <c r="AB1800" s="87"/>
      <c r="AC1800" s="87"/>
      <c r="AD1800" s="87"/>
      <c r="AE1800" s="87"/>
      <c r="AF1800" s="87"/>
      <c r="AG1800" s="87"/>
      <c r="AH1800" s="87"/>
      <c r="AI1800" s="87"/>
      <c r="AJ1800" s="87"/>
      <c r="AK1800" s="87"/>
      <c r="AL1800" s="87"/>
      <c r="AM1800" s="87"/>
      <c r="AN1800" s="87"/>
      <c r="AO1800" s="87"/>
      <c r="AP1800" s="87"/>
      <c r="AQ1800" s="87"/>
      <c r="AR1800" s="87"/>
      <c r="AS1800" s="87"/>
      <c r="AT1800" s="87"/>
      <c r="AU1800" s="87"/>
      <c r="AV1800" s="87"/>
      <c r="AW1800" s="87"/>
      <c r="AX1800" s="87"/>
      <c r="AY1800" s="87"/>
      <c r="AZ1800" s="87"/>
      <c r="BA1800" s="87"/>
      <c r="BB1800" s="87"/>
      <c r="BC1800" s="87"/>
      <c r="BD1800" s="87"/>
      <c r="BE1800" s="87"/>
      <c r="BF1800" s="87"/>
      <c r="BG1800" s="87"/>
      <c r="BH1800" s="87"/>
      <c r="BI1800" s="87"/>
      <c r="BJ1800" s="87"/>
      <c r="BK1800" s="87"/>
      <c r="BL1800" s="87"/>
      <c r="BM1800" s="87"/>
      <c r="BN1800" s="87"/>
      <c r="BO1800" s="87"/>
      <c r="BP1800" s="87"/>
      <c r="BQ1800" s="87"/>
      <c r="BR1800" s="87"/>
      <c r="BS1800" s="87"/>
      <c r="BT1800" s="87"/>
      <c r="BU1800" s="87"/>
      <c r="BV1800" s="87"/>
      <c r="BW1800" s="87"/>
      <c r="BX1800" s="87"/>
      <c r="BY1800" s="87"/>
    </row>
    <row r="1801" spans="21:77" x14ac:dyDescent="0.3">
      <c r="U1801" s="19"/>
      <c r="V1801" s="87"/>
      <c r="W1801" s="87"/>
      <c r="X1801" s="87"/>
      <c r="Y1801" s="87"/>
      <c r="Z1801" s="87"/>
      <c r="AA1801" s="87"/>
      <c r="AB1801" s="87"/>
      <c r="AC1801" s="87"/>
      <c r="AD1801" s="87"/>
      <c r="AE1801" s="87"/>
      <c r="AF1801" s="87"/>
      <c r="AG1801" s="87"/>
      <c r="AH1801" s="87"/>
      <c r="AI1801" s="87"/>
      <c r="AJ1801" s="87"/>
      <c r="AK1801" s="87"/>
      <c r="AL1801" s="87"/>
      <c r="AM1801" s="87"/>
      <c r="AN1801" s="87"/>
      <c r="AO1801" s="87"/>
      <c r="AP1801" s="87"/>
      <c r="AQ1801" s="87"/>
      <c r="AR1801" s="87"/>
      <c r="AS1801" s="87"/>
      <c r="AT1801" s="87"/>
      <c r="AU1801" s="87"/>
      <c r="AV1801" s="87"/>
      <c r="AW1801" s="87"/>
      <c r="AX1801" s="87"/>
      <c r="AY1801" s="87"/>
      <c r="AZ1801" s="87"/>
      <c r="BA1801" s="87"/>
      <c r="BB1801" s="87"/>
      <c r="BC1801" s="87"/>
      <c r="BD1801" s="87"/>
      <c r="BE1801" s="87"/>
      <c r="BF1801" s="87"/>
      <c r="BG1801" s="87"/>
      <c r="BH1801" s="87"/>
      <c r="BI1801" s="87"/>
      <c r="BJ1801" s="87"/>
      <c r="BK1801" s="87"/>
      <c r="BL1801" s="87"/>
      <c r="BM1801" s="87"/>
      <c r="BN1801" s="87"/>
      <c r="BO1801" s="87"/>
      <c r="BP1801" s="87"/>
      <c r="BQ1801" s="87"/>
      <c r="BR1801" s="87"/>
      <c r="BS1801" s="87"/>
      <c r="BT1801" s="87"/>
      <c r="BU1801" s="87"/>
      <c r="BV1801" s="87"/>
      <c r="BW1801" s="87"/>
      <c r="BX1801" s="87"/>
      <c r="BY1801" s="87"/>
    </row>
    <row r="1802" spans="21:77" x14ac:dyDescent="0.3">
      <c r="U1802" s="19"/>
      <c r="V1802" s="87"/>
      <c r="W1802" s="87"/>
      <c r="X1802" s="87"/>
      <c r="Y1802" s="87"/>
      <c r="Z1802" s="87"/>
      <c r="AA1802" s="87"/>
      <c r="AB1802" s="87"/>
      <c r="AC1802" s="87"/>
      <c r="AD1802" s="87"/>
      <c r="AE1802" s="87"/>
      <c r="AF1802" s="87"/>
      <c r="AG1802" s="87"/>
      <c r="AH1802" s="87"/>
      <c r="AI1802" s="87"/>
      <c r="AJ1802" s="87"/>
      <c r="AK1802" s="87"/>
      <c r="AL1802" s="87"/>
      <c r="AM1802" s="87"/>
      <c r="AN1802" s="87"/>
      <c r="AO1802" s="87"/>
      <c r="AP1802" s="87"/>
      <c r="AQ1802" s="87"/>
      <c r="AR1802" s="87"/>
      <c r="AS1802" s="87"/>
      <c r="AT1802" s="87"/>
      <c r="AU1802" s="87"/>
      <c r="AV1802" s="87"/>
      <c r="AW1802" s="87"/>
      <c r="AX1802" s="87"/>
      <c r="AY1802" s="87"/>
      <c r="AZ1802" s="87"/>
      <c r="BA1802" s="87"/>
      <c r="BB1802" s="87"/>
      <c r="BC1802" s="87"/>
      <c r="BD1802" s="87"/>
      <c r="BE1802" s="87"/>
      <c r="BF1802" s="87"/>
      <c r="BG1802" s="87"/>
      <c r="BH1802" s="87"/>
      <c r="BI1802" s="87"/>
      <c r="BJ1802" s="87"/>
      <c r="BK1802" s="87"/>
      <c r="BL1802" s="87"/>
      <c r="BM1802" s="87"/>
      <c r="BN1802" s="87"/>
      <c r="BO1802" s="87"/>
      <c r="BP1802" s="87"/>
      <c r="BQ1802" s="87"/>
      <c r="BR1802" s="87"/>
      <c r="BS1802" s="87"/>
      <c r="BT1802" s="87"/>
      <c r="BU1802" s="87"/>
      <c r="BV1802" s="87"/>
      <c r="BW1802" s="87"/>
      <c r="BX1802" s="87"/>
      <c r="BY1802" s="87"/>
    </row>
    <row r="1803" spans="21:77" x14ac:dyDescent="0.3">
      <c r="U1803" s="19"/>
      <c r="V1803" s="87"/>
      <c r="W1803" s="87"/>
      <c r="X1803" s="87"/>
      <c r="Y1803" s="87"/>
      <c r="Z1803" s="87"/>
      <c r="AA1803" s="87"/>
      <c r="AB1803" s="87"/>
      <c r="AC1803" s="87"/>
      <c r="AD1803" s="87"/>
      <c r="AE1803" s="87"/>
      <c r="AF1803" s="87"/>
      <c r="AG1803" s="87"/>
      <c r="AH1803" s="87"/>
      <c r="AI1803" s="87"/>
      <c r="AJ1803" s="87"/>
      <c r="AK1803" s="87"/>
      <c r="AL1803" s="87"/>
      <c r="AM1803" s="87"/>
      <c r="AN1803" s="87"/>
      <c r="AO1803" s="87"/>
      <c r="AP1803" s="87"/>
      <c r="AQ1803" s="87"/>
      <c r="AR1803" s="87"/>
      <c r="AS1803" s="87"/>
      <c r="AT1803" s="87"/>
      <c r="AU1803" s="87"/>
      <c r="AV1803" s="87"/>
      <c r="AW1803" s="87"/>
      <c r="AX1803" s="87"/>
      <c r="AY1803" s="87"/>
      <c r="AZ1803" s="87"/>
      <c r="BA1803" s="87"/>
      <c r="BB1803" s="87"/>
      <c r="BC1803" s="87"/>
      <c r="BD1803" s="87"/>
      <c r="BE1803" s="87"/>
      <c r="BF1803" s="87"/>
      <c r="BG1803" s="87"/>
      <c r="BH1803" s="87"/>
      <c r="BI1803" s="87"/>
      <c r="BJ1803" s="87"/>
      <c r="BK1803" s="87"/>
      <c r="BL1803" s="87"/>
      <c r="BM1803" s="87"/>
      <c r="BN1803" s="87"/>
      <c r="BO1803" s="87"/>
      <c r="BP1803" s="87"/>
      <c r="BQ1803" s="87"/>
      <c r="BR1803" s="87"/>
      <c r="BS1803" s="87"/>
      <c r="BT1803" s="87"/>
      <c r="BU1803" s="87"/>
      <c r="BV1803" s="87"/>
      <c r="BW1803" s="87"/>
      <c r="BX1803" s="87"/>
      <c r="BY1803" s="87"/>
    </row>
    <row r="1804" spans="21:77" x14ac:dyDescent="0.3">
      <c r="U1804" s="19"/>
      <c r="V1804" s="87"/>
      <c r="W1804" s="87"/>
      <c r="X1804" s="87"/>
      <c r="Y1804" s="87"/>
      <c r="Z1804" s="87"/>
      <c r="AA1804" s="87"/>
      <c r="AB1804" s="87"/>
      <c r="AC1804" s="87"/>
      <c r="AD1804" s="87"/>
      <c r="AE1804" s="87"/>
      <c r="AF1804" s="87"/>
      <c r="AG1804" s="87"/>
      <c r="AH1804" s="87"/>
      <c r="AI1804" s="87"/>
      <c r="AJ1804" s="87"/>
      <c r="AK1804" s="87"/>
      <c r="AL1804" s="87"/>
      <c r="AM1804" s="87"/>
      <c r="AN1804" s="87"/>
      <c r="AO1804" s="87"/>
      <c r="AP1804" s="87"/>
      <c r="AQ1804" s="87"/>
      <c r="AR1804" s="87"/>
      <c r="AS1804" s="87"/>
      <c r="AT1804" s="87"/>
      <c r="AU1804" s="87"/>
      <c r="AV1804" s="87"/>
      <c r="AW1804" s="87"/>
      <c r="AX1804" s="87"/>
      <c r="AY1804" s="87"/>
      <c r="AZ1804" s="87"/>
      <c r="BA1804" s="87"/>
      <c r="BB1804" s="87"/>
      <c r="BC1804" s="87"/>
      <c r="BD1804" s="87"/>
      <c r="BE1804" s="87"/>
      <c r="BF1804" s="87"/>
      <c r="BG1804" s="87"/>
      <c r="BH1804" s="87"/>
      <c r="BI1804" s="87"/>
      <c r="BJ1804" s="87"/>
      <c r="BK1804" s="87"/>
      <c r="BL1804" s="87"/>
      <c r="BM1804" s="87"/>
      <c r="BN1804" s="87"/>
      <c r="BO1804" s="87"/>
      <c r="BP1804" s="87"/>
      <c r="BQ1804" s="87"/>
      <c r="BR1804" s="87"/>
      <c r="BS1804" s="87"/>
      <c r="BT1804" s="87"/>
      <c r="BU1804" s="87"/>
      <c r="BV1804" s="87"/>
      <c r="BW1804" s="87"/>
      <c r="BX1804" s="87"/>
      <c r="BY1804" s="87"/>
    </row>
    <row r="1805" spans="21:77" x14ac:dyDescent="0.3">
      <c r="U1805" s="19"/>
      <c r="V1805" s="87"/>
      <c r="W1805" s="87"/>
      <c r="X1805" s="87"/>
      <c r="Y1805" s="87"/>
      <c r="Z1805" s="87"/>
      <c r="AA1805" s="87"/>
      <c r="AB1805" s="87"/>
      <c r="AC1805" s="87"/>
      <c r="AD1805" s="87"/>
      <c r="AE1805" s="87"/>
      <c r="AF1805" s="87"/>
      <c r="AG1805" s="87"/>
      <c r="AH1805" s="87"/>
      <c r="AI1805" s="87"/>
      <c r="AJ1805" s="87"/>
      <c r="AK1805" s="87"/>
      <c r="AL1805" s="87"/>
      <c r="AM1805" s="87"/>
      <c r="AN1805" s="87"/>
      <c r="AO1805" s="87"/>
      <c r="AP1805" s="87"/>
      <c r="AQ1805" s="87"/>
      <c r="AR1805" s="87"/>
      <c r="AS1805" s="87"/>
      <c r="AT1805" s="87"/>
      <c r="AU1805" s="87"/>
      <c r="AV1805" s="87"/>
      <c r="AW1805" s="87"/>
      <c r="AX1805" s="87"/>
      <c r="AY1805" s="87"/>
      <c r="AZ1805" s="87"/>
      <c r="BA1805" s="87"/>
      <c r="BB1805" s="87"/>
      <c r="BC1805" s="87"/>
      <c r="BD1805" s="87"/>
      <c r="BE1805" s="87"/>
      <c r="BF1805" s="87"/>
      <c r="BG1805" s="87"/>
      <c r="BH1805" s="87"/>
      <c r="BI1805" s="87"/>
      <c r="BJ1805" s="87"/>
      <c r="BK1805" s="87"/>
      <c r="BL1805" s="87"/>
      <c r="BM1805" s="87"/>
      <c r="BN1805" s="87"/>
      <c r="BO1805" s="87"/>
      <c r="BP1805" s="87"/>
      <c r="BQ1805" s="87"/>
      <c r="BR1805" s="87"/>
      <c r="BS1805" s="87"/>
      <c r="BT1805" s="87"/>
      <c r="BU1805" s="87"/>
      <c r="BV1805" s="87"/>
      <c r="BW1805" s="87"/>
      <c r="BX1805" s="87"/>
      <c r="BY1805" s="87"/>
    </row>
    <row r="1806" spans="21:77" x14ac:dyDescent="0.3">
      <c r="U1806" s="19"/>
      <c r="V1806" s="87"/>
      <c r="W1806" s="87"/>
      <c r="X1806" s="87"/>
      <c r="Y1806" s="87"/>
      <c r="Z1806" s="87"/>
      <c r="AA1806" s="87"/>
      <c r="AB1806" s="87"/>
      <c r="AC1806" s="87"/>
      <c r="AD1806" s="87"/>
      <c r="AE1806" s="87"/>
      <c r="AF1806" s="87"/>
      <c r="AG1806" s="87"/>
      <c r="AH1806" s="87"/>
      <c r="AI1806" s="87"/>
      <c r="AJ1806" s="87"/>
      <c r="AK1806" s="87"/>
      <c r="AL1806" s="87"/>
      <c r="AM1806" s="87"/>
      <c r="AN1806" s="87"/>
      <c r="AO1806" s="87"/>
      <c r="AP1806" s="87"/>
      <c r="AQ1806" s="87"/>
      <c r="AR1806" s="87"/>
      <c r="AS1806" s="87"/>
      <c r="AT1806" s="87"/>
      <c r="AU1806" s="87"/>
      <c r="AV1806" s="87"/>
      <c r="AW1806" s="87"/>
      <c r="AX1806" s="87"/>
      <c r="AY1806" s="87"/>
      <c r="AZ1806" s="87"/>
      <c r="BA1806" s="87"/>
      <c r="BB1806" s="87"/>
      <c r="BC1806" s="87"/>
      <c r="BD1806" s="87"/>
      <c r="BE1806" s="87"/>
      <c r="BF1806" s="87"/>
      <c r="BG1806" s="87"/>
      <c r="BH1806" s="87"/>
      <c r="BI1806" s="87"/>
      <c r="BJ1806" s="87"/>
      <c r="BK1806" s="87"/>
      <c r="BL1806" s="87"/>
      <c r="BM1806" s="87"/>
      <c r="BN1806" s="87"/>
      <c r="BO1806" s="87"/>
      <c r="BP1806" s="87"/>
      <c r="BQ1806" s="87"/>
      <c r="BR1806" s="87"/>
      <c r="BS1806" s="87"/>
      <c r="BT1806" s="87"/>
      <c r="BU1806" s="87"/>
      <c r="BV1806" s="87"/>
      <c r="BW1806" s="87"/>
      <c r="BX1806" s="87"/>
      <c r="BY1806" s="87"/>
    </row>
    <row r="1807" spans="21:77" x14ac:dyDescent="0.3">
      <c r="U1807" s="19"/>
      <c r="V1807" s="87"/>
      <c r="W1807" s="87"/>
      <c r="X1807" s="87"/>
      <c r="Y1807" s="87"/>
      <c r="Z1807" s="87"/>
      <c r="AA1807" s="87"/>
      <c r="AB1807" s="87"/>
      <c r="AC1807" s="87"/>
      <c r="AD1807" s="87"/>
      <c r="AE1807" s="87"/>
      <c r="AF1807" s="87"/>
      <c r="AG1807" s="87"/>
      <c r="AH1807" s="87"/>
      <c r="AI1807" s="87"/>
      <c r="AJ1807" s="87"/>
      <c r="AK1807" s="87"/>
      <c r="AL1807" s="87"/>
      <c r="AM1807" s="87"/>
      <c r="AN1807" s="87"/>
      <c r="AO1807" s="87"/>
      <c r="AP1807" s="87"/>
      <c r="AQ1807" s="87"/>
      <c r="AR1807" s="87"/>
      <c r="AS1807" s="87"/>
      <c r="AT1807" s="87"/>
      <c r="AU1807" s="87"/>
      <c r="AV1807" s="87"/>
      <c r="AW1807" s="87"/>
      <c r="AX1807" s="87"/>
      <c r="AY1807" s="87"/>
      <c r="AZ1807" s="87"/>
      <c r="BA1807" s="87"/>
      <c r="BB1807" s="87"/>
      <c r="BC1807" s="87"/>
      <c r="BD1807" s="87"/>
      <c r="BE1807" s="87"/>
      <c r="BF1807" s="87"/>
      <c r="BG1807" s="87"/>
      <c r="BH1807" s="87"/>
      <c r="BI1807" s="87"/>
      <c r="BJ1807" s="87"/>
      <c r="BK1807" s="87"/>
      <c r="BL1807" s="87"/>
      <c r="BM1807" s="87"/>
      <c r="BN1807" s="87"/>
      <c r="BO1807" s="87"/>
      <c r="BP1807" s="87"/>
      <c r="BQ1807" s="87"/>
      <c r="BR1807" s="87"/>
      <c r="BS1807" s="87"/>
      <c r="BT1807" s="87"/>
      <c r="BU1807" s="87"/>
      <c r="BV1807" s="87"/>
      <c r="BW1807" s="87"/>
      <c r="BX1807" s="87"/>
      <c r="BY1807" s="87"/>
    </row>
    <row r="1808" spans="21:77" x14ac:dyDescent="0.3">
      <c r="U1808" s="19"/>
      <c r="V1808" s="87"/>
      <c r="W1808" s="87"/>
      <c r="X1808" s="87"/>
      <c r="Y1808" s="87"/>
      <c r="Z1808" s="87"/>
      <c r="AA1808" s="87"/>
      <c r="AB1808" s="87"/>
      <c r="AC1808" s="87"/>
      <c r="AD1808" s="87"/>
      <c r="AE1808" s="87"/>
      <c r="AF1808" s="87"/>
      <c r="AG1808" s="87"/>
      <c r="AH1808" s="87"/>
      <c r="AI1808" s="87"/>
      <c r="AJ1808" s="87"/>
      <c r="AK1808" s="87"/>
      <c r="AL1808" s="87"/>
      <c r="AM1808" s="87"/>
      <c r="AN1808" s="87"/>
      <c r="AO1808" s="87"/>
      <c r="AP1808" s="87"/>
      <c r="AQ1808" s="87"/>
      <c r="AR1808" s="87"/>
      <c r="AS1808" s="87"/>
      <c r="AT1808" s="87"/>
      <c r="AU1808" s="87"/>
      <c r="AV1808" s="87"/>
      <c r="AW1808" s="87"/>
      <c r="AX1808" s="87"/>
      <c r="AY1808" s="87"/>
      <c r="AZ1808" s="87"/>
      <c r="BA1808" s="87"/>
      <c r="BB1808" s="87"/>
      <c r="BC1808" s="87"/>
      <c r="BD1808" s="87"/>
      <c r="BE1808" s="87"/>
      <c r="BF1808" s="87"/>
      <c r="BG1808" s="87"/>
      <c r="BH1808" s="87"/>
      <c r="BI1808" s="87"/>
      <c r="BJ1808" s="87"/>
      <c r="BK1808" s="87"/>
      <c r="BL1808" s="87"/>
      <c r="BM1808" s="87"/>
      <c r="BN1808" s="87"/>
      <c r="BO1808" s="87"/>
      <c r="BP1808" s="87"/>
      <c r="BQ1808" s="87"/>
      <c r="BR1808" s="87"/>
      <c r="BS1808" s="87"/>
      <c r="BT1808" s="87"/>
      <c r="BU1808" s="87"/>
      <c r="BV1808" s="87"/>
      <c r="BW1808" s="87"/>
      <c r="BX1808" s="87"/>
      <c r="BY1808" s="87"/>
    </row>
    <row r="1809" spans="21:77" x14ac:dyDescent="0.3">
      <c r="U1809" s="19"/>
      <c r="V1809" s="87"/>
      <c r="W1809" s="87"/>
      <c r="X1809" s="87"/>
      <c r="Y1809" s="87"/>
      <c r="Z1809" s="87"/>
      <c r="AA1809" s="87"/>
      <c r="AB1809" s="87"/>
      <c r="AC1809" s="87"/>
      <c r="AD1809" s="87"/>
      <c r="AE1809" s="87"/>
      <c r="AF1809" s="87"/>
      <c r="AG1809" s="87"/>
      <c r="AH1809" s="87"/>
      <c r="AI1809" s="87"/>
      <c r="AJ1809" s="87"/>
      <c r="AK1809" s="87"/>
      <c r="AL1809" s="87"/>
      <c r="AM1809" s="87"/>
      <c r="AN1809" s="87"/>
      <c r="AO1809" s="87"/>
      <c r="AP1809" s="87"/>
      <c r="AQ1809" s="87"/>
      <c r="AR1809" s="87"/>
      <c r="AS1809" s="87"/>
      <c r="AT1809" s="87"/>
      <c r="AU1809" s="87"/>
      <c r="AV1809" s="87"/>
      <c r="AW1809" s="87"/>
      <c r="AX1809" s="87"/>
      <c r="AY1809" s="87"/>
      <c r="AZ1809" s="87"/>
      <c r="BA1809" s="87"/>
      <c r="BB1809" s="87"/>
      <c r="BC1809" s="87"/>
      <c r="BD1809" s="87"/>
      <c r="BE1809" s="87"/>
      <c r="BF1809" s="87"/>
      <c r="BG1809" s="87"/>
      <c r="BH1809" s="87"/>
      <c r="BI1809" s="87"/>
      <c r="BJ1809" s="87"/>
      <c r="BK1809" s="87"/>
      <c r="BL1809" s="87"/>
      <c r="BM1809" s="87"/>
      <c r="BN1809" s="87"/>
      <c r="BO1809" s="87"/>
      <c r="BP1809" s="87"/>
      <c r="BQ1809" s="87"/>
      <c r="BR1809" s="87"/>
      <c r="BS1809" s="87"/>
      <c r="BT1809" s="87"/>
      <c r="BU1809" s="87"/>
      <c r="BV1809" s="87"/>
      <c r="BW1809" s="87"/>
      <c r="BX1809" s="87"/>
      <c r="BY1809" s="87"/>
    </row>
    <row r="1810" spans="21:77" x14ac:dyDescent="0.3">
      <c r="U1810" s="19"/>
      <c r="V1810" s="87"/>
      <c r="W1810" s="87"/>
      <c r="X1810" s="87"/>
      <c r="Y1810" s="87"/>
      <c r="Z1810" s="87"/>
      <c r="AA1810" s="87"/>
      <c r="AB1810" s="87"/>
      <c r="AC1810" s="87"/>
      <c r="AD1810" s="87"/>
      <c r="AE1810" s="87"/>
      <c r="AF1810" s="87"/>
      <c r="AG1810" s="87"/>
      <c r="AH1810" s="87"/>
      <c r="AI1810" s="87"/>
      <c r="AJ1810" s="87"/>
      <c r="AK1810" s="87"/>
      <c r="AL1810" s="87"/>
      <c r="AM1810" s="87"/>
      <c r="AN1810" s="87"/>
      <c r="AO1810" s="87"/>
      <c r="AP1810" s="87"/>
      <c r="AQ1810" s="87"/>
      <c r="AR1810" s="87"/>
      <c r="AS1810" s="87"/>
      <c r="AT1810" s="87"/>
      <c r="AU1810" s="87"/>
      <c r="AV1810" s="87"/>
      <c r="AW1810" s="87"/>
      <c r="AX1810" s="87"/>
      <c r="AY1810" s="87"/>
      <c r="AZ1810" s="87"/>
      <c r="BA1810" s="87"/>
      <c r="BB1810" s="87"/>
      <c r="BC1810" s="87"/>
      <c r="BD1810" s="87"/>
      <c r="BE1810" s="87"/>
      <c r="BF1810" s="87"/>
      <c r="BG1810" s="87"/>
      <c r="BH1810" s="87"/>
      <c r="BI1810" s="87"/>
      <c r="BJ1810" s="87"/>
      <c r="BK1810" s="87"/>
      <c r="BL1810" s="87"/>
      <c r="BM1810" s="87"/>
      <c r="BN1810" s="87"/>
      <c r="BO1810" s="87"/>
      <c r="BP1810" s="87"/>
      <c r="BQ1810" s="87"/>
      <c r="BR1810" s="87"/>
      <c r="BS1810" s="87"/>
      <c r="BT1810" s="87"/>
      <c r="BU1810" s="87"/>
      <c r="BV1810" s="87"/>
      <c r="BW1810" s="87"/>
      <c r="BX1810" s="87"/>
      <c r="BY1810" s="87"/>
    </row>
    <row r="1811" spans="21:77" x14ac:dyDescent="0.3">
      <c r="U1811" s="19"/>
      <c r="V1811" s="87"/>
      <c r="W1811" s="87"/>
      <c r="X1811" s="87"/>
      <c r="Y1811" s="87"/>
      <c r="Z1811" s="87"/>
      <c r="AA1811" s="87"/>
      <c r="AB1811" s="87"/>
      <c r="AC1811" s="87"/>
      <c r="AD1811" s="87"/>
      <c r="AE1811" s="87"/>
      <c r="AF1811" s="87"/>
      <c r="AG1811" s="87"/>
      <c r="AH1811" s="87"/>
      <c r="AI1811" s="87"/>
      <c r="AJ1811" s="87"/>
      <c r="AK1811" s="87"/>
      <c r="AL1811" s="87"/>
      <c r="AM1811" s="87"/>
      <c r="AN1811" s="87"/>
      <c r="AO1811" s="87"/>
      <c r="AP1811" s="87"/>
      <c r="AQ1811" s="87"/>
      <c r="AR1811" s="87"/>
      <c r="AS1811" s="87"/>
      <c r="AT1811" s="87"/>
      <c r="AU1811" s="87"/>
      <c r="AV1811" s="87"/>
      <c r="AW1811" s="87"/>
      <c r="AX1811" s="87"/>
      <c r="AY1811" s="87"/>
      <c r="AZ1811" s="87"/>
      <c r="BA1811" s="87"/>
      <c r="BB1811" s="87"/>
      <c r="BC1811" s="87"/>
      <c r="BD1811" s="87"/>
      <c r="BE1811" s="87"/>
      <c r="BF1811" s="87"/>
      <c r="BG1811" s="87"/>
      <c r="BH1811" s="87"/>
      <c r="BI1811" s="87"/>
      <c r="BJ1811" s="87"/>
      <c r="BK1811" s="87"/>
      <c r="BL1811" s="87"/>
      <c r="BM1811" s="87"/>
      <c r="BN1811" s="87"/>
      <c r="BO1811" s="87"/>
      <c r="BP1811" s="87"/>
      <c r="BQ1811" s="87"/>
      <c r="BR1811" s="87"/>
      <c r="BS1811" s="87"/>
      <c r="BT1811" s="87"/>
      <c r="BU1811" s="87"/>
      <c r="BV1811" s="87"/>
      <c r="BW1811" s="87"/>
      <c r="BX1811" s="87"/>
      <c r="BY1811" s="87"/>
    </row>
    <row r="1812" spans="21:77" x14ac:dyDescent="0.3">
      <c r="U1812" s="19"/>
      <c r="V1812" s="87"/>
      <c r="W1812" s="87"/>
      <c r="X1812" s="87"/>
      <c r="Y1812" s="87"/>
      <c r="Z1812" s="87"/>
      <c r="AA1812" s="87"/>
      <c r="AB1812" s="87"/>
      <c r="AC1812" s="87"/>
      <c r="AD1812" s="87"/>
      <c r="AE1812" s="87"/>
      <c r="AF1812" s="87"/>
      <c r="AG1812" s="87"/>
      <c r="AH1812" s="87"/>
      <c r="AI1812" s="87"/>
      <c r="AJ1812" s="87"/>
      <c r="AK1812" s="87"/>
      <c r="AL1812" s="87"/>
      <c r="AM1812" s="87"/>
      <c r="AN1812" s="87"/>
      <c r="AO1812" s="87"/>
      <c r="AP1812" s="87"/>
      <c r="AQ1812" s="87"/>
      <c r="AR1812" s="87"/>
      <c r="AS1812" s="87"/>
      <c r="AT1812" s="87"/>
      <c r="AU1812" s="87"/>
      <c r="AV1812" s="87"/>
      <c r="AW1812" s="87"/>
      <c r="AX1812" s="87"/>
      <c r="AY1812" s="87"/>
      <c r="AZ1812" s="87"/>
      <c r="BA1812" s="87"/>
      <c r="BB1812" s="87"/>
      <c r="BC1812" s="87"/>
      <c r="BD1812" s="87"/>
      <c r="BE1812" s="87"/>
      <c r="BF1812" s="87"/>
      <c r="BG1812" s="87"/>
      <c r="BH1812" s="87"/>
      <c r="BI1812" s="87"/>
      <c r="BJ1812" s="87"/>
      <c r="BK1812" s="87"/>
      <c r="BL1812" s="87"/>
      <c r="BM1812" s="87"/>
      <c r="BN1812" s="87"/>
      <c r="BO1812" s="87"/>
      <c r="BP1812" s="87"/>
      <c r="BQ1812" s="87"/>
      <c r="BR1812" s="87"/>
      <c r="BS1812" s="87"/>
      <c r="BT1812" s="87"/>
      <c r="BU1812" s="87"/>
      <c r="BV1812" s="87"/>
      <c r="BW1812" s="87"/>
      <c r="BX1812" s="87"/>
      <c r="BY1812" s="87"/>
    </row>
    <row r="1813" spans="21:77" x14ac:dyDescent="0.3">
      <c r="U1813" s="19"/>
      <c r="V1813" s="87"/>
      <c r="W1813" s="87"/>
      <c r="X1813" s="87"/>
      <c r="Y1813" s="87"/>
      <c r="Z1813" s="87"/>
      <c r="AA1813" s="87"/>
      <c r="AB1813" s="87"/>
      <c r="AC1813" s="87"/>
      <c r="AD1813" s="87"/>
      <c r="AE1813" s="87"/>
      <c r="AF1813" s="87"/>
      <c r="AG1813" s="87"/>
      <c r="AH1813" s="87"/>
      <c r="AI1813" s="87"/>
      <c r="AJ1813" s="87"/>
      <c r="AK1813" s="87"/>
      <c r="AL1813" s="87"/>
      <c r="AM1813" s="87"/>
      <c r="AN1813" s="87"/>
      <c r="AO1813" s="87"/>
      <c r="AP1813" s="87"/>
      <c r="AQ1813" s="87"/>
      <c r="AR1813" s="87"/>
      <c r="AS1813" s="87"/>
      <c r="AT1813" s="87"/>
      <c r="AU1813" s="87"/>
      <c r="AV1813" s="87"/>
      <c r="AW1813" s="87"/>
      <c r="AX1813" s="87"/>
      <c r="AY1813" s="87"/>
      <c r="AZ1813" s="87"/>
      <c r="BA1813" s="87"/>
      <c r="BB1813" s="87"/>
      <c r="BC1813" s="87"/>
      <c r="BD1813" s="87"/>
      <c r="BE1813" s="87"/>
      <c r="BF1813" s="87"/>
      <c r="BG1813" s="87"/>
      <c r="BH1813" s="87"/>
      <c r="BI1813" s="87"/>
      <c r="BJ1813" s="87"/>
      <c r="BK1813" s="87"/>
      <c r="BL1813" s="87"/>
      <c r="BM1813" s="87"/>
      <c r="BN1813" s="87"/>
      <c r="BO1813" s="87"/>
      <c r="BP1813" s="87"/>
      <c r="BQ1813" s="87"/>
      <c r="BR1813" s="87"/>
      <c r="BS1813" s="87"/>
      <c r="BT1813" s="87"/>
      <c r="BU1813" s="87"/>
      <c r="BV1813" s="87"/>
      <c r="BW1813" s="87"/>
      <c r="BX1813" s="87"/>
      <c r="BY1813" s="87"/>
    </row>
    <row r="1814" spans="21:77" x14ac:dyDescent="0.3">
      <c r="U1814" s="19"/>
      <c r="V1814" s="87"/>
      <c r="W1814" s="87"/>
      <c r="X1814" s="87"/>
      <c r="Y1814" s="87"/>
      <c r="Z1814" s="87"/>
      <c r="AA1814" s="87"/>
      <c r="AB1814" s="87"/>
      <c r="AC1814" s="87"/>
      <c r="AD1814" s="87"/>
      <c r="AE1814" s="87"/>
      <c r="AF1814" s="87"/>
      <c r="AG1814" s="87"/>
      <c r="AH1814" s="87"/>
      <c r="AI1814" s="87"/>
      <c r="AJ1814" s="87"/>
      <c r="AK1814" s="87"/>
      <c r="AL1814" s="87"/>
      <c r="AM1814" s="87"/>
      <c r="AN1814" s="87"/>
      <c r="AO1814" s="87"/>
      <c r="AP1814" s="87"/>
      <c r="AQ1814" s="87"/>
      <c r="AR1814" s="87"/>
      <c r="AS1814" s="87"/>
      <c r="AT1814" s="87"/>
      <c r="AU1814" s="87"/>
      <c r="AV1814" s="87"/>
      <c r="AW1814" s="87"/>
      <c r="AX1814" s="87"/>
      <c r="AY1814" s="87"/>
      <c r="AZ1814" s="87"/>
      <c r="BA1814" s="87"/>
      <c r="BB1814" s="87"/>
      <c r="BC1814" s="87"/>
      <c r="BD1814" s="87"/>
      <c r="BE1814" s="87"/>
      <c r="BF1814" s="87"/>
      <c r="BG1814" s="87"/>
      <c r="BH1814" s="87"/>
      <c r="BI1814" s="87"/>
      <c r="BJ1814" s="87"/>
      <c r="BK1814" s="87"/>
      <c r="BL1814" s="87"/>
      <c r="BM1814" s="87"/>
      <c r="BN1814" s="87"/>
      <c r="BO1814" s="87"/>
      <c r="BP1814" s="87"/>
      <c r="BQ1814" s="87"/>
      <c r="BR1814" s="87"/>
      <c r="BS1814" s="87"/>
      <c r="BT1814" s="87"/>
      <c r="BU1814" s="87"/>
      <c r="BV1814" s="87"/>
      <c r="BW1814" s="87"/>
      <c r="BX1814" s="87"/>
      <c r="BY1814" s="87"/>
    </row>
    <row r="1815" spans="21:77" x14ac:dyDescent="0.3">
      <c r="U1815" s="19"/>
      <c r="V1815" s="87"/>
      <c r="W1815" s="87"/>
      <c r="X1815" s="87"/>
      <c r="Y1815" s="87"/>
      <c r="Z1815" s="87"/>
      <c r="AA1815" s="87"/>
      <c r="AB1815" s="87"/>
      <c r="AC1815" s="87"/>
      <c r="AD1815" s="87"/>
      <c r="AE1815" s="87"/>
      <c r="AF1815" s="87"/>
      <c r="AG1815" s="87"/>
      <c r="AH1815" s="87"/>
      <c r="AI1815" s="87"/>
      <c r="AJ1815" s="87"/>
      <c r="AK1815" s="87"/>
      <c r="AL1815" s="87"/>
      <c r="AM1815" s="87"/>
      <c r="AN1815" s="87"/>
      <c r="AO1815" s="87"/>
      <c r="AP1815" s="87"/>
      <c r="AQ1815" s="87"/>
      <c r="AR1815" s="87"/>
      <c r="AS1815" s="87"/>
      <c r="AT1815" s="87"/>
      <c r="AU1815" s="87"/>
      <c r="AV1815" s="87"/>
      <c r="AW1815" s="87"/>
      <c r="AX1815" s="87"/>
      <c r="AY1815" s="87"/>
      <c r="AZ1815" s="87"/>
      <c r="BA1815" s="87"/>
      <c r="BB1815" s="87"/>
      <c r="BC1815" s="87"/>
      <c r="BD1815" s="87"/>
      <c r="BE1815" s="87"/>
      <c r="BF1815" s="87"/>
      <c r="BG1815" s="87"/>
      <c r="BH1815" s="87"/>
      <c r="BI1815" s="87"/>
      <c r="BJ1815" s="87"/>
      <c r="BK1815" s="87"/>
      <c r="BL1815" s="87"/>
      <c r="BM1815" s="87"/>
      <c r="BN1815" s="87"/>
      <c r="BO1815" s="87"/>
      <c r="BP1815" s="87"/>
      <c r="BQ1815" s="87"/>
      <c r="BR1815" s="87"/>
      <c r="BS1815" s="87"/>
      <c r="BT1815" s="87"/>
      <c r="BU1815" s="87"/>
      <c r="BV1815" s="87"/>
      <c r="BW1815" s="87"/>
      <c r="BX1815" s="87"/>
      <c r="BY1815" s="87"/>
    </row>
    <row r="1816" spans="21:77" x14ac:dyDescent="0.3">
      <c r="U1816" s="19"/>
      <c r="V1816" s="87"/>
      <c r="W1816" s="87"/>
      <c r="X1816" s="87"/>
      <c r="Y1816" s="87"/>
      <c r="Z1816" s="87"/>
      <c r="AA1816" s="87"/>
      <c r="AB1816" s="87"/>
      <c r="AC1816" s="87"/>
      <c r="AD1816" s="87"/>
      <c r="AE1816" s="87"/>
      <c r="AF1816" s="87"/>
      <c r="AG1816" s="87"/>
      <c r="AH1816" s="87"/>
      <c r="AI1816" s="87"/>
      <c r="AJ1816" s="87"/>
      <c r="AK1816" s="87"/>
      <c r="AL1816" s="87"/>
      <c r="AM1816" s="87"/>
      <c r="AN1816" s="87"/>
      <c r="AO1816" s="87"/>
      <c r="AP1816" s="87"/>
      <c r="AQ1816" s="87"/>
      <c r="AR1816" s="87"/>
      <c r="AS1816" s="87"/>
      <c r="AT1816" s="87"/>
      <c r="AU1816" s="87"/>
      <c r="AV1816" s="87"/>
      <c r="AW1816" s="87"/>
      <c r="AX1816" s="87"/>
      <c r="AY1816" s="87"/>
      <c r="AZ1816" s="87"/>
      <c r="BA1816" s="87"/>
      <c r="BB1816" s="87"/>
      <c r="BC1816" s="87"/>
      <c r="BD1816" s="87"/>
      <c r="BE1816" s="87"/>
      <c r="BF1816" s="87"/>
      <c r="BG1816" s="87"/>
      <c r="BH1816" s="87"/>
      <c r="BI1816" s="87"/>
      <c r="BJ1816" s="87"/>
      <c r="BK1816" s="87"/>
      <c r="BL1816" s="87"/>
      <c r="BM1816" s="87"/>
      <c r="BN1816" s="87"/>
      <c r="BO1816" s="87"/>
      <c r="BP1816" s="87"/>
      <c r="BQ1816" s="87"/>
      <c r="BR1816" s="87"/>
      <c r="BS1816" s="87"/>
      <c r="BT1816" s="87"/>
      <c r="BU1816" s="87"/>
      <c r="BV1816" s="87"/>
      <c r="BW1816" s="87"/>
      <c r="BX1816" s="87"/>
      <c r="BY1816" s="87"/>
    </row>
    <row r="1817" spans="21:77" x14ac:dyDescent="0.3">
      <c r="U1817" s="19"/>
      <c r="V1817" s="87"/>
      <c r="W1817" s="87"/>
      <c r="X1817" s="87"/>
      <c r="Y1817" s="87"/>
      <c r="Z1817" s="87"/>
      <c r="AA1817" s="87"/>
      <c r="AB1817" s="87"/>
      <c r="AC1817" s="87"/>
      <c r="AD1817" s="87"/>
      <c r="AE1817" s="87"/>
      <c r="AF1817" s="87"/>
      <c r="AG1817" s="87"/>
      <c r="AH1817" s="87"/>
      <c r="AI1817" s="87"/>
      <c r="AJ1817" s="87"/>
      <c r="AK1817" s="87"/>
      <c r="AL1817" s="87"/>
      <c r="AM1817" s="87"/>
      <c r="AN1817" s="87"/>
      <c r="AO1817" s="87"/>
      <c r="AP1817" s="87"/>
      <c r="AQ1817" s="87"/>
      <c r="AR1817" s="87"/>
      <c r="AS1817" s="87"/>
      <c r="AT1817" s="87"/>
      <c r="AU1817" s="87"/>
      <c r="AV1817" s="87"/>
      <c r="AW1817" s="87"/>
      <c r="AX1817" s="87"/>
      <c r="AY1817" s="87"/>
      <c r="AZ1817" s="87"/>
      <c r="BA1817" s="87"/>
      <c r="BB1817" s="87"/>
      <c r="BC1817" s="87"/>
      <c r="BD1817" s="87"/>
      <c r="BE1817" s="87"/>
      <c r="BF1817" s="87"/>
      <c r="BG1817" s="87"/>
      <c r="BH1817" s="87"/>
      <c r="BI1817" s="87"/>
      <c r="BJ1817" s="87"/>
      <c r="BK1817" s="87"/>
      <c r="BL1817" s="87"/>
      <c r="BM1817" s="87"/>
      <c r="BN1817" s="87"/>
      <c r="BO1817" s="87"/>
      <c r="BP1817" s="87"/>
      <c r="BQ1817" s="87"/>
      <c r="BR1817" s="87"/>
      <c r="BS1817" s="87"/>
      <c r="BT1817" s="87"/>
      <c r="BU1817" s="87"/>
      <c r="BV1817" s="87"/>
      <c r="BW1817" s="87"/>
      <c r="BX1817" s="87"/>
      <c r="BY1817" s="87"/>
    </row>
    <row r="1818" spans="21:77" x14ac:dyDescent="0.3">
      <c r="U1818" s="19"/>
      <c r="V1818" s="87"/>
      <c r="W1818" s="87"/>
      <c r="X1818" s="87"/>
      <c r="Y1818" s="87"/>
      <c r="Z1818" s="87"/>
      <c r="AA1818" s="87"/>
      <c r="AB1818" s="87"/>
      <c r="AC1818" s="87"/>
      <c r="AD1818" s="87"/>
      <c r="AE1818" s="87"/>
      <c r="AF1818" s="87"/>
      <c r="AG1818" s="87"/>
      <c r="AH1818" s="87"/>
      <c r="AI1818" s="87"/>
      <c r="AJ1818" s="87"/>
      <c r="AK1818" s="87"/>
      <c r="AL1818" s="87"/>
      <c r="AM1818" s="87"/>
      <c r="AN1818" s="87"/>
      <c r="AO1818" s="87"/>
      <c r="AP1818" s="87"/>
      <c r="AQ1818" s="87"/>
      <c r="AR1818" s="87"/>
      <c r="AS1818" s="87"/>
      <c r="AT1818" s="87"/>
      <c r="AU1818" s="87"/>
      <c r="AV1818" s="87"/>
      <c r="AW1818" s="87"/>
      <c r="AX1818" s="87"/>
      <c r="AY1818" s="87"/>
      <c r="AZ1818" s="87"/>
      <c r="BA1818" s="87"/>
      <c r="BB1818" s="87"/>
      <c r="BC1818" s="87"/>
      <c r="BD1818" s="87"/>
      <c r="BE1818" s="87"/>
      <c r="BF1818" s="87"/>
      <c r="BG1818" s="87"/>
      <c r="BH1818" s="87"/>
      <c r="BI1818" s="87"/>
      <c r="BJ1818" s="87"/>
      <c r="BK1818" s="87"/>
      <c r="BL1818" s="87"/>
      <c r="BM1818" s="87"/>
      <c r="BN1818" s="87"/>
      <c r="BO1818" s="87"/>
      <c r="BP1818" s="87"/>
      <c r="BQ1818" s="87"/>
      <c r="BR1818" s="87"/>
      <c r="BS1818" s="87"/>
      <c r="BT1818" s="87"/>
      <c r="BU1818" s="87"/>
      <c r="BV1818" s="87"/>
      <c r="BW1818" s="87"/>
      <c r="BX1818" s="87"/>
      <c r="BY1818" s="87"/>
    </row>
    <row r="1819" spans="21:77" x14ac:dyDescent="0.3">
      <c r="U1819" s="19"/>
      <c r="V1819" s="87"/>
      <c r="W1819" s="87"/>
      <c r="X1819" s="87"/>
      <c r="Y1819" s="87"/>
      <c r="Z1819" s="87"/>
      <c r="AA1819" s="87"/>
      <c r="AB1819" s="87"/>
      <c r="AC1819" s="87"/>
      <c r="AD1819" s="87"/>
      <c r="AE1819" s="87"/>
      <c r="AF1819" s="87"/>
      <c r="AG1819" s="87"/>
      <c r="AH1819" s="87"/>
      <c r="AI1819" s="87"/>
      <c r="AJ1819" s="87"/>
      <c r="AK1819" s="87"/>
      <c r="AL1819" s="87"/>
      <c r="AM1819" s="87"/>
      <c r="AN1819" s="87"/>
      <c r="AO1819" s="87"/>
      <c r="AP1819" s="87"/>
      <c r="AQ1819" s="87"/>
      <c r="AR1819" s="87"/>
      <c r="AS1819" s="87"/>
      <c r="AT1819" s="87"/>
      <c r="AU1819" s="87"/>
      <c r="AV1819" s="87"/>
      <c r="AW1819" s="87"/>
      <c r="AX1819" s="87"/>
      <c r="AY1819" s="87"/>
      <c r="AZ1819" s="87"/>
      <c r="BA1819" s="87"/>
      <c r="BB1819" s="87"/>
      <c r="BC1819" s="87"/>
      <c r="BD1819" s="87"/>
      <c r="BE1819" s="87"/>
      <c r="BF1819" s="87"/>
      <c r="BG1819" s="87"/>
      <c r="BH1819" s="87"/>
      <c r="BI1819" s="87"/>
      <c r="BJ1819" s="87"/>
      <c r="BK1819" s="87"/>
      <c r="BL1819" s="87"/>
      <c r="BM1819" s="87"/>
      <c r="BN1819" s="87"/>
      <c r="BO1819" s="87"/>
      <c r="BP1819" s="87"/>
      <c r="BQ1819" s="87"/>
      <c r="BR1819" s="87"/>
      <c r="BS1819" s="87"/>
      <c r="BT1819" s="87"/>
      <c r="BU1819" s="87"/>
      <c r="BV1819" s="87"/>
      <c r="BW1819" s="87"/>
      <c r="BX1819" s="87"/>
      <c r="BY1819" s="87"/>
    </row>
    <row r="1820" spans="21:77" x14ac:dyDescent="0.3">
      <c r="U1820" s="19"/>
      <c r="V1820" s="87"/>
      <c r="W1820" s="87"/>
      <c r="X1820" s="87"/>
      <c r="Y1820" s="87"/>
      <c r="Z1820" s="87"/>
      <c r="AA1820" s="87"/>
      <c r="AB1820" s="87"/>
      <c r="AC1820" s="87"/>
      <c r="AD1820" s="87"/>
      <c r="AE1820" s="87"/>
      <c r="AF1820" s="87"/>
      <c r="AG1820" s="87"/>
      <c r="AH1820" s="87"/>
      <c r="AI1820" s="87"/>
      <c r="AJ1820" s="87"/>
      <c r="AK1820" s="87"/>
      <c r="AL1820" s="87"/>
      <c r="AM1820" s="87"/>
      <c r="AN1820" s="87"/>
      <c r="AO1820" s="87"/>
      <c r="AP1820" s="87"/>
      <c r="AQ1820" s="87"/>
      <c r="AR1820" s="87"/>
      <c r="AS1820" s="87"/>
      <c r="AT1820" s="87"/>
      <c r="AU1820" s="87"/>
      <c r="AV1820" s="87"/>
      <c r="AW1820" s="87"/>
      <c r="AX1820" s="87"/>
      <c r="AY1820" s="87"/>
      <c r="AZ1820" s="87"/>
      <c r="BA1820" s="87"/>
      <c r="BB1820" s="87"/>
      <c r="BC1820" s="87"/>
      <c r="BD1820" s="87"/>
      <c r="BE1820" s="87"/>
      <c r="BF1820" s="87"/>
      <c r="BG1820" s="87"/>
      <c r="BH1820" s="87"/>
      <c r="BI1820" s="87"/>
      <c r="BJ1820" s="87"/>
      <c r="BK1820" s="87"/>
      <c r="BL1820" s="87"/>
      <c r="BM1820" s="87"/>
      <c r="BN1820" s="87"/>
      <c r="BO1820" s="87"/>
      <c r="BP1820" s="87"/>
      <c r="BQ1820" s="87"/>
      <c r="BR1820" s="87"/>
      <c r="BS1820" s="87"/>
      <c r="BT1820" s="87"/>
      <c r="BU1820" s="87"/>
      <c r="BV1820" s="87"/>
      <c r="BW1820" s="87"/>
      <c r="BX1820" s="87"/>
      <c r="BY1820" s="87"/>
    </row>
    <row r="1821" spans="21:77" x14ac:dyDescent="0.3">
      <c r="U1821" s="19"/>
      <c r="V1821" s="87"/>
      <c r="W1821" s="87"/>
      <c r="X1821" s="87"/>
      <c r="Y1821" s="87"/>
      <c r="Z1821" s="87"/>
      <c r="AA1821" s="87"/>
      <c r="AB1821" s="87"/>
      <c r="AC1821" s="87"/>
      <c r="AD1821" s="87"/>
      <c r="AE1821" s="87"/>
      <c r="AF1821" s="87"/>
      <c r="AG1821" s="87"/>
      <c r="AH1821" s="87"/>
      <c r="AI1821" s="87"/>
      <c r="AJ1821" s="87"/>
      <c r="AK1821" s="87"/>
      <c r="AL1821" s="87"/>
      <c r="AM1821" s="87"/>
      <c r="AN1821" s="87"/>
      <c r="AO1821" s="87"/>
      <c r="AP1821" s="87"/>
      <c r="AQ1821" s="87"/>
      <c r="AR1821" s="87"/>
      <c r="AS1821" s="87"/>
      <c r="AT1821" s="87"/>
      <c r="AU1821" s="87"/>
      <c r="AV1821" s="87"/>
      <c r="AW1821" s="87"/>
      <c r="AX1821" s="87"/>
      <c r="AY1821" s="87"/>
      <c r="AZ1821" s="87"/>
      <c r="BA1821" s="87"/>
      <c r="BB1821" s="87"/>
      <c r="BC1821" s="87"/>
      <c r="BD1821" s="87"/>
      <c r="BE1821" s="87"/>
      <c r="BF1821" s="87"/>
      <c r="BG1821" s="87"/>
      <c r="BH1821" s="87"/>
      <c r="BI1821" s="87"/>
      <c r="BJ1821" s="87"/>
      <c r="BK1821" s="87"/>
      <c r="BL1821" s="87"/>
      <c r="BM1821" s="87"/>
      <c r="BN1821" s="87"/>
      <c r="BO1821" s="87"/>
      <c r="BP1821" s="87"/>
      <c r="BQ1821" s="87"/>
      <c r="BR1821" s="87"/>
      <c r="BS1821" s="87"/>
      <c r="BT1821" s="87"/>
      <c r="BU1821" s="87"/>
      <c r="BV1821" s="87"/>
      <c r="BW1821" s="87"/>
      <c r="BX1821" s="87"/>
      <c r="BY1821" s="87"/>
    </row>
    <row r="1822" spans="21:77" x14ac:dyDescent="0.3">
      <c r="U1822" s="19"/>
      <c r="V1822" s="87"/>
      <c r="W1822" s="87"/>
      <c r="X1822" s="87"/>
      <c r="Y1822" s="87"/>
      <c r="Z1822" s="87"/>
      <c r="AA1822" s="87"/>
      <c r="AB1822" s="87"/>
      <c r="AC1822" s="87"/>
      <c r="AD1822" s="87"/>
      <c r="AE1822" s="87"/>
      <c r="AF1822" s="87"/>
      <c r="AG1822" s="87"/>
      <c r="AH1822" s="87"/>
      <c r="AI1822" s="87"/>
      <c r="AJ1822" s="87"/>
      <c r="AK1822" s="87"/>
      <c r="AL1822" s="87"/>
      <c r="AM1822" s="87"/>
      <c r="AN1822" s="87"/>
      <c r="AO1822" s="87"/>
      <c r="AP1822" s="87"/>
      <c r="AQ1822" s="87"/>
      <c r="AR1822" s="87"/>
      <c r="AS1822" s="87"/>
      <c r="AT1822" s="87"/>
      <c r="AU1822" s="87"/>
      <c r="AV1822" s="87"/>
      <c r="AW1822" s="87"/>
      <c r="AX1822" s="87"/>
      <c r="AY1822" s="87"/>
      <c r="AZ1822" s="87"/>
      <c r="BA1822" s="87"/>
      <c r="BB1822" s="87"/>
      <c r="BC1822" s="87"/>
      <c r="BD1822" s="87"/>
      <c r="BE1822" s="87"/>
      <c r="BF1822" s="87"/>
      <c r="BG1822" s="87"/>
      <c r="BH1822" s="87"/>
      <c r="BI1822" s="87"/>
      <c r="BJ1822" s="87"/>
      <c r="BK1822" s="87"/>
      <c r="BL1822" s="87"/>
      <c r="BM1822" s="87"/>
      <c r="BN1822" s="87"/>
      <c r="BO1822" s="87"/>
      <c r="BP1822" s="87"/>
      <c r="BQ1822" s="87"/>
      <c r="BR1822" s="87"/>
      <c r="BS1822" s="87"/>
      <c r="BT1822" s="87"/>
      <c r="BU1822" s="87"/>
      <c r="BV1822" s="87"/>
      <c r="BW1822" s="87"/>
      <c r="BX1822" s="87"/>
      <c r="BY1822" s="87"/>
    </row>
    <row r="1823" spans="21:77" x14ac:dyDescent="0.3">
      <c r="U1823" s="19"/>
      <c r="V1823" s="87"/>
      <c r="W1823" s="87"/>
      <c r="X1823" s="87"/>
      <c r="Y1823" s="87"/>
      <c r="Z1823" s="87"/>
      <c r="AA1823" s="87"/>
      <c r="AB1823" s="87"/>
      <c r="AC1823" s="87"/>
      <c r="AD1823" s="87"/>
      <c r="AE1823" s="87"/>
      <c r="AF1823" s="87"/>
      <c r="AG1823" s="87"/>
      <c r="AH1823" s="87"/>
      <c r="AI1823" s="87"/>
      <c r="AJ1823" s="87"/>
      <c r="AK1823" s="87"/>
      <c r="AL1823" s="87"/>
      <c r="AM1823" s="87"/>
      <c r="AN1823" s="87"/>
      <c r="AO1823" s="87"/>
      <c r="AP1823" s="87"/>
      <c r="AQ1823" s="87"/>
      <c r="AR1823" s="87"/>
      <c r="AS1823" s="87"/>
      <c r="AT1823" s="87"/>
      <c r="AU1823" s="87"/>
      <c r="AV1823" s="87"/>
      <c r="AW1823" s="87"/>
      <c r="AX1823" s="87"/>
      <c r="AY1823" s="87"/>
      <c r="AZ1823" s="87"/>
      <c r="BA1823" s="87"/>
      <c r="BB1823" s="87"/>
      <c r="BC1823" s="87"/>
      <c r="BD1823" s="87"/>
      <c r="BE1823" s="87"/>
      <c r="BF1823" s="87"/>
      <c r="BG1823" s="87"/>
      <c r="BH1823" s="87"/>
      <c r="BI1823" s="87"/>
      <c r="BJ1823" s="87"/>
      <c r="BK1823" s="87"/>
      <c r="BL1823" s="87"/>
      <c r="BM1823" s="87"/>
      <c r="BN1823" s="87"/>
      <c r="BO1823" s="87"/>
      <c r="BP1823" s="87"/>
      <c r="BQ1823" s="87"/>
      <c r="BR1823" s="87"/>
      <c r="BS1823" s="87"/>
      <c r="BT1823" s="87"/>
      <c r="BU1823" s="87"/>
      <c r="BV1823" s="87"/>
      <c r="BW1823" s="87"/>
      <c r="BX1823" s="87"/>
      <c r="BY1823" s="87"/>
    </row>
    <row r="1824" spans="21:77" x14ac:dyDescent="0.3">
      <c r="U1824" s="19"/>
      <c r="V1824" s="87"/>
      <c r="W1824" s="87"/>
      <c r="X1824" s="87"/>
      <c r="Y1824" s="87"/>
      <c r="Z1824" s="87"/>
      <c r="AA1824" s="87"/>
      <c r="AB1824" s="87"/>
      <c r="AC1824" s="87"/>
      <c r="AD1824" s="87"/>
      <c r="AE1824" s="87"/>
      <c r="AF1824" s="87"/>
      <c r="AG1824" s="87"/>
      <c r="AH1824" s="87"/>
      <c r="AI1824" s="87"/>
      <c r="AJ1824" s="87"/>
      <c r="AK1824" s="87"/>
      <c r="AL1824" s="87"/>
      <c r="AM1824" s="87"/>
      <c r="AN1824" s="87"/>
      <c r="AO1824" s="87"/>
      <c r="AP1824" s="87"/>
      <c r="AQ1824" s="87"/>
      <c r="AR1824" s="87"/>
      <c r="AS1824" s="87"/>
      <c r="AT1824" s="87"/>
      <c r="AU1824" s="87"/>
      <c r="AV1824" s="87"/>
      <c r="AW1824" s="87"/>
      <c r="AX1824" s="87"/>
      <c r="AY1824" s="87"/>
      <c r="AZ1824" s="87"/>
      <c r="BA1824" s="87"/>
      <c r="BB1824" s="87"/>
      <c r="BC1824" s="87"/>
      <c r="BD1824" s="87"/>
      <c r="BE1824" s="87"/>
      <c r="BF1824" s="87"/>
      <c r="BG1824" s="87"/>
      <c r="BH1824" s="87"/>
      <c r="BI1824" s="87"/>
      <c r="BJ1824" s="87"/>
      <c r="BK1824" s="87"/>
      <c r="BL1824" s="87"/>
      <c r="BM1824" s="87"/>
      <c r="BN1824" s="87"/>
      <c r="BO1824" s="87"/>
      <c r="BP1824" s="87"/>
      <c r="BQ1824" s="87"/>
      <c r="BR1824" s="87"/>
      <c r="BS1824" s="87"/>
      <c r="BT1824" s="87"/>
      <c r="BU1824" s="87"/>
      <c r="BV1824" s="87"/>
      <c r="BW1824" s="87"/>
      <c r="BX1824" s="87"/>
      <c r="BY1824" s="87"/>
    </row>
    <row r="1825" spans="21:77" x14ac:dyDescent="0.3">
      <c r="U1825" s="19"/>
      <c r="V1825" s="87"/>
      <c r="W1825" s="87"/>
      <c r="X1825" s="87"/>
      <c r="Y1825" s="87"/>
      <c r="Z1825" s="87"/>
      <c r="AA1825" s="87"/>
      <c r="AB1825" s="87"/>
      <c r="AC1825" s="87"/>
      <c r="AD1825" s="87"/>
      <c r="AE1825" s="87"/>
      <c r="AF1825" s="87"/>
      <c r="AG1825" s="87"/>
      <c r="AH1825" s="87"/>
      <c r="AI1825" s="87"/>
      <c r="AJ1825" s="87"/>
      <c r="AK1825" s="87"/>
      <c r="AL1825" s="87"/>
      <c r="AM1825" s="87"/>
      <c r="AN1825" s="87"/>
      <c r="AO1825" s="87"/>
      <c r="AP1825" s="87"/>
      <c r="AQ1825" s="87"/>
      <c r="AR1825" s="87"/>
      <c r="AS1825" s="87"/>
      <c r="AT1825" s="87"/>
      <c r="AU1825" s="87"/>
      <c r="AV1825" s="87"/>
      <c r="AW1825" s="87"/>
      <c r="AX1825" s="87"/>
      <c r="AY1825" s="87"/>
      <c r="AZ1825" s="87"/>
      <c r="BA1825" s="87"/>
      <c r="BB1825" s="87"/>
      <c r="BC1825" s="87"/>
      <c r="BD1825" s="87"/>
      <c r="BE1825" s="87"/>
      <c r="BF1825" s="87"/>
      <c r="BG1825" s="87"/>
      <c r="BH1825" s="87"/>
      <c r="BI1825" s="87"/>
      <c r="BJ1825" s="87"/>
      <c r="BK1825" s="87"/>
      <c r="BL1825" s="87"/>
      <c r="BM1825" s="87"/>
      <c r="BN1825" s="87"/>
      <c r="BO1825" s="87"/>
      <c r="BP1825" s="87"/>
      <c r="BQ1825" s="87"/>
      <c r="BR1825" s="87"/>
      <c r="BS1825" s="87"/>
      <c r="BT1825" s="87"/>
      <c r="BU1825" s="87"/>
      <c r="BV1825" s="87"/>
      <c r="BW1825" s="87"/>
      <c r="BX1825" s="87"/>
      <c r="BY1825" s="87"/>
    </row>
    <row r="1826" spans="21:77" x14ac:dyDescent="0.3">
      <c r="U1826" s="19"/>
      <c r="V1826" s="87"/>
      <c r="W1826" s="87"/>
      <c r="X1826" s="87"/>
      <c r="Y1826" s="87"/>
      <c r="Z1826" s="87"/>
      <c r="AA1826" s="87"/>
      <c r="AB1826" s="87"/>
      <c r="AC1826" s="87"/>
      <c r="AD1826" s="87"/>
      <c r="AE1826" s="87"/>
      <c r="AF1826" s="87"/>
      <c r="AG1826" s="87"/>
      <c r="AH1826" s="87"/>
      <c r="AI1826" s="87"/>
      <c r="AJ1826" s="87"/>
      <c r="AK1826" s="87"/>
      <c r="AL1826" s="87"/>
      <c r="AM1826" s="87"/>
      <c r="AN1826" s="87"/>
      <c r="AO1826" s="87"/>
      <c r="AP1826" s="87"/>
      <c r="AQ1826" s="87"/>
      <c r="AR1826" s="87"/>
      <c r="AS1826" s="87"/>
      <c r="AT1826" s="87"/>
      <c r="AU1826" s="87"/>
      <c r="AV1826" s="87"/>
      <c r="AW1826" s="87"/>
      <c r="AX1826" s="87"/>
      <c r="AY1826" s="87"/>
      <c r="AZ1826" s="87"/>
      <c r="BA1826" s="87"/>
      <c r="BB1826" s="87"/>
      <c r="BC1826" s="87"/>
      <c r="BD1826" s="87"/>
      <c r="BE1826" s="87"/>
      <c r="BF1826" s="87"/>
      <c r="BG1826" s="87"/>
      <c r="BH1826" s="87"/>
      <c r="BI1826" s="87"/>
      <c r="BJ1826" s="87"/>
      <c r="BK1826" s="87"/>
      <c r="BL1826" s="87"/>
      <c r="BM1826" s="87"/>
      <c r="BN1826" s="87"/>
      <c r="BO1826" s="87"/>
      <c r="BP1826" s="87"/>
      <c r="BQ1826" s="87"/>
      <c r="BR1826" s="87"/>
      <c r="BS1826" s="87"/>
      <c r="BT1826" s="87"/>
      <c r="BU1826" s="87"/>
      <c r="BV1826" s="87"/>
      <c r="BW1826" s="87"/>
      <c r="BX1826" s="87"/>
      <c r="BY1826" s="87"/>
    </row>
    <row r="1827" spans="21:77" x14ac:dyDescent="0.3">
      <c r="U1827" s="19"/>
      <c r="V1827" s="87"/>
      <c r="W1827" s="87"/>
      <c r="X1827" s="87"/>
      <c r="Y1827" s="87"/>
      <c r="Z1827" s="87"/>
      <c r="AA1827" s="87"/>
      <c r="AB1827" s="87"/>
      <c r="AC1827" s="87"/>
      <c r="AD1827" s="87"/>
      <c r="AE1827" s="87"/>
      <c r="AF1827" s="87"/>
      <c r="AG1827" s="87"/>
      <c r="AH1827" s="87"/>
      <c r="AI1827" s="87"/>
      <c r="AJ1827" s="87"/>
      <c r="AK1827" s="87"/>
      <c r="AL1827" s="87"/>
      <c r="AM1827" s="87"/>
      <c r="AN1827" s="87"/>
      <c r="AO1827" s="87"/>
      <c r="AP1827" s="87"/>
      <c r="AQ1827" s="87"/>
      <c r="AR1827" s="87"/>
      <c r="AS1827" s="87"/>
      <c r="AT1827" s="87"/>
      <c r="AU1827" s="87"/>
      <c r="AV1827" s="87"/>
      <c r="AW1827" s="87"/>
      <c r="AX1827" s="87"/>
      <c r="AY1827" s="87"/>
      <c r="AZ1827" s="87"/>
      <c r="BA1827" s="87"/>
      <c r="BB1827" s="87"/>
      <c r="BC1827" s="87"/>
      <c r="BD1827" s="87"/>
      <c r="BE1827" s="87"/>
      <c r="BF1827" s="87"/>
      <c r="BG1827" s="87"/>
      <c r="BH1827" s="87"/>
      <c r="BI1827" s="87"/>
      <c r="BJ1827" s="87"/>
      <c r="BK1827" s="87"/>
      <c r="BL1827" s="87"/>
      <c r="BM1827" s="87"/>
      <c r="BN1827" s="87"/>
      <c r="BO1827" s="87"/>
      <c r="BP1827" s="87"/>
      <c r="BQ1827" s="87"/>
      <c r="BR1827" s="87"/>
      <c r="BS1827" s="87"/>
      <c r="BT1827" s="87"/>
      <c r="BU1827" s="87"/>
      <c r="BV1827" s="87"/>
      <c r="BW1827" s="87"/>
      <c r="BX1827" s="87"/>
      <c r="BY1827" s="87"/>
    </row>
    <row r="1828" spans="21:77" x14ac:dyDescent="0.3">
      <c r="U1828" s="19"/>
      <c r="V1828" s="87"/>
      <c r="W1828" s="87"/>
      <c r="X1828" s="87"/>
      <c r="Y1828" s="87"/>
      <c r="Z1828" s="87"/>
      <c r="AA1828" s="87"/>
      <c r="AB1828" s="87"/>
      <c r="AC1828" s="87"/>
      <c r="AD1828" s="87"/>
      <c r="AE1828" s="87"/>
      <c r="AF1828" s="87"/>
      <c r="AG1828" s="87"/>
      <c r="AH1828" s="87"/>
      <c r="AI1828" s="87"/>
      <c r="AJ1828" s="87"/>
      <c r="AK1828" s="87"/>
      <c r="AL1828" s="87"/>
      <c r="AM1828" s="87"/>
      <c r="AN1828" s="87"/>
      <c r="AO1828" s="87"/>
      <c r="AP1828" s="87"/>
      <c r="AQ1828" s="87"/>
      <c r="AR1828" s="87"/>
      <c r="AS1828" s="87"/>
      <c r="AT1828" s="87"/>
      <c r="AU1828" s="87"/>
      <c r="AV1828" s="87"/>
      <c r="AW1828" s="87"/>
      <c r="AX1828" s="87"/>
      <c r="AY1828" s="87"/>
      <c r="AZ1828" s="87"/>
      <c r="BA1828" s="87"/>
      <c r="BB1828" s="87"/>
      <c r="BC1828" s="87"/>
      <c r="BD1828" s="87"/>
      <c r="BE1828" s="87"/>
      <c r="BF1828" s="87"/>
      <c r="BG1828" s="87"/>
      <c r="BH1828" s="87"/>
      <c r="BI1828" s="87"/>
      <c r="BJ1828" s="87"/>
      <c r="BK1828" s="87"/>
      <c r="BL1828" s="87"/>
      <c r="BM1828" s="87"/>
      <c r="BN1828" s="87"/>
      <c r="BO1828" s="87"/>
      <c r="BP1828" s="87"/>
      <c r="BQ1828" s="87"/>
      <c r="BR1828" s="87"/>
      <c r="BS1828" s="87"/>
      <c r="BT1828" s="87"/>
      <c r="BU1828" s="87"/>
      <c r="BV1828" s="87"/>
      <c r="BW1828" s="87"/>
      <c r="BX1828" s="87"/>
      <c r="BY1828" s="87"/>
    </row>
    <row r="1829" spans="21:77" x14ac:dyDescent="0.3">
      <c r="U1829" s="19"/>
      <c r="V1829" s="87"/>
      <c r="W1829" s="87"/>
      <c r="X1829" s="87"/>
      <c r="Y1829" s="87"/>
      <c r="Z1829" s="87"/>
      <c r="AA1829" s="87"/>
      <c r="AB1829" s="87"/>
      <c r="AC1829" s="87"/>
      <c r="AD1829" s="87"/>
      <c r="AE1829" s="87"/>
      <c r="AF1829" s="87"/>
      <c r="AG1829" s="87"/>
      <c r="AH1829" s="87"/>
      <c r="AI1829" s="87"/>
      <c r="AJ1829" s="87"/>
      <c r="AK1829" s="87"/>
      <c r="AL1829" s="87"/>
      <c r="AM1829" s="87"/>
      <c r="AN1829" s="87"/>
      <c r="AO1829" s="87"/>
      <c r="AP1829" s="87"/>
      <c r="AQ1829" s="87"/>
      <c r="AR1829" s="87"/>
      <c r="AS1829" s="87"/>
      <c r="AT1829" s="87"/>
      <c r="AU1829" s="87"/>
      <c r="AV1829" s="87"/>
      <c r="AW1829" s="87"/>
      <c r="AX1829" s="87"/>
      <c r="AY1829" s="87"/>
      <c r="AZ1829" s="87"/>
      <c r="BA1829" s="87"/>
      <c r="BB1829" s="87"/>
      <c r="BC1829" s="87"/>
      <c r="BD1829" s="87"/>
      <c r="BE1829" s="87"/>
      <c r="BF1829" s="87"/>
      <c r="BG1829" s="87"/>
      <c r="BH1829" s="87"/>
      <c r="BI1829" s="87"/>
      <c r="BJ1829" s="87"/>
      <c r="BK1829" s="87"/>
      <c r="BL1829" s="87"/>
      <c r="BM1829" s="87"/>
      <c r="BN1829" s="87"/>
      <c r="BO1829" s="87"/>
      <c r="BP1829" s="87"/>
      <c r="BQ1829" s="87"/>
      <c r="BR1829" s="87"/>
      <c r="BS1829" s="87"/>
      <c r="BT1829" s="87"/>
      <c r="BU1829" s="87"/>
      <c r="BV1829" s="87"/>
      <c r="BW1829" s="87"/>
      <c r="BX1829" s="87"/>
      <c r="BY1829" s="87"/>
    </row>
    <row r="1830" spans="21:77" x14ac:dyDescent="0.3">
      <c r="U1830" s="19"/>
      <c r="V1830" s="87"/>
      <c r="W1830" s="87"/>
      <c r="X1830" s="87"/>
      <c r="Y1830" s="87"/>
      <c r="Z1830" s="87"/>
      <c r="AA1830" s="87"/>
      <c r="AB1830" s="87"/>
      <c r="AC1830" s="87"/>
      <c r="AD1830" s="87"/>
      <c r="AE1830" s="87"/>
      <c r="AF1830" s="87"/>
      <c r="AG1830" s="87"/>
      <c r="AH1830" s="87"/>
      <c r="AI1830" s="87"/>
      <c r="AJ1830" s="87"/>
      <c r="AK1830" s="87"/>
      <c r="AL1830" s="87"/>
      <c r="AM1830" s="87"/>
      <c r="AN1830" s="87"/>
      <c r="AO1830" s="87"/>
      <c r="AP1830" s="87"/>
      <c r="AQ1830" s="87"/>
      <c r="AR1830" s="87"/>
      <c r="AS1830" s="87"/>
      <c r="AT1830" s="87"/>
      <c r="AU1830" s="87"/>
      <c r="AV1830" s="87"/>
      <c r="AW1830" s="87"/>
      <c r="AX1830" s="87"/>
      <c r="AY1830" s="87"/>
      <c r="AZ1830" s="87"/>
      <c r="BA1830" s="87"/>
      <c r="BB1830" s="87"/>
      <c r="BC1830" s="87"/>
      <c r="BD1830" s="87"/>
      <c r="BE1830" s="87"/>
      <c r="BF1830" s="87"/>
      <c r="BG1830" s="87"/>
      <c r="BH1830" s="87"/>
      <c r="BI1830" s="87"/>
      <c r="BJ1830" s="87"/>
      <c r="BK1830" s="87"/>
      <c r="BL1830" s="87"/>
      <c r="BM1830" s="87"/>
      <c r="BN1830" s="87"/>
      <c r="BO1830" s="87"/>
      <c r="BP1830" s="87"/>
      <c r="BQ1830" s="87"/>
      <c r="BR1830" s="87"/>
      <c r="BS1830" s="87"/>
      <c r="BT1830" s="87"/>
      <c r="BU1830" s="87"/>
      <c r="BV1830" s="87"/>
      <c r="BW1830" s="87"/>
      <c r="BX1830" s="87"/>
      <c r="BY1830" s="87"/>
    </row>
    <row r="1831" spans="21:77" x14ac:dyDescent="0.3">
      <c r="U1831" s="19"/>
      <c r="V1831" s="87"/>
      <c r="W1831" s="87"/>
      <c r="X1831" s="87"/>
      <c r="Y1831" s="87"/>
      <c r="Z1831" s="87"/>
      <c r="AA1831" s="87"/>
      <c r="AB1831" s="87"/>
      <c r="AC1831" s="87"/>
      <c r="AD1831" s="87"/>
      <c r="AE1831" s="87"/>
      <c r="AF1831" s="87"/>
      <c r="AG1831" s="87"/>
      <c r="AH1831" s="87"/>
      <c r="AI1831" s="87"/>
      <c r="AJ1831" s="87"/>
      <c r="AK1831" s="87"/>
      <c r="AL1831" s="87"/>
      <c r="AM1831" s="87"/>
      <c r="AN1831" s="87"/>
      <c r="AO1831" s="87"/>
      <c r="AP1831" s="87"/>
      <c r="AQ1831" s="87"/>
      <c r="AR1831" s="87"/>
      <c r="AS1831" s="87"/>
      <c r="AT1831" s="87"/>
      <c r="AU1831" s="87"/>
      <c r="AV1831" s="87"/>
      <c r="AW1831" s="87"/>
      <c r="AX1831" s="87"/>
      <c r="AY1831" s="87"/>
      <c r="AZ1831" s="87"/>
      <c r="BA1831" s="87"/>
      <c r="BB1831" s="87"/>
      <c r="BC1831" s="87"/>
      <c r="BD1831" s="87"/>
      <c r="BE1831" s="87"/>
      <c r="BF1831" s="87"/>
      <c r="BG1831" s="87"/>
      <c r="BH1831" s="87"/>
      <c r="BI1831" s="87"/>
      <c r="BJ1831" s="87"/>
      <c r="BK1831" s="87"/>
      <c r="BL1831" s="87"/>
      <c r="BM1831" s="87"/>
      <c r="BN1831" s="87"/>
      <c r="BO1831" s="87"/>
      <c r="BP1831" s="87"/>
      <c r="BQ1831" s="87"/>
      <c r="BR1831" s="87"/>
      <c r="BS1831" s="87"/>
      <c r="BT1831" s="87"/>
      <c r="BU1831" s="87"/>
      <c r="BV1831" s="87"/>
      <c r="BW1831" s="87"/>
      <c r="BX1831" s="87"/>
      <c r="BY1831" s="87"/>
    </row>
    <row r="1832" spans="21:77" x14ac:dyDescent="0.3">
      <c r="U1832" s="19"/>
      <c r="V1832" s="87"/>
      <c r="W1832" s="87"/>
      <c r="X1832" s="87"/>
      <c r="Y1832" s="87"/>
      <c r="Z1832" s="87"/>
      <c r="AA1832" s="87"/>
      <c r="AB1832" s="87"/>
      <c r="AC1832" s="87"/>
      <c r="AD1832" s="87"/>
      <c r="AE1832" s="87"/>
      <c r="AF1832" s="87"/>
      <c r="AG1832" s="87"/>
      <c r="AH1832" s="87"/>
      <c r="AI1832" s="87"/>
      <c r="AJ1832" s="87"/>
      <c r="AK1832" s="87"/>
      <c r="AL1832" s="87"/>
      <c r="AM1832" s="87"/>
      <c r="AN1832" s="87"/>
      <c r="AO1832" s="87"/>
      <c r="AP1832" s="87"/>
      <c r="AQ1832" s="87"/>
      <c r="AR1832" s="87"/>
      <c r="AS1832" s="87"/>
      <c r="AT1832" s="87"/>
      <c r="AU1832" s="87"/>
      <c r="AV1832" s="87"/>
      <c r="AW1832" s="87"/>
      <c r="AX1832" s="87"/>
      <c r="AY1832" s="87"/>
      <c r="AZ1832" s="87"/>
      <c r="BA1832" s="87"/>
      <c r="BB1832" s="87"/>
      <c r="BC1832" s="87"/>
      <c r="BD1832" s="87"/>
      <c r="BE1832" s="87"/>
      <c r="BF1832" s="87"/>
      <c r="BG1832" s="87"/>
      <c r="BH1832" s="87"/>
      <c r="BI1832" s="87"/>
      <c r="BJ1832" s="87"/>
      <c r="BK1832" s="87"/>
      <c r="BL1832" s="87"/>
      <c r="BM1832" s="87"/>
      <c r="BN1832" s="87"/>
      <c r="BO1832" s="87"/>
      <c r="BP1832" s="87"/>
      <c r="BQ1832" s="87"/>
      <c r="BR1832" s="87"/>
      <c r="BS1832" s="87"/>
      <c r="BT1832" s="87"/>
      <c r="BU1832" s="87"/>
      <c r="BV1832" s="87"/>
      <c r="BW1832" s="87"/>
      <c r="BX1832" s="87"/>
      <c r="BY1832" s="87"/>
    </row>
    <row r="1833" spans="21:77" x14ac:dyDescent="0.3">
      <c r="U1833" s="19"/>
      <c r="V1833" s="87"/>
      <c r="W1833" s="87"/>
      <c r="X1833" s="87"/>
      <c r="Y1833" s="87"/>
      <c r="Z1833" s="87"/>
      <c r="AA1833" s="87"/>
      <c r="AB1833" s="87"/>
      <c r="AC1833" s="87"/>
      <c r="AD1833" s="87"/>
      <c r="AE1833" s="87"/>
      <c r="AF1833" s="87"/>
      <c r="AG1833" s="87"/>
      <c r="AH1833" s="87"/>
      <c r="AI1833" s="87"/>
      <c r="AJ1833" s="87"/>
      <c r="AK1833" s="87"/>
      <c r="AL1833" s="87"/>
      <c r="AM1833" s="87"/>
      <c r="AN1833" s="87"/>
      <c r="AO1833" s="87"/>
      <c r="AP1833" s="87"/>
      <c r="AQ1833" s="87"/>
      <c r="AR1833" s="87"/>
      <c r="AS1833" s="87"/>
      <c r="AT1833" s="87"/>
      <c r="AU1833" s="87"/>
      <c r="AV1833" s="87"/>
      <c r="AW1833" s="87"/>
      <c r="AX1833" s="87"/>
      <c r="AY1833" s="87"/>
      <c r="AZ1833" s="87"/>
      <c r="BA1833" s="87"/>
      <c r="BB1833" s="87"/>
      <c r="BC1833" s="87"/>
      <c r="BD1833" s="87"/>
      <c r="BE1833" s="87"/>
      <c r="BF1833" s="87"/>
      <c r="BG1833" s="87"/>
      <c r="BH1833" s="87"/>
      <c r="BI1833" s="87"/>
      <c r="BJ1833" s="87"/>
      <c r="BK1833" s="87"/>
      <c r="BL1833" s="87"/>
      <c r="BM1833" s="87"/>
      <c r="BN1833" s="87"/>
      <c r="BO1833" s="87"/>
      <c r="BP1833" s="87"/>
      <c r="BQ1833" s="87"/>
      <c r="BR1833" s="87"/>
      <c r="BS1833" s="87"/>
      <c r="BT1833" s="87"/>
      <c r="BU1833" s="87"/>
      <c r="BV1833" s="87"/>
      <c r="BW1833" s="87"/>
      <c r="BX1833" s="87"/>
      <c r="BY1833" s="87"/>
    </row>
    <row r="1834" spans="21:77" x14ac:dyDescent="0.3">
      <c r="U1834" s="19"/>
      <c r="V1834" s="87"/>
      <c r="W1834" s="87"/>
      <c r="X1834" s="87"/>
      <c r="Y1834" s="87"/>
      <c r="Z1834" s="87"/>
      <c r="AA1834" s="87"/>
      <c r="AB1834" s="87"/>
      <c r="AC1834" s="87"/>
      <c r="AD1834" s="87"/>
      <c r="AE1834" s="87"/>
      <c r="AF1834" s="87"/>
      <c r="AG1834" s="87"/>
      <c r="AH1834" s="87"/>
      <c r="AI1834" s="87"/>
      <c r="AJ1834" s="87"/>
      <c r="AK1834" s="87"/>
      <c r="AL1834" s="87"/>
      <c r="AM1834" s="87"/>
      <c r="AN1834" s="87"/>
      <c r="AO1834" s="87"/>
      <c r="AP1834" s="87"/>
      <c r="AQ1834" s="87"/>
      <c r="AR1834" s="87"/>
      <c r="AS1834" s="87"/>
      <c r="AT1834" s="87"/>
      <c r="AU1834" s="87"/>
      <c r="AV1834" s="87"/>
      <c r="AW1834" s="87"/>
      <c r="AX1834" s="87"/>
      <c r="AY1834" s="87"/>
      <c r="AZ1834" s="87"/>
      <c r="BA1834" s="87"/>
      <c r="BB1834" s="87"/>
      <c r="BC1834" s="87"/>
      <c r="BD1834" s="87"/>
      <c r="BE1834" s="87"/>
      <c r="BF1834" s="87"/>
      <c r="BG1834" s="87"/>
      <c r="BH1834" s="87"/>
      <c r="BI1834" s="87"/>
      <c r="BJ1834" s="87"/>
      <c r="BK1834" s="87"/>
      <c r="BL1834" s="87"/>
      <c r="BM1834" s="87"/>
      <c r="BN1834" s="87"/>
      <c r="BO1834" s="87"/>
      <c r="BP1834" s="87"/>
      <c r="BQ1834" s="87"/>
      <c r="BR1834" s="87"/>
      <c r="BS1834" s="87"/>
      <c r="BT1834" s="87"/>
      <c r="BU1834" s="87"/>
      <c r="BV1834" s="87"/>
      <c r="BW1834" s="87"/>
      <c r="BX1834" s="87"/>
      <c r="BY1834" s="87"/>
    </row>
    <row r="1835" spans="21:77" x14ac:dyDescent="0.3">
      <c r="U1835" s="19"/>
      <c r="V1835" s="87"/>
      <c r="W1835" s="87"/>
      <c r="X1835" s="87"/>
      <c r="Y1835" s="87"/>
      <c r="Z1835" s="87"/>
      <c r="AA1835" s="87"/>
      <c r="AB1835" s="87"/>
      <c r="AC1835" s="87"/>
      <c r="AD1835" s="87"/>
      <c r="AE1835" s="87"/>
      <c r="AF1835" s="87"/>
      <c r="AG1835" s="87"/>
      <c r="AH1835" s="87"/>
      <c r="AI1835" s="87"/>
      <c r="AJ1835" s="87"/>
      <c r="AK1835" s="87"/>
      <c r="AL1835" s="87"/>
      <c r="AM1835" s="87"/>
      <c r="AN1835" s="87"/>
      <c r="AO1835" s="87"/>
      <c r="AP1835" s="87"/>
      <c r="AQ1835" s="87"/>
      <c r="AR1835" s="87"/>
      <c r="AS1835" s="87"/>
      <c r="AT1835" s="87"/>
      <c r="AU1835" s="87"/>
      <c r="AV1835" s="87"/>
      <c r="AW1835" s="87"/>
      <c r="AX1835" s="87"/>
      <c r="AY1835" s="87"/>
      <c r="AZ1835" s="87"/>
      <c r="BA1835" s="87"/>
      <c r="BB1835" s="87"/>
      <c r="BC1835" s="87"/>
      <c r="BD1835" s="87"/>
      <c r="BE1835" s="87"/>
      <c r="BF1835" s="87"/>
      <c r="BG1835" s="87"/>
      <c r="BH1835" s="87"/>
      <c r="BI1835" s="87"/>
      <c r="BJ1835" s="87"/>
      <c r="BK1835" s="87"/>
      <c r="BL1835" s="87"/>
      <c r="BM1835" s="87"/>
      <c r="BN1835" s="87"/>
      <c r="BO1835" s="87"/>
      <c r="BP1835" s="87"/>
      <c r="BQ1835" s="87"/>
      <c r="BR1835" s="87"/>
      <c r="BS1835" s="87"/>
      <c r="BT1835" s="87"/>
      <c r="BU1835" s="87"/>
      <c r="BV1835" s="87"/>
      <c r="BW1835" s="87"/>
      <c r="BX1835" s="87"/>
      <c r="BY1835" s="87"/>
    </row>
    <row r="1836" spans="21:77" x14ac:dyDescent="0.3">
      <c r="U1836" s="19"/>
      <c r="V1836" s="87"/>
      <c r="W1836" s="87"/>
      <c r="X1836" s="87"/>
      <c r="Y1836" s="87"/>
      <c r="Z1836" s="87"/>
      <c r="AA1836" s="87"/>
      <c r="AB1836" s="87"/>
      <c r="AC1836" s="87"/>
      <c r="AD1836" s="87"/>
      <c r="AE1836" s="87"/>
      <c r="AF1836" s="87"/>
      <c r="AG1836" s="87"/>
      <c r="AH1836" s="87"/>
      <c r="AI1836" s="87"/>
      <c r="AJ1836" s="87"/>
      <c r="AK1836" s="87"/>
      <c r="AL1836" s="87"/>
      <c r="AM1836" s="87"/>
      <c r="AN1836" s="87"/>
      <c r="AO1836" s="87"/>
      <c r="AP1836" s="87"/>
      <c r="AQ1836" s="87"/>
      <c r="AR1836" s="87"/>
      <c r="AS1836" s="87"/>
      <c r="AT1836" s="87"/>
      <c r="AU1836" s="87"/>
      <c r="AV1836" s="87"/>
      <c r="AW1836" s="87"/>
      <c r="AX1836" s="87"/>
      <c r="AY1836" s="87"/>
      <c r="AZ1836" s="87"/>
      <c r="BA1836" s="87"/>
      <c r="BB1836" s="87"/>
      <c r="BC1836" s="87"/>
      <c r="BD1836" s="87"/>
      <c r="BE1836" s="87"/>
      <c r="BF1836" s="87"/>
      <c r="BG1836" s="87"/>
      <c r="BH1836" s="87"/>
      <c r="BI1836" s="87"/>
      <c r="BJ1836" s="87"/>
      <c r="BK1836" s="87"/>
      <c r="BL1836" s="87"/>
      <c r="BM1836" s="87"/>
      <c r="BN1836" s="87"/>
      <c r="BO1836" s="87"/>
      <c r="BP1836" s="87"/>
      <c r="BQ1836" s="87"/>
      <c r="BR1836" s="87"/>
      <c r="BS1836" s="87"/>
      <c r="BT1836" s="87"/>
      <c r="BU1836" s="87"/>
      <c r="BV1836" s="87"/>
      <c r="BW1836" s="87"/>
      <c r="BX1836" s="87"/>
      <c r="BY1836" s="87"/>
    </row>
    <row r="1837" spans="21:77" x14ac:dyDescent="0.3">
      <c r="U1837" s="19"/>
      <c r="V1837" s="87"/>
      <c r="W1837" s="87"/>
      <c r="X1837" s="87"/>
      <c r="Y1837" s="87"/>
      <c r="Z1837" s="87"/>
      <c r="AA1837" s="87"/>
      <c r="AB1837" s="87"/>
      <c r="AC1837" s="87"/>
      <c r="AD1837" s="87"/>
      <c r="AE1837" s="87"/>
      <c r="AF1837" s="87"/>
      <c r="AG1837" s="87"/>
      <c r="AH1837" s="87"/>
      <c r="AI1837" s="87"/>
      <c r="AJ1837" s="87"/>
      <c r="AK1837" s="87"/>
      <c r="AL1837" s="87"/>
      <c r="AM1837" s="87"/>
      <c r="AN1837" s="87"/>
      <c r="AO1837" s="87"/>
      <c r="AP1837" s="87"/>
      <c r="AQ1837" s="87"/>
      <c r="AR1837" s="87"/>
      <c r="AS1837" s="87"/>
      <c r="AT1837" s="87"/>
      <c r="AU1837" s="87"/>
      <c r="AV1837" s="87"/>
      <c r="AW1837" s="87"/>
      <c r="AX1837" s="87"/>
      <c r="AY1837" s="87"/>
      <c r="AZ1837" s="87"/>
      <c r="BA1837" s="87"/>
      <c r="BB1837" s="87"/>
      <c r="BC1837" s="87"/>
      <c r="BD1837" s="87"/>
      <c r="BE1837" s="87"/>
      <c r="BF1837" s="87"/>
      <c r="BG1837" s="87"/>
      <c r="BH1837" s="87"/>
      <c r="BI1837" s="87"/>
      <c r="BJ1837" s="87"/>
      <c r="BK1837" s="87"/>
      <c r="BL1837" s="87"/>
      <c r="BM1837" s="87"/>
      <c r="BN1837" s="87"/>
      <c r="BO1837" s="87"/>
      <c r="BP1837" s="87"/>
      <c r="BQ1837" s="87"/>
      <c r="BR1837" s="87"/>
      <c r="BS1837" s="87"/>
      <c r="BT1837" s="87"/>
      <c r="BU1837" s="87"/>
      <c r="BV1837" s="87"/>
      <c r="BW1837" s="87"/>
      <c r="BX1837" s="87"/>
      <c r="BY1837" s="87"/>
    </row>
    <row r="1838" spans="21:77" x14ac:dyDescent="0.3">
      <c r="U1838" s="19"/>
      <c r="V1838" s="87"/>
      <c r="W1838" s="87"/>
      <c r="X1838" s="87"/>
      <c r="Y1838" s="87"/>
      <c r="Z1838" s="87"/>
      <c r="AA1838" s="87"/>
      <c r="AB1838" s="87"/>
      <c r="AC1838" s="87"/>
      <c r="AD1838" s="87"/>
      <c r="AE1838" s="87"/>
      <c r="AF1838" s="87"/>
      <c r="AG1838" s="87"/>
      <c r="AH1838" s="87"/>
      <c r="AI1838" s="87"/>
      <c r="AJ1838" s="87"/>
      <c r="AK1838" s="87"/>
      <c r="AL1838" s="87"/>
      <c r="AM1838" s="87"/>
      <c r="AN1838" s="87"/>
      <c r="AO1838" s="87"/>
      <c r="AP1838" s="87"/>
      <c r="AQ1838" s="87"/>
      <c r="AR1838" s="87"/>
      <c r="AS1838" s="87"/>
      <c r="AT1838" s="87"/>
      <c r="AU1838" s="87"/>
      <c r="AV1838" s="87"/>
      <c r="AW1838" s="87"/>
      <c r="AX1838" s="87"/>
      <c r="AY1838" s="87"/>
      <c r="AZ1838" s="87"/>
      <c r="BA1838" s="87"/>
      <c r="BB1838" s="87"/>
      <c r="BC1838" s="87"/>
      <c r="BD1838" s="87"/>
      <c r="BE1838" s="87"/>
      <c r="BF1838" s="87"/>
      <c r="BG1838" s="87"/>
      <c r="BH1838" s="87"/>
      <c r="BI1838" s="87"/>
      <c r="BJ1838" s="87"/>
      <c r="BK1838" s="87"/>
      <c r="BL1838" s="87"/>
      <c r="BM1838" s="87"/>
      <c r="BN1838" s="87"/>
      <c r="BO1838" s="87"/>
      <c r="BP1838" s="87"/>
      <c r="BQ1838" s="87"/>
      <c r="BR1838" s="87"/>
      <c r="BS1838" s="87"/>
      <c r="BT1838" s="87"/>
      <c r="BU1838" s="87"/>
      <c r="BV1838" s="87"/>
      <c r="BW1838" s="87"/>
      <c r="BX1838" s="87"/>
      <c r="BY1838" s="87"/>
    </row>
    <row r="1839" spans="21:77" x14ac:dyDescent="0.3">
      <c r="U1839" s="19"/>
      <c r="V1839" s="87"/>
      <c r="W1839" s="87"/>
      <c r="X1839" s="87"/>
      <c r="Y1839" s="87"/>
      <c r="Z1839" s="87"/>
      <c r="AA1839" s="87"/>
      <c r="AB1839" s="87"/>
      <c r="AC1839" s="87"/>
      <c r="AD1839" s="87"/>
      <c r="AE1839" s="87"/>
      <c r="AF1839" s="87"/>
      <c r="AG1839" s="87"/>
      <c r="AH1839" s="87"/>
      <c r="AI1839" s="87"/>
      <c r="AJ1839" s="87"/>
      <c r="AK1839" s="87"/>
      <c r="AL1839" s="87"/>
      <c r="AM1839" s="87"/>
      <c r="AN1839" s="87"/>
      <c r="AO1839" s="87"/>
      <c r="AP1839" s="87"/>
      <c r="AQ1839" s="87"/>
      <c r="AR1839" s="87"/>
      <c r="AS1839" s="87"/>
      <c r="AT1839" s="87"/>
      <c r="AU1839" s="87"/>
      <c r="AV1839" s="87"/>
      <c r="AW1839" s="87"/>
      <c r="AX1839" s="87"/>
      <c r="AY1839" s="87"/>
      <c r="AZ1839" s="87"/>
      <c r="BA1839" s="87"/>
      <c r="BB1839" s="87"/>
      <c r="BC1839" s="87"/>
      <c r="BD1839" s="87"/>
      <c r="BE1839" s="87"/>
      <c r="BF1839" s="87"/>
      <c r="BG1839" s="87"/>
      <c r="BH1839" s="87"/>
      <c r="BI1839" s="87"/>
      <c r="BJ1839" s="87"/>
      <c r="BK1839" s="87"/>
      <c r="BL1839" s="87"/>
      <c r="BM1839" s="87"/>
      <c r="BN1839" s="87"/>
      <c r="BO1839" s="87"/>
      <c r="BP1839" s="87"/>
      <c r="BQ1839" s="87"/>
      <c r="BR1839" s="87"/>
      <c r="BS1839" s="87"/>
      <c r="BT1839" s="87"/>
      <c r="BU1839" s="87"/>
      <c r="BV1839" s="87"/>
      <c r="BW1839" s="87"/>
      <c r="BX1839" s="87"/>
      <c r="BY1839" s="87"/>
    </row>
    <row r="1840" spans="21:77" x14ac:dyDescent="0.3">
      <c r="U1840" s="19"/>
      <c r="V1840" s="87"/>
      <c r="W1840" s="87"/>
      <c r="X1840" s="87"/>
      <c r="Y1840" s="87"/>
      <c r="Z1840" s="87"/>
      <c r="AA1840" s="87"/>
      <c r="AB1840" s="87"/>
      <c r="AC1840" s="87"/>
      <c r="AD1840" s="87"/>
      <c r="AE1840" s="87"/>
      <c r="AF1840" s="87"/>
      <c r="AG1840" s="87"/>
      <c r="AH1840" s="87"/>
      <c r="AI1840" s="87"/>
      <c r="AJ1840" s="87"/>
      <c r="AK1840" s="87"/>
      <c r="AL1840" s="87"/>
      <c r="AM1840" s="87"/>
      <c r="AN1840" s="87"/>
      <c r="AO1840" s="87"/>
      <c r="AP1840" s="87"/>
      <c r="AQ1840" s="87"/>
      <c r="AR1840" s="87"/>
      <c r="AS1840" s="87"/>
      <c r="AT1840" s="87"/>
      <c r="AU1840" s="87"/>
      <c r="AV1840" s="87"/>
      <c r="AW1840" s="87"/>
      <c r="AX1840" s="87"/>
      <c r="AY1840" s="87"/>
      <c r="AZ1840" s="87"/>
      <c r="BA1840" s="87"/>
      <c r="BB1840" s="87"/>
      <c r="BC1840" s="87"/>
      <c r="BD1840" s="87"/>
      <c r="BE1840" s="87"/>
      <c r="BF1840" s="87"/>
      <c r="BG1840" s="87"/>
      <c r="BH1840" s="87"/>
      <c r="BI1840" s="87"/>
      <c r="BJ1840" s="87"/>
      <c r="BK1840" s="87"/>
      <c r="BL1840" s="87"/>
      <c r="BM1840" s="87"/>
      <c r="BN1840" s="87"/>
      <c r="BO1840" s="87"/>
      <c r="BP1840" s="87"/>
      <c r="BQ1840" s="87"/>
      <c r="BR1840" s="87"/>
      <c r="BS1840" s="87"/>
      <c r="BT1840" s="87"/>
      <c r="BU1840" s="87"/>
      <c r="BV1840" s="87"/>
      <c r="BW1840" s="87"/>
      <c r="BX1840" s="87"/>
      <c r="BY1840" s="87"/>
    </row>
    <row r="1841" spans="21:77" x14ac:dyDescent="0.3">
      <c r="U1841" s="19"/>
      <c r="V1841" s="87"/>
      <c r="W1841" s="87"/>
      <c r="X1841" s="87"/>
      <c r="Y1841" s="87"/>
      <c r="Z1841" s="87"/>
      <c r="AA1841" s="87"/>
      <c r="AB1841" s="87"/>
      <c r="AC1841" s="87"/>
      <c r="AD1841" s="87"/>
      <c r="AE1841" s="87"/>
      <c r="AF1841" s="87"/>
      <c r="AG1841" s="87"/>
      <c r="AH1841" s="87"/>
      <c r="AI1841" s="87"/>
      <c r="AJ1841" s="87"/>
      <c r="AK1841" s="87"/>
      <c r="AL1841" s="87"/>
      <c r="AM1841" s="87"/>
      <c r="AN1841" s="87"/>
      <c r="AO1841" s="87"/>
      <c r="AP1841" s="87"/>
      <c r="AQ1841" s="87"/>
      <c r="AR1841" s="87"/>
      <c r="AS1841" s="87"/>
      <c r="AT1841" s="87"/>
      <c r="AU1841" s="87"/>
      <c r="AV1841" s="87"/>
      <c r="AW1841" s="87"/>
      <c r="AX1841" s="87"/>
      <c r="AY1841" s="87"/>
      <c r="AZ1841" s="87"/>
      <c r="BA1841" s="87"/>
      <c r="BB1841" s="87"/>
      <c r="BC1841" s="87"/>
      <c r="BD1841" s="87"/>
      <c r="BE1841" s="87"/>
      <c r="BF1841" s="87"/>
      <c r="BG1841" s="87"/>
      <c r="BH1841" s="87"/>
      <c r="BI1841" s="87"/>
      <c r="BJ1841" s="87"/>
      <c r="BK1841" s="87"/>
      <c r="BL1841" s="87"/>
      <c r="BM1841" s="87"/>
      <c r="BN1841" s="87"/>
      <c r="BO1841" s="87"/>
      <c r="BP1841" s="87"/>
      <c r="BQ1841" s="87"/>
      <c r="BR1841" s="87"/>
      <c r="BS1841" s="87"/>
      <c r="BT1841" s="87"/>
      <c r="BU1841" s="87"/>
      <c r="BV1841" s="87"/>
      <c r="BW1841" s="87"/>
      <c r="BX1841" s="87"/>
      <c r="BY1841" s="87"/>
    </row>
    <row r="1842" spans="21:77" x14ac:dyDescent="0.3">
      <c r="U1842" s="19"/>
      <c r="V1842" s="87"/>
      <c r="W1842" s="87"/>
      <c r="X1842" s="87"/>
      <c r="Y1842" s="87"/>
      <c r="Z1842" s="87"/>
      <c r="AA1842" s="87"/>
      <c r="AB1842" s="87"/>
      <c r="AC1842" s="87"/>
      <c r="AD1842" s="87"/>
      <c r="AE1842" s="87"/>
      <c r="AF1842" s="87"/>
      <c r="AG1842" s="87"/>
      <c r="AH1842" s="87"/>
      <c r="AI1842" s="87"/>
      <c r="AJ1842" s="87"/>
      <c r="AK1842" s="87"/>
      <c r="AL1842" s="87"/>
      <c r="AM1842" s="87"/>
      <c r="AN1842" s="87"/>
      <c r="AO1842" s="87"/>
      <c r="AP1842" s="87"/>
      <c r="AQ1842" s="87"/>
      <c r="AR1842" s="87"/>
      <c r="AS1842" s="87"/>
      <c r="AT1842" s="87"/>
      <c r="AU1842" s="87"/>
      <c r="AV1842" s="87"/>
      <c r="AW1842" s="87"/>
      <c r="AX1842" s="87"/>
      <c r="AY1842" s="87"/>
      <c r="AZ1842" s="87"/>
      <c r="BA1842" s="87"/>
      <c r="BB1842" s="87"/>
      <c r="BC1842" s="87"/>
      <c r="BD1842" s="87"/>
      <c r="BE1842" s="87"/>
      <c r="BF1842" s="87"/>
      <c r="BG1842" s="87"/>
      <c r="BH1842" s="87"/>
      <c r="BI1842" s="87"/>
      <c r="BJ1842" s="87"/>
      <c r="BK1842" s="87"/>
      <c r="BL1842" s="87"/>
      <c r="BM1842" s="87"/>
      <c r="BN1842" s="87"/>
      <c r="BO1842" s="87"/>
      <c r="BP1842" s="87"/>
      <c r="BQ1842" s="87"/>
      <c r="BR1842" s="87"/>
      <c r="BS1842" s="87"/>
      <c r="BT1842" s="87"/>
      <c r="BU1842" s="87"/>
      <c r="BV1842" s="87"/>
      <c r="BW1842" s="87"/>
      <c r="BX1842" s="87"/>
      <c r="BY1842" s="87"/>
    </row>
    <row r="1843" spans="21:77" x14ac:dyDescent="0.3">
      <c r="U1843" s="19"/>
      <c r="V1843" s="87"/>
      <c r="W1843" s="87"/>
      <c r="X1843" s="87"/>
      <c r="Y1843" s="87"/>
      <c r="Z1843" s="87"/>
      <c r="AA1843" s="87"/>
      <c r="AB1843" s="87"/>
      <c r="AC1843" s="87"/>
      <c r="AD1843" s="87"/>
      <c r="AE1843" s="87"/>
      <c r="AF1843" s="87"/>
      <c r="AG1843" s="87"/>
      <c r="AH1843" s="87"/>
      <c r="AI1843" s="87"/>
      <c r="AJ1843" s="87"/>
      <c r="AK1843" s="87"/>
      <c r="AL1843" s="87"/>
      <c r="AM1843" s="87"/>
      <c r="AN1843" s="87"/>
      <c r="AO1843" s="87"/>
      <c r="AP1843" s="87"/>
      <c r="AQ1843" s="87"/>
      <c r="AR1843" s="87"/>
      <c r="AS1843" s="87"/>
      <c r="AT1843" s="87"/>
      <c r="AU1843" s="87"/>
      <c r="AV1843" s="87"/>
      <c r="AW1843" s="87"/>
      <c r="AX1843" s="87"/>
      <c r="AY1843" s="87"/>
      <c r="AZ1843" s="87"/>
      <c r="BA1843" s="87"/>
      <c r="BB1843" s="87"/>
      <c r="BC1843" s="87"/>
      <c r="BD1843" s="87"/>
      <c r="BE1843" s="87"/>
      <c r="BF1843" s="87"/>
      <c r="BG1843" s="87"/>
      <c r="BH1843" s="87"/>
      <c r="BI1843" s="87"/>
      <c r="BJ1843" s="87"/>
      <c r="BK1843" s="87"/>
      <c r="BL1843" s="87"/>
      <c r="BM1843" s="87"/>
      <c r="BN1843" s="87"/>
      <c r="BO1843" s="87"/>
      <c r="BP1843" s="87"/>
      <c r="BQ1843" s="87"/>
      <c r="BR1843" s="87"/>
      <c r="BS1843" s="87"/>
      <c r="BT1843" s="87"/>
      <c r="BU1843" s="87"/>
      <c r="BV1843" s="87"/>
      <c r="BW1843" s="87"/>
      <c r="BX1843" s="87"/>
      <c r="BY1843" s="87"/>
    </row>
    <row r="1844" spans="21:77" x14ac:dyDescent="0.3">
      <c r="U1844" s="19"/>
      <c r="V1844" s="87"/>
      <c r="W1844" s="87"/>
      <c r="X1844" s="87"/>
      <c r="Y1844" s="87"/>
      <c r="Z1844" s="87"/>
      <c r="AA1844" s="87"/>
      <c r="AB1844" s="87"/>
      <c r="AC1844" s="87"/>
      <c r="AD1844" s="87"/>
      <c r="AE1844" s="87"/>
      <c r="AF1844" s="87"/>
      <c r="AG1844" s="87"/>
      <c r="AH1844" s="87"/>
      <c r="AI1844" s="87"/>
      <c r="AJ1844" s="87"/>
      <c r="AK1844" s="87"/>
      <c r="AL1844" s="87"/>
      <c r="AM1844" s="87"/>
      <c r="AN1844" s="87"/>
      <c r="AO1844" s="87"/>
      <c r="AP1844" s="87"/>
      <c r="AQ1844" s="87"/>
      <c r="AR1844" s="87"/>
      <c r="AS1844" s="87"/>
      <c r="AT1844" s="87"/>
      <c r="AU1844" s="87"/>
      <c r="AV1844" s="87"/>
      <c r="AW1844" s="87"/>
      <c r="AX1844" s="87"/>
      <c r="AY1844" s="87"/>
      <c r="AZ1844" s="87"/>
      <c r="BA1844" s="87"/>
      <c r="BB1844" s="87"/>
      <c r="BC1844" s="87"/>
      <c r="BD1844" s="87"/>
      <c r="BE1844" s="87"/>
      <c r="BF1844" s="87"/>
      <c r="BG1844" s="87"/>
      <c r="BH1844" s="87"/>
      <c r="BI1844" s="87"/>
      <c r="BJ1844" s="87"/>
      <c r="BK1844" s="87"/>
      <c r="BL1844" s="87"/>
      <c r="BM1844" s="87"/>
      <c r="BN1844" s="87"/>
      <c r="BO1844" s="87"/>
      <c r="BP1844" s="87"/>
      <c r="BQ1844" s="87"/>
      <c r="BR1844" s="87"/>
      <c r="BS1844" s="87"/>
      <c r="BT1844" s="87"/>
      <c r="BU1844" s="87"/>
      <c r="BV1844" s="87"/>
      <c r="BW1844" s="87"/>
      <c r="BX1844" s="87"/>
      <c r="BY1844" s="87"/>
    </row>
    <row r="1845" spans="21:77" x14ac:dyDescent="0.3">
      <c r="U1845" s="19"/>
      <c r="V1845" s="87"/>
      <c r="W1845" s="87"/>
      <c r="X1845" s="87"/>
      <c r="Y1845" s="87"/>
      <c r="Z1845" s="87"/>
      <c r="AA1845" s="87"/>
      <c r="AB1845" s="87"/>
      <c r="AC1845" s="87"/>
      <c r="AD1845" s="87"/>
      <c r="AE1845" s="87"/>
      <c r="AF1845" s="87"/>
      <c r="AG1845" s="87"/>
      <c r="AH1845" s="87"/>
      <c r="AI1845" s="87"/>
      <c r="AJ1845" s="87"/>
      <c r="AK1845" s="87"/>
      <c r="AL1845" s="87"/>
      <c r="AM1845" s="87"/>
      <c r="AN1845" s="87"/>
      <c r="AO1845" s="87"/>
      <c r="AP1845" s="87"/>
      <c r="AQ1845" s="87"/>
      <c r="AR1845" s="87"/>
      <c r="AS1845" s="87"/>
      <c r="AT1845" s="87"/>
      <c r="AU1845" s="87"/>
      <c r="AV1845" s="87"/>
      <c r="AW1845" s="87"/>
      <c r="AX1845" s="87"/>
      <c r="AY1845" s="87"/>
      <c r="AZ1845" s="87"/>
      <c r="BA1845" s="87"/>
      <c r="BB1845" s="87"/>
      <c r="BC1845" s="87"/>
      <c r="BD1845" s="87"/>
      <c r="BE1845" s="87"/>
      <c r="BF1845" s="87"/>
      <c r="BG1845" s="87"/>
      <c r="BH1845" s="87"/>
      <c r="BI1845" s="87"/>
      <c r="BJ1845" s="87"/>
      <c r="BK1845" s="87"/>
      <c r="BL1845" s="87"/>
      <c r="BM1845" s="87"/>
      <c r="BN1845" s="87"/>
      <c r="BO1845" s="87"/>
      <c r="BP1845" s="87"/>
      <c r="BQ1845" s="87"/>
      <c r="BR1845" s="87"/>
      <c r="BS1845" s="87"/>
      <c r="BT1845" s="87"/>
      <c r="BU1845" s="87"/>
      <c r="BV1845" s="87"/>
      <c r="BW1845" s="87"/>
      <c r="BX1845" s="87"/>
      <c r="BY1845" s="87"/>
    </row>
    <row r="1846" spans="21:77" x14ac:dyDescent="0.3">
      <c r="U1846" s="19"/>
      <c r="V1846" s="87"/>
      <c r="W1846" s="87"/>
      <c r="X1846" s="87"/>
      <c r="Y1846" s="87"/>
      <c r="Z1846" s="87"/>
      <c r="AA1846" s="87"/>
      <c r="AB1846" s="87"/>
      <c r="AC1846" s="87"/>
      <c r="AD1846" s="87"/>
      <c r="AE1846" s="87"/>
      <c r="AF1846" s="87"/>
      <c r="AG1846" s="87"/>
      <c r="AH1846" s="87"/>
      <c r="AI1846" s="87"/>
      <c r="AJ1846" s="87"/>
      <c r="AK1846" s="87"/>
      <c r="AL1846" s="87"/>
      <c r="AM1846" s="87"/>
      <c r="AN1846" s="87"/>
      <c r="AO1846" s="87"/>
      <c r="AP1846" s="87"/>
      <c r="AQ1846" s="87"/>
      <c r="AR1846" s="87"/>
      <c r="AS1846" s="87"/>
      <c r="AT1846" s="87"/>
      <c r="AU1846" s="87"/>
      <c r="AV1846" s="87"/>
      <c r="AW1846" s="87"/>
      <c r="AX1846" s="87"/>
      <c r="AY1846" s="87"/>
      <c r="AZ1846" s="87"/>
      <c r="BA1846" s="87"/>
      <c r="BB1846" s="87"/>
      <c r="BC1846" s="87"/>
      <c r="BD1846" s="87"/>
      <c r="BE1846" s="87"/>
      <c r="BF1846" s="87"/>
      <c r="BG1846" s="87"/>
      <c r="BH1846" s="87"/>
      <c r="BI1846" s="87"/>
      <c r="BJ1846" s="87"/>
      <c r="BK1846" s="87"/>
      <c r="BL1846" s="87"/>
      <c r="BM1846" s="87"/>
      <c r="BN1846" s="87"/>
      <c r="BO1846" s="87"/>
      <c r="BP1846" s="87"/>
      <c r="BQ1846" s="87"/>
      <c r="BR1846" s="87"/>
      <c r="BS1846" s="87"/>
      <c r="BT1846" s="87"/>
      <c r="BU1846" s="87"/>
      <c r="BV1846" s="87"/>
      <c r="BW1846" s="87"/>
      <c r="BX1846" s="87"/>
      <c r="BY1846" s="87"/>
    </row>
    <row r="1847" spans="21:77" x14ac:dyDescent="0.3">
      <c r="U1847" s="19"/>
      <c r="V1847" s="87"/>
      <c r="W1847" s="87"/>
      <c r="X1847" s="87"/>
      <c r="Y1847" s="87"/>
      <c r="Z1847" s="87"/>
      <c r="AA1847" s="87"/>
      <c r="AB1847" s="87"/>
      <c r="AC1847" s="87"/>
      <c r="AD1847" s="87"/>
      <c r="AE1847" s="87"/>
      <c r="AF1847" s="87"/>
      <c r="AG1847" s="87"/>
      <c r="AH1847" s="87"/>
      <c r="AI1847" s="87"/>
      <c r="AJ1847" s="87"/>
      <c r="AK1847" s="87"/>
      <c r="AL1847" s="87"/>
      <c r="AM1847" s="87"/>
      <c r="AN1847" s="87"/>
      <c r="AO1847" s="87"/>
      <c r="AP1847" s="87"/>
      <c r="AQ1847" s="87"/>
      <c r="AR1847" s="87"/>
      <c r="AS1847" s="87"/>
      <c r="AT1847" s="87"/>
      <c r="AU1847" s="87"/>
      <c r="AV1847" s="87"/>
      <c r="AW1847" s="87"/>
      <c r="AX1847" s="87"/>
      <c r="AY1847" s="87"/>
      <c r="AZ1847" s="87"/>
      <c r="BA1847" s="87"/>
      <c r="BB1847" s="87"/>
      <c r="BC1847" s="87"/>
      <c r="BD1847" s="87"/>
      <c r="BE1847" s="87"/>
      <c r="BF1847" s="87"/>
      <c r="BG1847" s="87"/>
      <c r="BH1847" s="87"/>
      <c r="BI1847" s="87"/>
      <c r="BJ1847" s="87"/>
      <c r="BK1847" s="87"/>
      <c r="BL1847" s="87"/>
      <c r="BM1847" s="87"/>
      <c r="BN1847" s="87"/>
      <c r="BO1847" s="87"/>
      <c r="BP1847" s="87"/>
      <c r="BQ1847" s="87"/>
      <c r="BR1847" s="87"/>
      <c r="BS1847" s="87"/>
      <c r="BT1847" s="87"/>
      <c r="BU1847" s="87"/>
      <c r="BV1847" s="87"/>
      <c r="BW1847" s="87"/>
      <c r="BX1847" s="87"/>
      <c r="BY1847" s="87"/>
    </row>
    <row r="1848" spans="21:77" x14ac:dyDescent="0.3">
      <c r="U1848" s="19"/>
      <c r="V1848" s="87"/>
      <c r="W1848" s="87"/>
      <c r="X1848" s="87"/>
      <c r="Y1848" s="87"/>
      <c r="Z1848" s="87"/>
      <c r="AA1848" s="87"/>
      <c r="AB1848" s="87"/>
      <c r="AC1848" s="87"/>
      <c r="AD1848" s="87"/>
      <c r="AE1848" s="87"/>
      <c r="AF1848" s="87"/>
      <c r="AG1848" s="87"/>
      <c r="AH1848" s="87"/>
      <c r="AI1848" s="87"/>
      <c r="AJ1848" s="87"/>
      <c r="AK1848" s="87"/>
      <c r="AL1848" s="87"/>
      <c r="AM1848" s="87"/>
      <c r="AN1848" s="87"/>
      <c r="AO1848" s="87"/>
      <c r="AP1848" s="87"/>
      <c r="AQ1848" s="87"/>
      <c r="AR1848" s="87"/>
      <c r="AS1848" s="87"/>
      <c r="AT1848" s="87"/>
      <c r="AU1848" s="87"/>
      <c r="AV1848" s="87"/>
      <c r="AW1848" s="87"/>
      <c r="AX1848" s="87"/>
      <c r="AY1848" s="87"/>
      <c r="AZ1848" s="87"/>
      <c r="BA1848" s="87"/>
      <c r="BB1848" s="87"/>
      <c r="BC1848" s="87"/>
      <c r="BD1848" s="87"/>
      <c r="BE1848" s="87"/>
      <c r="BF1848" s="87"/>
      <c r="BG1848" s="87"/>
      <c r="BH1848" s="87"/>
      <c r="BI1848" s="87"/>
      <c r="BJ1848" s="87"/>
      <c r="BK1848" s="87"/>
      <c r="BL1848" s="87"/>
      <c r="BM1848" s="87"/>
      <c r="BN1848" s="87"/>
      <c r="BO1848" s="87"/>
      <c r="BP1848" s="87"/>
      <c r="BQ1848" s="87"/>
      <c r="BR1848" s="87"/>
      <c r="BS1848" s="87"/>
      <c r="BT1848" s="87"/>
      <c r="BU1848" s="87"/>
      <c r="BV1848" s="87"/>
      <c r="BW1848" s="87"/>
      <c r="BX1848" s="87"/>
      <c r="BY1848" s="87"/>
    </row>
    <row r="1849" spans="21:77" x14ac:dyDescent="0.3">
      <c r="U1849" s="19"/>
      <c r="V1849" s="87"/>
      <c r="W1849" s="87"/>
      <c r="X1849" s="87"/>
      <c r="Y1849" s="87"/>
      <c r="Z1849" s="87"/>
      <c r="AA1849" s="87"/>
      <c r="AB1849" s="87"/>
      <c r="AC1849" s="87"/>
      <c r="AD1849" s="87"/>
      <c r="AE1849" s="87"/>
      <c r="AF1849" s="87"/>
      <c r="AG1849" s="87"/>
      <c r="AH1849" s="87"/>
      <c r="AI1849" s="87"/>
      <c r="AJ1849" s="87"/>
      <c r="AK1849" s="87"/>
      <c r="AL1849" s="87"/>
      <c r="AM1849" s="87"/>
      <c r="AN1849" s="87"/>
      <c r="AO1849" s="87"/>
      <c r="AP1849" s="87"/>
      <c r="AQ1849" s="87"/>
      <c r="AR1849" s="87"/>
      <c r="AS1849" s="87"/>
      <c r="AT1849" s="87"/>
      <c r="AU1849" s="87"/>
      <c r="AV1849" s="87"/>
      <c r="AW1849" s="87"/>
      <c r="AX1849" s="87"/>
      <c r="AY1849" s="87"/>
      <c r="AZ1849" s="87"/>
      <c r="BA1849" s="87"/>
      <c r="BB1849" s="87"/>
      <c r="BC1849" s="87"/>
      <c r="BD1849" s="87"/>
      <c r="BE1849" s="87"/>
      <c r="BF1849" s="87"/>
      <c r="BG1849" s="87"/>
      <c r="BH1849" s="87"/>
      <c r="BI1849" s="87"/>
      <c r="BJ1849" s="87"/>
      <c r="BK1849" s="87"/>
      <c r="BL1849" s="87"/>
      <c r="BM1849" s="87"/>
      <c r="BN1849" s="87"/>
      <c r="BO1849" s="87"/>
      <c r="BP1849" s="87"/>
      <c r="BQ1849" s="87"/>
      <c r="BR1849" s="87"/>
      <c r="BS1849" s="87"/>
      <c r="BT1849" s="87"/>
      <c r="BU1849" s="87"/>
      <c r="BV1849" s="87"/>
      <c r="BW1849" s="87"/>
      <c r="BX1849" s="87"/>
      <c r="BY1849" s="87"/>
    </row>
    <row r="1850" spans="21:77" x14ac:dyDescent="0.3">
      <c r="U1850" s="19"/>
      <c r="V1850" s="87"/>
      <c r="W1850" s="87"/>
      <c r="X1850" s="87"/>
      <c r="Y1850" s="87"/>
      <c r="Z1850" s="87"/>
      <c r="AA1850" s="87"/>
      <c r="AB1850" s="87"/>
      <c r="AC1850" s="87"/>
      <c r="AD1850" s="87"/>
      <c r="AE1850" s="87"/>
      <c r="AF1850" s="87"/>
      <c r="AG1850" s="87"/>
      <c r="AH1850" s="87"/>
      <c r="AI1850" s="87"/>
      <c r="AJ1850" s="87"/>
      <c r="AK1850" s="87"/>
      <c r="AL1850" s="87"/>
      <c r="AM1850" s="87"/>
      <c r="AN1850" s="87"/>
      <c r="AO1850" s="87"/>
      <c r="AP1850" s="87"/>
      <c r="AQ1850" s="87"/>
      <c r="AR1850" s="87"/>
      <c r="AS1850" s="87"/>
      <c r="AT1850" s="87"/>
      <c r="AU1850" s="87"/>
      <c r="AV1850" s="87"/>
      <c r="AW1850" s="87"/>
      <c r="AX1850" s="87"/>
      <c r="AY1850" s="87"/>
      <c r="AZ1850" s="87"/>
      <c r="BA1850" s="87"/>
      <c r="BB1850" s="87"/>
      <c r="BC1850" s="87"/>
      <c r="BD1850" s="87"/>
      <c r="BE1850" s="87"/>
      <c r="BF1850" s="87"/>
      <c r="BG1850" s="87"/>
      <c r="BH1850" s="87"/>
      <c r="BI1850" s="87"/>
      <c r="BJ1850" s="87"/>
      <c r="BK1850" s="87"/>
      <c r="BL1850" s="87"/>
      <c r="BM1850" s="87"/>
      <c r="BN1850" s="87"/>
      <c r="BO1850" s="87"/>
      <c r="BP1850" s="87"/>
      <c r="BQ1850" s="87"/>
      <c r="BR1850" s="87"/>
      <c r="BS1850" s="87"/>
      <c r="BT1850" s="87"/>
      <c r="BU1850" s="87"/>
      <c r="BV1850" s="87"/>
      <c r="BW1850" s="87"/>
      <c r="BX1850" s="87"/>
      <c r="BY1850" s="87"/>
    </row>
    <row r="1851" spans="21:77" x14ac:dyDescent="0.3">
      <c r="U1851" s="19"/>
      <c r="V1851" s="87"/>
      <c r="W1851" s="87"/>
      <c r="X1851" s="87"/>
      <c r="Y1851" s="87"/>
      <c r="Z1851" s="87"/>
      <c r="AA1851" s="87"/>
      <c r="AB1851" s="87"/>
      <c r="AC1851" s="87"/>
      <c r="AD1851" s="87"/>
      <c r="AE1851" s="87"/>
      <c r="AF1851" s="87"/>
      <c r="AG1851" s="87"/>
      <c r="AH1851" s="87"/>
      <c r="AI1851" s="87"/>
      <c r="AJ1851" s="87"/>
      <c r="AK1851" s="87"/>
      <c r="AL1851" s="87"/>
      <c r="AM1851" s="87"/>
      <c r="AN1851" s="87"/>
      <c r="AO1851" s="87"/>
      <c r="AP1851" s="87"/>
      <c r="AQ1851" s="87"/>
      <c r="AR1851" s="87"/>
      <c r="AS1851" s="87"/>
      <c r="AT1851" s="87"/>
      <c r="AU1851" s="87"/>
      <c r="AV1851" s="87"/>
      <c r="AW1851" s="87"/>
      <c r="AX1851" s="87"/>
      <c r="AY1851" s="87"/>
      <c r="AZ1851" s="87"/>
      <c r="BA1851" s="87"/>
      <c r="BB1851" s="87"/>
      <c r="BC1851" s="87"/>
      <c r="BD1851" s="87"/>
      <c r="BE1851" s="87"/>
      <c r="BF1851" s="87"/>
      <c r="BG1851" s="87"/>
      <c r="BH1851" s="87"/>
      <c r="BI1851" s="87"/>
      <c r="BJ1851" s="87"/>
      <c r="BK1851" s="87"/>
      <c r="BL1851" s="87"/>
      <c r="BM1851" s="87"/>
      <c r="BN1851" s="87"/>
      <c r="BO1851" s="87"/>
      <c r="BP1851" s="87"/>
      <c r="BQ1851" s="87"/>
      <c r="BR1851" s="87"/>
      <c r="BS1851" s="87"/>
      <c r="BT1851" s="87"/>
      <c r="BU1851" s="87"/>
      <c r="BV1851" s="87"/>
      <c r="BW1851" s="87"/>
      <c r="BX1851" s="87"/>
      <c r="BY1851" s="87"/>
    </row>
    <row r="1852" spans="21:77" x14ac:dyDescent="0.3">
      <c r="U1852" s="19"/>
      <c r="V1852" s="87"/>
      <c r="W1852" s="87"/>
      <c r="X1852" s="87"/>
      <c r="Y1852" s="87"/>
      <c r="Z1852" s="87"/>
      <c r="AA1852" s="87"/>
      <c r="AB1852" s="87"/>
      <c r="AC1852" s="87"/>
      <c r="AD1852" s="87"/>
      <c r="AE1852" s="87"/>
      <c r="AF1852" s="87"/>
      <c r="AG1852" s="87"/>
      <c r="AH1852" s="87"/>
      <c r="AI1852" s="87"/>
      <c r="AJ1852" s="87"/>
      <c r="AK1852" s="87"/>
      <c r="AL1852" s="87"/>
      <c r="AM1852" s="87"/>
      <c r="AN1852" s="87"/>
      <c r="AO1852" s="87"/>
      <c r="AP1852" s="87"/>
      <c r="AQ1852" s="87"/>
      <c r="AR1852" s="87"/>
      <c r="AS1852" s="87"/>
      <c r="AT1852" s="87"/>
      <c r="AU1852" s="87"/>
      <c r="AV1852" s="87"/>
      <c r="AW1852" s="87"/>
      <c r="AX1852" s="87"/>
      <c r="AY1852" s="87"/>
      <c r="AZ1852" s="87"/>
      <c r="BA1852" s="87"/>
      <c r="BB1852" s="87"/>
      <c r="BC1852" s="87"/>
      <c r="BD1852" s="87"/>
      <c r="BE1852" s="87"/>
      <c r="BF1852" s="87"/>
      <c r="BG1852" s="87"/>
      <c r="BH1852" s="87"/>
      <c r="BI1852" s="87"/>
      <c r="BJ1852" s="87"/>
      <c r="BK1852" s="87"/>
      <c r="BL1852" s="87"/>
      <c r="BM1852" s="87"/>
      <c r="BN1852" s="87"/>
      <c r="BO1852" s="87"/>
      <c r="BP1852" s="87"/>
      <c r="BQ1852" s="87"/>
      <c r="BR1852" s="87"/>
      <c r="BS1852" s="87"/>
      <c r="BT1852" s="87"/>
      <c r="BU1852" s="87"/>
      <c r="BV1852" s="87"/>
      <c r="BW1852" s="87"/>
      <c r="BX1852" s="87"/>
      <c r="BY1852" s="87"/>
    </row>
    <row r="1853" spans="21:77" x14ac:dyDescent="0.3">
      <c r="U1853" s="19"/>
      <c r="V1853" s="87"/>
      <c r="W1853" s="87"/>
      <c r="X1853" s="87"/>
      <c r="Y1853" s="87"/>
      <c r="Z1853" s="87"/>
      <c r="AA1853" s="87"/>
      <c r="AB1853" s="87"/>
      <c r="AC1853" s="87"/>
      <c r="AD1853" s="87"/>
      <c r="AE1853" s="87"/>
      <c r="AF1853" s="87"/>
      <c r="AG1853" s="87"/>
      <c r="AH1853" s="87"/>
      <c r="AI1853" s="87"/>
      <c r="AJ1853" s="87"/>
      <c r="AK1853" s="87"/>
      <c r="AL1853" s="87"/>
      <c r="AM1853" s="87"/>
      <c r="AN1853" s="87"/>
      <c r="AO1853" s="87"/>
      <c r="AP1853" s="87"/>
      <c r="AQ1853" s="87"/>
      <c r="AR1853" s="87"/>
      <c r="AS1853" s="87"/>
      <c r="AT1853" s="87"/>
      <c r="AU1853" s="87"/>
      <c r="AV1853" s="87"/>
      <c r="AW1853" s="87"/>
      <c r="AX1853" s="87"/>
      <c r="AY1853" s="87"/>
      <c r="AZ1853" s="87"/>
      <c r="BA1853" s="87"/>
      <c r="BB1853" s="87"/>
      <c r="BC1853" s="87"/>
      <c r="BD1853" s="87"/>
      <c r="BE1853" s="87"/>
      <c r="BF1853" s="87"/>
      <c r="BG1853" s="87"/>
      <c r="BH1853" s="87"/>
      <c r="BI1853" s="87"/>
      <c r="BJ1853" s="87"/>
      <c r="BK1853" s="87"/>
      <c r="BL1853" s="87"/>
      <c r="BM1853" s="87"/>
      <c r="BN1853" s="87"/>
      <c r="BO1853" s="87"/>
      <c r="BP1853" s="87"/>
      <c r="BQ1853" s="87"/>
      <c r="BR1853" s="87"/>
      <c r="BS1853" s="87"/>
      <c r="BT1853" s="87"/>
      <c r="BU1853" s="87"/>
      <c r="BV1853" s="87"/>
      <c r="BW1853" s="87"/>
      <c r="BX1853" s="87"/>
      <c r="BY1853" s="87"/>
    </row>
    <row r="1854" spans="21:77" x14ac:dyDescent="0.3">
      <c r="U1854" s="19"/>
      <c r="V1854" s="87"/>
      <c r="W1854" s="87"/>
      <c r="X1854" s="87"/>
      <c r="Y1854" s="87"/>
      <c r="Z1854" s="87"/>
      <c r="AA1854" s="87"/>
      <c r="AB1854" s="87"/>
      <c r="AC1854" s="87"/>
      <c r="AD1854" s="87"/>
      <c r="AE1854" s="87"/>
      <c r="AF1854" s="87"/>
      <c r="AG1854" s="87"/>
      <c r="AH1854" s="87"/>
      <c r="AI1854" s="87"/>
      <c r="AJ1854" s="87"/>
      <c r="AK1854" s="87"/>
      <c r="AL1854" s="87"/>
      <c r="AM1854" s="87"/>
      <c r="AN1854" s="87"/>
      <c r="AO1854" s="87"/>
      <c r="AP1854" s="87"/>
      <c r="AQ1854" s="87"/>
      <c r="AR1854" s="87"/>
      <c r="AS1854" s="87"/>
      <c r="AT1854" s="87"/>
      <c r="AU1854" s="87"/>
      <c r="AV1854" s="87"/>
      <c r="AW1854" s="87"/>
      <c r="AX1854" s="87"/>
      <c r="AY1854" s="87"/>
      <c r="AZ1854" s="87"/>
      <c r="BA1854" s="87"/>
      <c r="BB1854" s="87"/>
      <c r="BC1854" s="87"/>
      <c r="BD1854" s="87"/>
      <c r="BE1854" s="87"/>
      <c r="BF1854" s="87"/>
      <c r="BG1854" s="87"/>
      <c r="BH1854" s="87"/>
      <c r="BI1854" s="87"/>
      <c r="BJ1854" s="87"/>
      <c r="BK1854" s="87"/>
      <c r="BL1854" s="87"/>
      <c r="BM1854" s="87"/>
      <c r="BN1854" s="87"/>
      <c r="BO1854" s="87"/>
      <c r="BP1854" s="87"/>
      <c r="BQ1854" s="87"/>
      <c r="BR1854" s="87"/>
      <c r="BS1854" s="87"/>
      <c r="BT1854" s="87"/>
      <c r="BU1854" s="87"/>
      <c r="BV1854" s="87"/>
      <c r="BW1854" s="87"/>
      <c r="BX1854" s="87"/>
      <c r="BY1854" s="87"/>
    </row>
    <row r="1855" spans="21:77" x14ac:dyDescent="0.3">
      <c r="U1855" s="19"/>
      <c r="V1855" s="87"/>
      <c r="W1855" s="87"/>
      <c r="X1855" s="87"/>
      <c r="Y1855" s="87"/>
      <c r="Z1855" s="87"/>
      <c r="AA1855" s="87"/>
      <c r="AB1855" s="87"/>
      <c r="AC1855" s="87"/>
      <c r="AD1855" s="87"/>
      <c r="AE1855" s="87"/>
      <c r="AF1855" s="87"/>
      <c r="AG1855" s="87"/>
      <c r="AH1855" s="87"/>
      <c r="AI1855" s="87"/>
      <c r="AJ1855" s="87"/>
      <c r="AK1855" s="87"/>
      <c r="AL1855" s="87"/>
      <c r="AM1855" s="87"/>
      <c r="AN1855" s="87"/>
      <c r="AO1855" s="87"/>
      <c r="AP1855" s="87"/>
      <c r="AQ1855" s="87"/>
      <c r="AR1855" s="87"/>
      <c r="AS1855" s="87"/>
      <c r="AT1855" s="87"/>
      <c r="AU1855" s="87"/>
      <c r="AV1855" s="87"/>
      <c r="AW1855" s="87"/>
      <c r="AX1855" s="87"/>
      <c r="AY1855" s="87"/>
      <c r="AZ1855" s="87"/>
      <c r="BA1855" s="87"/>
      <c r="BB1855" s="87"/>
      <c r="BC1855" s="87"/>
      <c r="BD1855" s="87"/>
      <c r="BE1855" s="87"/>
      <c r="BF1855" s="87"/>
      <c r="BG1855" s="87"/>
      <c r="BH1855" s="87"/>
      <c r="BI1855" s="87"/>
      <c r="BJ1855" s="87"/>
      <c r="BK1855" s="87"/>
      <c r="BL1855" s="87"/>
      <c r="BM1855" s="87"/>
      <c r="BN1855" s="87"/>
      <c r="BO1855" s="87"/>
      <c r="BP1855" s="87"/>
      <c r="BQ1855" s="87"/>
      <c r="BR1855" s="87"/>
      <c r="BS1855" s="87"/>
      <c r="BT1855" s="87"/>
      <c r="BU1855" s="87"/>
      <c r="BV1855" s="87"/>
      <c r="BW1855" s="87"/>
      <c r="BX1855" s="87"/>
      <c r="BY1855" s="87"/>
    </row>
    <row r="1856" spans="21:77" x14ac:dyDescent="0.3">
      <c r="U1856" s="19"/>
      <c r="V1856" s="87"/>
      <c r="W1856" s="87"/>
      <c r="X1856" s="87"/>
      <c r="Y1856" s="87"/>
      <c r="Z1856" s="87"/>
      <c r="AA1856" s="87"/>
      <c r="AB1856" s="87"/>
      <c r="AC1856" s="87"/>
      <c r="AD1856" s="87"/>
      <c r="AE1856" s="87"/>
      <c r="AF1856" s="87"/>
      <c r="AG1856" s="87"/>
      <c r="AH1856" s="87"/>
      <c r="AI1856" s="87"/>
      <c r="AJ1856" s="87"/>
      <c r="AK1856" s="87"/>
      <c r="AL1856" s="87"/>
      <c r="AM1856" s="87"/>
      <c r="AN1856" s="87"/>
      <c r="AO1856" s="87"/>
      <c r="AP1856" s="87"/>
      <c r="AQ1856" s="87"/>
      <c r="AR1856" s="87"/>
      <c r="AS1856" s="87"/>
      <c r="AT1856" s="87"/>
      <c r="AU1856" s="87"/>
      <c r="AV1856" s="87"/>
      <c r="AW1856" s="87"/>
      <c r="AX1856" s="87"/>
      <c r="AY1856" s="87"/>
      <c r="AZ1856" s="87"/>
      <c r="BA1856" s="87"/>
      <c r="BB1856" s="87"/>
      <c r="BC1856" s="87"/>
      <c r="BD1856" s="87"/>
      <c r="BE1856" s="87"/>
      <c r="BF1856" s="87"/>
      <c r="BG1856" s="87"/>
      <c r="BH1856" s="87"/>
      <c r="BI1856" s="87"/>
      <c r="BJ1856" s="87"/>
      <c r="BK1856" s="87"/>
      <c r="BL1856" s="87"/>
      <c r="BM1856" s="87"/>
      <c r="BN1856" s="87"/>
      <c r="BO1856" s="87"/>
      <c r="BP1856" s="87"/>
      <c r="BQ1856" s="87"/>
      <c r="BR1856" s="87"/>
      <c r="BS1856" s="87"/>
      <c r="BT1856" s="87"/>
      <c r="BU1856" s="87"/>
      <c r="BV1856" s="87"/>
      <c r="BW1856" s="87"/>
      <c r="BX1856" s="87"/>
      <c r="BY1856" s="87"/>
    </row>
    <row r="1857" spans="21:77" x14ac:dyDescent="0.3">
      <c r="U1857" s="19"/>
      <c r="V1857" s="87"/>
      <c r="W1857" s="87"/>
      <c r="X1857" s="87"/>
      <c r="Y1857" s="87"/>
      <c r="Z1857" s="87"/>
      <c r="AA1857" s="87"/>
      <c r="AB1857" s="87"/>
      <c r="AC1857" s="87"/>
      <c r="AD1857" s="87"/>
      <c r="AE1857" s="87"/>
      <c r="AF1857" s="87"/>
      <c r="AG1857" s="87"/>
      <c r="AH1857" s="87"/>
      <c r="AI1857" s="87"/>
      <c r="AJ1857" s="87"/>
      <c r="AK1857" s="87"/>
      <c r="AL1857" s="87"/>
      <c r="AM1857" s="87"/>
      <c r="AN1857" s="87"/>
      <c r="AO1857" s="87"/>
      <c r="AP1857" s="87"/>
      <c r="AQ1857" s="87"/>
      <c r="AR1857" s="87"/>
      <c r="AS1857" s="87"/>
      <c r="AT1857" s="87"/>
      <c r="AU1857" s="87"/>
      <c r="AV1857" s="87"/>
      <c r="AW1857" s="87"/>
      <c r="AX1857" s="87"/>
      <c r="AY1857" s="87"/>
      <c r="AZ1857" s="87"/>
      <c r="BA1857" s="87"/>
      <c r="BB1857" s="87"/>
      <c r="BC1857" s="87"/>
      <c r="BD1857" s="87"/>
      <c r="BE1857" s="87"/>
      <c r="BF1857" s="87"/>
      <c r="BG1857" s="87"/>
      <c r="BH1857" s="87"/>
      <c r="BI1857" s="87"/>
      <c r="BJ1857" s="87"/>
      <c r="BK1857" s="87"/>
      <c r="BL1857" s="87"/>
      <c r="BM1857" s="87"/>
      <c r="BN1857" s="87"/>
      <c r="BO1857" s="87"/>
      <c r="BP1857" s="87"/>
      <c r="BQ1857" s="87"/>
      <c r="BR1857" s="87"/>
      <c r="BS1857" s="87"/>
      <c r="BT1857" s="87"/>
      <c r="BU1857" s="87"/>
      <c r="BV1857" s="87"/>
      <c r="BW1857" s="87"/>
      <c r="BX1857" s="87"/>
      <c r="BY1857" s="87"/>
    </row>
    <row r="1858" spans="21:77" x14ac:dyDescent="0.3">
      <c r="U1858" s="19"/>
      <c r="V1858" s="87"/>
      <c r="W1858" s="87"/>
      <c r="X1858" s="87"/>
      <c r="Y1858" s="87"/>
      <c r="Z1858" s="87"/>
      <c r="AA1858" s="87"/>
      <c r="AB1858" s="87"/>
      <c r="AC1858" s="87"/>
      <c r="AD1858" s="87"/>
      <c r="AE1858" s="87"/>
      <c r="AF1858" s="87"/>
      <c r="AG1858" s="87"/>
      <c r="AH1858" s="87"/>
      <c r="AI1858" s="87"/>
      <c r="AJ1858" s="87"/>
      <c r="AK1858" s="87"/>
      <c r="AL1858" s="87"/>
      <c r="AM1858" s="87"/>
      <c r="AN1858" s="87"/>
      <c r="AO1858" s="87"/>
      <c r="AP1858" s="87"/>
      <c r="AQ1858" s="87"/>
      <c r="AR1858" s="87"/>
      <c r="AS1858" s="87"/>
      <c r="AT1858" s="87"/>
      <c r="AU1858" s="87"/>
      <c r="AV1858" s="87"/>
      <c r="AW1858" s="87"/>
      <c r="AX1858" s="87"/>
      <c r="AY1858" s="87"/>
      <c r="AZ1858" s="87"/>
      <c r="BA1858" s="87"/>
      <c r="BB1858" s="87"/>
      <c r="BC1858" s="87"/>
      <c r="BD1858" s="87"/>
      <c r="BE1858" s="87"/>
      <c r="BF1858" s="87"/>
      <c r="BG1858" s="87"/>
      <c r="BH1858" s="87"/>
      <c r="BI1858" s="87"/>
      <c r="BJ1858" s="87"/>
      <c r="BK1858" s="87"/>
      <c r="BL1858" s="87"/>
      <c r="BM1858" s="87"/>
      <c r="BN1858" s="87"/>
      <c r="BO1858" s="87"/>
      <c r="BP1858" s="87"/>
      <c r="BQ1858" s="87"/>
      <c r="BR1858" s="87"/>
      <c r="BS1858" s="87"/>
      <c r="BT1858" s="87"/>
      <c r="BU1858" s="87"/>
      <c r="BV1858" s="87"/>
      <c r="BW1858" s="87"/>
      <c r="BX1858" s="87"/>
      <c r="BY1858" s="87"/>
    </row>
    <row r="1859" spans="21:77" x14ac:dyDescent="0.3">
      <c r="U1859" s="19"/>
      <c r="V1859" s="87"/>
      <c r="W1859" s="87"/>
      <c r="X1859" s="87"/>
      <c r="Y1859" s="87"/>
      <c r="Z1859" s="87"/>
      <c r="AA1859" s="87"/>
      <c r="AB1859" s="87"/>
      <c r="AC1859" s="87"/>
      <c r="AD1859" s="87"/>
      <c r="AE1859" s="87"/>
      <c r="AF1859" s="87"/>
      <c r="AG1859" s="87"/>
      <c r="AH1859" s="87"/>
      <c r="AI1859" s="87"/>
      <c r="AJ1859" s="87"/>
      <c r="AK1859" s="87"/>
      <c r="AL1859" s="87"/>
      <c r="AM1859" s="87"/>
      <c r="AN1859" s="87"/>
      <c r="AO1859" s="87"/>
      <c r="AP1859" s="87"/>
      <c r="AQ1859" s="87"/>
      <c r="AR1859" s="87"/>
      <c r="AS1859" s="87"/>
      <c r="AT1859" s="87"/>
      <c r="AU1859" s="87"/>
      <c r="AV1859" s="87"/>
      <c r="AW1859" s="87"/>
      <c r="AX1859" s="87"/>
      <c r="AY1859" s="87"/>
      <c r="AZ1859" s="87"/>
      <c r="BA1859" s="87"/>
      <c r="BB1859" s="87"/>
      <c r="BC1859" s="87"/>
      <c r="BD1859" s="87"/>
      <c r="BE1859" s="87"/>
      <c r="BF1859" s="87"/>
      <c r="BG1859" s="87"/>
      <c r="BH1859" s="87"/>
      <c r="BI1859" s="87"/>
      <c r="BJ1859" s="87"/>
      <c r="BK1859" s="87"/>
      <c r="BL1859" s="87"/>
      <c r="BM1859" s="87"/>
      <c r="BN1859" s="87"/>
      <c r="BO1859" s="87"/>
      <c r="BP1859" s="87"/>
      <c r="BQ1859" s="87"/>
      <c r="BR1859" s="87"/>
      <c r="BS1859" s="87"/>
      <c r="BT1859" s="87"/>
      <c r="BU1859" s="87"/>
      <c r="BV1859" s="87"/>
      <c r="BW1859" s="87"/>
      <c r="BX1859" s="87"/>
      <c r="BY1859" s="87"/>
    </row>
    <row r="1860" spans="21:77" x14ac:dyDescent="0.3">
      <c r="U1860" s="19"/>
      <c r="V1860" s="87"/>
      <c r="W1860" s="87"/>
      <c r="X1860" s="87"/>
      <c r="Y1860" s="87"/>
      <c r="Z1860" s="87"/>
      <c r="AA1860" s="87"/>
      <c r="AB1860" s="87"/>
      <c r="AC1860" s="87"/>
      <c r="AD1860" s="87"/>
      <c r="AE1860" s="87"/>
      <c r="AF1860" s="87"/>
      <c r="AG1860" s="87"/>
      <c r="AH1860" s="87"/>
      <c r="AI1860" s="87"/>
      <c r="AJ1860" s="87"/>
      <c r="AK1860" s="87"/>
      <c r="AL1860" s="87"/>
      <c r="AM1860" s="87"/>
      <c r="AN1860" s="87"/>
      <c r="AO1860" s="87"/>
      <c r="AP1860" s="87"/>
      <c r="AQ1860" s="87"/>
      <c r="AR1860" s="87"/>
      <c r="AS1860" s="87"/>
      <c r="AT1860" s="87"/>
      <c r="AU1860" s="87"/>
      <c r="AV1860" s="87"/>
      <c r="AW1860" s="87"/>
      <c r="AX1860" s="87"/>
      <c r="AY1860" s="87"/>
      <c r="AZ1860" s="87"/>
      <c r="BA1860" s="87"/>
      <c r="BB1860" s="87"/>
      <c r="BC1860" s="87"/>
      <c r="BD1860" s="87"/>
      <c r="BE1860" s="87"/>
      <c r="BF1860" s="87"/>
      <c r="BG1860" s="87"/>
      <c r="BH1860" s="87"/>
      <c r="BI1860" s="87"/>
      <c r="BJ1860" s="87"/>
      <c r="BK1860" s="87"/>
      <c r="BL1860" s="87"/>
      <c r="BM1860" s="87"/>
      <c r="BN1860" s="87"/>
      <c r="BO1860" s="87"/>
      <c r="BP1860" s="87"/>
      <c r="BQ1860" s="87"/>
      <c r="BR1860" s="87"/>
      <c r="BS1860" s="87"/>
      <c r="BT1860" s="87"/>
      <c r="BU1860" s="87"/>
      <c r="BV1860" s="87"/>
      <c r="BW1860" s="87"/>
      <c r="BX1860" s="87"/>
      <c r="BY1860" s="87"/>
    </row>
    <row r="1861" spans="21:77" x14ac:dyDescent="0.3">
      <c r="U1861" s="19"/>
      <c r="V1861" s="87"/>
      <c r="W1861" s="87"/>
      <c r="X1861" s="87"/>
      <c r="Y1861" s="87"/>
      <c r="Z1861" s="87"/>
      <c r="AA1861" s="87"/>
      <c r="AB1861" s="87"/>
      <c r="AC1861" s="87"/>
      <c r="AD1861" s="87"/>
      <c r="AE1861" s="87"/>
      <c r="AF1861" s="87"/>
      <c r="AG1861" s="87"/>
      <c r="AH1861" s="87"/>
      <c r="AI1861" s="87"/>
      <c r="AJ1861" s="87"/>
      <c r="AK1861" s="87"/>
      <c r="AL1861" s="87"/>
      <c r="AM1861" s="87"/>
      <c r="AN1861" s="87"/>
      <c r="AO1861" s="87"/>
      <c r="AP1861" s="87"/>
      <c r="AQ1861" s="87"/>
      <c r="AR1861" s="87"/>
      <c r="AS1861" s="87"/>
      <c r="AT1861" s="87"/>
      <c r="AU1861" s="87"/>
      <c r="AV1861" s="87"/>
      <c r="AW1861" s="87"/>
      <c r="AX1861" s="87"/>
      <c r="AY1861" s="87"/>
      <c r="AZ1861" s="87"/>
      <c r="BA1861" s="87"/>
      <c r="BB1861" s="87"/>
      <c r="BC1861" s="87"/>
      <c r="BD1861" s="87"/>
      <c r="BE1861" s="87"/>
      <c r="BF1861" s="87"/>
      <c r="BG1861" s="87"/>
      <c r="BH1861" s="87"/>
      <c r="BI1861" s="87"/>
      <c r="BJ1861" s="87"/>
      <c r="BK1861" s="87"/>
      <c r="BL1861" s="87"/>
      <c r="BM1861" s="87"/>
      <c r="BN1861" s="87"/>
      <c r="BO1861" s="87"/>
      <c r="BP1861" s="87"/>
      <c r="BQ1861" s="87"/>
      <c r="BR1861" s="87"/>
      <c r="BS1861" s="87"/>
      <c r="BT1861" s="87"/>
      <c r="BU1861" s="87"/>
      <c r="BV1861" s="87"/>
      <c r="BW1861" s="87"/>
      <c r="BX1861" s="87"/>
      <c r="BY1861" s="87"/>
    </row>
    <row r="1862" spans="21:77" x14ac:dyDescent="0.3">
      <c r="U1862" s="19"/>
      <c r="V1862" s="87"/>
      <c r="W1862" s="87"/>
      <c r="X1862" s="87"/>
      <c r="Y1862" s="87"/>
      <c r="Z1862" s="87"/>
      <c r="AA1862" s="87"/>
      <c r="AB1862" s="87"/>
      <c r="AC1862" s="87"/>
      <c r="AD1862" s="87"/>
      <c r="AE1862" s="87"/>
      <c r="AF1862" s="87"/>
      <c r="AG1862" s="87"/>
      <c r="AH1862" s="87"/>
      <c r="AI1862" s="87"/>
      <c r="AJ1862" s="87"/>
      <c r="AK1862" s="87"/>
      <c r="AL1862" s="87"/>
      <c r="AM1862" s="87"/>
      <c r="AN1862" s="87"/>
      <c r="AO1862" s="87"/>
      <c r="AP1862" s="87"/>
      <c r="AQ1862" s="87"/>
      <c r="AR1862" s="87"/>
      <c r="AS1862" s="87"/>
      <c r="AT1862" s="87"/>
      <c r="AU1862" s="87"/>
      <c r="AV1862" s="87"/>
      <c r="AW1862" s="87"/>
      <c r="AX1862" s="87"/>
      <c r="AY1862" s="87"/>
      <c r="AZ1862" s="87"/>
      <c r="BA1862" s="87"/>
      <c r="BB1862" s="87"/>
      <c r="BC1862" s="87"/>
      <c r="BD1862" s="87"/>
      <c r="BE1862" s="87"/>
      <c r="BF1862" s="87"/>
      <c r="BG1862" s="87"/>
      <c r="BH1862" s="87"/>
      <c r="BI1862" s="87"/>
      <c r="BJ1862" s="87"/>
      <c r="BK1862" s="87"/>
      <c r="BL1862" s="87"/>
      <c r="BM1862" s="87"/>
      <c r="BN1862" s="87"/>
      <c r="BO1862" s="87"/>
      <c r="BP1862" s="87"/>
      <c r="BQ1862" s="87"/>
      <c r="BR1862" s="87"/>
      <c r="BS1862" s="87"/>
      <c r="BT1862" s="87"/>
      <c r="BU1862" s="87"/>
      <c r="BV1862" s="87"/>
      <c r="BW1862" s="87"/>
      <c r="BX1862" s="87"/>
      <c r="BY1862" s="87"/>
    </row>
    <row r="1863" spans="21:77" x14ac:dyDescent="0.3">
      <c r="U1863" s="19"/>
      <c r="V1863" s="87"/>
      <c r="W1863" s="87"/>
      <c r="X1863" s="87"/>
      <c r="Y1863" s="87"/>
      <c r="Z1863" s="87"/>
      <c r="AA1863" s="87"/>
      <c r="AB1863" s="87"/>
      <c r="AC1863" s="87"/>
      <c r="AD1863" s="87"/>
      <c r="AE1863" s="87"/>
      <c r="AF1863" s="87"/>
      <c r="AG1863" s="87"/>
      <c r="AH1863" s="87"/>
      <c r="AI1863" s="87"/>
      <c r="AJ1863" s="87"/>
      <c r="AK1863" s="87"/>
      <c r="AL1863" s="87"/>
      <c r="AM1863" s="87"/>
      <c r="AN1863" s="87"/>
      <c r="AO1863" s="87"/>
      <c r="AP1863" s="87"/>
      <c r="AQ1863" s="87"/>
      <c r="AR1863" s="87"/>
      <c r="AS1863" s="87"/>
      <c r="AT1863" s="87"/>
      <c r="AU1863" s="87"/>
      <c r="AV1863" s="87"/>
      <c r="AW1863" s="87"/>
      <c r="AX1863" s="87"/>
      <c r="AY1863" s="87"/>
      <c r="AZ1863" s="87"/>
      <c r="BA1863" s="87"/>
      <c r="BB1863" s="87"/>
      <c r="BC1863" s="87"/>
      <c r="BD1863" s="87"/>
      <c r="BE1863" s="87"/>
      <c r="BF1863" s="87"/>
      <c r="BG1863" s="87"/>
      <c r="BH1863" s="87"/>
      <c r="BI1863" s="87"/>
      <c r="BJ1863" s="87"/>
      <c r="BK1863" s="87"/>
      <c r="BL1863" s="87"/>
      <c r="BM1863" s="87"/>
      <c r="BN1863" s="87"/>
      <c r="BO1863" s="87"/>
      <c r="BP1863" s="87"/>
      <c r="BQ1863" s="87"/>
      <c r="BR1863" s="87"/>
      <c r="BS1863" s="87"/>
      <c r="BT1863" s="87"/>
      <c r="BU1863" s="87"/>
      <c r="BV1863" s="87"/>
      <c r="BW1863" s="87"/>
      <c r="BX1863" s="87"/>
      <c r="BY1863" s="87"/>
    </row>
    <row r="1864" spans="21:77" x14ac:dyDescent="0.3">
      <c r="U1864" s="19"/>
      <c r="V1864" s="87"/>
      <c r="W1864" s="87"/>
      <c r="X1864" s="87"/>
      <c r="Y1864" s="87"/>
      <c r="Z1864" s="87"/>
      <c r="AA1864" s="87"/>
      <c r="AB1864" s="87"/>
      <c r="AC1864" s="87"/>
      <c r="AD1864" s="87"/>
      <c r="AE1864" s="87"/>
      <c r="AF1864" s="87"/>
      <c r="AG1864" s="87"/>
      <c r="AH1864" s="87"/>
      <c r="AI1864" s="87"/>
      <c r="AJ1864" s="87"/>
      <c r="AK1864" s="87"/>
      <c r="AL1864" s="87"/>
      <c r="AM1864" s="87"/>
      <c r="AN1864" s="87"/>
      <c r="AO1864" s="87"/>
      <c r="AP1864" s="87"/>
      <c r="AQ1864" s="87"/>
      <c r="AR1864" s="87"/>
      <c r="AS1864" s="87"/>
      <c r="AT1864" s="87"/>
      <c r="AU1864" s="87"/>
      <c r="AV1864" s="87"/>
      <c r="AW1864" s="87"/>
      <c r="AX1864" s="87"/>
      <c r="AY1864" s="87"/>
      <c r="AZ1864" s="87"/>
      <c r="BA1864" s="87"/>
      <c r="BB1864" s="87"/>
      <c r="BC1864" s="87"/>
      <c r="BD1864" s="87"/>
      <c r="BE1864" s="87"/>
      <c r="BF1864" s="87"/>
      <c r="BG1864" s="87"/>
      <c r="BH1864" s="87"/>
      <c r="BI1864" s="87"/>
      <c r="BJ1864" s="87"/>
      <c r="BK1864" s="87"/>
      <c r="BL1864" s="87"/>
      <c r="BM1864" s="87"/>
      <c r="BN1864" s="87"/>
      <c r="BO1864" s="87"/>
      <c r="BP1864" s="87"/>
      <c r="BQ1864" s="87"/>
      <c r="BR1864" s="87"/>
      <c r="BS1864" s="87"/>
      <c r="BT1864" s="87"/>
      <c r="BU1864" s="87"/>
      <c r="BV1864" s="87"/>
      <c r="BW1864" s="87"/>
      <c r="BX1864" s="87"/>
      <c r="BY1864" s="87"/>
    </row>
    <row r="1865" spans="21:77" x14ac:dyDescent="0.3">
      <c r="U1865" s="19"/>
      <c r="V1865" s="87"/>
      <c r="W1865" s="87"/>
      <c r="X1865" s="87"/>
      <c r="Y1865" s="87"/>
      <c r="Z1865" s="87"/>
      <c r="AA1865" s="87"/>
      <c r="AB1865" s="87"/>
      <c r="AC1865" s="87"/>
      <c r="AD1865" s="87"/>
      <c r="AE1865" s="87"/>
      <c r="AF1865" s="87"/>
      <c r="AG1865" s="87"/>
      <c r="AH1865" s="87"/>
      <c r="AI1865" s="87"/>
      <c r="AJ1865" s="87"/>
      <c r="AK1865" s="87"/>
      <c r="AL1865" s="87"/>
      <c r="AM1865" s="87"/>
      <c r="AN1865" s="87"/>
      <c r="AO1865" s="87"/>
      <c r="AP1865" s="87"/>
      <c r="AQ1865" s="87"/>
      <c r="AR1865" s="87"/>
      <c r="AS1865" s="87"/>
      <c r="AT1865" s="87"/>
      <c r="AU1865" s="87"/>
      <c r="AV1865" s="87"/>
      <c r="AW1865" s="87"/>
      <c r="AX1865" s="87"/>
      <c r="AY1865" s="87"/>
      <c r="AZ1865" s="87"/>
      <c r="BA1865" s="87"/>
      <c r="BB1865" s="87"/>
      <c r="BC1865" s="87"/>
      <c r="BD1865" s="87"/>
      <c r="BE1865" s="87"/>
      <c r="BF1865" s="87"/>
      <c r="BG1865" s="87"/>
      <c r="BH1865" s="87"/>
      <c r="BI1865" s="87"/>
      <c r="BJ1865" s="87"/>
      <c r="BK1865" s="87"/>
      <c r="BL1865" s="87"/>
      <c r="BM1865" s="87"/>
      <c r="BN1865" s="87"/>
      <c r="BO1865" s="87"/>
      <c r="BP1865" s="87"/>
      <c r="BQ1865" s="87"/>
      <c r="BR1865" s="87"/>
      <c r="BS1865" s="87"/>
      <c r="BT1865" s="87"/>
      <c r="BU1865" s="87"/>
      <c r="BV1865" s="87"/>
      <c r="BW1865" s="87"/>
      <c r="BX1865" s="87"/>
      <c r="BY1865" s="87"/>
    </row>
    <row r="1866" spans="21:77" x14ac:dyDescent="0.3">
      <c r="U1866" s="19"/>
      <c r="V1866" s="87"/>
      <c r="W1866" s="87"/>
      <c r="X1866" s="87"/>
      <c r="Y1866" s="87"/>
      <c r="Z1866" s="87"/>
      <c r="AA1866" s="87"/>
      <c r="AB1866" s="87"/>
      <c r="AC1866" s="87"/>
      <c r="AD1866" s="87"/>
      <c r="AE1866" s="87"/>
      <c r="AF1866" s="87"/>
      <c r="AG1866" s="87"/>
      <c r="AH1866" s="87"/>
      <c r="AI1866" s="87"/>
      <c r="AJ1866" s="87"/>
      <c r="AK1866" s="87"/>
      <c r="AL1866" s="87"/>
      <c r="AM1866" s="87"/>
      <c r="AN1866" s="87"/>
      <c r="AO1866" s="87"/>
      <c r="AP1866" s="87"/>
      <c r="AQ1866" s="87"/>
      <c r="AR1866" s="87"/>
      <c r="AS1866" s="87"/>
      <c r="AT1866" s="87"/>
      <c r="AU1866" s="87"/>
      <c r="AV1866" s="87"/>
      <c r="AW1866" s="87"/>
      <c r="AX1866" s="87"/>
      <c r="AY1866" s="87"/>
      <c r="AZ1866" s="87"/>
      <c r="BA1866" s="87"/>
      <c r="BB1866" s="87"/>
      <c r="BC1866" s="87"/>
      <c r="BD1866" s="87"/>
      <c r="BE1866" s="87"/>
      <c r="BF1866" s="87"/>
      <c r="BG1866" s="87"/>
      <c r="BH1866" s="87"/>
      <c r="BI1866" s="87"/>
      <c r="BJ1866" s="87"/>
      <c r="BK1866" s="87"/>
      <c r="BL1866" s="87"/>
      <c r="BM1866" s="87"/>
      <c r="BN1866" s="87"/>
      <c r="BO1866" s="87"/>
      <c r="BP1866" s="87"/>
      <c r="BQ1866" s="87"/>
      <c r="BR1866" s="87"/>
      <c r="BS1866" s="87"/>
      <c r="BT1866" s="87"/>
      <c r="BU1866" s="87"/>
      <c r="BV1866" s="87"/>
      <c r="BW1866" s="87"/>
      <c r="BX1866" s="87"/>
      <c r="BY1866" s="87"/>
    </row>
    <row r="1867" spans="21:77" x14ac:dyDescent="0.3">
      <c r="U1867" s="19"/>
      <c r="V1867" s="87"/>
      <c r="W1867" s="87"/>
      <c r="X1867" s="87"/>
      <c r="Y1867" s="87"/>
      <c r="Z1867" s="87"/>
      <c r="AA1867" s="87"/>
      <c r="AB1867" s="87"/>
      <c r="AC1867" s="87"/>
      <c r="AD1867" s="87"/>
      <c r="AE1867" s="87"/>
      <c r="AF1867" s="87"/>
      <c r="AG1867" s="87"/>
      <c r="AH1867" s="87"/>
      <c r="AI1867" s="87"/>
      <c r="AJ1867" s="87"/>
      <c r="AK1867" s="87"/>
      <c r="AL1867" s="87"/>
      <c r="AM1867" s="87"/>
      <c r="AN1867" s="87"/>
      <c r="AO1867" s="87"/>
      <c r="AP1867" s="87"/>
      <c r="AQ1867" s="87"/>
      <c r="AR1867" s="87"/>
      <c r="AS1867" s="87"/>
      <c r="AT1867" s="87"/>
      <c r="AU1867" s="87"/>
      <c r="AV1867" s="87"/>
      <c r="AW1867" s="87"/>
      <c r="AX1867" s="87"/>
      <c r="AY1867" s="87"/>
      <c r="AZ1867" s="87"/>
      <c r="BA1867" s="87"/>
      <c r="BB1867" s="87"/>
      <c r="BC1867" s="87"/>
      <c r="BD1867" s="87"/>
      <c r="BE1867" s="87"/>
      <c r="BF1867" s="87"/>
      <c r="BG1867" s="87"/>
      <c r="BH1867" s="87"/>
      <c r="BI1867" s="87"/>
      <c r="BJ1867" s="87"/>
      <c r="BK1867" s="87"/>
      <c r="BL1867" s="87"/>
      <c r="BM1867" s="87"/>
      <c r="BN1867" s="87"/>
      <c r="BO1867" s="87"/>
      <c r="BP1867" s="87"/>
      <c r="BQ1867" s="87"/>
      <c r="BR1867" s="87"/>
      <c r="BS1867" s="87"/>
      <c r="BT1867" s="87"/>
      <c r="BU1867" s="87"/>
      <c r="BV1867" s="87"/>
      <c r="BW1867" s="87"/>
      <c r="BX1867" s="87"/>
      <c r="BY1867" s="87"/>
    </row>
    <row r="1868" spans="21:77" x14ac:dyDescent="0.3">
      <c r="U1868" s="19"/>
      <c r="V1868" s="87"/>
      <c r="W1868" s="87"/>
      <c r="X1868" s="87"/>
      <c r="Y1868" s="87"/>
      <c r="Z1868" s="87"/>
      <c r="AA1868" s="87"/>
      <c r="AB1868" s="87"/>
      <c r="AC1868" s="87"/>
      <c r="AD1868" s="87"/>
      <c r="AE1868" s="87"/>
      <c r="AF1868" s="87"/>
      <c r="AG1868" s="87"/>
      <c r="AH1868" s="87"/>
      <c r="AI1868" s="87"/>
      <c r="AJ1868" s="87"/>
      <c r="AK1868" s="87"/>
      <c r="AL1868" s="87"/>
      <c r="AM1868" s="87"/>
      <c r="AN1868" s="87"/>
      <c r="AO1868" s="87"/>
      <c r="AP1868" s="87"/>
      <c r="AQ1868" s="87"/>
      <c r="AR1868" s="87"/>
      <c r="AS1868" s="87"/>
      <c r="AT1868" s="87"/>
      <c r="AU1868" s="87"/>
      <c r="AV1868" s="87"/>
      <c r="AW1868" s="87"/>
      <c r="AX1868" s="87"/>
      <c r="AY1868" s="87"/>
      <c r="AZ1868" s="87"/>
      <c r="BA1868" s="87"/>
      <c r="BB1868" s="87"/>
      <c r="BC1868" s="87"/>
      <c r="BD1868" s="87"/>
      <c r="BE1868" s="87"/>
      <c r="BF1868" s="87"/>
      <c r="BG1868" s="87"/>
      <c r="BH1868" s="87"/>
      <c r="BI1868" s="87"/>
      <c r="BJ1868" s="87"/>
      <c r="BK1868" s="87"/>
      <c r="BL1868" s="87"/>
      <c r="BM1868" s="87"/>
      <c r="BN1868" s="87"/>
      <c r="BO1868" s="87"/>
      <c r="BP1868" s="87"/>
      <c r="BQ1868" s="87"/>
      <c r="BR1868" s="87"/>
      <c r="BS1868" s="87"/>
      <c r="BT1868" s="87"/>
      <c r="BU1868" s="87"/>
      <c r="BV1868" s="87"/>
      <c r="BW1868" s="87"/>
      <c r="BX1868" s="87"/>
      <c r="BY1868" s="87"/>
    </row>
    <row r="1869" spans="21:77" x14ac:dyDescent="0.3">
      <c r="U1869" s="19"/>
      <c r="V1869" s="87"/>
      <c r="W1869" s="87"/>
      <c r="X1869" s="87"/>
      <c r="Y1869" s="87"/>
      <c r="Z1869" s="87"/>
      <c r="AA1869" s="87"/>
      <c r="AB1869" s="87"/>
      <c r="AC1869" s="87"/>
      <c r="AD1869" s="87"/>
      <c r="AE1869" s="87"/>
      <c r="AF1869" s="87"/>
      <c r="AG1869" s="87"/>
      <c r="AH1869" s="87"/>
      <c r="AI1869" s="87"/>
      <c r="AJ1869" s="87"/>
      <c r="AK1869" s="87"/>
      <c r="AL1869" s="87"/>
      <c r="AM1869" s="87"/>
      <c r="AN1869" s="87"/>
      <c r="AO1869" s="87"/>
      <c r="AP1869" s="87"/>
      <c r="AQ1869" s="87"/>
      <c r="AR1869" s="87"/>
      <c r="AS1869" s="87"/>
      <c r="AT1869" s="87"/>
      <c r="AU1869" s="87"/>
      <c r="AV1869" s="87"/>
      <c r="AW1869" s="87"/>
      <c r="AX1869" s="87"/>
      <c r="AY1869" s="87"/>
      <c r="AZ1869" s="87"/>
      <c r="BA1869" s="87"/>
      <c r="BB1869" s="87"/>
      <c r="BC1869" s="87"/>
      <c r="BD1869" s="87"/>
      <c r="BE1869" s="87"/>
      <c r="BF1869" s="87"/>
      <c r="BG1869" s="87"/>
      <c r="BH1869" s="87"/>
      <c r="BI1869" s="87"/>
      <c r="BJ1869" s="87"/>
      <c r="BK1869" s="87"/>
      <c r="BL1869" s="87"/>
      <c r="BM1869" s="87"/>
      <c r="BN1869" s="87"/>
      <c r="BO1869" s="87"/>
      <c r="BP1869" s="87"/>
      <c r="BQ1869" s="87"/>
      <c r="BR1869" s="87"/>
      <c r="BS1869" s="87"/>
      <c r="BT1869" s="87"/>
      <c r="BU1869" s="87"/>
      <c r="BV1869" s="87"/>
      <c r="BW1869" s="87"/>
      <c r="BX1869" s="87"/>
      <c r="BY1869" s="87"/>
    </row>
    <row r="1870" spans="21:77" x14ac:dyDescent="0.3">
      <c r="U1870" s="19"/>
      <c r="V1870" s="87"/>
      <c r="W1870" s="87"/>
      <c r="X1870" s="87"/>
      <c r="Y1870" s="87"/>
      <c r="Z1870" s="87"/>
      <c r="AA1870" s="87"/>
      <c r="AB1870" s="87"/>
      <c r="AC1870" s="87"/>
      <c r="AD1870" s="87"/>
      <c r="AE1870" s="87"/>
      <c r="AF1870" s="87"/>
      <c r="AG1870" s="87"/>
      <c r="AH1870" s="87"/>
      <c r="AI1870" s="87"/>
      <c r="AJ1870" s="87"/>
      <c r="AK1870" s="87"/>
      <c r="AL1870" s="87"/>
      <c r="AM1870" s="87"/>
      <c r="AN1870" s="87"/>
      <c r="AO1870" s="87"/>
      <c r="AP1870" s="87"/>
      <c r="AQ1870" s="87"/>
      <c r="AR1870" s="87"/>
      <c r="AS1870" s="87"/>
      <c r="AT1870" s="87"/>
      <c r="AU1870" s="87"/>
      <c r="AV1870" s="87"/>
      <c r="AW1870" s="87"/>
      <c r="AX1870" s="87"/>
      <c r="AY1870" s="87"/>
      <c r="AZ1870" s="87"/>
      <c r="BA1870" s="87"/>
      <c r="BB1870" s="87"/>
      <c r="BC1870" s="87"/>
      <c r="BD1870" s="87"/>
      <c r="BE1870" s="87"/>
      <c r="BF1870" s="87"/>
      <c r="BG1870" s="87"/>
      <c r="BH1870" s="87"/>
      <c r="BI1870" s="87"/>
      <c r="BJ1870" s="87"/>
      <c r="BK1870" s="87"/>
      <c r="BL1870" s="87"/>
      <c r="BM1870" s="87"/>
      <c r="BN1870" s="87"/>
      <c r="BO1870" s="87"/>
      <c r="BP1870" s="87"/>
      <c r="BQ1870" s="87"/>
      <c r="BR1870" s="87"/>
      <c r="BS1870" s="87"/>
      <c r="BT1870" s="87"/>
      <c r="BU1870" s="87"/>
      <c r="BV1870" s="87"/>
      <c r="BW1870" s="87"/>
      <c r="BX1870" s="87"/>
      <c r="BY1870" s="87"/>
    </row>
    <row r="1871" spans="21:77" x14ac:dyDescent="0.3">
      <c r="U1871" s="19"/>
      <c r="V1871" s="87"/>
      <c r="W1871" s="87"/>
      <c r="X1871" s="87"/>
      <c r="Y1871" s="87"/>
      <c r="Z1871" s="87"/>
      <c r="AA1871" s="87"/>
      <c r="AB1871" s="87"/>
      <c r="AC1871" s="87"/>
      <c r="AD1871" s="87"/>
      <c r="AE1871" s="87"/>
      <c r="AF1871" s="87"/>
      <c r="AG1871" s="87"/>
      <c r="AH1871" s="87"/>
      <c r="AI1871" s="87"/>
      <c r="AJ1871" s="87"/>
      <c r="AK1871" s="87"/>
      <c r="AL1871" s="87"/>
      <c r="AM1871" s="87"/>
      <c r="AN1871" s="87"/>
      <c r="AO1871" s="87"/>
      <c r="AP1871" s="87"/>
      <c r="AQ1871" s="87"/>
      <c r="AR1871" s="87"/>
      <c r="AS1871" s="87"/>
      <c r="AT1871" s="87"/>
      <c r="AU1871" s="87"/>
      <c r="AV1871" s="87"/>
      <c r="AW1871" s="87"/>
      <c r="AX1871" s="87"/>
      <c r="AY1871" s="87"/>
      <c r="AZ1871" s="87"/>
      <c r="BA1871" s="87"/>
      <c r="BB1871" s="87"/>
      <c r="BC1871" s="87"/>
      <c r="BD1871" s="87"/>
      <c r="BE1871" s="87"/>
      <c r="BF1871" s="87"/>
      <c r="BG1871" s="87"/>
      <c r="BH1871" s="87"/>
      <c r="BI1871" s="87"/>
      <c r="BJ1871" s="87"/>
      <c r="BK1871" s="87"/>
      <c r="BL1871" s="87"/>
      <c r="BM1871" s="87"/>
      <c r="BN1871" s="87"/>
      <c r="BO1871" s="87"/>
      <c r="BP1871" s="87"/>
      <c r="BQ1871" s="87"/>
      <c r="BR1871" s="87"/>
      <c r="BS1871" s="87"/>
      <c r="BT1871" s="87"/>
      <c r="BU1871" s="87"/>
      <c r="BV1871" s="87"/>
      <c r="BW1871" s="87"/>
      <c r="BX1871" s="87"/>
      <c r="BY1871" s="87"/>
    </row>
    <row r="1872" spans="21:77" x14ac:dyDescent="0.3">
      <c r="U1872" s="19"/>
      <c r="V1872" s="87"/>
      <c r="W1872" s="87"/>
      <c r="X1872" s="87"/>
      <c r="Y1872" s="87"/>
      <c r="Z1872" s="87"/>
      <c r="AA1872" s="87"/>
      <c r="AB1872" s="87"/>
      <c r="AC1872" s="87"/>
      <c r="AD1872" s="87"/>
      <c r="AE1872" s="87"/>
      <c r="AF1872" s="87"/>
      <c r="AG1872" s="87"/>
      <c r="AH1872" s="87"/>
      <c r="AI1872" s="87"/>
      <c r="AJ1872" s="87"/>
      <c r="AK1872" s="87"/>
      <c r="AL1872" s="87"/>
      <c r="AM1872" s="87"/>
      <c r="AN1872" s="87"/>
      <c r="AO1872" s="87"/>
      <c r="AP1872" s="87"/>
      <c r="AQ1872" s="87"/>
      <c r="AR1872" s="87"/>
      <c r="AS1872" s="87"/>
      <c r="AT1872" s="87"/>
      <c r="AU1872" s="87"/>
      <c r="AV1872" s="87"/>
      <c r="AW1872" s="87"/>
      <c r="AX1872" s="87"/>
      <c r="AY1872" s="87"/>
      <c r="AZ1872" s="87"/>
      <c r="BA1872" s="87"/>
      <c r="BB1872" s="87"/>
      <c r="BC1872" s="87"/>
      <c r="BD1872" s="87"/>
      <c r="BE1872" s="87"/>
      <c r="BF1872" s="87"/>
      <c r="BG1872" s="87"/>
      <c r="BH1872" s="87"/>
      <c r="BI1872" s="87"/>
      <c r="BJ1872" s="87"/>
      <c r="BK1872" s="87"/>
      <c r="BL1872" s="87"/>
      <c r="BM1872" s="87"/>
      <c r="BN1872" s="87"/>
      <c r="BO1872" s="87"/>
      <c r="BP1872" s="87"/>
      <c r="BQ1872" s="87"/>
      <c r="BR1872" s="87"/>
      <c r="BS1872" s="87"/>
      <c r="BT1872" s="87"/>
      <c r="BU1872" s="87"/>
      <c r="BV1872" s="87"/>
      <c r="BW1872" s="87"/>
      <c r="BX1872" s="87"/>
      <c r="BY1872" s="87"/>
    </row>
    <row r="1873" spans="21:77" x14ac:dyDescent="0.3">
      <c r="U1873" s="19"/>
      <c r="V1873" s="87"/>
      <c r="W1873" s="87"/>
      <c r="X1873" s="87"/>
      <c r="Y1873" s="87"/>
      <c r="Z1873" s="87"/>
      <c r="AA1873" s="87"/>
      <c r="AB1873" s="87"/>
      <c r="AC1873" s="87"/>
      <c r="AD1873" s="87"/>
      <c r="AE1873" s="87"/>
      <c r="AF1873" s="87"/>
      <c r="AG1873" s="87"/>
      <c r="AH1873" s="87"/>
      <c r="AI1873" s="87"/>
      <c r="AJ1873" s="87"/>
      <c r="AK1873" s="87"/>
      <c r="AL1873" s="87"/>
      <c r="AM1873" s="87"/>
      <c r="AN1873" s="87"/>
      <c r="AO1873" s="87"/>
      <c r="AP1873" s="87"/>
      <c r="AQ1873" s="87"/>
      <c r="AR1873" s="87"/>
      <c r="AS1873" s="87"/>
      <c r="AT1873" s="87"/>
      <c r="AU1873" s="87"/>
      <c r="AV1873" s="87"/>
      <c r="AW1873" s="87"/>
      <c r="AX1873" s="87"/>
      <c r="AY1873" s="87"/>
      <c r="AZ1873" s="87"/>
      <c r="BA1873" s="87"/>
      <c r="BB1873" s="87"/>
      <c r="BC1873" s="87"/>
      <c r="BD1873" s="87"/>
      <c r="BE1873" s="87"/>
      <c r="BF1873" s="87"/>
      <c r="BG1873" s="87"/>
      <c r="BH1873" s="87"/>
      <c r="BI1873" s="87"/>
      <c r="BJ1873" s="87"/>
      <c r="BK1873" s="87"/>
      <c r="BL1873" s="87"/>
      <c r="BM1873" s="87"/>
      <c r="BN1873" s="87"/>
      <c r="BO1873" s="87"/>
      <c r="BP1873" s="87"/>
      <c r="BQ1873" s="87"/>
      <c r="BR1873" s="87"/>
      <c r="BS1873" s="87"/>
      <c r="BT1873" s="87"/>
      <c r="BU1873" s="87"/>
      <c r="BV1873" s="87"/>
      <c r="BW1873" s="87"/>
      <c r="BX1873" s="87"/>
      <c r="BY1873" s="87"/>
    </row>
    <row r="1874" spans="21:77" x14ac:dyDescent="0.3">
      <c r="U1874" s="19"/>
      <c r="V1874" s="87"/>
      <c r="W1874" s="87"/>
      <c r="X1874" s="87"/>
      <c r="Y1874" s="87"/>
      <c r="Z1874" s="87"/>
      <c r="AA1874" s="87"/>
      <c r="AB1874" s="87"/>
      <c r="AC1874" s="87"/>
      <c r="AD1874" s="87"/>
      <c r="AE1874" s="87"/>
      <c r="AF1874" s="87"/>
      <c r="AG1874" s="87"/>
      <c r="AH1874" s="87"/>
      <c r="AI1874" s="87"/>
      <c r="AJ1874" s="87"/>
      <c r="AK1874" s="87"/>
      <c r="AL1874" s="87"/>
      <c r="AM1874" s="87"/>
      <c r="AN1874" s="87"/>
      <c r="AO1874" s="87"/>
      <c r="AP1874" s="87"/>
      <c r="AQ1874" s="87"/>
      <c r="AR1874" s="87"/>
      <c r="AS1874" s="87"/>
      <c r="AT1874" s="87"/>
      <c r="AU1874" s="87"/>
      <c r="AV1874" s="87"/>
      <c r="AW1874" s="87"/>
      <c r="AX1874" s="87"/>
      <c r="AY1874" s="87"/>
      <c r="AZ1874" s="87"/>
      <c r="BA1874" s="87"/>
      <c r="BB1874" s="87"/>
      <c r="BC1874" s="87"/>
      <c r="BD1874" s="87"/>
      <c r="BE1874" s="87"/>
      <c r="BF1874" s="87"/>
      <c r="BG1874" s="87"/>
      <c r="BH1874" s="87"/>
      <c r="BI1874" s="87"/>
      <c r="BJ1874" s="87"/>
      <c r="BK1874" s="87"/>
      <c r="BL1874" s="87"/>
      <c r="BM1874" s="87"/>
      <c r="BN1874" s="87"/>
      <c r="BO1874" s="87"/>
      <c r="BP1874" s="87"/>
      <c r="BQ1874" s="87"/>
      <c r="BR1874" s="87"/>
      <c r="BS1874" s="87"/>
      <c r="BT1874" s="87"/>
      <c r="BU1874" s="87"/>
      <c r="BV1874" s="87"/>
      <c r="BW1874" s="87"/>
      <c r="BX1874" s="87"/>
      <c r="BY1874" s="87"/>
    </row>
    <row r="1875" spans="21:77" x14ac:dyDescent="0.3">
      <c r="U1875" s="19"/>
      <c r="V1875" s="87"/>
      <c r="W1875" s="87"/>
      <c r="X1875" s="87"/>
      <c r="Y1875" s="87"/>
      <c r="Z1875" s="87"/>
      <c r="AA1875" s="87"/>
      <c r="AB1875" s="87"/>
      <c r="AC1875" s="87"/>
      <c r="AD1875" s="87"/>
      <c r="AE1875" s="87"/>
      <c r="AF1875" s="87"/>
      <c r="AG1875" s="87"/>
      <c r="AH1875" s="87"/>
      <c r="AI1875" s="87"/>
      <c r="AJ1875" s="87"/>
      <c r="AK1875" s="87"/>
      <c r="AL1875" s="87"/>
      <c r="AM1875" s="87"/>
      <c r="AN1875" s="87"/>
      <c r="AO1875" s="87"/>
      <c r="AP1875" s="87"/>
      <c r="AQ1875" s="87"/>
      <c r="AR1875" s="87"/>
      <c r="AS1875" s="87"/>
      <c r="AT1875" s="87"/>
      <c r="AU1875" s="87"/>
      <c r="AV1875" s="87"/>
      <c r="AW1875" s="87"/>
      <c r="AX1875" s="87"/>
      <c r="AY1875" s="87"/>
      <c r="AZ1875" s="87"/>
      <c r="BA1875" s="87"/>
      <c r="BB1875" s="87"/>
      <c r="BC1875" s="87"/>
      <c r="BD1875" s="87"/>
      <c r="BE1875" s="87"/>
      <c r="BF1875" s="87"/>
      <c r="BG1875" s="87"/>
      <c r="BH1875" s="87"/>
      <c r="BI1875" s="87"/>
      <c r="BJ1875" s="87"/>
      <c r="BK1875" s="87"/>
      <c r="BL1875" s="87"/>
      <c r="BM1875" s="87"/>
      <c r="BN1875" s="87"/>
      <c r="BO1875" s="87"/>
      <c r="BP1875" s="87"/>
      <c r="BQ1875" s="87"/>
      <c r="BR1875" s="87"/>
      <c r="BS1875" s="87"/>
      <c r="BT1875" s="87"/>
      <c r="BU1875" s="87"/>
      <c r="BV1875" s="87"/>
      <c r="BW1875" s="87"/>
      <c r="BX1875" s="87"/>
      <c r="BY1875" s="87"/>
    </row>
    <row r="1876" spans="21:77" x14ac:dyDescent="0.3">
      <c r="U1876" s="19"/>
      <c r="V1876" s="87"/>
      <c r="W1876" s="87"/>
      <c r="X1876" s="87"/>
      <c r="Y1876" s="87"/>
      <c r="Z1876" s="87"/>
      <c r="AA1876" s="87"/>
      <c r="AB1876" s="87"/>
      <c r="AC1876" s="87"/>
      <c r="AD1876" s="87"/>
      <c r="AE1876" s="87"/>
      <c r="AF1876" s="87"/>
      <c r="AG1876" s="87"/>
      <c r="AH1876" s="87"/>
      <c r="AI1876" s="87"/>
      <c r="AJ1876" s="87"/>
      <c r="AK1876" s="87"/>
      <c r="AL1876" s="87"/>
      <c r="AM1876" s="87"/>
      <c r="AN1876" s="87"/>
      <c r="AO1876" s="87"/>
      <c r="AP1876" s="87"/>
      <c r="AQ1876" s="87"/>
      <c r="AR1876" s="87"/>
      <c r="AS1876" s="87"/>
      <c r="AT1876" s="87"/>
      <c r="AU1876" s="87"/>
      <c r="AV1876" s="87"/>
      <c r="AW1876" s="87"/>
      <c r="AX1876" s="87"/>
      <c r="AY1876" s="87"/>
      <c r="AZ1876" s="87"/>
      <c r="BA1876" s="87"/>
      <c r="BB1876" s="87"/>
      <c r="BC1876" s="87"/>
      <c r="BD1876" s="87"/>
      <c r="BE1876" s="87"/>
      <c r="BF1876" s="87"/>
      <c r="BG1876" s="87"/>
      <c r="BH1876" s="87"/>
      <c r="BI1876" s="87"/>
      <c r="BJ1876" s="87"/>
      <c r="BK1876" s="87"/>
      <c r="BL1876" s="87"/>
      <c r="BM1876" s="87"/>
      <c r="BN1876" s="87"/>
      <c r="BO1876" s="87"/>
      <c r="BP1876" s="87"/>
      <c r="BQ1876" s="87"/>
      <c r="BR1876" s="87"/>
      <c r="BS1876" s="87"/>
      <c r="BT1876" s="87"/>
      <c r="BU1876" s="87"/>
      <c r="BV1876" s="87"/>
      <c r="BW1876" s="87"/>
      <c r="BX1876" s="87"/>
      <c r="BY1876" s="87"/>
    </row>
    <row r="1877" spans="21:77" x14ac:dyDescent="0.3">
      <c r="U1877" s="19"/>
      <c r="V1877" s="87"/>
      <c r="W1877" s="87"/>
      <c r="X1877" s="87"/>
      <c r="Y1877" s="87"/>
      <c r="Z1877" s="87"/>
      <c r="AA1877" s="87"/>
      <c r="AB1877" s="87"/>
      <c r="AC1877" s="87"/>
      <c r="AD1877" s="87"/>
      <c r="AE1877" s="87"/>
      <c r="AF1877" s="87"/>
      <c r="AG1877" s="87"/>
      <c r="AH1877" s="87"/>
      <c r="AI1877" s="87"/>
      <c r="AJ1877" s="87"/>
      <c r="AK1877" s="87"/>
      <c r="AL1877" s="87"/>
      <c r="AM1877" s="87"/>
      <c r="AN1877" s="87"/>
      <c r="AO1877" s="87"/>
      <c r="AP1877" s="87"/>
      <c r="AQ1877" s="87"/>
      <c r="AR1877" s="87"/>
      <c r="AS1877" s="87"/>
      <c r="AT1877" s="87"/>
      <c r="AU1877" s="87"/>
      <c r="AV1877" s="87"/>
      <c r="AW1877" s="87"/>
      <c r="AX1877" s="87"/>
      <c r="AY1877" s="87"/>
      <c r="AZ1877" s="87"/>
      <c r="BA1877" s="87"/>
      <c r="BB1877" s="87"/>
      <c r="BC1877" s="87"/>
      <c r="BD1877" s="87"/>
      <c r="BE1877" s="87"/>
      <c r="BF1877" s="87"/>
      <c r="BG1877" s="87"/>
      <c r="BH1877" s="87"/>
      <c r="BI1877" s="87"/>
      <c r="BJ1877" s="87"/>
      <c r="BK1877" s="87"/>
      <c r="BL1877" s="87"/>
      <c r="BM1877" s="87"/>
      <c r="BN1877" s="87"/>
      <c r="BO1877" s="87"/>
      <c r="BP1877" s="87"/>
      <c r="BQ1877" s="87"/>
      <c r="BR1877" s="87"/>
      <c r="BS1877" s="87"/>
      <c r="BT1877" s="87"/>
      <c r="BU1877" s="87"/>
      <c r="BV1877" s="87"/>
      <c r="BW1877" s="87"/>
      <c r="BX1877" s="87"/>
      <c r="BY1877" s="87"/>
    </row>
    <row r="1878" spans="21:77" x14ac:dyDescent="0.3">
      <c r="U1878" s="19"/>
      <c r="V1878" s="87"/>
      <c r="W1878" s="87"/>
      <c r="X1878" s="87"/>
      <c r="Y1878" s="87"/>
      <c r="Z1878" s="87"/>
      <c r="AA1878" s="87"/>
      <c r="AB1878" s="87"/>
      <c r="AC1878" s="87"/>
      <c r="AD1878" s="87"/>
      <c r="AE1878" s="87"/>
      <c r="AF1878" s="87"/>
      <c r="AG1878" s="87"/>
      <c r="AH1878" s="87"/>
      <c r="AI1878" s="87"/>
      <c r="AJ1878" s="87"/>
      <c r="AK1878" s="87"/>
      <c r="AL1878" s="87"/>
      <c r="AM1878" s="87"/>
      <c r="AN1878" s="87"/>
      <c r="AO1878" s="87"/>
      <c r="AP1878" s="87"/>
      <c r="AQ1878" s="87"/>
      <c r="AR1878" s="87"/>
      <c r="AS1878" s="87"/>
      <c r="AT1878" s="87"/>
      <c r="AU1878" s="87"/>
      <c r="AV1878" s="87"/>
      <c r="AW1878" s="87"/>
      <c r="AX1878" s="87"/>
      <c r="AY1878" s="87"/>
      <c r="AZ1878" s="87"/>
      <c r="BA1878" s="87"/>
      <c r="BB1878" s="87"/>
      <c r="BC1878" s="87"/>
      <c r="BD1878" s="87"/>
      <c r="BE1878" s="87"/>
      <c r="BF1878" s="87"/>
      <c r="BG1878" s="87"/>
      <c r="BH1878" s="87"/>
      <c r="BI1878" s="87"/>
      <c r="BJ1878" s="87"/>
      <c r="BK1878" s="87"/>
      <c r="BL1878" s="87"/>
      <c r="BM1878" s="87"/>
      <c r="BN1878" s="87"/>
      <c r="BO1878" s="87"/>
      <c r="BP1878" s="87"/>
      <c r="BQ1878" s="87"/>
      <c r="BR1878" s="87"/>
      <c r="BS1878" s="87"/>
      <c r="BT1878" s="87"/>
      <c r="BU1878" s="87"/>
      <c r="BV1878" s="87"/>
      <c r="BW1878" s="87"/>
      <c r="BX1878" s="87"/>
      <c r="BY1878" s="87"/>
    </row>
    <row r="1879" spans="21:77" x14ac:dyDescent="0.3">
      <c r="U1879" s="19"/>
      <c r="V1879" s="87"/>
      <c r="W1879" s="87"/>
      <c r="X1879" s="87"/>
      <c r="Y1879" s="87"/>
      <c r="Z1879" s="87"/>
      <c r="AA1879" s="87"/>
      <c r="AB1879" s="87"/>
      <c r="AC1879" s="87"/>
      <c r="AD1879" s="87"/>
      <c r="AE1879" s="87"/>
      <c r="AF1879" s="87"/>
      <c r="AG1879" s="87"/>
      <c r="AH1879" s="87"/>
      <c r="AI1879" s="87"/>
      <c r="AJ1879" s="87"/>
      <c r="AK1879" s="87"/>
      <c r="AL1879" s="87"/>
      <c r="AM1879" s="87"/>
      <c r="AN1879" s="87"/>
      <c r="AO1879" s="87"/>
      <c r="AP1879" s="87"/>
      <c r="AQ1879" s="87"/>
      <c r="AR1879" s="87"/>
      <c r="AS1879" s="87"/>
      <c r="AT1879" s="87"/>
      <c r="AU1879" s="87"/>
      <c r="AV1879" s="87"/>
      <c r="AW1879" s="87"/>
      <c r="AX1879" s="87"/>
      <c r="AY1879" s="87"/>
      <c r="AZ1879" s="87"/>
      <c r="BA1879" s="87"/>
      <c r="BB1879" s="87"/>
      <c r="BC1879" s="87"/>
      <c r="BD1879" s="87"/>
      <c r="BE1879" s="87"/>
      <c r="BF1879" s="87"/>
      <c r="BG1879" s="87"/>
      <c r="BH1879" s="87"/>
      <c r="BI1879" s="87"/>
      <c r="BJ1879" s="87"/>
      <c r="BK1879" s="87"/>
      <c r="BL1879" s="87"/>
      <c r="BM1879" s="87"/>
      <c r="BN1879" s="87"/>
      <c r="BO1879" s="87"/>
      <c r="BP1879" s="87"/>
      <c r="BQ1879" s="87"/>
      <c r="BR1879" s="87"/>
      <c r="BS1879" s="87"/>
      <c r="BT1879" s="87"/>
      <c r="BU1879" s="87"/>
      <c r="BV1879" s="87"/>
      <c r="BW1879" s="87"/>
      <c r="BX1879" s="87"/>
      <c r="BY1879" s="87"/>
    </row>
    <row r="1880" spans="21:77" x14ac:dyDescent="0.3">
      <c r="U1880" s="19"/>
      <c r="V1880" s="87"/>
      <c r="W1880" s="87"/>
      <c r="X1880" s="87"/>
      <c r="Y1880" s="87"/>
      <c r="Z1880" s="87"/>
      <c r="AA1880" s="87"/>
      <c r="AB1880" s="87"/>
      <c r="AC1880" s="87"/>
      <c r="AD1880" s="87"/>
      <c r="AE1880" s="87"/>
      <c r="AF1880" s="87"/>
      <c r="AG1880" s="87"/>
      <c r="AH1880" s="87"/>
      <c r="AI1880" s="87"/>
      <c r="AJ1880" s="87"/>
      <c r="AK1880" s="87"/>
      <c r="AL1880" s="87"/>
      <c r="AM1880" s="87"/>
      <c r="AN1880" s="87"/>
      <c r="AO1880" s="87"/>
      <c r="AP1880" s="87"/>
      <c r="AQ1880" s="87"/>
      <c r="AR1880" s="87"/>
      <c r="AS1880" s="87"/>
      <c r="AT1880" s="87"/>
      <c r="AU1880" s="87"/>
      <c r="AV1880" s="87"/>
      <c r="AW1880" s="87"/>
      <c r="AX1880" s="87"/>
      <c r="AY1880" s="87"/>
      <c r="AZ1880" s="87"/>
      <c r="BA1880" s="87"/>
      <c r="BB1880" s="87"/>
      <c r="BC1880" s="87"/>
      <c r="BD1880" s="87"/>
      <c r="BE1880" s="87"/>
      <c r="BF1880" s="87"/>
      <c r="BG1880" s="87"/>
      <c r="BH1880" s="87"/>
      <c r="BI1880" s="87"/>
      <c r="BJ1880" s="87"/>
      <c r="BK1880" s="87"/>
      <c r="BL1880" s="87"/>
      <c r="BM1880" s="87"/>
      <c r="BN1880" s="87"/>
      <c r="BO1880" s="87"/>
      <c r="BP1880" s="87"/>
      <c r="BQ1880" s="87"/>
      <c r="BR1880" s="87"/>
      <c r="BS1880" s="87"/>
      <c r="BT1880" s="87"/>
      <c r="BU1880" s="87"/>
      <c r="BV1880" s="87"/>
      <c r="BW1880" s="87"/>
      <c r="BX1880" s="87"/>
      <c r="BY1880" s="87"/>
    </row>
    <row r="1881" spans="21:77" x14ac:dyDescent="0.3">
      <c r="U1881" s="19"/>
      <c r="V1881" s="87"/>
      <c r="W1881" s="87"/>
      <c r="X1881" s="87"/>
      <c r="Y1881" s="87"/>
      <c r="Z1881" s="87"/>
      <c r="AA1881" s="87"/>
      <c r="AB1881" s="87"/>
      <c r="AC1881" s="87"/>
      <c r="AD1881" s="87"/>
      <c r="AE1881" s="87"/>
      <c r="AF1881" s="87"/>
      <c r="AG1881" s="87"/>
      <c r="AH1881" s="87"/>
      <c r="AI1881" s="87"/>
      <c r="AJ1881" s="87"/>
      <c r="AK1881" s="87"/>
      <c r="AL1881" s="87"/>
      <c r="AM1881" s="87"/>
      <c r="AN1881" s="87"/>
      <c r="AO1881" s="87"/>
      <c r="AP1881" s="87"/>
      <c r="AQ1881" s="87"/>
      <c r="AR1881" s="87"/>
      <c r="AS1881" s="87"/>
      <c r="AT1881" s="87"/>
      <c r="AU1881" s="87"/>
      <c r="AV1881" s="87"/>
      <c r="AW1881" s="87"/>
      <c r="AX1881" s="87"/>
      <c r="AY1881" s="87"/>
      <c r="AZ1881" s="87"/>
      <c r="BA1881" s="87"/>
      <c r="BB1881" s="87"/>
      <c r="BC1881" s="87"/>
      <c r="BD1881" s="87"/>
      <c r="BE1881" s="87"/>
      <c r="BF1881" s="87"/>
      <c r="BG1881" s="87"/>
      <c r="BH1881" s="87"/>
      <c r="BI1881" s="87"/>
      <c r="BJ1881" s="87"/>
      <c r="BK1881" s="87"/>
      <c r="BL1881" s="87"/>
      <c r="BM1881" s="87"/>
      <c r="BN1881" s="87"/>
      <c r="BO1881" s="87"/>
      <c r="BP1881" s="87"/>
      <c r="BQ1881" s="87"/>
      <c r="BR1881" s="87"/>
      <c r="BS1881" s="87"/>
      <c r="BT1881" s="87"/>
      <c r="BU1881" s="87"/>
      <c r="BV1881" s="87"/>
      <c r="BW1881" s="87"/>
      <c r="BX1881" s="87"/>
      <c r="BY1881" s="87"/>
    </row>
    <row r="1882" spans="21:77" x14ac:dyDescent="0.3">
      <c r="U1882" s="19"/>
      <c r="V1882" s="87"/>
      <c r="W1882" s="87"/>
      <c r="X1882" s="87"/>
      <c r="Y1882" s="87"/>
      <c r="Z1882" s="87"/>
      <c r="AA1882" s="87"/>
      <c r="AB1882" s="87"/>
      <c r="AC1882" s="87"/>
      <c r="AD1882" s="87"/>
      <c r="AE1882" s="87"/>
      <c r="AF1882" s="87"/>
      <c r="AG1882" s="87"/>
      <c r="AH1882" s="87"/>
      <c r="AI1882" s="87"/>
      <c r="AJ1882" s="87"/>
      <c r="AK1882" s="87"/>
      <c r="AL1882" s="87"/>
      <c r="AM1882" s="87"/>
      <c r="AN1882" s="87"/>
      <c r="AO1882" s="87"/>
      <c r="AP1882" s="87"/>
      <c r="AQ1882" s="87"/>
      <c r="AR1882" s="87"/>
      <c r="AS1882" s="87"/>
      <c r="AT1882" s="87"/>
      <c r="AU1882" s="87"/>
      <c r="AV1882" s="87"/>
      <c r="AW1882" s="87"/>
      <c r="AX1882" s="87"/>
      <c r="AY1882" s="87"/>
      <c r="AZ1882" s="87"/>
      <c r="BA1882" s="87"/>
      <c r="BB1882" s="87"/>
      <c r="BC1882" s="87"/>
      <c r="BD1882" s="87"/>
      <c r="BE1882" s="87"/>
      <c r="BF1882" s="87"/>
      <c r="BG1882" s="87"/>
      <c r="BH1882" s="87"/>
      <c r="BI1882" s="87"/>
      <c r="BJ1882" s="87"/>
      <c r="BK1882" s="87"/>
      <c r="BL1882" s="87"/>
      <c r="BM1882" s="87"/>
      <c r="BN1882" s="87"/>
      <c r="BO1882" s="87"/>
      <c r="BP1882" s="87"/>
      <c r="BQ1882" s="87"/>
      <c r="BR1882" s="87"/>
      <c r="BS1882" s="87"/>
      <c r="BT1882" s="87"/>
      <c r="BU1882" s="87"/>
      <c r="BV1882" s="87"/>
      <c r="BW1882" s="87"/>
      <c r="BX1882" s="87"/>
      <c r="BY1882" s="87"/>
    </row>
    <row r="1883" spans="21:77" x14ac:dyDescent="0.3">
      <c r="U1883" s="19"/>
      <c r="V1883" s="87"/>
      <c r="W1883" s="87"/>
      <c r="X1883" s="87"/>
      <c r="Y1883" s="87"/>
      <c r="Z1883" s="87"/>
      <c r="AA1883" s="87"/>
      <c r="AB1883" s="87"/>
      <c r="AC1883" s="87"/>
      <c r="AD1883" s="87"/>
      <c r="AE1883" s="87"/>
      <c r="AF1883" s="87"/>
      <c r="AG1883" s="87"/>
      <c r="AH1883" s="87"/>
      <c r="AI1883" s="87"/>
      <c r="AJ1883" s="87"/>
      <c r="AK1883" s="87"/>
      <c r="AL1883" s="87"/>
      <c r="AM1883" s="87"/>
      <c r="AN1883" s="87"/>
      <c r="AO1883" s="87"/>
      <c r="AP1883" s="87"/>
      <c r="AQ1883" s="87"/>
      <c r="AR1883" s="87"/>
      <c r="AS1883" s="87"/>
      <c r="AT1883" s="87"/>
      <c r="AU1883" s="87"/>
      <c r="AV1883" s="87"/>
      <c r="AW1883" s="87"/>
      <c r="AX1883" s="87"/>
      <c r="AY1883" s="87"/>
      <c r="AZ1883" s="87"/>
      <c r="BA1883" s="87"/>
      <c r="BB1883" s="87"/>
      <c r="BC1883" s="87"/>
      <c r="BD1883" s="87"/>
      <c r="BE1883" s="87"/>
      <c r="BF1883" s="87"/>
      <c r="BG1883" s="87"/>
      <c r="BH1883" s="87"/>
      <c r="BI1883" s="87"/>
      <c r="BJ1883" s="87"/>
      <c r="BK1883" s="87"/>
      <c r="BL1883" s="87"/>
      <c r="BM1883" s="87"/>
      <c r="BN1883" s="87"/>
      <c r="BO1883" s="87"/>
      <c r="BP1883" s="87"/>
      <c r="BQ1883" s="87"/>
      <c r="BR1883" s="87"/>
      <c r="BS1883" s="87"/>
      <c r="BT1883" s="87"/>
      <c r="BU1883" s="87"/>
      <c r="BV1883" s="87"/>
      <c r="BW1883" s="87"/>
      <c r="BX1883" s="87"/>
      <c r="BY1883" s="87"/>
    </row>
    <row r="1884" spans="21:77" x14ac:dyDescent="0.3">
      <c r="U1884" s="19"/>
      <c r="V1884" s="87"/>
      <c r="W1884" s="87"/>
      <c r="X1884" s="87"/>
      <c r="Y1884" s="87"/>
      <c r="Z1884" s="87"/>
      <c r="AA1884" s="87"/>
      <c r="AB1884" s="87"/>
      <c r="AC1884" s="87"/>
      <c r="AD1884" s="87"/>
      <c r="AE1884" s="87"/>
      <c r="AF1884" s="87"/>
      <c r="AG1884" s="87"/>
      <c r="AH1884" s="87"/>
      <c r="AI1884" s="87"/>
      <c r="AJ1884" s="87"/>
      <c r="AK1884" s="87"/>
      <c r="AL1884" s="87"/>
      <c r="AM1884" s="87"/>
      <c r="AN1884" s="87"/>
      <c r="AO1884" s="87"/>
      <c r="AP1884" s="87"/>
      <c r="AQ1884" s="87"/>
      <c r="AR1884" s="87"/>
      <c r="AS1884" s="87"/>
      <c r="AT1884" s="87"/>
      <c r="AU1884" s="87"/>
      <c r="AV1884" s="87"/>
      <c r="AW1884" s="87"/>
      <c r="AX1884" s="87"/>
      <c r="AY1884" s="87"/>
      <c r="AZ1884" s="87"/>
      <c r="BA1884" s="87"/>
      <c r="BB1884" s="87"/>
      <c r="BC1884" s="87"/>
      <c r="BD1884" s="87"/>
      <c r="BE1884" s="87"/>
      <c r="BF1884" s="87"/>
      <c r="BG1884" s="87"/>
      <c r="BH1884" s="87"/>
      <c r="BI1884" s="87"/>
      <c r="BJ1884" s="87"/>
      <c r="BK1884" s="87"/>
      <c r="BL1884" s="87"/>
      <c r="BM1884" s="87"/>
      <c r="BN1884" s="87"/>
      <c r="BO1884" s="87"/>
      <c r="BP1884" s="87"/>
      <c r="BQ1884" s="87"/>
      <c r="BR1884" s="87"/>
      <c r="BS1884" s="87"/>
      <c r="BT1884" s="87"/>
      <c r="BU1884" s="87"/>
      <c r="BV1884" s="87"/>
      <c r="BW1884" s="87"/>
      <c r="BX1884" s="87"/>
      <c r="BY1884" s="87"/>
    </row>
    <row r="1885" spans="21:77" x14ac:dyDescent="0.3">
      <c r="U1885" s="19"/>
      <c r="V1885" s="87"/>
      <c r="W1885" s="87"/>
      <c r="X1885" s="87"/>
      <c r="Y1885" s="87"/>
      <c r="Z1885" s="87"/>
      <c r="AA1885" s="87"/>
      <c r="AB1885" s="87"/>
      <c r="AC1885" s="87"/>
      <c r="AD1885" s="87"/>
      <c r="AE1885" s="87"/>
      <c r="AF1885" s="87"/>
      <c r="AG1885" s="87"/>
      <c r="AH1885" s="87"/>
      <c r="AI1885" s="87"/>
      <c r="AJ1885" s="87"/>
      <c r="AK1885" s="87"/>
      <c r="AL1885" s="87"/>
      <c r="AM1885" s="87"/>
      <c r="AN1885" s="87"/>
      <c r="AO1885" s="87"/>
      <c r="AP1885" s="87"/>
      <c r="AQ1885" s="87"/>
      <c r="AR1885" s="87"/>
      <c r="AS1885" s="87"/>
      <c r="AT1885" s="87"/>
      <c r="AU1885" s="87"/>
      <c r="AV1885" s="87"/>
      <c r="AW1885" s="87"/>
      <c r="AX1885" s="87"/>
      <c r="AY1885" s="87"/>
      <c r="AZ1885" s="87"/>
      <c r="BA1885" s="87"/>
      <c r="BB1885" s="87"/>
      <c r="BC1885" s="87"/>
      <c r="BD1885" s="87"/>
      <c r="BE1885" s="87"/>
      <c r="BF1885" s="87"/>
      <c r="BG1885" s="87"/>
      <c r="BH1885" s="87"/>
      <c r="BI1885" s="87"/>
      <c r="BJ1885" s="87"/>
      <c r="BK1885" s="87"/>
      <c r="BL1885" s="87"/>
      <c r="BM1885" s="87"/>
      <c r="BN1885" s="87"/>
      <c r="BO1885" s="87"/>
      <c r="BP1885" s="87"/>
      <c r="BQ1885" s="87"/>
      <c r="BR1885" s="87"/>
      <c r="BS1885" s="87"/>
      <c r="BT1885" s="87"/>
      <c r="BU1885" s="87"/>
      <c r="BV1885" s="87"/>
      <c r="BW1885" s="87"/>
      <c r="BX1885" s="87"/>
      <c r="BY1885" s="87"/>
    </row>
    <row r="1886" spans="21:77" x14ac:dyDescent="0.3">
      <c r="U1886" s="19"/>
      <c r="V1886" s="87"/>
      <c r="W1886" s="87"/>
      <c r="X1886" s="87"/>
      <c r="Y1886" s="87"/>
      <c r="Z1886" s="87"/>
      <c r="AA1886" s="87"/>
      <c r="AB1886" s="87"/>
      <c r="AC1886" s="87"/>
      <c r="AD1886" s="87"/>
      <c r="AE1886" s="87"/>
      <c r="AF1886" s="87"/>
      <c r="AG1886" s="87"/>
      <c r="AH1886" s="87"/>
      <c r="AI1886" s="87"/>
      <c r="AJ1886" s="87"/>
      <c r="AK1886" s="87"/>
      <c r="AL1886" s="87"/>
      <c r="AM1886" s="87"/>
      <c r="AN1886" s="87"/>
      <c r="AO1886" s="87"/>
      <c r="AP1886" s="87"/>
      <c r="AQ1886" s="87"/>
      <c r="AR1886" s="87"/>
      <c r="AS1886" s="87"/>
      <c r="AT1886" s="87"/>
      <c r="AU1886" s="87"/>
      <c r="AV1886" s="87"/>
      <c r="AW1886" s="87"/>
      <c r="AX1886" s="87"/>
      <c r="AY1886" s="87"/>
      <c r="AZ1886" s="87"/>
      <c r="BA1886" s="87"/>
      <c r="BB1886" s="87"/>
      <c r="BC1886" s="87"/>
      <c r="BD1886" s="87"/>
      <c r="BE1886" s="87"/>
      <c r="BF1886" s="87"/>
      <c r="BG1886" s="87"/>
      <c r="BH1886" s="87"/>
      <c r="BI1886" s="87"/>
      <c r="BJ1886" s="87"/>
      <c r="BK1886" s="87"/>
      <c r="BL1886" s="87"/>
      <c r="BM1886" s="87"/>
      <c r="BN1886" s="87"/>
      <c r="BO1886" s="87"/>
      <c r="BP1886" s="87"/>
      <c r="BQ1886" s="87"/>
      <c r="BR1886" s="87"/>
      <c r="BS1886" s="87"/>
      <c r="BT1886" s="87"/>
      <c r="BU1886" s="87"/>
      <c r="BV1886" s="87"/>
      <c r="BW1886" s="87"/>
      <c r="BX1886" s="87"/>
      <c r="BY1886" s="87"/>
    </row>
    <row r="1887" spans="21:77" x14ac:dyDescent="0.3">
      <c r="U1887" s="19"/>
      <c r="V1887" s="87"/>
      <c r="W1887" s="87"/>
      <c r="X1887" s="87"/>
      <c r="Y1887" s="87"/>
      <c r="Z1887" s="87"/>
      <c r="AA1887" s="87"/>
      <c r="AB1887" s="87"/>
      <c r="AC1887" s="87"/>
      <c r="AD1887" s="87"/>
      <c r="AE1887" s="87"/>
      <c r="AF1887" s="87"/>
      <c r="AG1887" s="87"/>
      <c r="AH1887" s="87"/>
      <c r="AI1887" s="87"/>
      <c r="AJ1887" s="87"/>
      <c r="AK1887" s="87"/>
      <c r="AL1887" s="87"/>
      <c r="AM1887" s="87"/>
      <c r="AN1887" s="87"/>
      <c r="AO1887" s="87"/>
      <c r="AP1887" s="87"/>
      <c r="AQ1887" s="87"/>
      <c r="AR1887" s="87"/>
      <c r="AS1887" s="87"/>
      <c r="AT1887" s="87"/>
      <c r="AU1887" s="87"/>
      <c r="AV1887" s="87"/>
      <c r="AW1887" s="87"/>
      <c r="AX1887" s="87"/>
      <c r="AY1887" s="87"/>
      <c r="AZ1887" s="87"/>
      <c r="BA1887" s="87"/>
      <c r="BB1887" s="87"/>
      <c r="BC1887" s="87"/>
      <c r="BD1887" s="87"/>
      <c r="BE1887" s="87"/>
      <c r="BF1887" s="87"/>
      <c r="BG1887" s="87"/>
      <c r="BH1887" s="87"/>
      <c r="BI1887" s="87"/>
      <c r="BJ1887" s="87"/>
      <c r="BK1887" s="87"/>
      <c r="BL1887" s="87"/>
      <c r="BM1887" s="87"/>
      <c r="BN1887" s="87"/>
      <c r="BO1887" s="87"/>
      <c r="BP1887" s="87"/>
      <c r="BQ1887" s="87"/>
      <c r="BR1887" s="87"/>
      <c r="BS1887" s="87"/>
      <c r="BT1887" s="87"/>
      <c r="BU1887" s="87"/>
      <c r="BV1887" s="87"/>
      <c r="BW1887" s="87"/>
      <c r="BX1887" s="87"/>
      <c r="BY1887" s="87"/>
    </row>
    <row r="1888" spans="21:77" x14ac:dyDescent="0.3">
      <c r="U1888" s="19"/>
      <c r="V1888" s="87"/>
      <c r="W1888" s="87"/>
      <c r="X1888" s="87"/>
      <c r="Y1888" s="87"/>
      <c r="Z1888" s="87"/>
      <c r="AA1888" s="87"/>
      <c r="AB1888" s="87"/>
      <c r="AC1888" s="87"/>
      <c r="AD1888" s="87"/>
      <c r="AE1888" s="87"/>
      <c r="AF1888" s="87"/>
      <c r="AG1888" s="87"/>
      <c r="AH1888" s="87"/>
      <c r="AI1888" s="87"/>
      <c r="AJ1888" s="87"/>
      <c r="AK1888" s="87"/>
      <c r="AL1888" s="87"/>
      <c r="AM1888" s="87"/>
      <c r="AN1888" s="87"/>
      <c r="AO1888" s="87"/>
      <c r="AP1888" s="87"/>
      <c r="AQ1888" s="87"/>
      <c r="AR1888" s="87"/>
      <c r="AS1888" s="87"/>
      <c r="AT1888" s="87"/>
      <c r="AU1888" s="87"/>
      <c r="AV1888" s="87"/>
      <c r="AW1888" s="87"/>
      <c r="AX1888" s="87"/>
      <c r="AY1888" s="87"/>
      <c r="AZ1888" s="87"/>
      <c r="BA1888" s="87"/>
      <c r="BB1888" s="87"/>
      <c r="BC1888" s="87"/>
      <c r="BD1888" s="87"/>
      <c r="BE1888" s="87"/>
      <c r="BF1888" s="87"/>
      <c r="BG1888" s="87"/>
      <c r="BH1888" s="87"/>
      <c r="BI1888" s="87"/>
      <c r="BJ1888" s="87"/>
      <c r="BK1888" s="87"/>
      <c r="BL1888" s="87"/>
      <c r="BM1888" s="87"/>
      <c r="BN1888" s="87"/>
      <c r="BO1888" s="87"/>
      <c r="BP1888" s="87"/>
      <c r="BQ1888" s="87"/>
      <c r="BR1888" s="87"/>
      <c r="BS1888" s="87"/>
      <c r="BT1888" s="87"/>
      <c r="BU1888" s="87"/>
      <c r="BV1888" s="87"/>
      <c r="BW1888" s="87"/>
      <c r="BX1888" s="87"/>
      <c r="BY1888" s="87"/>
    </row>
    <row r="1889" spans="21:77" x14ac:dyDescent="0.3">
      <c r="U1889" s="19"/>
      <c r="V1889" s="87"/>
      <c r="W1889" s="87"/>
      <c r="X1889" s="87"/>
      <c r="Y1889" s="87"/>
      <c r="Z1889" s="87"/>
      <c r="AA1889" s="87"/>
      <c r="AB1889" s="87"/>
      <c r="AC1889" s="87"/>
      <c r="AD1889" s="87"/>
      <c r="AE1889" s="87"/>
      <c r="AF1889" s="87"/>
      <c r="AG1889" s="87"/>
      <c r="AH1889" s="87"/>
      <c r="AI1889" s="87"/>
      <c r="AJ1889" s="87"/>
      <c r="AK1889" s="87"/>
      <c r="AL1889" s="87"/>
      <c r="AM1889" s="87"/>
      <c r="AN1889" s="87"/>
      <c r="AO1889" s="87"/>
      <c r="AP1889" s="87"/>
      <c r="AQ1889" s="87"/>
      <c r="AR1889" s="87"/>
      <c r="AS1889" s="87"/>
      <c r="AT1889" s="87"/>
      <c r="AU1889" s="87"/>
      <c r="AV1889" s="87"/>
      <c r="AW1889" s="87"/>
      <c r="AX1889" s="87"/>
      <c r="AY1889" s="87"/>
      <c r="AZ1889" s="87"/>
      <c r="BA1889" s="87"/>
      <c r="BB1889" s="87"/>
      <c r="BC1889" s="87"/>
      <c r="BD1889" s="87"/>
      <c r="BE1889" s="87"/>
      <c r="BF1889" s="87"/>
      <c r="BG1889" s="87"/>
      <c r="BH1889" s="87"/>
      <c r="BI1889" s="87"/>
      <c r="BJ1889" s="87"/>
      <c r="BK1889" s="87"/>
      <c r="BL1889" s="87"/>
      <c r="BM1889" s="87"/>
      <c r="BN1889" s="87"/>
      <c r="BO1889" s="87"/>
      <c r="BP1889" s="87"/>
      <c r="BQ1889" s="87"/>
      <c r="BR1889" s="87"/>
      <c r="BS1889" s="87"/>
      <c r="BT1889" s="87"/>
      <c r="BU1889" s="87"/>
      <c r="BV1889" s="87"/>
      <c r="BW1889" s="87"/>
      <c r="BX1889" s="87"/>
      <c r="BY1889" s="87"/>
    </row>
    <row r="1890" spans="21:77" x14ac:dyDescent="0.3">
      <c r="U1890" s="19"/>
      <c r="V1890" s="87"/>
      <c r="W1890" s="87"/>
      <c r="X1890" s="87"/>
      <c r="Y1890" s="87"/>
      <c r="Z1890" s="87"/>
      <c r="AA1890" s="87"/>
      <c r="AB1890" s="87"/>
      <c r="AC1890" s="87"/>
      <c r="AD1890" s="87"/>
      <c r="AE1890" s="87"/>
      <c r="AF1890" s="87"/>
      <c r="AG1890" s="87"/>
      <c r="AH1890" s="87"/>
      <c r="AI1890" s="87"/>
      <c r="AJ1890" s="87"/>
      <c r="AK1890" s="87"/>
      <c r="AL1890" s="87"/>
      <c r="AM1890" s="87"/>
      <c r="AN1890" s="87"/>
      <c r="AO1890" s="87"/>
      <c r="AP1890" s="87"/>
      <c r="AQ1890" s="87"/>
      <c r="AR1890" s="87"/>
      <c r="AS1890" s="87"/>
      <c r="AT1890" s="87"/>
      <c r="AU1890" s="87"/>
      <c r="AV1890" s="87"/>
      <c r="AW1890" s="87"/>
      <c r="AX1890" s="87"/>
      <c r="AY1890" s="87"/>
      <c r="AZ1890" s="87"/>
      <c r="BA1890" s="87"/>
      <c r="BB1890" s="87"/>
      <c r="BC1890" s="87"/>
      <c r="BD1890" s="87"/>
      <c r="BE1890" s="87"/>
      <c r="BF1890" s="87"/>
      <c r="BG1890" s="87"/>
      <c r="BH1890" s="87"/>
      <c r="BI1890" s="87"/>
      <c r="BJ1890" s="87"/>
      <c r="BK1890" s="87"/>
      <c r="BL1890" s="87"/>
      <c r="BM1890" s="87"/>
      <c r="BN1890" s="87"/>
      <c r="BO1890" s="87"/>
      <c r="BP1890" s="87"/>
      <c r="BQ1890" s="87"/>
      <c r="BR1890" s="87"/>
      <c r="BS1890" s="87"/>
      <c r="BT1890" s="87"/>
      <c r="BU1890" s="87"/>
      <c r="BV1890" s="87"/>
      <c r="BW1890" s="87"/>
      <c r="BX1890" s="87"/>
      <c r="BY1890" s="87"/>
    </row>
    <row r="1891" spans="21:77" x14ac:dyDescent="0.3">
      <c r="U1891" s="19"/>
      <c r="V1891" s="87"/>
      <c r="W1891" s="87"/>
      <c r="X1891" s="87"/>
      <c r="Y1891" s="87"/>
      <c r="Z1891" s="87"/>
      <c r="AA1891" s="87"/>
      <c r="AB1891" s="87"/>
      <c r="AC1891" s="87"/>
      <c r="AD1891" s="87"/>
      <c r="AE1891" s="87"/>
      <c r="AF1891" s="87"/>
      <c r="AG1891" s="87"/>
      <c r="AH1891" s="87"/>
      <c r="AI1891" s="87"/>
      <c r="AJ1891" s="87"/>
      <c r="AK1891" s="87"/>
      <c r="AL1891" s="87"/>
      <c r="AM1891" s="87"/>
      <c r="AN1891" s="87"/>
      <c r="AO1891" s="87"/>
      <c r="AP1891" s="87"/>
      <c r="AQ1891" s="87"/>
      <c r="AR1891" s="87"/>
      <c r="AS1891" s="87"/>
      <c r="AT1891" s="87"/>
      <c r="AU1891" s="87"/>
      <c r="AV1891" s="87"/>
      <c r="AW1891" s="87"/>
      <c r="AX1891" s="87"/>
      <c r="AY1891" s="87"/>
      <c r="AZ1891" s="87"/>
      <c r="BA1891" s="87"/>
      <c r="BB1891" s="87"/>
      <c r="BC1891" s="87"/>
      <c r="BD1891" s="87"/>
      <c r="BE1891" s="87"/>
      <c r="BF1891" s="87"/>
      <c r="BG1891" s="87"/>
      <c r="BH1891" s="87"/>
      <c r="BI1891" s="87"/>
      <c r="BJ1891" s="87"/>
      <c r="BK1891" s="87"/>
      <c r="BL1891" s="87"/>
      <c r="BM1891" s="87"/>
      <c r="BN1891" s="87"/>
      <c r="BO1891" s="87"/>
      <c r="BP1891" s="87"/>
      <c r="BQ1891" s="87"/>
      <c r="BR1891" s="87"/>
      <c r="BS1891" s="87"/>
      <c r="BT1891" s="87"/>
      <c r="BU1891" s="87"/>
      <c r="BV1891" s="87"/>
      <c r="BW1891" s="87"/>
      <c r="BX1891" s="87"/>
      <c r="BY1891" s="87"/>
    </row>
    <row r="1892" spans="21:77" x14ac:dyDescent="0.3">
      <c r="U1892" s="19"/>
      <c r="V1892" s="87"/>
      <c r="W1892" s="87"/>
      <c r="X1892" s="87"/>
      <c r="Y1892" s="87"/>
      <c r="Z1892" s="87"/>
      <c r="AA1892" s="87"/>
      <c r="AB1892" s="87"/>
      <c r="AC1892" s="87"/>
      <c r="AD1892" s="87"/>
      <c r="AE1892" s="87"/>
      <c r="AF1892" s="87"/>
      <c r="AG1892" s="87"/>
      <c r="AH1892" s="87"/>
      <c r="AI1892" s="87"/>
      <c r="AJ1892" s="87"/>
      <c r="AK1892" s="87"/>
      <c r="AL1892" s="87"/>
      <c r="AM1892" s="87"/>
      <c r="AN1892" s="87"/>
      <c r="AO1892" s="87"/>
      <c r="AP1892" s="87"/>
      <c r="AQ1892" s="87"/>
      <c r="AR1892" s="87"/>
      <c r="AS1892" s="87"/>
      <c r="AT1892" s="87"/>
      <c r="AU1892" s="87"/>
      <c r="AV1892" s="87"/>
      <c r="AW1892" s="87"/>
      <c r="AX1892" s="87"/>
      <c r="AY1892" s="87"/>
      <c r="AZ1892" s="87"/>
      <c r="BA1892" s="87"/>
      <c r="BB1892" s="87"/>
      <c r="BC1892" s="87"/>
      <c r="BD1892" s="87"/>
      <c r="BE1892" s="87"/>
      <c r="BF1892" s="87"/>
      <c r="BG1892" s="87"/>
      <c r="BH1892" s="87"/>
      <c r="BI1892" s="87"/>
      <c r="BJ1892" s="87"/>
      <c r="BK1892" s="87"/>
      <c r="BL1892" s="87"/>
      <c r="BM1892" s="87"/>
      <c r="BN1892" s="87"/>
      <c r="BO1892" s="87"/>
      <c r="BP1892" s="87"/>
      <c r="BQ1892" s="87"/>
      <c r="BR1892" s="87"/>
      <c r="BS1892" s="87"/>
      <c r="BT1892" s="87"/>
      <c r="BU1892" s="87"/>
      <c r="BV1892" s="87"/>
      <c r="BW1892" s="87"/>
      <c r="BX1892" s="87"/>
      <c r="BY1892" s="87"/>
    </row>
    <row r="1893" spans="21:77" x14ac:dyDescent="0.3">
      <c r="U1893" s="19"/>
      <c r="V1893" s="87"/>
      <c r="W1893" s="87"/>
      <c r="X1893" s="87"/>
      <c r="Y1893" s="87"/>
      <c r="Z1893" s="87"/>
      <c r="AA1893" s="87"/>
      <c r="AB1893" s="87"/>
      <c r="AC1893" s="87"/>
      <c r="AD1893" s="87"/>
      <c r="AE1893" s="87"/>
      <c r="AF1893" s="87"/>
      <c r="AG1893" s="87"/>
      <c r="AH1893" s="87"/>
      <c r="AI1893" s="87"/>
      <c r="AJ1893" s="87"/>
      <c r="AK1893" s="87"/>
      <c r="AL1893" s="87"/>
      <c r="AM1893" s="87"/>
      <c r="AN1893" s="87"/>
      <c r="AO1893" s="87"/>
      <c r="AP1893" s="87"/>
      <c r="AQ1893" s="87"/>
      <c r="AR1893" s="87"/>
      <c r="AS1893" s="87"/>
      <c r="AT1893" s="87"/>
      <c r="AU1893" s="87"/>
      <c r="AV1893" s="87"/>
      <c r="AW1893" s="87"/>
      <c r="AX1893" s="87"/>
      <c r="AY1893" s="87"/>
      <c r="AZ1893" s="87"/>
      <c r="BA1893" s="87"/>
      <c r="BB1893" s="87"/>
      <c r="BC1893" s="87"/>
      <c r="BD1893" s="87"/>
      <c r="BE1893" s="87"/>
      <c r="BF1893" s="87"/>
      <c r="BG1893" s="87"/>
      <c r="BH1893" s="87"/>
      <c r="BI1893" s="87"/>
      <c r="BJ1893" s="87"/>
      <c r="BK1893" s="87"/>
      <c r="BL1893" s="87"/>
      <c r="BM1893" s="87"/>
      <c r="BN1893" s="87"/>
      <c r="BO1893" s="87"/>
      <c r="BP1893" s="87"/>
      <c r="BQ1893" s="87"/>
      <c r="BR1893" s="87"/>
      <c r="BS1893" s="87"/>
      <c r="BT1893" s="87"/>
      <c r="BU1893" s="87"/>
      <c r="BV1893" s="87"/>
      <c r="BW1893" s="87"/>
      <c r="BX1893" s="87"/>
      <c r="BY1893" s="87"/>
    </row>
    <row r="1894" spans="21:77" x14ac:dyDescent="0.3">
      <c r="U1894" s="19"/>
      <c r="V1894" s="87"/>
      <c r="W1894" s="87"/>
      <c r="X1894" s="87"/>
      <c r="Y1894" s="87"/>
      <c r="Z1894" s="87"/>
      <c r="AA1894" s="87"/>
      <c r="AB1894" s="87"/>
      <c r="AC1894" s="87"/>
      <c r="AD1894" s="87"/>
      <c r="AE1894" s="87"/>
      <c r="AF1894" s="87"/>
      <c r="AG1894" s="87"/>
      <c r="AH1894" s="87"/>
      <c r="AI1894" s="87"/>
      <c r="AJ1894" s="87"/>
      <c r="AK1894" s="87"/>
      <c r="AL1894" s="87"/>
      <c r="AM1894" s="87"/>
      <c r="AN1894" s="87"/>
      <c r="AO1894" s="87"/>
      <c r="AP1894" s="87"/>
      <c r="AQ1894" s="87"/>
      <c r="AR1894" s="87"/>
      <c r="AS1894" s="87"/>
      <c r="AT1894" s="87"/>
      <c r="AU1894" s="87"/>
      <c r="AV1894" s="87"/>
      <c r="AW1894" s="87"/>
      <c r="AX1894" s="87"/>
      <c r="AY1894" s="87"/>
      <c r="AZ1894" s="87"/>
      <c r="BA1894" s="87"/>
      <c r="BB1894" s="87"/>
      <c r="BC1894" s="87"/>
      <c r="BD1894" s="87"/>
      <c r="BE1894" s="87"/>
      <c r="BF1894" s="87"/>
      <c r="BG1894" s="87"/>
      <c r="BH1894" s="87"/>
      <c r="BI1894" s="87"/>
      <c r="BJ1894" s="87"/>
      <c r="BK1894" s="87"/>
      <c r="BL1894" s="87"/>
      <c r="BM1894" s="87"/>
      <c r="BN1894" s="87"/>
      <c r="BO1894" s="87"/>
      <c r="BP1894" s="87"/>
      <c r="BQ1894" s="87"/>
      <c r="BR1894" s="87"/>
      <c r="BS1894" s="87"/>
      <c r="BT1894" s="87"/>
      <c r="BU1894" s="87"/>
      <c r="BV1894" s="87"/>
      <c r="BW1894" s="87"/>
      <c r="BX1894" s="87"/>
      <c r="BY1894" s="87"/>
    </row>
    <row r="1895" spans="21:77" x14ac:dyDescent="0.3">
      <c r="U1895" s="19"/>
      <c r="V1895" s="87"/>
      <c r="W1895" s="87"/>
      <c r="X1895" s="87"/>
      <c r="Y1895" s="87"/>
      <c r="Z1895" s="87"/>
      <c r="AA1895" s="87"/>
      <c r="AB1895" s="87"/>
      <c r="AC1895" s="87"/>
      <c r="AD1895" s="87"/>
      <c r="AE1895" s="87"/>
      <c r="AF1895" s="87"/>
      <c r="AG1895" s="87"/>
      <c r="AH1895" s="87"/>
      <c r="AI1895" s="87"/>
      <c r="AJ1895" s="87"/>
      <c r="AK1895" s="87"/>
      <c r="AL1895" s="87"/>
      <c r="AM1895" s="87"/>
      <c r="AN1895" s="87"/>
      <c r="AO1895" s="87"/>
      <c r="AP1895" s="87"/>
      <c r="AQ1895" s="87"/>
      <c r="AR1895" s="87"/>
      <c r="AS1895" s="87"/>
      <c r="AT1895" s="87"/>
      <c r="AU1895" s="87"/>
      <c r="AV1895" s="87"/>
      <c r="AW1895" s="87"/>
      <c r="AX1895" s="87"/>
      <c r="AY1895" s="87"/>
      <c r="AZ1895" s="87"/>
      <c r="BA1895" s="87"/>
      <c r="BB1895" s="87"/>
      <c r="BC1895" s="87"/>
      <c r="BD1895" s="87"/>
      <c r="BE1895" s="87"/>
      <c r="BF1895" s="87"/>
      <c r="BG1895" s="87"/>
      <c r="BH1895" s="87"/>
      <c r="BI1895" s="87"/>
      <c r="BJ1895" s="87"/>
      <c r="BK1895" s="87"/>
      <c r="BL1895" s="87"/>
      <c r="BM1895" s="87"/>
      <c r="BN1895" s="87"/>
      <c r="BO1895" s="87"/>
      <c r="BP1895" s="87"/>
      <c r="BQ1895" s="87"/>
      <c r="BR1895" s="87"/>
      <c r="BS1895" s="87"/>
      <c r="BT1895" s="87"/>
      <c r="BU1895" s="87"/>
      <c r="BV1895" s="87"/>
      <c r="BW1895" s="87"/>
      <c r="BX1895" s="87"/>
      <c r="BY1895" s="87"/>
    </row>
    <row r="1896" spans="21:77" x14ac:dyDescent="0.3">
      <c r="U1896" s="19"/>
      <c r="V1896" s="87"/>
      <c r="W1896" s="87"/>
      <c r="X1896" s="87"/>
      <c r="Y1896" s="87"/>
      <c r="Z1896" s="87"/>
      <c r="AA1896" s="87"/>
      <c r="AB1896" s="87"/>
      <c r="AC1896" s="87"/>
      <c r="AD1896" s="87"/>
      <c r="AE1896" s="87"/>
      <c r="AF1896" s="87"/>
      <c r="AG1896" s="87"/>
      <c r="AH1896" s="87"/>
      <c r="AI1896" s="87"/>
      <c r="AJ1896" s="87"/>
      <c r="AK1896" s="87"/>
      <c r="AL1896" s="87"/>
      <c r="AM1896" s="87"/>
      <c r="AN1896" s="87"/>
      <c r="AO1896" s="87"/>
      <c r="AP1896" s="87"/>
      <c r="AQ1896" s="87"/>
      <c r="AR1896" s="87"/>
      <c r="AS1896" s="87"/>
      <c r="AT1896" s="87"/>
      <c r="AU1896" s="87"/>
      <c r="AV1896" s="87"/>
      <c r="AW1896" s="87"/>
      <c r="AX1896" s="87"/>
      <c r="AY1896" s="87"/>
      <c r="AZ1896" s="87"/>
      <c r="BA1896" s="87"/>
      <c r="BB1896" s="87"/>
      <c r="BC1896" s="87"/>
      <c r="BD1896" s="87"/>
      <c r="BE1896" s="87"/>
      <c r="BF1896" s="87"/>
      <c r="BG1896" s="87"/>
      <c r="BH1896" s="87"/>
      <c r="BI1896" s="87"/>
      <c r="BJ1896" s="87"/>
      <c r="BK1896" s="87"/>
      <c r="BL1896" s="87"/>
      <c r="BM1896" s="87"/>
      <c r="BN1896" s="87"/>
      <c r="BO1896" s="87"/>
      <c r="BP1896" s="87"/>
      <c r="BQ1896" s="87"/>
      <c r="BR1896" s="87"/>
      <c r="BS1896" s="87"/>
      <c r="BT1896" s="87"/>
      <c r="BU1896" s="87"/>
      <c r="BV1896" s="87"/>
      <c r="BW1896" s="87"/>
      <c r="BX1896" s="87"/>
      <c r="BY1896" s="87"/>
    </row>
    <row r="1897" spans="21:77" x14ac:dyDescent="0.3">
      <c r="U1897" s="19"/>
      <c r="V1897" s="87"/>
      <c r="W1897" s="87"/>
      <c r="X1897" s="87"/>
      <c r="Y1897" s="87"/>
      <c r="Z1897" s="87"/>
      <c r="AA1897" s="87"/>
      <c r="AB1897" s="87"/>
      <c r="AC1897" s="87"/>
      <c r="AD1897" s="87"/>
      <c r="AE1897" s="87"/>
      <c r="AF1897" s="87"/>
      <c r="AG1897" s="87"/>
      <c r="AH1897" s="87"/>
      <c r="AI1897" s="87"/>
      <c r="AJ1897" s="87"/>
      <c r="AK1897" s="87"/>
      <c r="AL1897" s="87"/>
      <c r="AM1897" s="87"/>
      <c r="AN1897" s="87"/>
      <c r="AO1897" s="87"/>
      <c r="AP1897" s="87"/>
      <c r="AQ1897" s="87"/>
      <c r="AR1897" s="87"/>
      <c r="AS1897" s="87"/>
      <c r="AT1897" s="87"/>
      <c r="AU1897" s="87"/>
      <c r="AV1897" s="87"/>
      <c r="AW1897" s="87"/>
      <c r="AX1897" s="87"/>
      <c r="AY1897" s="87"/>
      <c r="AZ1897" s="87"/>
      <c r="BA1897" s="87"/>
      <c r="BB1897" s="87"/>
      <c r="BC1897" s="87"/>
      <c r="BD1897" s="87"/>
      <c r="BE1897" s="87"/>
      <c r="BF1897" s="87"/>
      <c r="BG1897" s="87"/>
      <c r="BH1897" s="87"/>
      <c r="BI1897" s="87"/>
      <c r="BJ1897" s="87"/>
      <c r="BK1897" s="87"/>
      <c r="BL1897" s="87"/>
      <c r="BM1897" s="87"/>
      <c r="BN1897" s="87"/>
      <c r="BO1897" s="87"/>
      <c r="BP1897" s="87"/>
      <c r="BQ1897" s="87"/>
      <c r="BR1897" s="87"/>
      <c r="BS1897" s="87"/>
      <c r="BT1897" s="87"/>
      <c r="BU1897" s="87"/>
      <c r="BV1897" s="87"/>
      <c r="BW1897" s="87"/>
      <c r="BX1897" s="87"/>
      <c r="BY1897" s="87"/>
    </row>
    <row r="1898" spans="21:77" x14ac:dyDescent="0.3">
      <c r="U1898" s="19"/>
      <c r="V1898" s="87"/>
      <c r="W1898" s="87"/>
      <c r="X1898" s="87"/>
      <c r="Y1898" s="87"/>
      <c r="Z1898" s="87"/>
      <c r="AA1898" s="87"/>
      <c r="AB1898" s="87"/>
      <c r="AC1898" s="87"/>
      <c r="AD1898" s="87"/>
      <c r="AE1898" s="87"/>
      <c r="AF1898" s="87"/>
      <c r="AG1898" s="87"/>
      <c r="AH1898" s="87"/>
      <c r="AI1898" s="87"/>
      <c r="AJ1898" s="87"/>
      <c r="AK1898" s="87"/>
      <c r="AL1898" s="87"/>
      <c r="AM1898" s="87"/>
      <c r="AN1898" s="87"/>
      <c r="AO1898" s="87"/>
      <c r="AP1898" s="87"/>
      <c r="AQ1898" s="87"/>
      <c r="AR1898" s="87"/>
      <c r="AS1898" s="87"/>
      <c r="AT1898" s="87"/>
      <c r="AU1898" s="87"/>
      <c r="AV1898" s="87"/>
      <c r="AW1898" s="87"/>
      <c r="AX1898" s="87"/>
      <c r="AY1898" s="87"/>
      <c r="AZ1898" s="87"/>
      <c r="BA1898" s="87"/>
      <c r="BB1898" s="87"/>
      <c r="BC1898" s="87"/>
      <c r="BD1898" s="87"/>
      <c r="BE1898" s="87"/>
      <c r="BF1898" s="87"/>
      <c r="BG1898" s="87"/>
      <c r="BH1898" s="87"/>
      <c r="BI1898" s="87"/>
      <c r="BJ1898" s="87"/>
      <c r="BK1898" s="87"/>
      <c r="BL1898" s="87"/>
      <c r="BM1898" s="87"/>
      <c r="BN1898" s="87"/>
      <c r="BO1898" s="87"/>
      <c r="BP1898" s="87"/>
      <c r="BQ1898" s="87"/>
      <c r="BR1898" s="87"/>
      <c r="BS1898" s="87"/>
      <c r="BT1898" s="87"/>
      <c r="BU1898" s="87"/>
      <c r="BV1898" s="87"/>
      <c r="BW1898" s="87"/>
      <c r="BX1898" s="87"/>
      <c r="BY1898" s="87"/>
    </row>
    <row r="1899" spans="21:77" x14ac:dyDescent="0.3">
      <c r="U1899" s="19"/>
      <c r="V1899" s="87"/>
      <c r="W1899" s="87"/>
      <c r="X1899" s="87"/>
      <c r="Y1899" s="87"/>
      <c r="Z1899" s="87"/>
      <c r="AA1899" s="87"/>
      <c r="AB1899" s="87"/>
      <c r="AC1899" s="87"/>
      <c r="AD1899" s="87"/>
      <c r="AE1899" s="87"/>
      <c r="AF1899" s="87"/>
      <c r="AG1899" s="87"/>
      <c r="AH1899" s="87"/>
      <c r="AI1899" s="87"/>
      <c r="AJ1899" s="87"/>
      <c r="AK1899" s="87"/>
      <c r="AL1899" s="87"/>
      <c r="AM1899" s="87"/>
      <c r="AN1899" s="87"/>
      <c r="AO1899" s="87"/>
      <c r="AP1899" s="87"/>
      <c r="AQ1899" s="87"/>
      <c r="AR1899" s="87"/>
      <c r="AS1899" s="87"/>
      <c r="AT1899" s="87"/>
      <c r="AU1899" s="87"/>
      <c r="AV1899" s="87"/>
      <c r="AW1899" s="87"/>
      <c r="AX1899" s="87"/>
      <c r="AY1899" s="87"/>
      <c r="AZ1899" s="87"/>
      <c r="BA1899" s="87"/>
      <c r="BB1899" s="87"/>
      <c r="BC1899" s="87"/>
      <c r="BD1899" s="87"/>
      <c r="BE1899" s="87"/>
      <c r="BF1899" s="87"/>
      <c r="BG1899" s="87"/>
      <c r="BH1899" s="87"/>
      <c r="BI1899" s="87"/>
      <c r="BJ1899" s="87"/>
      <c r="BK1899" s="87"/>
      <c r="BL1899" s="87"/>
      <c r="BM1899" s="87"/>
      <c r="BN1899" s="87"/>
      <c r="BO1899" s="87"/>
      <c r="BP1899" s="87"/>
      <c r="BQ1899" s="87"/>
      <c r="BR1899" s="87"/>
      <c r="BS1899" s="87"/>
      <c r="BT1899" s="87"/>
      <c r="BU1899" s="87"/>
      <c r="BV1899" s="87"/>
      <c r="BW1899" s="87"/>
      <c r="BX1899" s="87"/>
      <c r="BY1899" s="87"/>
    </row>
    <row r="1900" spans="21:77" x14ac:dyDescent="0.3">
      <c r="U1900" s="19"/>
      <c r="V1900" s="87"/>
      <c r="W1900" s="87"/>
      <c r="X1900" s="87"/>
      <c r="Y1900" s="87"/>
      <c r="Z1900" s="87"/>
      <c r="AA1900" s="87"/>
      <c r="AB1900" s="87"/>
      <c r="AC1900" s="87"/>
      <c r="AD1900" s="87"/>
      <c r="AE1900" s="87"/>
      <c r="AF1900" s="87"/>
      <c r="AG1900" s="87"/>
      <c r="AH1900" s="87"/>
      <c r="AI1900" s="87"/>
      <c r="AJ1900" s="87"/>
      <c r="AK1900" s="87"/>
      <c r="AL1900" s="87"/>
      <c r="AM1900" s="87"/>
      <c r="AN1900" s="87"/>
      <c r="AO1900" s="87"/>
      <c r="AP1900" s="87"/>
      <c r="AQ1900" s="87"/>
      <c r="AR1900" s="87"/>
      <c r="AS1900" s="87"/>
      <c r="AT1900" s="87"/>
      <c r="AU1900" s="87"/>
      <c r="AV1900" s="87"/>
      <c r="AW1900" s="87"/>
      <c r="AX1900" s="87"/>
      <c r="AY1900" s="87"/>
      <c r="AZ1900" s="87"/>
      <c r="BA1900" s="87"/>
      <c r="BB1900" s="87"/>
      <c r="BC1900" s="87"/>
      <c r="BD1900" s="87"/>
      <c r="BE1900" s="87"/>
      <c r="BF1900" s="87"/>
      <c r="BG1900" s="87"/>
      <c r="BH1900" s="87"/>
      <c r="BI1900" s="87"/>
      <c r="BJ1900" s="87"/>
      <c r="BK1900" s="87"/>
      <c r="BL1900" s="87"/>
      <c r="BM1900" s="87"/>
      <c r="BN1900" s="87"/>
      <c r="BO1900" s="87"/>
      <c r="BP1900" s="87"/>
      <c r="BQ1900" s="87"/>
      <c r="BR1900" s="87"/>
      <c r="BS1900" s="87"/>
      <c r="BT1900" s="87"/>
      <c r="BU1900" s="87"/>
      <c r="BV1900" s="87"/>
      <c r="BW1900" s="87"/>
      <c r="BX1900" s="87"/>
      <c r="BY1900" s="87"/>
    </row>
    <row r="1901" spans="21:77" x14ac:dyDescent="0.3">
      <c r="U1901" s="19"/>
      <c r="V1901" s="87"/>
      <c r="W1901" s="87"/>
      <c r="X1901" s="87"/>
      <c r="Y1901" s="87"/>
      <c r="Z1901" s="87"/>
      <c r="AA1901" s="87"/>
      <c r="AB1901" s="87"/>
      <c r="AC1901" s="87"/>
      <c r="AD1901" s="87"/>
      <c r="AE1901" s="87"/>
      <c r="AF1901" s="87"/>
      <c r="AG1901" s="87"/>
      <c r="AH1901" s="87"/>
      <c r="AI1901" s="87"/>
      <c r="AJ1901" s="87"/>
      <c r="AK1901" s="87"/>
      <c r="AL1901" s="87"/>
      <c r="AM1901" s="87"/>
      <c r="AN1901" s="87"/>
      <c r="AO1901" s="87"/>
      <c r="AP1901" s="87"/>
      <c r="AQ1901" s="87"/>
      <c r="AR1901" s="87"/>
      <c r="AS1901" s="87"/>
      <c r="AT1901" s="87"/>
      <c r="AU1901" s="87"/>
      <c r="AV1901" s="87"/>
      <c r="AW1901" s="87"/>
      <c r="AX1901" s="87"/>
      <c r="AY1901" s="87"/>
      <c r="AZ1901" s="87"/>
      <c r="BA1901" s="87"/>
      <c r="BB1901" s="87"/>
      <c r="BC1901" s="87"/>
      <c r="BD1901" s="87"/>
      <c r="BE1901" s="87"/>
      <c r="BF1901" s="87"/>
      <c r="BG1901" s="87"/>
      <c r="BH1901" s="87"/>
      <c r="BI1901" s="87"/>
      <c r="BJ1901" s="87"/>
      <c r="BK1901" s="87"/>
      <c r="BL1901" s="87"/>
      <c r="BM1901" s="87"/>
      <c r="BN1901" s="87"/>
      <c r="BO1901" s="87"/>
      <c r="BP1901" s="87"/>
      <c r="BQ1901" s="87"/>
      <c r="BR1901" s="87"/>
      <c r="BS1901" s="87"/>
      <c r="BT1901" s="87"/>
      <c r="BU1901" s="87"/>
      <c r="BV1901" s="87"/>
      <c r="BW1901" s="87"/>
      <c r="BX1901" s="87"/>
      <c r="BY1901" s="87"/>
    </row>
    <row r="1902" spans="21:77" x14ac:dyDescent="0.3">
      <c r="U1902" s="19"/>
      <c r="V1902" s="87"/>
      <c r="W1902" s="87"/>
      <c r="X1902" s="87"/>
      <c r="Y1902" s="87"/>
      <c r="Z1902" s="87"/>
      <c r="AA1902" s="87"/>
      <c r="AB1902" s="87"/>
      <c r="AC1902" s="87"/>
      <c r="AD1902" s="87"/>
      <c r="AE1902" s="87"/>
      <c r="AF1902" s="87"/>
      <c r="AG1902" s="87"/>
      <c r="AH1902" s="87"/>
      <c r="AI1902" s="87"/>
      <c r="AJ1902" s="87"/>
      <c r="AK1902" s="87"/>
      <c r="AL1902" s="87"/>
      <c r="AM1902" s="87"/>
      <c r="AN1902" s="87"/>
      <c r="AO1902" s="87"/>
      <c r="AP1902" s="87"/>
      <c r="AQ1902" s="87"/>
      <c r="AR1902" s="87"/>
      <c r="AS1902" s="87"/>
      <c r="AT1902" s="87"/>
      <c r="AU1902" s="87"/>
      <c r="AV1902" s="87"/>
      <c r="AW1902" s="87"/>
      <c r="AX1902" s="87"/>
      <c r="AY1902" s="87"/>
      <c r="AZ1902" s="87"/>
      <c r="BA1902" s="87"/>
      <c r="BB1902" s="87"/>
      <c r="BC1902" s="87"/>
      <c r="BD1902" s="87"/>
      <c r="BE1902" s="87"/>
      <c r="BF1902" s="87"/>
      <c r="BG1902" s="87"/>
      <c r="BH1902" s="87"/>
      <c r="BI1902" s="87"/>
      <c r="BJ1902" s="87"/>
      <c r="BK1902" s="87"/>
      <c r="BL1902" s="87"/>
      <c r="BM1902" s="87"/>
      <c r="BN1902" s="87"/>
      <c r="BO1902" s="87"/>
      <c r="BP1902" s="87"/>
      <c r="BQ1902" s="87"/>
      <c r="BR1902" s="87"/>
      <c r="BS1902" s="87"/>
      <c r="BT1902" s="87"/>
      <c r="BU1902" s="87"/>
      <c r="BV1902" s="87"/>
      <c r="BW1902" s="87"/>
      <c r="BX1902" s="87"/>
      <c r="BY1902" s="87"/>
    </row>
    <row r="1903" spans="21:77" x14ac:dyDescent="0.3">
      <c r="U1903" s="19"/>
      <c r="V1903" s="87"/>
      <c r="W1903" s="87"/>
      <c r="X1903" s="87"/>
      <c r="Y1903" s="87"/>
      <c r="Z1903" s="87"/>
      <c r="AA1903" s="87"/>
      <c r="AB1903" s="87"/>
      <c r="AC1903" s="87"/>
      <c r="AD1903" s="87"/>
      <c r="AE1903" s="87"/>
      <c r="AF1903" s="87"/>
      <c r="AG1903" s="87"/>
      <c r="AH1903" s="87"/>
      <c r="AI1903" s="87"/>
      <c r="AJ1903" s="87"/>
      <c r="AK1903" s="87"/>
      <c r="AL1903" s="87"/>
      <c r="AM1903" s="87"/>
      <c r="AN1903" s="87"/>
      <c r="AO1903" s="87"/>
      <c r="AP1903" s="87"/>
      <c r="AQ1903" s="87"/>
      <c r="AR1903" s="87"/>
      <c r="AS1903" s="87"/>
      <c r="AT1903" s="87"/>
      <c r="AU1903" s="87"/>
      <c r="AV1903" s="87"/>
      <c r="AW1903" s="87"/>
      <c r="AX1903" s="87"/>
      <c r="AY1903" s="87"/>
      <c r="AZ1903" s="87"/>
      <c r="BA1903" s="87"/>
      <c r="BB1903" s="87"/>
      <c r="BC1903" s="87"/>
      <c r="BD1903" s="87"/>
      <c r="BE1903" s="87"/>
      <c r="BF1903" s="87"/>
      <c r="BG1903" s="87"/>
      <c r="BH1903" s="87"/>
      <c r="BI1903" s="87"/>
      <c r="BJ1903" s="87"/>
      <c r="BK1903" s="87"/>
      <c r="BL1903" s="87"/>
      <c r="BM1903" s="87"/>
      <c r="BN1903" s="87"/>
      <c r="BO1903" s="87"/>
      <c r="BP1903" s="87"/>
      <c r="BQ1903" s="87"/>
      <c r="BR1903" s="87"/>
      <c r="BS1903" s="87"/>
      <c r="BT1903" s="87"/>
      <c r="BU1903" s="87"/>
      <c r="BV1903" s="87"/>
      <c r="BW1903" s="87"/>
      <c r="BX1903" s="87"/>
      <c r="BY1903" s="87"/>
    </row>
    <row r="1904" spans="21:77" x14ac:dyDescent="0.3">
      <c r="U1904" s="19"/>
      <c r="V1904" s="87"/>
      <c r="W1904" s="87"/>
      <c r="X1904" s="87"/>
      <c r="Y1904" s="87"/>
      <c r="Z1904" s="87"/>
      <c r="AA1904" s="87"/>
      <c r="AB1904" s="87"/>
      <c r="AC1904" s="87"/>
      <c r="AD1904" s="87"/>
      <c r="AE1904" s="87"/>
      <c r="AF1904" s="87"/>
      <c r="AG1904" s="87"/>
      <c r="AH1904" s="87"/>
      <c r="AI1904" s="87"/>
      <c r="AJ1904" s="87"/>
      <c r="AK1904" s="87"/>
      <c r="AL1904" s="87"/>
      <c r="AM1904" s="87"/>
      <c r="AN1904" s="87"/>
      <c r="AO1904" s="87"/>
      <c r="AP1904" s="87"/>
      <c r="AQ1904" s="87"/>
      <c r="AR1904" s="87"/>
      <c r="AS1904" s="87"/>
      <c r="AT1904" s="87"/>
      <c r="AU1904" s="87"/>
      <c r="AV1904" s="87"/>
      <c r="AW1904" s="87"/>
      <c r="AX1904" s="87"/>
      <c r="AY1904" s="87"/>
      <c r="AZ1904" s="87"/>
      <c r="BA1904" s="87"/>
      <c r="BB1904" s="87"/>
      <c r="BC1904" s="87"/>
      <c r="BD1904" s="87"/>
      <c r="BE1904" s="87"/>
      <c r="BF1904" s="87"/>
      <c r="BG1904" s="87"/>
      <c r="BH1904" s="87"/>
      <c r="BI1904" s="87"/>
      <c r="BJ1904" s="87"/>
      <c r="BK1904" s="87"/>
      <c r="BL1904" s="87"/>
      <c r="BM1904" s="87"/>
      <c r="BN1904" s="87"/>
      <c r="BO1904" s="87"/>
      <c r="BP1904" s="87"/>
      <c r="BQ1904" s="87"/>
      <c r="BR1904" s="87"/>
      <c r="BS1904" s="87"/>
      <c r="BT1904" s="87"/>
      <c r="BU1904" s="87"/>
      <c r="BV1904" s="87"/>
      <c r="BW1904" s="87"/>
      <c r="BX1904" s="87"/>
      <c r="BY1904" s="87"/>
    </row>
    <row r="1905" spans="21:77" x14ac:dyDescent="0.3">
      <c r="U1905" s="19"/>
      <c r="V1905" s="87"/>
      <c r="W1905" s="87"/>
      <c r="X1905" s="87"/>
      <c r="Y1905" s="87"/>
      <c r="Z1905" s="87"/>
      <c r="AA1905" s="87"/>
      <c r="AB1905" s="87"/>
      <c r="AC1905" s="87"/>
      <c r="AD1905" s="87"/>
      <c r="AE1905" s="87"/>
      <c r="AF1905" s="87"/>
      <c r="AG1905" s="87"/>
      <c r="AH1905" s="87"/>
      <c r="AI1905" s="87"/>
      <c r="AJ1905" s="87"/>
      <c r="AK1905" s="87"/>
      <c r="AL1905" s="87"/>
      <c r="AM1905" s="87"/>
      <c r="AN1905" s="87"/>
      <c r="AO1905" s="87"/>
      <c r="AP1905" s="87"/>
      <c r="AQ1905" s="87"/>
      <c r="AR1905" s="87"/>
      <c r="AS1905" s="87"/>
      <c r="AT1905" s="87"/>
      <c r="AU1905" s="87"/>
      <c r="AV1905" s="87"/>
      <c r="AW1905" s="87"/>
      <c r="AX1905" s="87"/>
      <c r="AY1905" s="87"/>
      <c r="AZ1905" s="87"/>
      <c r="BA1905" s="87"/>
      <c r="BB1905" s="87"/>
      <c r="BC1905" s="87"/>
      <c r="BD1905" s="87"/>
      <c r="BE1905" s="87"/>
      <c r="BF1905" s="87"/>
      <c r="BG1905" s="87"/>
      <c r="BH1905" s="87"/>
      <c r="BI1905" s="87"/>
      <c r="BJ1905" s="87"/>
      <c r="BK1905" s="87"/>
      <c r="BL1905" s="87"/>
      <c r="BM1905" s="87"/>
      <c r="BN1905" s="87"/>
      <c r="BO1905" s="87"/>
      <c r="BP1905" s="87"/>
      <c r="BQ1905" s="87"/>
      <c r="BR1905" s="87"/>
      <c r="BS1905" s="87"/>
      <c r="BT1905" s="87"/>
      <c r="BU1905" s="87"/>
      <c r="BV1905" s="87"/>
      <c r="BW1905" s="87"/>
      <c r="BX1905" s="87"/>
      <c r="BY1905" s="87"/>
    </row>
    <row r="1906" spans="21:77" x14ac:dyDescent="0.3">
      <c r="U1906" s="19"/>
      <c r="V1906" s="87"/>
      <c r="W1906" s="87"/>
      <c r="X1906" s="87"/>
      <c r="Y1906" s="87"/>
      <c r="Z1906" s="87"/>
      <c r="AA1906" s="87"/>
      <c r="AB1906" s="87"/>
      <c r="AC1906" s="87"/>
      <c r="AD1906" s="87"/>
      <c r="AE1906" s="87"/>
      <c r="AF1906" s="87"/>
      <c r="AG1906" s="87"/>
      <c r="AH1906" s="87"/>
      <c r="AI1906" s="87"/>
      <c r="AJ1906" s="87"/>
      <c r="AK1906" s="87"/>
      <c r="AL1906" s="87"/>
      <c r="AM1906" s="87"/>
      <c r="AN1906" s="87"/>
      <c r="AO1906" s="87"/>
      <c r="AP1906" s="87"/>
      <c r="AQ1906" s="87"/>
      <c r="AR1906" s="87"/>
      <c r="AS1906" s="87"/>
      <c r="AT1906" s="87"/>
      <c r="AU1906" s="87"/>
      <c r="AV1906" s="87"/>
      <c r="AW1906" s="87"/>
      <c r="AX1906" s="87"/>
      <c r="AY1906" s="87"/>
      <c r="AZ1906" s="87"/>
      <c r="BA1906" s="87"/>
      <c r="BB1906" s="87"/>
      <c r="BC1906" s="87"/>
      <c r="BD1906" s="87"/>
      <c r="BE1906" s="87"/>
      <c r="BF1906" s="87"/>
      <c r="BG1906" s="87"/>
      <c r="BH1906" s="87"/>
      <c r="BI1906" s="87"/>
      <c r="BJ1906" s="87"/>
      <c r="BK1906" s="87"/>
      <c r="BL1906" s="87"/>
      <c r="BM1906" s="87"/>
      <c r="BN1906" s="87"/>
      <c r="BO1906" s="87"/>
      <c r="BP1906" s="87"/>
      <c r="BQ1906" s="87"/>
      <c r="BR1906" s="87"/>
      <c r="BS1906" s="87"/>
      <c r="BT1906" s="87"/>
      <c r="BU1906" s="87"/>
      <c r="BV1906" s="87"/>
      <c r="BW1906" s="87"/>
      <c r="BX1906" s="87"/>
      <c r="BY1906" s="87"/>
    </row>
    <row r="1907" spans="21:77" x14ac:dyDescent="0.3">
      <c r="U1907" s="19"/>
      <c r="V1907" s="87"/>
      <c r="W1907" s="87"/>
      <c r="X1907" s="87"/>
      <c r="Y1907" s="87"/>
      <c r="Z1907" s="87"/>
      <c r="AA1907" s="87"/>
      <c r="AB1907" s="87"/>
      <c r="AC1907" s="87"/>
      <c r="AD1907" s="87"/>
      <c r="AE1907" s="87"/>
      <c r="AF1907" s="87"/>
      <c r="AG1907" s="87"/>
      <c r="AH1907" s="87"/>
      <c r="AI1907" s="87"/>
      <c r="AJ1907" s="87"/>
      <c r="AK1907" s="87"/>
      <c r="AL1907" s="87"/>
      <c r="AM1907" s="87"/>
      <c r="AN1907" s="87"/>
      <c r="AO1907" s="87"/>
      <c r="AP1907" s="87"/>
      <c r="AQ1907" s="87"/>
      <c r="AR1907" s="87"/>
      <c r="AS1907" s="87"/>
      <c r="AT1907" s="87"/>
      <c r="AU1907" s="87"/>
      <c r="AV1907" s="87"/>
      <c r="AW1907" s="87"/>
      <c r="AX1907" s="87"/>
      <c r="AY1907" s="87"/>
      <c r="AZ1907" s="87"/>
      <c r="BA1907" s="87"/>
      <c r="BB1907" s="87"/>
      <c r="BC1907" s="87"/>
      <c r="BD1907" s="87"/>
      <c r="BE1907" s="87"/>
      <c r="BF1907" s="87"/>
      <c r="BG1907" s="87"/>
      <c r="BH1907" s="87"/>
      <c r="BI1907" s="87"/>
      <c r="BJ1907" s="87"/>
      <c r="BK1907" s="87"/>
      <c r="BL1907" s="87"/>
      <c r="BM1907" s="87"/>
      <c r="BN1907" s="87"/>
      <c r="BO1907" s="87"/>
      <c r="BP1907" s="87"/>
      <c r="BQ1907" s="87"/>
      <c r="BR1907" s="87"/>
      <c r="BS1907" s="87"/>
      <c r="BT1907" s="87"/>
      <c r="BU1907" s="87"/>
      <c r="BV1907" s="87"/>
      <c r="BW1907" s="87"/>
      <c r="BX1907" s="87"/>
      <c r="BY1907" s="87"/>
    </row>
    <row r="1908" spans="21:77" x14ac:dyDescent="0.3">
      <c r="U1908" s="19"/>
      <c r="V1908" s="87"/>
      <c r="W1908" s="87"/>
      <c r="X1908" s="87"/>
      <c r="Y1908" s="87"/>
      <c r="Z1908" s="87"/>
      <c r="AA1908" s="87"/>
      <c r="AB1908" s="87"/>
      <c r="AC1908" s="87"/>
      <c r="AD1908" s="87"/>
      <c r="AE1908" s="87"/>
      <c r="AF1908" s="87"/>
      <c r="AG1908" s="87"/>
      <c r="AH1908" s="87"/>
      <c r="AI1908" s="87"/>
      <c r="AJ1908" s="87"/>
      <c r="AK1908" s="87"/>
      <c r="AL1908" s="87"/>
      <c r="AM1908" s="87"/>
      <c r="AN1908" s="87"/>
      <c r="AO1908" s="87"/>
      <c r="AP1908" s="87"/>
      <c r="AQ1908" s="87"/>
      <c r="AR1908" s="87"/>
      <c r="AS1908" s="87"/>
      <c r="AT1908" s="87"/>
      <c r="AU1908" s="87"/>
      <c r="AV1908" s="87"/>
      <c r="AW1908" s="87"/>
      <c r="AX1908" s="87"/>
      <c r="AY1908" s="87"/>
      <c r="AZ1908" s="87"/>
      <c r="BA1908" s="87"/>
      <c r="BB1908" s="87"/>
      <c r="BC1908" s="87"/>
      <c r="BD1908" s="87"/>
      <c r="BE1908" s="87"/>
      <c r="BF1908" s="87"/>
      <c r="BG1908" s="87"/>
      <c r="BH1908" s="87"/>
      <c r="BI1908" s="87"/>
      <c r="BJ1908" s="87"/>
      <c r="BK1908" s="87"/>
      <c r="BL1908" s="87"/>
      <c r="BM1908" s="87"/>
      <c r="BN1908" s="87"/>
      <c r="BO1908" s="87"/>
      <c r="BP1908" s="87"/>
      <c r="BQ1908" s="87"/>
      <c r="BR1908" s="87"/>
      <c r="BS1908" s="87"/>
      <c r="BT1908" s="87"/>
      <c r="BU1908" s="87"/>
      <c r="BV1908" s="87"/>
      <c r="BW1908" s="87"/>
      <c r="BX1908" s="87"/>
      <c r="BY1908" s="87"/>
    </row>
    <row r="1909" spans="21:77" x14ac:dyDescent="0.3">
      <c r="U1909" s="19"/>
      <c r="V1909" s="87"/>
      <c r="W1909" s="87"/>
      <c r="X1909" s="87"/>
      <c r="Y1909" s="87"/>
      <c r="Z1909" s="87"/>
      <c r="AA1909" s="87"/>
      <c r="AB1909" s="87"/>
      <c r="AC1909" s="87"/>
      <c r="AD1909" s="87"/>
      <c r="AE1909" s="87"/>
      <c r="AF1909" s="87"/>
      <c r="AG1909" s="87"/>
      <c r="AH1909" s="87"/>
      <c r="AI1909" s="87"/>
      <c r="AJ1909" s="87"/>
      <c r="AK1909" s="87"/>
      <c r="AL1909" s="87"/>
      <c r="AM1909" s="87"/>
      <c r="AN1909" s="87"/>
      <c r="AO1909" s="87"/>
      <c r="AP1909" s="87"/>
      <c r="AQ1909" s="87"/>
      <c r="AR1909" s="87"/>
      <c r="AS1909" s="87"/>
      <c r="AT1909" s="87"/>
      <c r="AU1909" s="87"/>
      <c r="AV1909" s="87"/>
      <c r="AW1909" s="87"/>
      <c r="AX1909" s="87"/>
      <c r="AY1909" s="87"/>
      <c r="AZ1909" s="87"/>
      <c r="BA1909" s="87"/>
      <c r="BB1909" s="87"/>
      <c r="BC1909" s="87"/>
      <c r="BD1909" s="87"/>
      <c r="BE1909" s="87"/>
      <c r="BF1909" s="87"/>
      <c r="BG1909" s="87"/>
      <c r="BH1909" s="87"/>
      <c r="BI1909" s="87"/>
      <c r="BJ1909" s="87"/>
      <c r="BK1909" s="87"/>
      <c r="BL1909" s="87"/>
      <c r="BM1909" s="87"/>
      <c r="BN1909" s="87"/>
      <c r="BO1909" s="87"/>
      <c r="BP1909" s="87"/>
      <c r="BQ1909" s="87"/>
      <c r="BR1909" s="87"/>
      <c r="BS1909" s="87"/>
      <c r="BT1909" s="87"/>
      <c r="BU1909" s="87"/>
      <c r="BV1909" s="87"/>
      <c r="BW1909" s="87"/>
      <c r="BX1909" s="87"/>
      <c r="BY1909" s="87"/>
    </row>
    <row r="1910" spans="21:77" x14ac:dyDescent="0.3">
      <c r="U1910" s="19"/>
      <c r="V1910" s="87"/>
      <c r="W1910" s="87"/>
      <c r="X1910" s="87"/>
      <c r="Y1910" s="87"/>
      <c r="Z1910" s="87"/>
      <c r="AA1910" s="87"/>
      <c r="AB1910" s="87"/>
      <c r="AC1910" s="87"/>
      <c r="AD1910" s="87"/>
      <c r="AE1910" s="87"/>
      <c r="AF1910" s="87"/>
      <c r="AG1910" s="87"/>
      <c r="AH1910" s="87"/>
      <c r="AI1910" s="87"/>
      <c r="AJ1910" s="87"/>
      <c r="AK1910" s="87"/>
      <c r="AL1910" s="87"/>
      <c r="AM1910" s="87"/>
      <c r="AN1910" s="87"/>
      <c r="AO1910" s="87"/>
      <c r="AP1910" s="87"/>
      <c r="AQ1910" s="87"/>
      <c r="AR1910" s="87"/>
      <c r="AS1910" s="87"/>
      <c r="AT1910" s="87"/>
      <c r="AU1910" s="87"/>
      <c r="AV1910" s="87"/>
      <c r="AW1910" s="87"/>
      <c r="AX1910" s="87"/>
      <c r="AY1910" s="87"/>
      <c r="AZ1910" s="87"/>
      <c r="BA1910" s="87"/>
      <c r="BB1910" s="87"/>
      <c r="BC1910" s="87"/>
      <c r="BD1910" s="87"/>
      <c r="BE1910" s="87"/>
      <c r="BF1910" s="87"/>
      <c r="BG1910" s="87"/>
      <c r="BH1910" s="87"/>
      <c r="BI1910" s="87"/>
      <c r="BJ1910" s="87"/>
      <c r="BK1910" s="87"/>
      <c r="BL1910" s="87"/>
      <c r="BM1910" s="87"/>
      <c r="BN1910" s="87"/>
      <c r="BO1910" s="87"/>
      <c r="BP1910" s="87"/>
      <c r="BQ1910" s="87"/>
      <c r="BR1910" s="87"/>
      <c r="BS1910" s="87"/>
      <c r="BT1910" s="87"/>
      <c r="BU1910" s="87"/>
      <c r="BV1910" s="87"/>
      <c r="BW1910" s="87"/>
      <c r="BX1910" s="87"/>
      <c r="BY1910" s="87"/>
    </row>
    <row r="1911" spans="21:77" x14ac:dyDescent="0.3">
      <c r="U1911" s="19"/>
      <c r="V1911" s="87"/>
      <c r="W1911" s="87"/>
      <c r="X1911" s="87"/>
      <c r="Y1911" s="87"/>
      <c r="Z1911" s="87"/>
      <c r="AA1911" s="87"/>
      <c r="AB1911" s="87"/>
      <c r="AC1911" s="87"/>
      <c r="AD1911" s="87"/>
      <c r="AE1911" s="87"/>
      <c r="AF1911" s="87"/>
      <c r="AG1911" s="87"/>
      <c r="AH1911" s="87"/>
      <c r="AI1911" s="87"/>
      <c r="AJ1911" s="87"/>
      <c r="AK1911" s="87"/>
      <c r="AL1911" s="87"/>
      <c r="AM1911" s="87"/>
      <c r="AN1911" s="87"/>
      <c r="AO1911" s="87"/>
      <c r="AP1911" s="87"/>
      <c r="AQ1911" s="87"/>
      <c r="AR1911" s="87"/>
      <c r="AS1911" s="87"/>
      <c r="AT1911" s="87"/>
      <c r="AU1911" s="87"/>
      <c r="AV1911" s="87"/>
      <c r="AW1911" s="87"/>
      <c r="AX1911" s="87"/>
      <c r="AY1911" s="87"/>
      <c r="AZ1911" s="87"/>
      <c r="BA1911" s="87"/>
      <c r="BB1911" s="87"/>
      <c r="BC1911" s="87"/>
      <c r="BD1911" s="87"/>
      <c r="BE1911" s="87"/>
      <c r="BF1911" s="87"/>
      <c r="BG1911" s="87"/>
      <c r="BH1911" s="87"/>
      <c r="BI1911" s="87"/>
      <c r="BJ1911" s="87"/>
      <c r="BK1911" s="87"/>
      <c r="BL1911" s="87"/>
      <c r="BM1911" s="87"/>
      <c r="BN1911" s="87"/>
      <c r="BO1911" s="87"/>
      <c r="BP1911" s="87"/>
      <c r="BQ1911" s="87"/>
      <c r="BR1911" s="87"/>
      <c r="BS1911" s="87"/>
      <c r="BT1911" s="87"/>
      <c r="BU1911" s="87"/>
      <c r="BV1911" s="87"/>
      <c r="BW1911" s="87"/>
      <c r="BX1911" s="87"/>
      <c r="BY1911" s="87"/>
    </row>
    <row r="1912" spans="21:77" x14ac:dyDescent="0.3">
      <c r="U1912" s="19"/>
      <c r="V1912" s="87"/>
      <c r="W1912" s="87"/>
      <c r="X1912" s="87"/>
      <c r="Y1912" s="87"/>
      <c r="Z1912" s="87"/>
      <c r="AA1912" s="87"/>
      <c r="AB1912" s="87"/>
      <c r="AC1912" s="87"/>
      <c r="AD1912" s="87"/>
      <c r="AE1912" s="87"/>
      <c r="AF1912" s="87"/>
      <c r="AG1912" s="87"/>
      <c r="AH1912" s="87"/>
      <c r="AI1912" s="87"/>
      <c r="AJ1912" s="87"/>
      <c r="AK1912" s="87"/>
      <c r="AL1912" s="87"/>
      <c r="AM1912" s="87"/>
      <c r="AN1912" s="87"/>
      <c r="AO1912" s="87"/>
      <c r="AP1912" s="87"/>
      <c r="AQ1912" s="87"/>
      <c r="AR1912" s="87"/>
      <c r="AS1912" s="87"/>
      <c r="AT1912" s="87"/>
      <c r="AU1912" s="87"/>
      <c r="AV1912" s="87"/>
      <c r="AW1912" s="87"/>
      <c r="AX1912" s="87"/>
      <c r="AY1912" s="87"/>
      <c r="AZ1912" s="87"/>
      <c r="BA1912" s="87"/>
      <c r="BB1912" s="87"/>
      <c r="BC1912" s="87"/>
      <c r="BD1912" s="87"/>
      <c r="BE1912" s="87"/>
      <c r="BF1912" s="87"/>
      <c r="BG1912" s="87"/>
      <c r="BH1912" s="87"/>
      <c r="BI1912" s="87"/>
      <c r="BJ1912" s="87"/>
      <c r="BK1912" s="87"/>
      <c r="BL1912" s="87"/>
      <c r="BM1912" s="87"/>
      <c r="BN1912" s="87"/>
      <c r="BO1912" s="87"/>
      <c r="BP1912" s="87"/>
      <c r="BQ1912" s="87"/>
      <c r="BR1912" s="87"/>
      <c r="BS1912" s="87"/>
      <c r="BT1912" s="87"/>
      <c r="BU1912" s="87"/>
      <c r="BV1912" s="87"/>
      <c r="BW1912" s="87"/>
      <c r="BX1912" s="87"/>
      <c r="BY1912" s="87"/>
    </row>
    <row r="1913" spans="21:77" x14ac:dyDescent="0.3">
      <c r="U1913" s="19"/>
      <c r="V1913" s="87"/>
      <c r="W1913" s="87"/>
      <c r="X1913" s="87"/>
      <c r="Y1913" s="87"/>
      <c r="Z1913" s="87"/>
      <c r="AA1913" s="87"/>
      <c r="AB1913" s="87"/>
      <c r="AC1913" s="87"/>
      <c r="AD1913" s="87"/>
      <c r="AE1913" s="87"/>
      <c r="AF1913" s="87"/>
      <c r="AG1913" s="87"/>
      <c r="AH1913" s="87"/>
      <c r="AI1913" s="87"/>
      <c r="AJ1913" s="87"/>
      <c r="AK1913" s="87"/>
      <c r="AL1913" s="87"/>
      <c r="AM1913" s="87"/>
      <c r="AN1913" s="87"/>
      <c r="AO1913" s="87"/>
      <c r="AP1913" s="87"/>
      <c r="AQ1913" s="87"/>
      <c r="AR1913" s="87"/>
      <c r="AS1913" s="87"/>
      <c r="AT1913" s="87"/>
      <c r="AU1913" s="87"/>
      <c r="AV1913" s="87"/>
      <c r="AW1913" s="87"/>
      <c r="AX1913" s="87"/>
      <c r="AY1913" s="87"/>
      <c r="AZ1913" s="87"/>
      <c r="BA1913" s="87"/>
      <c r="BB1913" s="87"/>
      <c r="BC1913" s="87"/>
      <c r="BD1913" s="87"/>
      <c r="BE1913" s="87"/>
      <c r="BF1913" s="87"/>
      <c r="BG1913" s="87"/>
      <c r="BH1913" s="87"/>
      <c r="BI1913" s="87"/>
      <c r="BJ1913" s="87"/>
      <c r="BK1913" s="87"/>
      <c r="BL1913" s="87"/>
      <c r="BM1913" s="87"/>
      <c r="BN1913" s="87"/>
      <c r="BO1913" s="87"/>
      <c r="BP1913" s="87"/>
      <c r="BQ1913" s="87"/>
      <c r="BR1913" s="87"/>
      <c r="BS1913" s="87"/>
      <c r="BT1913" s="87"/>
      <c r="BU1913" s="87"/>
      <c r="BV1913" s="87"/>
      <c r="BW1913" s="87"/>
      <c r="BX1913" s="87"/>
      <c r="BY1913" s="87"/>
    </row>
    <row r="1914" spans="21:77" x14ac:dyDescent="0.3">
      <c r="U1914" s="19"/>
      <c r="V1914" s="87"/>
      <c r="W1914" s="87"/>
      <c r="X1914" s="87"/>
      <c r="Y1914" s="87"/>
      <c r="Z1914" s="87"/>
      <c r="AA1914" s="87"/>
      <c r="AB1914" s="87"/>
      <c r="AC1914" s="87"/>
      <c r="AD1914" s="87"/>
      <c r="AE1914" s="87"/>
      <c r="AF1914" s="87"/>
      <c r="AG1914" s="87"/>
      <c r="AH1914" s="87"/>
      <c r="AI1914" s="87"/>
      <c r="AJ1914" s="87"/>
      <c r="AK1914" s="87"/>
      <c r="AL1914" s="87"/>
      <c r="AM1914" s="87"/>
      <c r="AN1914" s="87"/>
      <c r="AO1914" s="87"/>
      <c r="AP1914" s="87"/>
      <c r="AQ1914" s="87"/>
      <c r="AR1914" s="87"/>
      <c r="AS1914" s="87"/>
      <c r="AT1914" s="87"/>
      <c r="AU1914" s="87"/>
      <c r="AV1914" s="87"/>
      <c r="AW1914" s="87"/>
      <c r="AX1914" s="87"/>
      <c r="AY1914" s="87"/>
      <c r="AZ1914" s="87"/>
      <c r="BA1914" s="87"/>
      <c r="BB1914" s="87"/>
      <c r="BC1914" s="87"/>
      <c r="BD1914" s="87"/>
      <c r="BE1914" s="87"/>
      <c r="BF1914" s="87"/>
      <c r="BG1914" s="87"/>
      <c r="BH1914" s="87"/>
      <c r="BI1914" s="87"/>
      <c r="BJ1914" s="87"/>
      <c r="BK1914" s="87"/>
      <c r="BL1914" s="87"/>
      <c r="BM1914" s="87"/>
      <c r="BN1914" s="87"/>
      <c r="BO1914" s="87"/>
      <c r="BP1914" s="87"/>
      <c r="BQ1914" s="87"/>
      <c r="BR1914" s="87"/>
      <c r="BS1914" s="87"/>
      <c r="BT1914" s="87"/>
      <c r="BU1914" s="87"/>
      <c r="BV1914" s="87"/>
      <c r="BW1914" s="87"/>
      <c r="BX1914" s="87"/>
      <c r="BY1914" s="87"/>
    </row>
    <row r="1915" spans="21:77" x14ac:dyDescent="0.3">
      <c r="U1915" s="19"/>
      <c r="V1915" s="87"/>
      <c r="W1915" s="87"/>
      <c r="X1915" s="87"/>
      <c r="Y1915" s="87"/>
      <c r="Z1915" s="87"/>
      <c r="AA1915" s="87"/>
      <c r="AB1915" s="87"/>
      <c r="AC1915" s="87"/>
      <c r="AD1915" s="87"/>
      <c r="AE1915" s="87"/>
      <c r="AF1915" s="87"/>
      <c r="AG1915" s="87"/>
      <c r="AH1915" s="87"/>
      <c r="AI1915" s="87"/>
      <c r="AJ1915" s="87"/>
      <c r="AK1915" s="87"/>
      <c r="AL1915" s="87"/>
      <c r="AM1915" s="87"/>
      <c r="AN1915" s="87"/>
      <c r="AO1915" s="87"/>
      <c r="AP1915" s="87"/>
      <c r="AQ1915" s="87"/>
      <c r="AR1915" s="87"/>
      <c r="AS1915" s="87"/>
      <c r="AT1915" s="87"/>
      <c r="AU1915" s="87"/>
      <c r="AV1915" s="87"/>
      <c r="AW1915" s="87"/>
      <c r="AX1915" s="87"/>
      <c r="AY1915" s="87"/>
      <c r="AZ1915" s="87"/>
      <c r="BA1915" s="87"/>
      <c r="BB1915" s="87"/>
      <c r="BC1915" s="87"/>
      <c r="BD1915" s="87"/>
      <c r="BE1915" s="87"/>
      <c r="BF1915" s="87"/>
      <c r="BG1915" s="87"/>
      <c r="BH1915" s="87"/>
      <c r="BI1915" s="87"/>
      <c r="BJ1915" s="87"/>
      <c r="BK1915" s="87"/>
      <c r="BL1915" s="87"/>
      <c r="BM1915" s="87"/>
      <c r="BN1915" s="87"/>
      <c r="BO1915" s="87"/>
      <c r="BP1915" s="87"/>
      <c r="BQ1915" s="87"/>
      <c r="BR1915" s="87"/>
      <c r="BS1915" s="87"/>
      <c r="BT1915" s="87"/>
      <c r="BU1915" s="87"/>
      <c r="BV1915" s="87"/>
      <c r="BW1915" s="87"/>
      <c r="BX1915" s="87"/>
      <c r="BY1915" s="87"/>
    </row>
    <row r="1916" spans="21:77" x14ac:dyDescent="0.3">
      <c r="U1916" s="19"/>
      <c r="V1916" s="87"/>
      <c r="W1916" s="87"/>
      <c r="X1916" s="87"/>
      <c r="Y1916" s="87"/>
      <c r="Z1916" s="87"/>
      <c r="AA1916" s="87"/>
      <c r="AB1916" s="87"/>
      <c r="AC1916" s="87"/>
      <c r="AD1916" s="87"/>
      <c r="AE1916" s="87"/>
      <c r="AF1916" s="87"/>
      <c r="AG1916" s="87"/>
      <c r="AH1916" s="87"/>
      <c r="AI1916" s="87"/>
      <c r="AJ1916" s="87"/>
      <c r="AK1916" s="87"/>
      <c r="AL1916" s="87"/>
      <c r="AM1916" s="87"/>
      <c r="AN1916" s="87"/>
      <c r="AO1916" s="87"/>
      <c r="AP1916" s="87"/>
      <c r="AQ1916" s="87"/>
      <c r="AR1916" s="87"/>
      <c r="AS1916" s="87"/>
      <c r="AT1916" s="87"/>
      <c r="AU1916" s="87"/>
      <c r="AV1916" s="87"/>
      <c r="AW1916" s="87"/>
      <c r="AX1916" s="87"/>
      <c r="AY1916" s="87"/>
      <c r="AZ1916" s="87"/>
      <c r="BA1916" s="87"/>
      <c r="BB1916" s="87"/>
      <c r="BC1916" s="87"/>
      <c r="BD1916" s="87"/>
      <c r="BE1916" s="87"/>
      <c r="BF1916" s="87"/>
      <c r="BG1916" s="87"/>
      <c r="BH1916" s="87"/>
      <c r="BI1916" s="87"/>
      <c r="BJ1916" s="87"/>
      <c r="BK1916" s="87"/>
      <c r="BL1916" s="87"/>
      <c r="BM1916" s="87"/>
      <c r="BN1916" s="87"/>
      <c r="BO1916" s="87"/>
      <c r="BP1916" s="87"/>
      <c r="BQ1916" s="87"/>
      <c r="BR1916" s="87"/>
      <c r="BS1916" s="87"/>
      <c r="BT1916" s="87"/>
      <c r="BU1916" s="87"/>
      <c r="BV1916" s="87"/>
      <c r="BW1916" s="87"/>
      <c r="BX1916" s="87"/>
      <c r="BY1916" s="87"/>
    </row>
    <row r="1917" spans="21:77" x14ac:dyDescent="0.3">
      <c r="U1917" s="19"/>
      <c r="V1917" s="87"/>
      <c r="W1917" s="87"/>
      <c r="X1917" s="87"/>
      <c r="Y1917" s="87"/>
      <c r="Z1917" s="87"/>
      <c r="AA1917" s="87"/>
      <c r="AB1917" s="87"/>
      <c r="AC1917" s="87"/>
      <c r="AD1917" s="87"/>
      <c r="AE1917" s="87"/>
      <c r="AF1917" s="87"/>
      <c r="AG1917" s="87"/>
      <c r="AH1917" s="87"/>
      <c r="AI1917" s="87"/>
      <c r="AJ1917" s="87"/>
      <c r="AK1917" s="87"/>
      <c r="AL1917" s="87"/>
      <c r="AM1917" s="87"/>
      <c r="AN1917" s="87"/>
      <c r="AO1917" s="87"/>
      <c r="AP1917" s="87"/>
      <c r="AQ1917" s="87"/>
      <c r="AR1917" s="87"/>
      <c r="AS1917" s="87"/>
      <c r="AT1917" s="87"/>
      <c r="AU1917" s="87"/>
      <c r="AV1917" s="87"/>
      <c r="AW1917" s="87"/>
      <c r="AX1917" s="87"/>
      <c r="AY1917" s="87"/>
      <c r="AZ1917" s="87"/>
      <c r="BA1917" s="87"/>
      <c r="BB1917" s="87"/>
      <c r="BC1917" s="87"/>
      <c r="BD1917" s="87"/>
      <c r="BE1917" s="87"/>
      <c r="BF1917" s="87"/>
      <c r="BG1917" s="87"/>
      <c r="BH1917" s="87"/>
      <c r="BI1917" s="87"/>
      <c r="BJ1917" s="87"/>
      <c r="BK1917" s="87"/>
      <c r="BL1917" s="87"/>
      <c r="BM1917" s="87"/>
      <c r="BN1917" s="87"/>
      <c r="BO1917" s="87"/>
      <c r="BP1917" s="87"/>
      <c r="BQ1917" s="87"/>
      <c r="BR1917" s="87"/>
      <c r="BS1917" s="87"/>
      <c r="BT1917" s="87"/>
      <c r="BU1917" s="87"/>
      <c r="BV1917" s="87"/>
      <c r="BW1917" s="87"/>
      <c r="BX1917" s="87"/>
      <c r="BY1917" s="87"/>
    </row>
    <row r="1918" spans="21:77" x14ac:dyDescent="0.3">
      <c r="U1918" s="19"/>
      <c r="V1918" s="87"/>
      <c r="W1918" s="87"/>
      <c r="X1918" s="87"/>
      <c r="Y1918" s="87"/>
      <c r="Z1918" s="87"/>
      <c r="AA1918" s="87"/>
      <c r="AB1918" s="87"/>
      <c r="AC1918" s="87"/>
      <c r="AD1918" s="87"/>
      <c r="AE1918" s="87"/>
      <c r="AF1918" s="87"/>
      <c r="AG1918" s="87"/>
      <c r="AH1918" s="87"/>
      <c r="AI1918" s="87"/>
      <c r="AJ1918" s="87"/>
      <c r="AK1918" s="87"/>
      <c r="AL1918" s="87"/>
      <c r="AM1918" s="87"/>
      <c r="AN1918" s="87"/>
      <c r="AO1918" s="87"/>
      <c r="AP1918" s="87"/>
      <c r="AQ1918" s="87"/>
      <c r="AR1918" s="87"/>
      <c r="AS1918" s="87"/>
      <c r="AT1918" s="87"/>
      <c r="AU1918" s="87"/>
      <c r="AV1918" s="87"/>
      <c r="AW1918" s="87"/>
      <c r="AX1918" s="87"/>
      <c r="AY1918" s="87"/>
      <c r="AZ1918" s="87"/>
      <c r="BA1918" s="87"/>
      <c r="BB1918" s="87"/>
      <c r="BC1918" s="87"/>
      <c r="BD1918" s="87"/>
      <c r="BE1918" s="87"/>
      <c r="BF1918" s="87"/>
      <c r="BG1918" s="87"/>
      <c r="BH1918" s="87"/>
      <c r="BI1918" s="87"/>
      <c r="BJ1918" s="87"/>
      <c r="BK1918" s="87"/>
      <c r="BL1918" s="87"/>
      <c r="BM1918" s="87"/>
      <c r="BN1918" s="87"/>
      <c r="BO1918" s="87"/>
      <c r="BP1918" s="87"/>
      <c r="BQ1918" s="87"/>
      <c r="BR1918" s="87"/>
      <c r="BS1918" s="87"/>
      <c r="BT1918" s="87"/>
      <c r="BU1918" s="87"/>
      <c r="BV1918" s="87"/>
      <c r="BW1918" s="87"/>
      <c r="BX1918" s="87"/>
      <c r="BY1918" s="87"/>
    </row>
    <row r="1919" spans="21:77" x14ac:dyDescent="0.3">
      <c r="U1919" s="19"/>
      <c r="V1919" s="87"/>
      <c r="W1919" s="87"/>
      <c r="X1919" s="87"/>
      <c r="Y1919" s="87"/>
      <c r="Z1919" s="87"/>
      <c r="AA1919" s="87"/>
      <c r="AB1919" s="87"/>
      <c r="AC1919" s="87"/>
      <c r="AD1919" s="87"/>
      <c r="AE1919" s="87"/>
      <c r="AF1919" s="87"/>
      <c r="AG1919" s="87"/>
      <c r="AH1919" s="87"/>
      <c r="AI1919" s="87"/>
      <c r="AJ1919" s="87"/>
      <c r="AK1919" s="87"/>
      <c r="AL1919" s="87"/>
      <c r="AM1919" s="87"/>
      <c r="AN1919" s="87"/>
      <c r="AO1919" s="87"/>
      <c r="AP1919" s="87"/>
      <c r="AQ1919" s="87"/>
      <c r="AR1919" s="87"/>
      <c r="AS1919" s="87"/>
      <c r="AT1919" s="87"/>
      <c r="AU1919" s="87"/>
      <c r="AV1919" s="87"/>
      <c r="AW1919" s="87"/>
      <c r="AX1919" s="87"/>
      <c r="AY1919" s="87"/>
      <c r="AZ1919" s="87"/>
      <c r="BA1919" s="87"/>
      <c r="BB1919" s="87"/>
      <c r="BC1919" s="87"/>
      <c r="BD1919" s="87"/>
      <c r="BE1919" s="87"/>
      <c r="BF1919" s="87"/>
      <c r="BG1919" s="87"/>
      <c r="BH1919" s="87"/>
      <c r="BI1919" s="87"/>
      <c r="BJ1919" s="87"/>
      <c r="BK1919" s="87"/>
      <c r="BL1919" s="87"/>
      <c r="BM1919" s="87"/>
      <c r="BN1919" s="87"/>
      <c r="BO1919" s="87"/>
      <c r="BP1919" s="87"/>
      <c r="BQ1919" s="87"/>
      <c r="BR1919" s="87"/>
      <c r="BS1919" s="87"/>
      <c r="BT1919" s="87"/>
      <c r="BU1919" s="87"/>
      <c r="BV1919" s="87"/>
      <c r="BW1919" s="87"/>
      <c r="BX1919" s="87"/>
      <c r="BY1919" s="87"/>
    </row>
    <row r="1920" spans="21:77" x14ac:dyDescent="0.3">
      <c r="U1920" s="19"/>
      <c r="V1920" s="87"/>
      <c r="W1920" s="87"/>
      <c r="X1920" s="87"/>
      <c r="Y1920" s="87"/>
      <c r="Z1920" s="87"/>
      <c r="AA1920" s="87"/>
      <c r="AB1920" s="87"/>
      <c r="AC1920" s="87"/>
      <c r="AD1920" s="87"/>
      <c r="AE1920" s="87"/>
      <c r="AF1920" s="87"/>
      <c r="AG1920" s="87"/>
      <c r="AH1920" s="87"/>
      <c r="AI1920" s="87"/>
      <c r="AJ1920" s="87"/>
      <c r="AK1920" s="87"/>
      <c r="AL1920" s="87"/>
      <c r="AM1920" s="87"/>
      <c r="AN1920" s="87"/>
      <c r="AO1920" s="87"/>
      <c r="AP1920" s="87"/>
      <c r="AQ1920" s="87"/>
      <c r="AR1920" s="87"/>
      <c r="AS1920" s="87"/>
      <c r="AT1920" s="87"/>
      <c r="AU1920" s="87"/>
      <c r="AV1920" s="87"/>
      <c r="AW1920" s="87"/>
      <c r="AX1920" s="87"/>
      <c r="AY1920" s="87"/>
      <c r="AZ1920" s="87"/>
      <c r="BA1920" s="87"/>
      <c r="BB1920" s="87"/>
      <c r="BC1920" s="87"/>
      <c r="BD1920" s="87"/>
      <c r="BE1920" s="87"/>
      <c r="BF1920" s="87"/>
      <c r="BG1920" s="87"/>
      <c r="BH1920" s="87"/>
      <c r="BI1920" s="87"/>
      <c r="BJ1920" s="87"/>
      <c r="BK1920" s="87"/>
      <c r="BL1920" s="87"/>
      <c r="BM1920" s="87"/>
      <c r="BN1920" s="87"/>
      <c r="BO1920" s="87"/>
      <c r="BP1920" s="87"/>
      <c r="BQ1920" s="87"/>
      <c r="BR1920" s="87"/>
      <c r="BS1920" s="87"/>
      <c r="BT1920" s="87"/>
      <c r="BU1920" s="87"/>
      <c r="BV1920" s="87"/>
      <c r="BW1920" s="87"/>
      <c r="BX1920" s="87"/>
      <c r="BY1920" s="87"/>
    </row>
    <row r="1921" spans="21:77" x14ac:dyDescent="0.3">
      <c r="U1921" s="19"/>
      <c r="V1921" s="87"/>
      <c r="W1921" s="87"/>
      <c r="X1921" s="87"/>
      <c r="Y1921" s="87"/>
      <c r="Z1921" s="87"/>
      <c r="AA1921" s="87"/>
      <c r="AB1921" s="87"/>
      <c r="AC1921" s="87"/>
      <c r="AD1921" s="87"/>
      <c r="AE1921" s="87"/>
      <c r="AF1921" s="87"/>
      <c r="AG1921" s="87"/>
      <c r="AH1921" s="87"/>
      <c r="AI1921" s="87"/>
      <c r="AJ1921" s="87"/>
      <c r="AK1921" s="87"/>
      <c r="AL1921" s="87"/>
      <c r="AM1921" s="87"/>
      <c r="AN1921" s="87"/>
      <c r="AO1921" s="87"/>
      <c r="AP1921" s="87"/>
      <c r="AQ1921" s="87"/>
      <c r="AR1921" s="87"/>
      <c r="AS1921" s="87"/>
      <c r="AT1921" s="87"/>
      <c r="AU1921" s="87"/>
      <c r="AV1921" s="87"/>
      <c r="AW1921" s="87"/>
      <c r="AX1921" s="87"/>
      <c r="AY1921" s="87"/>
      <c r="AZ1921" s="87"/>
      <c r="BA1921" s="87"/>
      <c r="BB1921" s="87"/>
      <c r="BC1921" s="87"/>
      <c r="BD1921" s="87"/>
      <c r="BE1921" s="87"/>
      <c r="BF1921" s="87"/>
      <c r="BG1921" s="87"/>
      <c r="BH1921" s="87"/>
      <c r="BI1921" s="87"/>
      <c r="BJ1921" s="87"/>
      <c r="BK1921" s="87"/>
      <c r="BL1921" s="87"/>
      <c r="BM1921" s="87"/>
      <c r="BN1921" s="87"/>
      <c r="BO1921" s="87"/>
      <c r="BP1921" s="87"/>
      <c r="BQ1921" s="87"/>
      <c r="BR1921" s="87"/>
      <c r="BS1921" s="87"/>
      <c r="BT1921" s="87"/>
      <c r="BU1921" s="87"/>
      <c r="BV1921" s="87"/>
      <c r="BW1921" s="87"/>
      <c r="BX1921" s="87"/>
      <c r="BY1921" s="87"/>
    </row>
    <row r="1922" spans="21:77" x14ac:dyDescent="0.3">
      <c r="U1922" s="19"/>
      <c r="V1922" s="87"/>
      <c r="W1922" s="87"/>
      <c r="X1922" s="87"/>
      <c r="Y1922" s="87"/>
      <c r="Z1922" s="87"/>
      <c r="AA1922" s="87"/>
      <c r="AB1922" s="87"/>
      <c r="AC1922" s="87"/>
      <c r="AD1922" s="87"/>
      <c r="AE1922" s="87"/>
      <c r="AF1922" s="87"/>
      <c r="AG1922" s="87"/>
      <c r="AH1922" s="87"/>
      <c r="AI1922" s="87"/>
      <c r="AJ1922" s="87"/>
      <c r="AK1922" s="87"/>
      <c r="AL1922" s="87"/>
      <c r="AM1922" s="87"/>
      <c r="AN1922" s="87"/>
      <c r="AO1922" s="87"/>
      <c r="AP1922" s="87"/>
      <c r="AQ1922" s="87"/>
      <c r="AR1922" s="87"/>
      <c r="AS1922" s="87"/>
      <c r="AT1922" s="87"/>
      <c r="AU1922" s="87"/>
      <c r="AV1922" s="87"/>
      <c r="AW1922" s="87"/>
      <c r="AX1922" s="87"/>
      <c r="AY1922" s="87"/>
      <c r="AZ1922" s="87"/>
      <c r="BA1922" s="87"/>
      <c r="BB1922" s="87"/>
      <c r="BC1922" s="87"/>
      <c r="BD1922" s="87"/>
      <c r="BE1922" s="87"/>
      <c r="BF1922" s="87"/>
      <c r="BG1922" s="87"/>
      <c r="BH1922" s="87"/>
      <c r="BI1922" s="87"/>
      <c r="BJ1922" s="87"/>
      <c r="BK1922" s="87"/>
      <c r="BL1922" s="87"/>
      <c r="BM1922" s="87"/>
      <c r="BN1922" s="87"/>
      <c r="BO1922" s="87"/>
      <c r="BP1922" s="87"/>
      <c r="BQ1922" s="87"/>
      <c r="BR1922" s="87"/>
      <c r="BS1922" s="87"/>
      <c r="BT1922" s="87"/>
      <c r="BU1922" s="87"/>
      <c r="BV1922" s="87"/>
      <c r="BW1922" s="87"/>
      <c r="BX1922" s="87"/>
      <c r="BY1922" s="87"/>
    </row>
    <row r="1923" spans="21:77" x14ac:dyDescent="0.3">
      <c r="U1923" s="19"/>
      <c r="V1923" s="87"/>
      <c r="W1923" s="87"/>
      <c r="X1923" s="87"/>
      <c r="Y1923" s="87"/>
      <c r="Z1923" s="87"/>
      <c r="AA1923" s="87"/>
      <c r="AB1923" s="87"/>
      <c r="AC1923" s="87"/>
      <c r="AD1923" s="87"/>
      <c r="AE1923" s="87"/>
      <c r="AF1923" s="87"/>
      <c r="AG1923" s="87"/>
      <c r="AH1923" s="87"/>
      <c r="AI1923" s="87"/>
      <c r="AJ1923" s="87"/>
      <c r="AK1923" s="87"/>
      <c r="AL1923" s="87"/>
      <c r="AM1923" s="87"/>
      <c r="AN1923" s="87"/>
      <c r="AO1923" s="87"/>
      <c r="AP1923" s="87"/>
      <c r="AQ1923" s="87"/>
      <c r="AR1923" s="87"/>
      <c r="AS1923" s="87"/>
      <c r="AT1923" s="87"/>
      <c r="AU1923" s="87"/>
      <c r="AV1923" s="87"/>
      <c r="AW1923" s="87"/>
      <c r="AX1923" s="87"/>
      <c r="AY1923" s="87"/>
      <c r="AZ1923" s="87"/>
      <c r="BA1923" s="87"/>
      <c r="BB1923" s="87"/>
      <c r="BC1923" s="87"/>
      <c r="BD1923" s="87"/>
      <c r="BE1923" s="87"/>
      <c r="BF1923" s="87"/>
      <c r="BG1923" s="87"/>
      <c r="BH1923" s="87"/>
      <c r="BI1923" s="87"/>
      <c r="BJ1923" s="87"/>
      <c r="BK1923" s="87"/>
      <c r="BL1923" s="87"/>
      <c r="BM1923" s="87"/>
      <c r="BN1923" s="87"/>
      <c r="BO1923" s="87"/>
      <c r="BP1923" s="87"/>
      <c r="BQ1923" s="87"/>
      <c r="BR1923" s="87"/>
      <c r="BS1923" s="87"/>
      <c r="BT1923" s="87"/>
      <c r="BU1923" s="87"/>
      <c r="BV1923" s="87"/>
      <c r="BW1923" s="87"/>
      <c r="BX1923" s="87"/>
      <c r="BY1923" s="87"/>
    </row>
    <row r="1924" spans="21:77" x14ac:dyDescent="0.3">
      <c r="U1924" s="19"/>
      <c r="V1924" s="87"/>
      <c r="W1924" s="87"/>
      <c r="X1924" s="87"/>
      <c r="Y1924" s="87"/>
      <c r="Z1924" s="87"/>
      <c r="AA1924" s="87"/>
      <c r="AB1924" s="87"/>
      <c r="AC1924" s="87"/>
      <c r="AD1924" s="87"/>
      <c r="AE1924" s="87"/>
      <c r="AF1924" s="87"/>
      <c r="AG1924" s="87"/>
      <c r="AH1924" s="87"/>
      <c r="AI1924" s="87"/>
      <c r="AJ1924" s="87"/>
      <c r="AK1924" s="87"/>
      <c r="AL1924" s="87"/>
      <c r="AM1924" s="87"/>
      <c r="AN1924" s="87"/>
      <c r="AO1924" s="87"/>
      <c r="AP1924" s="87"/>
      <c r="AQ1924" s="87"/>
      <c r="AR1924" s="87"/>
      <c r="AS1924" s="87"/>
      <c r="AT1924" s="87"/>
      <c r="AU1924" s="87"/>
      <c r="AV1924" s="87"/>
      <c r="AW1924" s="87"/>
      <c r="AX1924" s="87"/>
      <c r="AY1924" s="87"/>
      <c r="AZ1924" s="87"/>
      <c r="BA1924" s="87"/>
      <c r="BB1924" s="87"/>
      <c r="BC1924" s="87"/>
      <c r="BD1924" s="87"/>
      <c r="BE1924" s="87"/>
      <c r="BF1924" s="87"/>
      <c r="BG1924" s="87"/>
      <c r="BH1924" s="87"/>
      <c r="BI1924" s="87"/>
      <c r="BJ1924" s="87"/>
      <c r="BK1924" s="87"/>
      <c r="BL1924" s="87"/>
      <c r="BM1924" s="87"/>
      <c r="BN1924" s="87"/>
      <c r="BO1924" s="87"/>
      <c r="BP1924" s="87"/>
      <c r="BQ1924" s="87"/>
      <c r="BR1924" s="87"/>
      <c r="BS1924" s="87"/>
      <c r="BT1924" s="87"/>
      <c r="BU1924" s="87"/>
      <c r="BV1924" s="87"/>
      <c r="BW1924" s="87"/>
      <c r="BX1924" s="87"/>
      <c r="BY1924" s="87"/>
    </row>
    <row r="1925" spans="21:77" x14ac:dyDescent="0.3">
      <c r="U1925" s="19"/>
      <c r="V1925" s="87"/>
      <c r="W1925" s="87"/>
      <c r="X1925" s="87"/>
      <c r="Y1925" s="87"/>
      <c r="Z1925" s="87"/>
      <c r="AA1925" s="87"/>
      <c r="AB1925" s="87"/>
      <c r="AC1925" s="87"/>
      <c r="AD1925" s="87"/>
      <c r="AE1925" s="87"/>
      <c r="AF1925" s="87"/>
      <c r="AG1925" s="87"/>
      <c r="AH1925" s="87"/>
      <c r="AI1925" s="87"/>
      <c r="AJ1925" s="87"/>
      <c r="AK1925" s="87"/>
      <c r="AL1925" s="87"/>
      <c r="AM1925" s="87"/>
      <c r="AN1925" s="87"/>
      <c r="AO1925" s="87"/>
      <c r="AP1925" s="87"/>
      <c r="AQ1925" s="87"/>
      <c r="AR1925" s="87"/>
      <c r="AS1925" s="87"/>
      <c r="AT1925" s="87"/>
      <c r="AU1925" s="87"/>
      <c r="AV1925" s="87"/>
      <c r="AW1925" s="87"/>
      <c r="AX1925" s="87"/>
      <c r="AY1925" s="87"/>
      <c r="AZ1925" s="87"/>
      <c r="BA1925" s="87"/>
      <c r="BB1925" s="87"/>
      <c r="BC1925" s="87"/>
      <c r="BD1925" s="87"/>
      <c r="BE1925" s="87"/>
      <c r="BF1925" s="87"/>
      <c r="BG1925" s="87"/>
      <c r="BH1925" s="87"/>
      <c r="BI1925" s="87"/>
      <c r="BJ1925" s="87"/>
      <c r="BK1925" s="87"/>
      <c r="BL1925" s="87"/>
      <c r="BM1925" s="87"/>
      <c r="BN1925" s="87"/>
      <c r="BO1925" s="87"/>
      <c r="BP1925" s="87"/>
      <c r="BQ1925" s="87"/>
      <c r="BR1925" s="87"/>
      <c r="BS1925" s="87"/>
      <c r="BT1925" s="87"/>
      <c r="BU1925" s="87"/>
      <c r="BV1925" s="87"/>
      <c r="BW1925" s="87"/>
      <c r="BX1925" s="87"/>
      <c r="BY1925" s="87"/>
    </row>
    <row r="1926" spans="21:77" x14ac:dyDescent="0.3">
      <c r="U1926" s="19"/>
      <c r="V1926" s="87"/>
      <c r="W1926" s="87"/>
      <c r="X1926" s="87"/>
      <c r="Y1926" s="87"/>
      <c r="Z1926" s="87"/>
      <c r="AA1926" s="87"/>
      <c r="AB1926" s="87"/>
      <c r="AC1926" s="87"/>
      <c r="AD1926" s="87"/>
      <c r="AE1926" s="87"/>
      <c r="AF1926" s="87"/>
      <c r="AG1926" s="87"/>
      <c r="AH1926" s="87"/>
      <c r="AI1926" s="87"/>
      <c r="AJ1926" s="87"/>
      <c r="AK1926" s="87"/>
      <c r="AL1926" s="87"/>
      <c r="AM1926" s="87"/>
      <c r="AN1926" s="87"/>
      <c r="AO1926" s="87"/>
      <c r="AP1926" s="87"/>
      <c r="AQ1926" s="87"/>
      <c r="AR1926" s="87"/>
      <c r="AS1926" s="87"/>
      <c r="AT1926" s="87"/>
      <c r="AU1926" s="87"/>
      <c r="AV1926" s="87"/>
      <c r="AW1926" s="87"/>
      <c r="AX1926" s="87"/>
      <c r="AY1926" s="87"/>
      <c r="AZ1926" s="87"/>
      <c r="BA1926" s="87"/>
      <c r="BB1926" s="87"/>
      <c r="BC1926" s="87"/>
      <c r="BD1926" s="87"/>
      <c r="BE1926" s="87"/>
      <c r="BF1926" s="87"/>
      <c r="BG1926" s="87"/>
      <c r="BH1926" s="87"/>
      <c r="BI1926" s="87"/>
      <c r="BJ1926" s="87"/>
      <c r="BK1926" s="87"/>
      <c r="BL1926" s="87"/>
      <c r="BM1926" s="87"/>
      <c r="BN1926" s="87"/>
      <c r="BO1926" s="87"/>
      <c r="BP1926" s="87"/>
      <c r="BQ1926" s="87"/>
      <c r="BR1926" s="87"/>
      <c r="BS1926" s="87"/>
      <c r="BT1926" s="87"/>
      <c r="BU1926" s="87"/>
      <c r="BV1926" s="87"/>
      <c r="BW1926" s="87"/>
      <c r="BX1926" s="87"/>
      <c r="BY1926" s="87"/>
    </row>
    <row r="1927" spans="21:77" x14ac:dyDescent="0.3">
      <c r="U1927" s="19"/>
      <c r="V1927" s="87"/>
      <c r="W1927" s="87"/>
      <c r="X1927" s="87"/>
      <c r="Y1927" s="87"/>
      <c r="Z1927" s="87"/>
      <c r="AA1927" s="87"/>
      <c r="AB1927" s="87"/>
      <c r="AC1927" s="87"/>
      <c r="AD1927" s="87"/>
      <c r="AE1927" s="87"/>
      <c r="AF1927" s="87"/>
      <c r="AG1927" s="87"/>
      <c r="AH1927" s="87"/>
      <c r="AI1927" s="87"/>
      <c r="AJ1927" s="87"/>
      <c r="AK1927" s="87"/>
      <c r="AL1927" s="87"/>
      <c r="AM1927" s="87"/>
      <c r="AN1927" s="87"/>
      <c r="AO1927" s="87"/>
      <c r="AP1927" s="87"/>
      <c r="AQ1927" s="87"/>
      <c r="AR1927" s="87"/>
      <c r="AS1927" s="87"/>
      <c r="AT1927" s="87"/>
      <c r="AU1927" s="87"/>
      <c r="AV1927" s="87"/>
      <c r="AW1927" s="87"/>
      <c r="AX1927" s="87"/>
      <c r="AY1927" s="87"/>
      <c r="AZ1927" s="87"/>
      <c r="BA1927" s="87"/>
      <c r="BB1927" s="87"/>
      <c r="BC1927" s="87"/>
      <c r="BD1927" s="87"/>
      <c r="BE1927" s="87"/>
      <c r="BF1927" s="87"/>
      <c r="BG1927" s="87"/>
      <c r="BH1927" s="87"/>
      <c r="BI1927" s="87"/>
      <c r="BJ1927" s="87"/>
      <c r="BK1927" s="87"/>
      <c r="BL1927" s="87"/>
      <c r="BM1927" s="87"/>
      <c r="BN1927" s="87"/>
      <c r="BO1927" s="87"/>
      <c r="BP1927" s="87"/>
      <c r="BQ1927" s="87"/>
      <c r="BR1927" s="87"/>
      <c r="BS1927" s="87"/>
      <c r="BT1927" s="87"/>
      <c r="BU1927" s="87"/>
      <c r="BV1927" s="87"/>
      <c r="BW1927" s="87"/>
      <c r="BX1927" s="87"/>
      <c r="BY1927" s="87"/>
    </row>
    <row r="1928" spans="21:77" x14ac:dyDescent="0.3">
      <c r="U1928" s="19"/>
      <c r="V1928" s="87"/>
      <c r="W1928" s="87"/>
      <c r="X1928" s="87"/>
      <c r="Y1928" s="87"/>
      <c r="Z1928" s="87"/>
      <c r="AA1928" s="87"/>
      <c r="AB1928" s="87"/>
      <c r="AC1928" s="87"/>
      <c r="AD1928" s="87"/>
      <c r="AE1928" s="87"/>
      <c r="AF1928" s="87"/>
      <c r="AG1928" s="87"/>
      <c r="AH1928" s="87"/>
      <c r="AI1928" s="87"/>
      <c r="AJ1928" s="87"/>
      <c r="AK1928" s="87"/>
      <c r="AL1928" s="87"/>
      <c r="AM1928" s="87"/>
      <c r="AN1928" s="87"/>
      <c r="AO1928" s="87"/>
      <c r="AP1928" s="87"/>
      <c r="AQ1928" s="87"/>
      <c r="AR1928" s="87"/>
      <c r="AS1928" s="87"/>
      <c r="AT1928" s="87"/>
      <c r="AU1928" s="87"/>
      <c r="AV1928" s="87"/>
      <c r="AW1928" s="87"/>
      <c r="AX1928" s="87"/>
      <c r="AY1928" s="87"/>
      <c r="AZ1928" s="87"/>
      <c r="BA1928" s="87"/>
      <c r="BB1928" s="87"/>
      <c r="BC1928" s="87"/>
      <c r="BD1928" s="87"/>
      <c r="BE1928" s="87"/>
      <c r="BF1928" s="87"/>
      <c r="BG1928" s="87"/>
      <c r="BH1928" s="87"/>
      <c r="BI1928" s="87"/>
      <c r="BJ1928" s="87"/>
      <c r="BK1928" s="87"/>
      <c r="BL1928" s="87"/>
      <c r="BM1928" s="87"/>
      <c r="BN1928" s="87"/>
      <c r="BO1928" s="87"/>
      <c r="BP1928" s="87"/>
      <c r="BQ1928" s="87"/>
      <c r="BR1928" s="87"/>
      <c r="BS1928" s="87"/>
      <c r="BT1928" s="87"/>
      <c r="BU1928" s="87"/>
      <c r="BV1928" s="87"/>
      <c r="BW1928" s="87"/>
      <c r="BX1928" s="87"/>
      <c r="BY1928" s="87"/>
    </row>
    <row r="1929" spans="21:77" x14ac:dyDescent="0.3">
      <c r="U1929" s="19"/>
      <c r="V1929" s="87"/>
      <c r="W1929" s="87"/>
      <c r="X1929" s="87"/>
      <c r="Y1929" s="87"/>
      <c r="Z1929" s="87"/>
      <c r="AA1929" s="87"/>
      <c r="AB1929" s="87"/>
      <c r="AC1929" s="87"/>
      <c r="AD1929" s="87"/>
      <c r="AE1929" s="87"/>
      <c r="AF1929" s="87"/>
      <c r="AG1929" s="87"/>
      <c r="AH1929" s="87"/>
      <c r="AI1929" s="87"/>
      <c r="AJ1929" s="87"/>
      <c r="AK1929" s="87"/>
      <c r="AL1929" s="87"/>
      <c r="AM1929" s="87"/>
      <c r="AN1929" s="87"/>
      <c r="AO1929" s="87"/>
      <c r="AP1929" s="87"/>
      <c r="AQ1929" s="87"/>
      <c r="AR1929" s="87"/>
      <c r="AS1929" s="87"/>
      <c r="AT1929" s="87"/>
      <c r="AU1929" s="87"/>
      <c r="AV1929" s="87"/>
      <c r="AW1929" s="87"/>
      <c r="AX1929" s="87"/>
      <c r="AY1929" s="87"/>
      <c r="AZ1929" s="87"/>
      <c r="BA1929" s="87"/>
      <c r="BB1929" s="87"/>
      <c r="BC1929" s="87"/>
      <c r="BD1929" s="87"/>
      <c r="BE1929" s="87"/>
      <c r="BF1929" s="87"/>
      <c r="BG1929" s="87"/>
      <c r="BH1929" s="87"/>
      <c r="BI1929" s="87"/>
      <c r="BJ1929" s="87"/>
      <c r="BK1929" s="87"/>
      <c r="BL1929" s="87"/>
      <c r="BM1929" s="87"/>
      <c r="BN1929" s="87"/>
      <c r="BO1929" s="87"/>
      <c r="BP1929" s="87"/>
      <c r="BQ1929" s="87"/>
      <c r="BR1929" s="87"/>
      <c r="BS1929" s="87"/>
      <c r="BT1929" s="87"/>
      <c r="BU1929" s="87"/>
      <c r="BV1929" s="87"/>
      <c r="BW1929" s="87"/>
      <c r="BX1929" s="87"/>
      <c r="BY1929" s="87"/>
    </row>
    <row r="1930" spans="21:77" x14ac:dyDescent="0.3">
      <c r="U1930" s="19"/>
      <c r="V1930" s="87"/>
      <c r="W1930" s="87"/>
      <c r="X1930" s="87"/>
      <c r="Y1930" s="87"/>
      <c r="Z1930" s="87"/>
      <c r="AA1930" s="87"/>
      <c r="AB1930" s="87"/>
      <c r="AC1930" s="87"/>
      <c r="AD1930" s="87"/>
      <c r="AE1930" s="87"/>
      <c r="AF1930" s="87"/>
      <c r="AG1930" s="87"/>
      <c r="AH1930" s="87"/>
      <c r="AI1930" s="87"/>
      <c r="AJ1930" s="87"/>
      <c r="AK1930" s="87"/>
      <c r="AL1930" s="87"/>
      <c r="AM1930" s="87"/>
      <c r="AN1930" s="87"/>
      <c r="AO1930" s="87"/>
      <c r="AP1930" s="87"/>
      <c r="AQ1930" s="87"/>
      <c r="AR1930" s="87"/>
      <c r="AS1930" s="87"/>
      <c r="AT1930" s="87"/>
      <c r="AU1930" s="87"/>
      <c r="AV1930" s="87"/>
      <c r="AW1930" s="87"/>
      <c r="AX1930" s="87"/>
      <c r="AY1930" s="87"/>
      <c r="AZ1930" s="87"/>
      <c r="BA1930" s="87"/>
      <c r="BB1930" s="87"/>
      <c r="BC1930" s="87"/>
      <c r="BD1930" s="87"/>
      <c r="BE1930" s="87"/>
      <c r="BF1930" s="87"/>
      <c r="BG1930" s="87"/>
      <c r="BH1930" s="87"/>
      <c r="BI1930" s="87"/>
      <c r="BJ1930" s="87"/>
      <c r="BK1930" s="87"/>
      <c r="BL1930" s="87"/>
      <c r="BM1930" s="87"/>
      <c r="BN1930" s="87"/>
      <c r="BO1930" s="87"/>
      <c r="BP1930" s="87"/>
      <c r="BQ1930" s="87"/>
      <c r="BR1930" s="87"/>
      <c r="BS1930" s="87"/>
      <c r="BT1930" s="87"/>
      <c r="BU1930" s="87"/>
      <c r="BV1930" s="87"/>
      <c r="BW1930" s="87"/>
      <c r="BX1930" s="87"/>
      <c r="BY1930" s="87"/>
    </row>
    <row r="1931" spans="21:77" x14ac:dyDescent="0.3">
      <c r="U1931" s="19"/>
      <c r="V1931" s="87"/>
      <c r="W1931" s="87"/>
      <c r="X1931" s="87"/>
      <c r="Y1931" s="87"/>
      <c r="Z1931" s="87"/>
      <c r="AA1931" s="87"/>
      <c r="AB1931" s="87"/>
      <c r="AC1931" s="87"/>
      <c r="AD1931" s="87"/>
      <c r="AE1931" s="87"/>
      <c r="AF1931" s="87"/>
      <c r="AG1931" s="87"/>
      <c r="AH1931" s="87"/>
      <c r="AI1931" s="87"/>
      <c r="AJ1931" s="87"/>
      <c r="AK1931" s="87"/>
      <c r="AL1931" s="87"/>
      <c r="AM1931" s="87"/>
      <c r="AN1931" s="87"/>
      <c r="AO1931" s="87"/>
      <c r="AP1931" s="87"/>
      <c r="AQ1931" s="87"/>
      <c r="AR1931" s="87"/>
      <c r="AS1931" s="87"/>
      <c r="AT1931" s="87"/>
      <c r="AU1931" s="87"/>
      <c r="AV1931" s="87"/>
      <c r="AW1931" s="87"/>
      <c r="AX1931" s="87"/>
      <c r="AY1931" s="87"/>
      <c r="AZ1931" s="87"/>
      <c r="BA1931" s="87"/>
      <c r="BB1931" s="87"/>
      <c r="BC1931" s="87"/>
      <c r="BD1931" s="87"/>
      <c r="BE1931" s="87"/>
      <c r="BF1931" s="87"/>
      <c r="BG1931" s="87"/>
      <c r="BH1931" s="87"/>
      <c r="BI1931" s="87"/>
      <c r="BJ1931" s="87"/>
      <c r="BK1931" s="87"/>
      <c r="BL1931" s="87"/>
      <c r="BM1931" s="87"/>
      <c r="BN1931" s="87"/>
      <c r="BO1931" s="87"/>
      <c r="BP1931" s="87"/>
      <c r="BQ1931" s="87"/>
      <c r="BR1931" s="87"/>
      <c r="BS1931" s="87"/>
      <c r="BT1931" s="87"/>
      <c r="BU1931" s="87"/>
      <c r="BV1931" s="87"/>
      <c r="BW1931" s="87"/>
      <c r="BX1931" s="87"/>
      <c r="BY1931" s="87"/>
    </row>
    <row r="1932" spans="21:77" x14ac:dyDescent="0.3">
      <c r="U1932" s="19"/>
      <c r="V1932" s="87"/>
      <c r="W1932" s="87"/>
      <c r="X1932" s="87"/>
      <c r="Y1932" s="87"/>
      <c r="Z1932" s="87"/>
      <c r="AA1932" s="87"/>
      <c r="AB1932" s="87"/>
      <c r="AC1932" s="87"/>
      <c r="AD1932" s="87"/>
      <c r="AE1932" s="87"/>
      <c r="AF1932" s="87"/>
      <c r="AG1932" s="87"/>
      <c r="AH1932" s="87"/>
      <c r="AI1932" s="87"/>
      <c r="AJ1932" s="87"/>
      <c r="AK1932" s="87"/>
      <c r="AL1932" s="87"/>
      <c r="AM1932" s="87"/>
      <c r="AN1932" s="87"/>
      <c r="AO1932" s="87"/>
      <c r="AP1932" s="87"/>
      <c r="AQ1932" s="87"/>
      <c r="AR1932" s="87"/>
      <c r="AS1932" s="87"/>
      <c r="AT1932" s="87"/>
      <c r="AU1932" s="87"/>
      <c r="AV1932" s="87"/>
      <c r="AW1932" s="87"/>
      <c r="AX1932" s="87"/>
      <c r="AY1932" s="87"/>
      <c r="AZ1932" s="87"/>
      <c r="BA1932" s="87"/>
      <c r="BB1932" s="87"/>
      <c r="BC1932" s="87"/>
      <c r="BD1932" s="87"/>
      <c r="BE1932" s="87"/>
      <c r="BF1932" s="87"/>
      <c r="BG1932" s="87"/>
      <c r="BH1932" s="87"/>
      <c r="BI1932" s="87"/>
      <c r="BJ1932" s="87"/>
      <c r="BK1932" s="87"/>
      <c r="BL1932" s="87"/>
      <c r="BM1932" s="87"/>
      <c r="BN1932" s="87"/>
      <c r="BO1932" s="87"/>
      <c r="BP1932" s="87"/>
      <c r="BQ1932" s="87"/>
      <c r="BR1932" s="87"/>
      <c r="BS1932" s="87"/>
      <c r="BT1932" s="87"/>
      <c r="BU1932" s="87"/>
      <c r="BV1932" s="87"/>
      <c r="BW1932" s="87"/>
      <c r="BX1932" s="87"/>
      <c r="BY1932" s="87"/>
    </row>
    <row r="1933" spans="21:77" x14ac:dyDescent="0.3">
      <c r="U1933" s="19"/>
      <c r="V1933" s="87"/>
      <c r="W1933" s="87"/>
      <c r="X1933" s="87"/>
      <c r="Y1933" s="87"/>
      <c r="Z1933" s="87"/>
      <c r="AA1933" s="87"/>
      <c r="AB1933" s="87"/>
      <c r="AC1933" s="87"/>
      <c r="AD1933" s="87"/>
      <c r="AE1933" s="87"/>
      <c r="AF1933" s="87"/>
      <c r="AG1933" s="87"/>
      <c r="AH1933" s="87"/>
      <c r="AI1933" s="87"/>
      <c r="AJ1933" s="87"/>
      <c r="AK1933" s="87"/>
      <c r="AL1933" s="87"/>
      <c r="AM1933" s="87"/>
      <c r="AN1933" s="87"/>
      <c r="AO1933" s="87"/>
      <c r="AP1933" s="87"/>
      <c r="AQ1933" s="87"/>
      <c r="AR1933" s="87"/>
      <c r="AS1933" s="87"/>
      <c r="AT1933" s="87"/>
      <c r="AU1933" s="87"/>
      <c r="AV1933" s="87"/>
      <c r="AW1933" s="87"/>
      <c r="AX1933" s="87"/>
      <c r="AY1933" s="87"/>
      <c r="AZ1933" s="87"/>
      <c r="BA1933" s="87"/>
      <c r="BB1933" s="87"/>
      <c r="BC1933" s="87"/>
      <c r="BD1933" s="87"/>
      <c r="BE1933" s="87"/>
      <c r="BF1933" s="87"/>
      <c r="BG1933" s="87"/>
      <c r="BH1933" s="87"/>
      <c r="BI1933" s="87"/>
      <c r="BJ1933" s="87"/>
      <c r="BK1933" s="87"/>
      <c r="BL1933" s="87"/>
      <c r="BM1933" s="87"/>
      <c r="BN1933" s="87"/>
      <c r="BO1933" s="87"/>
      <c r="BP1933" s="87"/>
      <c r="BQ1933" s="87"/>
      <c r="BR1933" s="87"/>
      <c r="BS1933" s="87"/>
      <c r="BT1933" s="87"/>
      <c r="BU1933" s="87"/>
      <c r="BV1933" s="87"/>
      <c r="BW1933" s="87"/>
      <c r="BX1933" s="87"/>
      <c r="BY1933" s="87"/>
    </row>
    <row r="1934" spans="21:77" x14ac:dyDescent="0.3">
      <c r="U1934" s="19"/>
      <c r="V1934" s="87"/>
      <c r="W1934" s="87"/>
      <c r="X1934" s="87"/>
      <c r="Y1934" s="87"/>
      <c r="Z1934" s="87"/>
      <c r="AA1934" s="87"/>
      <c r="AB1934" s="87"/>
      <c r="AC1934" s="87"/>
      <c r="AD1934" s="87"/>
      <c r="AE1934" s="87"/>
      <c r="AF1934" s="87"/>
      <c r="AG1934" s="87"/>
      <c r="AH1934" s="87"/>
      <c r="AI1934" s="87"/>
      <c r="AJ1934" s="87"/>
      <c r="AK1934" s="87"/>
      <c r="AL1934" s="87"/>
      <c r="AM1934" s="87"/>
      <c r="AN1934" s="87"/>
      <c r="AO1934" s="87"/>
      <c r="AP1934" s="87"/>
      <c r="AQ1934" s="87"/>
      <c r="AR1934" s="87"/>
      <c r="AS1934" s="87"/>
      <c r="AT1934" s="87"/>
      <c r="AU1934" s="87"/>
      <c r="AV1934" s="87"/>
      <c r="AW1934" s="87"/>
      <c r="AX1934" s="87"/>
      <c r="AY1934" s="87"/>
      <c r="AZ1934" s="87"/>
      <c r="BA1934" s="87"/>
      <c r="BB1934" s="87"/>
      <c r="BC1934" s="87"/>
      <c r="BD1934" s="87"/>
      <c r="BE1934" s="87"/>
      <c r="BF1934" s="87"/>
      <c r="BG1934" s="87"/>
      <c r="BH1934" s="87"/>
      <c r="BI1934" s="87"/>
      <c r="BJ1934" s="87"/>
      <c r="BK1934" s="87"/>
      <c r="BL1934" s="87"/>
      <c r="BM1934" s="87"/>
      <c r="BN1934" s="87"/>
      <c r="BO1934" s="87"/>
      <c r="BP1934" s="87"/>
      <c r="BQ1934" s="87"/>
      <c r="BR1934" s="87"/>
      <c r="BS1934" s="87"/>
      <c r="BT1934" s="87"/>
      <c r="BU1934" s="87"/>
      <c r="BV1934" s="87"/>
      <c r="BW1934" s="87"/>
      <c r="BX1934" s="87"/>
      <c r="BY1934" s="87"/>
    </row>
    <row r="1935" spans="21:77" x14ac:dyDescent="0.3">
      <c r="U1935" s="19"/>
      <c r="V1935" s="87"/>
      <c r="W1935" s="87"/>
      <c r="X1935" s="87"/>
      <c r="Y1935" s="87"/>
      <c r="Z1935" s="87"/>
      <c r="AA1935" s="87"/>
      <c r="AB1935" s="87"/>
      <c r="AC1935" s="87"/>
      <c r="AD1935" s="87"/>
      <c r="AE1935" s="87"/>
      <c r="AF1935" s="87"/>
      <c r="AG1935" s="87"/>
      <c r="AH1935" s="87"/>
      <c r="AI1935" s="87"/>
      <c r="AJ1935" s="87"/>
      <c r="AK1935" s="87"/>
      <c r="AL1935" s="87"/>
      <c r="AM1935" s="87"/>
      <c r="AN1935" s="87"/>
      <c r="AO1935" s="87"/>
      <c r="AP1935" s="87"/>
      <c r="AQ1935" s="87"/>
      <c r="AR1935" s="87"/>
      <c r="AS1935" s="87"/>
      <c r="AT1935" s="87"/>
      <c r="AU1935" s="87"/>
      <c r="AV1935" s="87"/>
      <c r="AW1935" s="87"/>
      <c r="AX1935" s="87"/>
      <c r="AY1935" s="87"/>
      <c r="AZ1935" s="87"/>
      <c r="BA1935" s="87"/>
      <c r="BB1935" s="87"/>
      <c r="BC1935" s="87"/>
      <c r="BD1935" s="87"/>
      <c r="BE1935" s="87"/>
      <c r="BF1935" s="87"/>
      <c r="BG1935" s="87"/>
      <c r="BH1935" s="87"/>
      <c r="BI1935" s="87"/>
      <c r="BJ1935" s="87"/>
      <c r="BK1935" s="87"/>
      <c r="BL1935" s="87"/>
      <c r="BM1935" s="87"/>
      <c r="BN1935" s="87"/>
      <c r="BO1935" s="87"/>
      <c r="BP1935" s="87"/>
      <c r="BQ1935" s="87"/>
      <c r="BR1935" s="87"/>
      <c r="BS1935" s="87"/>
      <c r="BT1935" s="87"/>
      <c r="BU1935" s="87"/>
      <c r="BV1935" s="87"/>
      <c r="BW1935" s="87"/>
      <c r="BX1935" s="87"/>
      <c r="BY1935" s="87"/>
    </row>
    <row r="1936" spans="21:77" x14ac:dyDescent="0.3">
      <c r="U1936" s="19"/>
      <c r="V1936" s="87"/>
      <c r="W1936" s="87"/>
      <c r="X1936" s="87"/>
      <c r="Y1936" s="87"/>
      <c r="Z1936" s="87"/>
      <c r="AA1936" s="87"/>
      <c r="AB1936" s="87"/>
      <c r="AC1936" s="87"/>
      <c r="AD1936" s="87"/>
      <c r="AE1936" s="87"/>
      <c r="AF1936" s="87"/>
      <c r="AG1936" s="87"/>
      <c r="AH1936" s="87"/>
      <c r="AI1936" s="87"/>
      <c r="AJ1936" s="87"/>
      <c r="AK1936" s="87"/>
      <c r="AL1936" s="87"/>
      <c r="AM1936" s="87"/>
      <c r="AN1936" s="87"/>
      <c r="AO1936" s="87"/>
      <c r="AP1936" s="87"/>
      <c r="AQ1936" s="87"/>
      <c r="AR1936" s="87"/>
      <c r="AS1936" s="87"/>
      <c r="AT1936" s="87"/>
      <c r="AU1936" s="87"/>
      <c r="AV1936" s="87"/>
      <c r="AW1936" s="87"/>
      <c r="AX1936" s="87"/>
      <c r="AY1936" s="87"/>
      <c r="AZ1936" s="87"/>
      <c r="BA1936" s="87"/>
      <c r="BB1936" s="87"/>
      <c r="BC1936" s="87"/>
      <c r="BD1936" s="87"/>
      <c r="BE1936" s="87"/>
      <c r="BF1936" s="87"/>
      <c r="BG1936" s="87"/>
      <c r="BH1936" s="87"/>
      <c r="BI1936" s="87"/>
      <c r="BJ1936" s="87"/>
      <c r="BK1936" s="87"/>
      <c r="BL1936" s="87"/>
      <c r="BM1936" s="87"/>
      <c r="BN1936" s="87"/>
      <c r="BO1936" s="87"/>
      <c r="BP1936" s="87"/>
      <c r="BQ1936" s="87"/>
      <c r="BR1936" s="87"/>
      <c r="BS1936" s="87"/>
      <c r="BT1936" s="87"/>
      <c r="BU1936" s="87"/>
      <c r="BV1936" s="87"/>
      <c r="BW1936" s="87"/>
      <c r="BX1936" s="87"/>
      <c r="BY1936" s="87"/>
    </row>
    <row r="1937" spans="21:77" x14ac:dyDescent="0.3">
      <c r="U1937" s="19"/>
      <c r="V1937" s="87"/>
      <c r="W1937" s="87"/>
      <c r="X1937" s="87"/>
      <c r="Y1937" s="87"/>
      <c r="Z1937" s="87"/>
      <c r="AA1937" s="87"/>
      <c r="AB1937" s="87"/>
      <c r="AC1937" s="87"/>
      <c r="AD1937" s="87"/>
      <c r="AE1937" s="87"/>
      <c r="AF1937" s="87"/>
      <c r="AG1937" s="87"/>
      <c r="AH1937" s="87"/>
      <c r="AI1937" s="87"/>
      <c r="AJ1937" s="87"/>
      <c r="AK1937" s="87"/>
      <c r="AL1937" s="87"/>
      <c r="AM1937" s="87"/>
      <c r="AN1937" s="87"/>
      <c r="AO1937" s="87"/>
      <c r="AP1937" s="87"/>
      <c r="AQ1937" s="87"/>
      <c r="AR1937" s="87"/>
      <c r="AS1937" s="87"/>
      <c r="AT1937" s="87"/>
      <c r="AU1937" s="87"/>
      <c r="AV1937" s="87"/>
      <c r="AW1937" s="87"/>
      <c r="AX1937" s="87"/>
      <c r="AY1937" s="87"/>
      <c r="AZ1937" s="87"/>
      <c r="BA1937" s="87"/>
      <c r="BB1937" s="87"/>
      <c r="BC1937" s="87"/>
      <c r="BD1937" s="87"/>
      <c r="BE1937" s="87"/>
      <c r="BF1937" s="87"/>
      <c r="BG1937" s="87"/>
      <c r="BH1937" s="87"/>
      <c r="BI1937" s="87"/>
      <c r="BJ1937" s="87"/>
      <c r="BK1937" s="87"/>
      <c r="BL1937" s="87"/>
      <c r="BM1937" s="87"/>
      <c r="BN1937" s="87"/>
      <c r="BO1937" s="87"/>
      <c r="BP1937" s="87"/>
      <c r="BQ1937" s="87"/>
      <c r="BR1937" s="87"/>
      <c r="BS1937" s="87"/>
      <c r="BT1937" s="87"/>
      <c r="BU1937" s="87"/>
      <c r="BV1937" s="87"/>
      <c r="BW1937" s="87"/>
      <c r="BX1937" s="87"/>
      <c r="BY1937" s="87"/>
    </row>
    <row r="1938" spans="21:77" x14ac:dyDescent="0.3">
      <c r="U1938" s="19"/>
      <c r="V1938" s="87"/>
      <c r="W1938" s="87"/>
      <c r="X1938" s="87"/>
      <c r="Y1938" s="87"/>
      <c r="Z1938" s="87"/>
      <c r="AA1938" s="87"/>
      <c r="AB1938" s="87"/>
      <c r="AC1938" s="87"/>
      <c r="AD1938" s="87"/>
      <c r="AE1938" s="87"/>
      <c r="AF1938" s="87"/>
      <c r="AG1938" s="87"/>
      <c r="AH1938" s="87"/>
      <c r="AI1938" s="87"/>
      <c r="AJ1938" s="87"/>
      <c r="AK1938" s="87"/>
      <c r="AL1938" s="87"/>
      <c r="AM1938" s="87"/>
      <c r="AN1938" s="87"/>
      <c r="AO1938" s="87"/>
      <c r="AP1938" s="87"/>
      <c r="AQ1938" s="87"/>
      <c r="AR1938" s="87"/>
      <c r="AS1938" s="87"/>
      <c r="AT1938" s="87"/>
      <c r="AU1938" s="87"/>
      <c r="AV1938" s="87"/>
      <c r="AW1938" s="87"/>
      <c r="AX1938" s="87"/>
      <c r="AY1938" s="87"/>
      <c r="AZ1938" s="87"/>
      <c r="BA1938" s="87"/>
      <c r="BB1938" s="87"/>
      <c r="BC1938" s="87"/>
      <c r="BD1938" s="87"/>
      <c r="BE1938" s="87"/>
      <c r="BF1938" s="87"/>
      <c r="BG1938" s="87"/>
      <c r="BH1938" s="87"/>
      <c r="BI1938" s="87"/>
      <c r="BJ1938" s="87"/>
      <c r="BK1938" s="87"/>
      <c r="BL1938" s="87"/>
      <c r="BM1938" s="87"/>
      <c r="BN1938" s="87"/>
      <c r="BO1938" s="87"/>
      <c r="BP1938" s="87"/>
      <c r="BQ1938" s="87"/>
      <c r="BR1938" s="87"/>
      <c r="BS1938" s="87"/>
      <c r="BT1938" s="87"/>
      <c r="BU1938" s="87"/>
      <c r="BV1938" s="87"/>
      <c r="BW1938" s="87"/>
      <c r="BX1938" s="87"/>
      <c r="BY1938" s="87"/>
    </row>
    <row r="1939" spans="21:77" x14ac:dyDescent="0.3">
      <c r="U1939" s="19"/>
      <c r="V1939" s="87"/>
      <c r="W1939" s="87"/>
      <c r="X1939" s="87"/>
      <c r="Y1939" s="87"/>
      <c r="Z1939" s="87"/>
      <c r="AA1939" s="87"/>
      <c r="AB1939" s="87"/>
      <c r="AC1939" s="87"/>
      <c r="AD1939" s="87"/>
      <c r="AE1939" s="87"/>
      <c r="AF1939" s="87"/>
      <c r="AG1939" s="87"/>
      <c r="AH1939" s="87"/>
      <c r="AI1939" s="87"/>
      <c r="AJ1939" s="87"/>
      <c r="AK1939" s="87"/>
      <c r="AL1939" s="87"/>
      <c r="AM1939" s="87"/>
      <c r="AN1939" s="87"/>
      <c r="AO1939" s="87"/>
      <c r="AP1939" s="87"/>
      <c r="AQ1939" s="87"/>
      <c r="AR1939" s="87"/>
      <c r="AS1939" s="87"/>
      <c r="AT1939" s="87"/>
      <c r="AU1939" s="87"/>
      <c r="AV1939" s="87"/>
      <c r="AW1939" s="87"/>
      <c r="AX1939" s="87"/>
      <c r="AY1939" s="87"/>
      <c r="AZ1939" s="87"/>
      <c r="BA1939" s="87"/>
      <c r="BB1939" s="87"/>
      <c r="BC1939" s="87"/>
      <c r="BD1939" s="87"/>
      <c r="BE1939" s="87"/>
      <c r="BF1939" s="87"/>
      <c r="BG1939" s="87"/>
      <c r="BH1939" s="87"/>
      <c r="BI1939" s="87"/>
      <c r="BJ1939" s="87"/>
      <c r="BK1939" s="87"/>
      <c r="BL1939" s="87"/>
      <c r="BM1939" s="87"/>
      <c r="BN1939" s="87"/>
      <c r="BO1939" s="87"/>
      <c r="BP1939" s="87"/>
      <c r="BQ1939" s="87"/>
      <c r="BR1939" s="87"/>
      <c r="BS1939" s="87"/>
      <c r="BT1939" s="87"/>
      <c r="BU1939" s="87"/>
      <c r="BV1939" s="87"/>
      <c r="BW1939" s="87"/>
      <c r="BX1939" s="87"/>
      <c r="BY1939" s="87"/>
    </row>
    <row r="1940" spans="21:77" x14ac:dyDescent="0.3">
      <c r="U1940" s="19"/>
      <c r="V1940" s="87"/>
      <c r="W1940" s="87"/>
      <c r="X1940" s="87"/>
      <c r="Y1940" s="87"/>
      <c r="Z1940" s="87"/>
      <c r="AA1940" s="87"/>
      <c r="AB1940" s="87"/>
      <c r="AC1940" s="87"/>
      <c r="AD1940" s="87"/>
      <c r="AE1940" s="87"/>
      <c r="AF1940" s="87"/>
      <c r="AG1940" s="87"/>
      <c r="AH1940" s="87"/>
      <c r="AI1940" s="87"/>
      <c r="AJ1940" s="87"/>
      <c r="AK1940" s="87"/>
      <c r="AL1940" s="87"/>
      <c r="AM1940" s="87"/>
      <c r="AN1940" s="87"/>
      <c r="AO1940" s="87"/>
      <c r="AP1940" s="87"/>
      <c r="AQ1940" s="87"/>
      <c r="AR1940" s="87"/>
      <c r="AS1940" s="87"/>
      <c r="AT1940" s="87"/>
      <c r="AU1940" s="87"/>
      <c r="AV1940" s="87"/>
      <c r="AW1940" s="87"/>
      <c r="AX1940" s="87"/>
      <c r="AY1940" s="87"/>
      <c r="AZ1940" s="87"/>
      <c r="BA1940" s="87"/>
      <c r="BB1940" s="87"/>
      <c r="BC1940" s="87"/>
      <c r="BD1940" s="87"/>
      <c r="BE1940" s="87"/>
      <c r="BF1940" s="87"/>
      <c r="BG1940" s="87"/>
      <c r="BH1940" s="87"/>
      <c r="BI1940" s="87"/>
      <c r="BJ1940" s="87"/>
      <c r="BK1940" s="87"/>
      <c r="BL1940" s="87"/>
      <c r="BM1940" s="87"/>
      <c r="BN1940" s="87"/>
      <c r="BO1940" s="87"/>
      <c r="BP1940" s="87"/>
      <c r="BQ1940" s="87"/>
      <c r="BR1940" s="87"/>
      <c r="BS1940" s="87"/>
      <c r="BT1940" s="87"/>
      <c r="BU1940" s="87"/>
      <c r="BV1940" s="87"/>
      <c r="BW1940" s="87"/>
      <c r="BX1940" s="87"/>
      <c r="BY1940" s="87"/>
    </row>
    <row r="1941" spans="21:77" x14ac:dyDescent="0.3">
      <c r="U1941" s="19"/>
      <c r="V1941" s="87"/>
      <c r="W1941" s="87"/>
      <c r="X1941" s="87"/>
      <c r="Y1941" s="87"/>
      <c r="Z1941" s="87"/>
      <c r="AA1941" s="87"/>
      <c r="AB1941" s="87"/>
      <c r="AC1941" s="87"/>
      <c r="AD1941" s="87"/>
      <c r="AE1941" s="87"/>
      <c r="AF1941" s="87"/>
      <c r="AG1941" s="87"/>
      <c r="AH1941" s="87"/>
      <c r="AI1941" s="87"/>
      <c r="AJ1941" s="87"/>
      <c r="AK1941" s="87"/>
      <c r="AL1941" s="87"/>
      <c r="AM1941" s="87"/>
      <c r="AN1941" s="87"/>
      <c r="AO1941" s="87"/>
      <c r="AP1941" s="87"/>
      <c r="AQ1941" s="87"/>
      <c r="AR1941" s="87"/>
      <c r="AS1941" s="87"/>
      <c r="AT1941" s="87"/>
      <c r="AU1941" s="87"/>
      <c r="AV1941" s="87"/>
      <c r="AW1941" s="87"/>
      <c r="AX1941" s="87"/>
      <c r="AY1941" s="87"/>
      <c r="AZ1941" s="87"/>
      <c r="BA1941" s="87"/>
      <c r="BB1941" s="87"/>
      <c r="BC1941" s="87"/>
      <c r="BD1941" s="87"/>
      <c r="BE1941" s="87"/>
      <c r="BF1941" s="87"/>
      <c r="BG1941" s="87"/>
      <c r="BH1941" s="87"/>
      <c r="BI1941" s="87"/>
      <c r="BJ1941" s="87"/>
      <c r="BK1941" s="87"/>
      <c r="BL1941" s="87"/>
      <c r="BM1941" s="87"/>
      <c r="BN1941" s="87"/>
      <c r="BO1941" s="87"/>
      <c r="BP1941" s="87"/>
      <c r="BQ1941" s="87"/>
      <c r="BR1941" s="87"/>
      <c r="BS1941" s="87"/>
      <c r="BT1941" s="87"/>
      <c r="BU1941" s="87"/>
      <c r="BV1941" s="87"/>
      <c r="BW1941" s="87"/>
      <c r="BX1941" s="87"/>
      <c r="BY1941" s="87"/>
    </row>
    <row r="1942" spans="21:77" x14ac:dyDescent="0.3">
      <c r="U1942" s="19"/>
      <c r="V1942" s="87"/>
      <c r="W1942" s="87"/>
      <c r="X1942" s="87"/>
      <c r="Y1942" s="87"/>
      <c r="Z1942" s="87"/>
      <c r="AA1942" s="87"/>
      <c r="AB1942" s="87"/>
      <c r="AC1942" s="87"/>
      <c r="AD1942" s="87"/>
      <c r="AE1942" s="87"/>
      <c r="AF1942" s="87"/>
      <c r="AG1942" s="87"/>
      <c r="AH1942" s="87"/>
      <c r="AI1942" s="87"/>
      <c r="AJ1942" s="87"/>
      <c r="AK1942" s="87"/>
      <c r="AL1942" s="87"/>
      <c r="AM1942" s="87"/>
      <c r="AN1942" s="87"/>
      <c r="AO1942" s="87"/>
      <c r="AP1942" s="87"/>
      <c r="AQ1942" s="87"/>
      <c r="AR1942" s="87"/>
      <c r="AS1942" s="87"/>
      <c r="AT1942" s="87"/>
      <c r="AU1942" s="87"/>
      <c r="AV1942" s="87"/>
      <c r="AW1942" s="87"/>
      <c r="AX1942" s="87"/>
      <c r="AY1942" s="87"/>
      <c r="AZ1942" s="87"/>
      <c r="BA1942" s="87"/>
      <c r="BB1942" s="87"/>
      <c r="BC1942" s="87"/>
      <c r="BD1942" s="87"/>
      <c r="BE1942" s="87"/>
      <c r="BF1942" s="87"/>
      <c r="BG1942" s="87"/>
      <c r="BH1942" s="87"/>
      <c r="BI1942" s="87"/>
      <c r="BJ1942" s="87"/>
      <c r="BK1942" s="87"/>
      <c r="BL1942" s="87"/>
      <c r="BM1942" s="87"/>
      <c r="BN1942" s="87"/>
      <c r="BO1942" s="87"/>
      <c r="BP1942" s="87"/>
      <c r="BQ1942" s="87"/>
      <c r="BR1942" s="87"/>
      <c r="BS1942" s="87"/>
      <c r="BT1942" s="87"/>
      <c r="BU1942" s="87"/>
      <c r="BV1942" s="87"/>
      <c r="BW1942" s="87"/>
      <c r="BX1942" s="87"/>
      <c r="BY1942" s="87"/>
    </row>
    <row r="1943" spans="21:77" x14ac:dyDescent="0.3">
      <c r="U1943" s="19"/>
      <c r="V1943" s="87"/>
      <c r="W1943" s="87"/>
      <c r="X1943" s="87"/>
      <c r="Y1943" s="87"/>
      <c r="Z1943" s="87"/>
      <c r="AA1943" s="87"/>
      <c r="AB1943" s="87"/>
      <c r="AC1943" s="87"/>
      <c r="AD1943" s="87"/>
      <c r="AE1943" s="87"/>
      <c r="AF1943" s="87"/>
      <c r="AG1943" s="87"/>
      <c r="AH1943" s="87"/>
      <c r="AI1943" s="87"/>
      <c r="AJ1943" s="87"/>
      <c r="AK1943" s="87"/>
      <c r="AL1943" s="87"/>
      <c r="AM1943" s="87"/>
      <c r="AN1943" s="87"/>
      <c r="AO1943" s="87"/>
      <c r="AP1943" s="87"/>
      <c r="AQ1943" s="87"/>
      <c r="AR1943" s="87"/>
      <c r="AS1943" s="87"/>
      <c r="AT1943" s="87"/>
      <c r="AU1943" s="87"/>
      <c r="AV1943" s="87"/>
      <c r="AW1943" s="87"/>
      <c r="AX1943" s="87"/>
      <c r="AY1943" s="87"/>
      <c r="AZ1943" s="87"/>
      <c r="BA1943" s="87"/>
      <c r="BB1943" s="87"/>
      <c r="BC1943" s="87"/>
      <c r="BD1943" s="87"/>
      <c r="BE1943" s="87"/>
      <c r="BF1943" s="87"/>
      <c r="BG1943" s="87"/>
      <c r="BH1943" s="87"/>
      <c r="BI1943" s="87"/>
      <c r="BJ1943" s="87"/>
      <c r="BK1943" s="87"/>
      <c r="BL1943" s="87"/>
      <c r="BM1943" s="87"/>
      <c r="BN1943" s="87"/>
      <c r="BO1943" s="87"/>
      <c r="BP1943" s="87"/>
      <c r="BQ1943" s="87"/>
      <c r="BR1943" s="87"/>
      <c r="BS1943" s="87"/>
      <c r="BT1943" s="87"/>
      <c r="BU1943" s="87"/>
      <c r="BV1943" s="87"/>
      <c r="BW1943" s="87"/>
      <c r="BX1943" s="87"/>
      <c r="BY1943" s="87"/>
    </row>
    <row r="1944" spans="21:77" x14ac:dyDescent="0.3">
      <c r="U1944" s="19"/>
      <c r="V1944" s="87"/>
      <c r="W1944" s="87"/>
      <c r="X1944" s="87"/>
      <c r="Y1944" s="87"/>
      <c r="Z1944" s="87"/>
      <c r="AA1944" s="87"/>
      <c r="AB1944" s="87"/>
      <c r="AC1944" s="87"/>
      <c r="AD1944" s="87"/>
      <c r="AE1944" s="87"/>
      <c r="AF1944" s="87"/>
      <c r="AG1944" s="87"/>
      <c r="AH1944" s="87"/>
      <c r="AI1944" s="87"/>
      <c r="AJ1944" s="87"/>
      <c r="AK1944" s="87"/>
      <c r="AL1944" s="87"/>
      <c r="AM1944" s="87"/>
      <c r="AN1944" s="87"/>
      <c r="AO1944" s="87"/>
      <c r="AP1944" s="87"/>
      <c r="AQ1944" s="87"/>
      <c r="AR1944" s="87"/>
      <c r="AS1944" s="87"/>
      <c r="AT1944" s="87"/>
      <c r="AU1944" s="87"/>
      <c r="AV1944" s="87"/>
      <c r="AW1944" s="87"/>
      <c r="AX1944" s="87"/>
      <c r="AY1944" s="87"/>
      <c r="AZ1944" s="87"/>
      <c r="BA1944" s="87"/>
      <c r="BB1944" s="87"/>
      <c r="BC1944" s="87"/>
      <c r="BD1944" s="87"/>
      <c r="BE1944" s="87"/>
      <c r="BF1944" s="87"/>
      <c r="BG1944" s="87"/>
      <c r="BH1944" s="87"/>
      <c r="BI1944" s="87"/>
      <c r="BJ1944" s="87"/>
      <c r="BK1944" s="87"/>
      <c r="BL1944" s="87"/>
      <c r="BM1944" s="87"/>
      <c r="BN1944" s="87"/>
      <c r="BO1944" s="87"/>
      <c r="BP1944" s="87"/>
      <c r="BQ1944" s="87"/>
      <c r="BR1944" s="87"/>
      <c r="BS1944" s="87"/>
      <c r="BT1944" s="87"/>
      <c r="BU1944" s="87"/>
      <c r="BV1944" s="87"/>
      <c r="BW1944" s="87"/>
      <c r="BX1944" s="87"/>
      <c r="BY1944" s="87"/>
    </row>
    <row r="1945" spans="21:77" x14ac:dyDescent="0.3">
      <c r="U1945" s="19"/>
      <c r="V1945" s="87"/>
      <c r="W1945" s="87"/>
      <c r="X1945" s="87"/>
      <c r="Y1945" s="87"/>
      <c r="Z1945" s="87"/>
      <c r="AA1945" s="87"/>
      <c r="AB1945" s="87"/>
      <c r="AC1945" s="87"/>
      <c r="AD1945" s="87"/>
      <c r="AE1945" s="87"/>
      <c r="AF1945" s="87"/>
      <c r="AG1945" s="87"/>
      <c r="AH1945" s="87"/>
      <c r="AI1945" s="87"/>
      <c r="AJ1945" s="87"/>
      <c r="AK1945" s="87"/>
      <c r="AL1945" s="87"/>
      <c r="AM1945" s="87"/>
      <c r="AN1945" s="87"/>
      <c r="AO1945" s="87"/>
      <c r="AP1945" s="87"/>
      <c r="AQ1945" s="87"/>
      <c r="AR1945" s="87"/>
      <c r="AS1945" s="87"/>
      <c r="AT1945" s="87"/>
      <c r="AU1945" s="87"/>
      <c r="AV1945" s="87"/>
      <c r="AW1945" s="87"/>
      <c r="AX1945" s="87"/>
      <c r="AY1945" s="87"/>
      <c r="AZ1945" s="87"/>
      <c r="BA1945" s="87"/>
      <c r="BB1945" s="87"/>
      <c r="BC1945" s="87"/>
      <c r="BD1945" s="87"/>
      <c r="BE1945" s="87"/>
      <c r="BF1945" s="87"/>
      <c r="BG1945" s="87"/>
      <c r="BH1945" s="87"/>
      <c r="BI1945" s="87"/>
      <c r="BJ1945" s="87"/>
      <c r="BK1945" s="87"/>
      <c r="BL1945" s="87"/>
      <c r="BM1945" s="87"/>
      <c r="BN1945" s="87"/>
      <c r="BO1945" s="87"/>
      <c r="BP1945" s="87"/>
      <c r="BQ1945" s="87"/>
      <c r="BR1945" s="87"/>
      <c r="BS1945" s="87"/>
      <c r="BT1945" s="87"/>
      <c r="BU1945" s="87"/>
      <c r="BV1945" s="87"/>
      <c r="BW1945" s="87"/>
      <c r="BX1945" s="87"/>
      <c r="BY1945" s="87"/>
    </row>
    <row r="1946" spans="21:77" x14ac:dyDescent="0.3">
      <c r="U1946" s="19"/>
      <c r="V1946" s="87"/>
      <c r="W1946" s="87"/>
      <c r="X1946" s="87"/>
      <c r="Y1946" s="87"/>
      <c r="Z1946" s="87"/>
      <c r="AA1946" s="87"/>
      <c r="AB1946" s="87"/>
      <c r="AC1946" s="87"/>
      <c r="AD1946" s="87"/>
      <c r="AE1946" s="87"/>
      <c r="AF1946" s="87"/>
      <c r="AG1946" s="87"/>
      <c r="AH1946" s="87"/>
      <c r="AI1946" s="87"/>
      <c r="AJ1946" s="87"/>
      <c r="AK1946" s="87"/>
      <c r="AL1946" s="87"/>
      <c r="AM1946" s="87"/>
      <c r="AN1946" s="87"/>
      <c r="AO1946" s="87"/>
      <c r="AP1946" s="87"/>
      <c r="AQ1946" s="87"/>
      <c r="AR1946" s="87"/>
      <c r="AS1946" s="87"/>
      <c r="AT1946" s="87"/>
      <c r="AU1946" s="87"/>
      <c r="AV1946" s="87"/>
      <c r="AW1946" s="87"/>
      <c r="AX1946" s="87"/>
      <c r="AY1946" s="87"/>
      <c r="AZ1946" s="87"/>
      <c r="BA1946" s="87"/>
      <c r="BB1946" s="87"/>
      <c r="BC1946" s="87"/>
      <c r="BD1946" s="87"/>
      <c r="BE1946" s="87"/>
      <c r="BF1946" s="87"/>
      <c r="BG1946" s="87"/>
      <c r="BH1946" s="87"/>
      <c r="BI1946" s="87"/>
      <c r="BJ1946" s="87"/>
      <c r="BK1946" s="87"/>
      <c r="BL1946" s="87"/>
      <c r="BM1946" s="87"/>
      <c r="BN1946" s="87"/>
      <c r="BO1946" s="87"/>
      <c r="BP1946" s="87"/>
      <c r="BQ1946" s="87"/>
      <c r="BR1946" s="87"/>
      <c r="BS1946" s="87"/>
      <c r="BT1946" s="87"/>
      <c r="BU1946" s="87"/>
      <c r="BV1946" s="87"/>
      <c r="BW1946" s="87"/>
      <c r="BX1946" s="87"/>
      <c r="BY1946" s="87"/>
    </row>
    <row r="1947" spans="21:77" x14ac:dyDescent="0.3">
      <c r="U1947" s="19"/>
      <c r="V1947" s="87"/>
      <c r="W1947" s="87"/>
      <c r="X1947" s="87"/>
      <c r="Y1947" s="87"/>
      <c r="Z1947" s="87"/>
      <c r="AA1947" s="87"/>
      <c r="AB1947" s="87"/>
      <c r="AC1947" s="87"/>
      <c r="AD1947" s="87"/>
      <c r="AE1947" s="87"/>
      <c r="AF1947" s="87"/>
      <c r="AG1947" s="87"/>
      <c r="AH1947" s="87"/>
      <c r="AI1947" s="87"/>
      <c r="AJ1947" s="87"/>
      <c r="AK1947" s="87"/>
      <c r="AL1947" s="87"/>
      <c r="AM1947" s="87"/>
      <c r="AN1947" s="87"/>
      <c r="AO1947" s="87"/>
      <c r="AP1947" s="87"/>
      <c r="AQ1947" s="87"/>
      <c r="AR1947" s="87"/>
      <c r="AS1947" s="87"/>
      <c r="AT1947" s="87"/>
      <c r="AU1947" s="87"/>
      <c r="AV1947" s="87"/>
      <c r="AW1947" s="87"/>
      <c r="AX1947" s="87"/>
      <c r="AY1947" s="87"/>
      <c r="AZ1947" s="87"/>
      <c r="BA1947" s="87"/>
      <c r="BB1947" s="87"/>
      <c r="BC1947" s="87"/>
      <c r="BD1947" s="87"/>
      <c r="BE1947" s="87"/>
      <c r="BF1947" s="87"/>
      <c r="BG1947" s="87"/>
      <c r="BH1947" s="87"/>
      <c r="BI1947" s="87"/>
      <c r="BJ1947" s="87"/>
      <c r="BK1947" s="87"/>
      <c r="BL1947" s="87"/>
      <c r="BM1947" s="87"/>
      <c r="BN1947" s="87"/>
      <c r="BO1947" s="87"/>
      <c r="BP1947" s="87"/>
      <c r="BQ1947" s="87"/>
      <c r="BR1947" s="87"/>
      <c r="BS1947" s="87"/>
      <c r="BT1947" s="87"/>
      <c r="BU1947" s="87"/>
      <c r="BV1947" s="87"/>
      <c r="BW1947" s="87"/>
      <c r="BX1947" s="87"/>
      <c r="BY1947" s="87"/>
    </row>
    <row r="1948" spans="21:77" x14ac:dyDescent="0.3">
      <c r="U1948" s="19"/>
      <c r="V1948" s="87"/>
      <c r="W1948" s="87"/>
      <c r="X1948" s="87"/>
      <c r="Y1948" s="87"/>
      <c r="Z1948" s="87"/>
      <c r="AA1948" s="87"/>
      <c r="AB1948" s="87"/>
      <c r="AC1948" s="87"/>
      <c r="AD1948" s="87"/>
      <c r="AE1948" s="87"/>
      <c r="AF1948" s="87"/>
      <c r="AG1948" s="87"/>
      <c r="AH1948" s="87"/>
      <c r="AI1948" s="87"/>
      <c r="AJ1948" s="87"/>
      <c r="AK1948" s="87"/>
      <c r="AL1948" s="87"/>
      <c r="AM1948" s="87"/>
      <c r="AN1948" s="87"/>
      <c r="AO1948" s="87"/>
      <c r="AP1948" s="87"/>
      <c r="AQ1948" s="87"/>
      <c r="AR1948" s="87"/>
      <c r="AS1948" s="87"/>
      <c r="AT1948" s="87"/>
      <c r="AU1948" s="87"/>
      <c r="AV1948" s="87"/>
      <c r="AW1948" s="87"/>
      <c r="AX1948" s="87"/>
      <c r="AY1948" s="87"/>
      <c r="AZ1948" s="87"/>
      <c r="BA1948" s="87"/>
      <c r="BB1948" s="87"/>
      <c r="BC1948" s="87"/>
      <c r="BD1948" s="87"/>
      <c r="BE1948" s="87"/>
      <c r="BF1948" s="87"/>
      <c r="BG1948" s="87"/>
      <c r="BH1948" s="87"/>
      <c r="BI1948" s="87"/>
      <c r="BJ1948" s="87"/>
      <c r="BK1948" s="87"/>
      <c r="BL1948" s="87"/>
      <c r="BM1948" s="87"/>
      <c r="BN1948" s="87"/>
      <c r="BO1948" s="87"/>
      <c r="BP1948" s="87"/>
      <c r="BQ1948" s="87"/>
      <c r="BR1948" s="87"/>
      <c r="BS1948" s="87"/>
      <c r="BT1948" s="87"/>
      <c r="BU1948" s="87"/>
      <c r="BV1948" s="87"/>
      <c r="BW1948" s="87"/>
      <c r="BX1948" s="87"/>
      <c r="BY1948" s="87"/>
    </row>
    <row r="1949" spans="21:77" x14ac:dyDescent="0.3">
      <c r="U1949" s="19"/>
      <c r="V1949" s="87"/>
      <c r="W1949" s="87"/>
      <c r="X1949" s="87"/>
      <c r="Y1949" s="87"/>
      <c r="Z1949" s="87"/>
      <c r="AA1949" s="87"/>
      <c r="AB1949" s="87"/>
      <c r="AC1949" s="87"/>
      <c r="AD1949" s="87"/>
      <c r="AE1949" s="87"/>
      <c r="AF1949" s="87"/>
      <c r="AG1949" s="87"/>
      <c r="AH1949" s="87"/>
      <c r="AI1949" s="87"/>
      <c r="AJ1949" s="87"/>
      <c r="AK1949" s="87"/>
      <c r="AL1949" s="87"/>
      <c r="AM1949" s="87"/>
      <c r="AN1949" s="87"/>
      <c r="AO1949" s="87"/>
      <c r="AP1949" s="87"/>
      <c r="AQ1949" s="87"/>
      <c r="AR1949" s="87"/>
      <c r="AS1949" s="87"/>
      <c r="AT1949" s="87"/>
      <c r="AU1949" s="87"/>
      <c r="AV1949" s="87"/>
      <c r="AW1949" s="87"/>
      <c r="AX1949" s="87"/>
      <c r="AY1949" s="87"/>
      <c r="AZ1949" s="87"/>
      <c r="BA1949" s="87"/>
      <c r="BB1949" s="87"/>
      <c r="BC1949" s="87"/>
      <c r="BD1949" s="87"/>
      <c r="BE1949" s="87"/>
      <c r="BF1949" s="87"/>
      <c r="BG1949" s="87"/>
      <c r="BH1949" s="87"/>
      <c r="BI1949" s="87"/>
      <c r="BJ1949" s="87"/>
      <c r="BK1949" s="87"/>
      <c r="BL1949" s="87"/>
      <c r="BM1949" s="87"/>
      <c r="BN1949" s="87"/>
      <c r="BO1949" s="87"/>
      <c r="BP1949" s="87"/>
      <c r="BQ1949" s="87"/>
      <c r="BR1949" s="87"/>
      <c r="BS1949" s="87"/>
      <c r="BT1949" s="87"/>
      <c r="BU1949" s="87"/>
      <c r="BV1949" s="87"/>
      <c r="BW1949" s="87"/>
      <c r="BX1949" s="87"/>
      <c r="BY1949" s="87"/>
    </row>
    <row r="1950" spans="21:77" x14ac:dyDescent="0.3">
      <c r="U1950" s="19"/>
      <c r="V1950" s="87"/>
      <c r="W1950" s="87"/>
      <c r="X1950" s="87"/>
      <c r="Y1950" s="87"/>
      <c r="Z1950" s="87"/>
      <c r="AA1950" s="87"/>
      <c r="AB1950" s="87"/>
      <c r="AC1950" s="87"/>
      <c r="AD1950" s="87"/>
      <c r="AE1950" s="87"/>
      <c r="AF1950" s="87"/>
      <c r="AG1950" s="87"/>
      <c r="AH1950" s="87"/>
      <c r="AI1950" s="87"/>
      <c r="AJ1950" s="87"/>
      <c r="AK1950" s="87"/>
      <c r="AL1950" s="87"/>
      <c r="AM1950" s="87"/>
      <c r="AN1950" s="87"/>
      <c r="AO1950" s="87"/>
      <c r="AP1950" s="87"/>
      <c r="AQ1950" s="87"/>
      <c r="AR1950" s="87"/>
      <c r="AS1950" s="87"/>
      <c r="AT1950" s="87"/>
      <c r="AU1950" s="87"/>
      <c r="AV1950" s="87"/>
      <c r="AW1950" s="87"/>
      <c r="AX1950" s="87"/>
      <c r="AY1950" s="87"/>
      <c r="AZ1950" s="87"/>
      <c r="BA1950" s="87"/>
      <c r="BB1950" s="87"/>
      <c r="BC1950" s="87"/>
      <c r="BD1950" s="87"/>
      <c r="BE1950" s="87"/>
      <c r="BF1950" s="87"/>
      <c r="BG1950" s="87"/>
      <c r="BH1950" s="87"/>
      <c r="BI1950" s="87"/>
      <c r="BJ1950" s="87"/>
      <c r="BK1950" s="87"/>
      <c r="BL1950" s="87"/>
      <c r="BM1950" s="87"/>
      <c r="BN1950" s="87"/>
      <c r="BO1950" s="87"/>
      <c r="BP1950" s="87"/>
      <c r="BQ1950" s="87"/>
      <c r="BR1950" s="87"/>
      <c r="BS1950" s="87"/>
      <c r="BT1950" s="87"/>
      <c r="BU1950" s="87"/>
      <c r="BV1950" s="87"/>
      <c r="BW1950" s="87"/>
      <c r="BX1950" s="87"/>
      <c r="BY1950" s="87"/>
    </row>
    <row r="1951" spans="21:77" x14ac:dyDescent="0.3">
      <c r="U1951" s="19"/>
      <c r="V1951" s="87"/>
      <c r="W1951" s="87"/>
      <c r="X1951" s="87"/>
      <c r="Y1951" s="87"/>
      <c r="Z1951" s="87"/>
      <c r="AA1951" s="87"/>
      <c r="AB1951" s="87"/>
      <c r="AC1951" s="87"/>
      <c r="AD1951" s="87"/>
      <c r="AE1951" s="87"/>
      <c r="AF1951" s="87"/>
      <c r="AG1951" s="87"/>
      <c r="AH1951" s="87"/>
      <c r="AI1951" s="87"/>
      <c r="AJ1951" s="87"/>
      <c r="AK1951" s="87"/>
      <c r="AL1951" s="87"/>
      <c r="AM1951" s="87"/>
      <c r="AN1951" s="87"/>
      <c r="AO1951" s="87"/>
      <c r="AP1951" s="87"/>
      <c r="AQ1951" s="87"/>
      <c r="AR1951" s="87"/>
      <c r="AS1951" s="87"/>
      <c r="AT1951" s="87"/>
      <c r="AU1951" s="87"/>
      <c r="AV1951" s="87"/>
      <c r="AW1951" s="87"/>
      <c r="AX1951" s="87"/>
      <c r="AY1951" s="87"/>
      <c r="AZ1951" s="87"/>
      <c r="BA1951" s="87"/>
      <c r="BB1951" s="87"/>
      <c r="BC1951" s="87"/>
      <c r="BD1951" s="87"/>
      <c r="BE1951" s="87"/>
      <c r="BF1951" s="87"/>
      <c r="BG1951" s="87"/>
      <c r="BH1951" s="87"/>
      <c r="BI1951" s="87"/>
      <c r="BJ1951" s="87"/>
      <c r="BK1951" s="87"/>
      <c r="BL1951" s="87"/>
      <c r="BM1951" s="87"/>
      <c r="BN1951" s="87"/>
      <c r="BO1951" s="87"/>
      <c r="BP1951" s="87"/>
      <c r="BQ1951" s="87"/>
      <c r="BR1951" s="87"/>
      <c r="BS1951" s="87"/>
      <c r="BT1951" s="87"/>
      <c r="BU1951" s="87"/>
      <c r="BV1951" s="87"/>
      <c r="BW1951" s="87"/>
      <c r="BX1951" s="87"/>
      <c r="BY1951" s="87"/>
    </row>
    <row r="1952" spans="21:77" x14ac:dyDescent="0.3">
      <c r="U1952" s="19"/>
      <c r="V1952" s="87"/>
      <c r="W1952" s="87"/>
      <c r="X1952" s="87"/>
      <c r="Y1952" s="87"/>
      <c r="Z1952" s="87"/>
      <c r="AA1952" s="87"/>
      <c r="AB1952" s="87"/>
      <c r="AC1952" s="87"/>
      <c r="AD1952" s="87"/>
      <c r="AE1952" s="87"/>
      <c r="AF1952" s="87"/>
      <c r="AG1952" s="87"/>
      <c r="AH1952" s="87"/>
      <c r="AI1952" s="87"/>
      <c r="AJ1952" s="87"/>
      <c r="AK1952" s="87"/>
      <c r="AL1952" s="87"/>
      <c r="AM1952" s="87"/>
      <c r="AN1952" s="87"/>
      <c r="AO1952" s="87"/>
      <c r="AP1952" s="87"/>
      <c r="AQ1952" s="87"/>
      <c r="AR1952" s="87"/>
      <c r="AS1952" s="87"/>
      <c r="AT1952" s="87"/>
      <c r="AU1952" s="87"/>
      <c r="AV1952" s="87"/>
      <c r="AW1952" s="87"/>
      <c r="AX1952" s="87"/>
      <c r="AY1952" s="87"/>
      <c r="AZ1952" s="87"/>
      <c r="BA1952" s="87"/>
      <c r="BB1952" s="87"/>
      <c r="BC1952" s="87"/>
      <c r="BD1952" s="87"/>
      <c r="BE1952" s="87"/>
      <c r="BF1952" s="87"/>
      <c r="BG1952" s="87"/>
      <c r="BH1952" s="87"/>
      <c r="BI1952" s="87"/>
      <c r="BJ1952" s="87"/>
      <c r="BK1952" s="87"/>
      <c r="BL1952" s="87"/>
      <c r="BM1952" s="87"/>
      <c r="BN1952" s="87"/>
      <c r="BO1952" s="87"/>
      <c r="BP1952" s="87"/>
      <c r="BQ1952" s="87"/>
      <c r="BR1952" s="87"/>
      <c r="BS1952" s="87"/>
      <c r="BT1952" s="87"/>
      <c r="BU1952" s="87"/>
      <c r="BV1952" s="87"/>
      <c r="BW1952" s="87"/>
      <c r="BX1952" s="87"/>
      <c r="BY1952" s="87"/>
    </row>
    <row r="1953" spans="21:77" x14ac:dyDescent="0.3">
      <c r="U1953" s="19"/>
      <c r="V1953" s="87"/>
      <c r="W1953" s="87"/>
      <c r="X1953" s="87"/>
      <c r="Y1953" s="87"/>
      <c r="Z1953" s="87"/>
      <c r="AA1953" s="87"/>
      <c r="AB1953" s="87"/>
      <c r="AC1953" s="87"/>
      <c r="AD1953" s="87"/>
      <c r="AE1953" s="87"/>
      <c r="AF1953" s="87"/>
      <c r="AG1953" s="87"/>
      <c r="AH1953" s="87"/>
      <c r="AI1953" s="87"/>
      <c r="AJ1953" s="87"/>
      <c r="AK1953" s="87"/>
      <c r="AL1953" s="87"/>
      <c r="AM1953" s="87"/>
      <c r="AN1953" s="87"/>
      <c r="AO1953" s="87"/>
      <c r="AP1953" s="87"/>
      <c r="AQ1953" s="87"/>
      <c r="AR1953" s="87"/>
      <c r="AS1953" s="87"/>
      <c r="AT1953" s="87"/>
      <c r="AU1953" s="87"/>
      <c r="AV1953" s="87"/>
      <c r="AW1953" s="87"/>
      <c r="AX1953" s="87"/>
      <c r="AY1953" s="87"/>
      <c r="AZ1953" s="87"/>
      <c r="BA1953" s="87"/>
      <c r="BB1953" s="87"/>
      <c r="BC1953" s="87"/>
      <c r="BD1953" s="87"/>
      <c r="BE1953" s="87"/>
      <c r="BF1953" s="87"/>
      <c r="BG1953" s="87"/>
      <c r="BH1953" s="87"/>
      <c r="BI1953" s="87"/>
      <c r="BJ1953" s="87"/>
      <c r="BK1953" s="87"/>
      <c r="BL1953" s="87"/>
      <c r="BM1953" s="87"/>
      <c r="BN1953" s="87"/>
      <c r="BO1953" s="87"/>
      <c r="BP1953" s="87"/>
      <c r="BQ1953" s="87"/>
      <c r="BR1953" s="87"/>
      <c r="BS1953" s="87"/>
      <c r="BT1953" s="87"/>
      <c r="BU1953" s="87"/>
      <c r="BV1953" s="87"/>
      <c r="BW1953" s="87"/>
      <c r="BX1953" s="87"/>
      <c r="BY1953" s="87"/>
    </row>
    <row r="1954" spans="21:77" x14ac:dyDescent="0.3">
      <c r="U1954" s="19"/>
      <c r="V1954" s="87"/>
      <c r="W1954" s="87"/>
      <c r="X1954" s="87"/>
      <c r="Y1954" s="87"/>
      <c r="Z1954" s="87"/>
      <c r="AA1954" s="87"/>
      <c r="AB1954" s="87"/>
      <c r="AC1954" s="87"/>
      <c r="AD1954" s="87"/>
      <c r="AE1954" s="87"/>
      <c r="AF1954" s="87"/>
      <c r="AG1954" s="87"/>
      <c r="AH1954" s="87"/>
      <c r="AI1954" s="87"/>
      <c r="AJ1954" s="87"/>
      <c r="AK1954" s="87"/>
      <c r="AL1954" s="87"/>
      <c r="AM1954" s="87"/>
      <c r="AN1954" s="87"/>
      <c r="AO1954" s="87"/>
      <c r="AP1954" s="87"/>
      <c r="AQ1954" s="87"/>
      <c r="AR1954" s="87"/>
      <c r="AS1954" s="87"/>
      <c r="AT1954" s="87"/>
      <c r="AU1954" s="87"/>
      <c r="AV1954" s="87"/>
      <c r="AW1954" s="87"/>
      <c r="AX1954" s="87"/>
      <c r="AY1954" s="87"/>
      <c r="AZ1954" s="87"/>
      <c r="BA1954" s="87"/>
      <c r="BB1954" s="87"/>
      <c r="BC1954" s="87"/>
      <c r="BD1954" s="87"/>
      <c r="BE1954" s="87"/>
      <c r="BF1954" s="87"/>
      <c r="BG1954" s="87"/>
      <c r="BH1954" s="87"/>
      <c r="BI1954" s="87"/>
      <c r="BJ1954" s="87"/>
      <c r="BK1954" s="87"/>
      <c r="BL1954" s="87"/>
      <c r="BM1954" s="87"/>
      <c r="BN1954" s="87"/>
      <c r="BO1954" s="87"/>
      <c r="BP1954" s="87"/>
      <c r="BQ1954" s="87"/>
      <c r="BR1954" s="87"/>
      <c r="BS1954" s="87"/>
      <c r="BT1954" s="87"/>
      <c r="BU1954" s="87"/>
      <c r="BV1954" s="87"/>
      <c r="BW1954" s="87"/>
      <c r="BX1954" s="87"/>
      <c r="BY1954" s="87"/>
    </row>
    <row r="1955" spans="21:77" x14ac:dyDescent="0.3">
      <c r="U1955" s="19"/>
      <c r="V1955" s="87"/>
      <c r="W1955" s="87"/>
      <c r="X1955" s="87"/>
      <c r="Y1955" s="87"/>
      <c r="Z1955" s="87"/>
      <c r="AA1955" s="87"/>
      <c r="AB1955" s="87"/>
      <c r="AC1955" s="87"/>
      <c r="AD1955" s="87"/>
      <c r="AE1955" s="87"/>
      <c r="AF1955" s="87"/>
      <c r="AG1955" s="87"/>
      <c r="AH1955" s="87"/>
      <c r="AI1955" s="87"/>
      <c r="AJ1955" s="87"/>
      <c r="AK1955" s="87"/>
      <c r="AL1955" s="87"/>
      <c r="AM1955" s="87"/>
      <c r="AN1955" s="87"/>
      <c r="AO1955" s="87"/>
      <c r="AP1955" s="87"/>
      <c r="AQ1955" s="87"/>
      <c r="AR1955" s="87"/>
      <c r="AS1955" s="87"/>
      <c r="AT1955" s="87"/>
      <c r="AU1955" s="87"/>
      <c r="AV1955" s="87"/>
      <c r="AW1955" s="87"/>
      <c r="AX1955" s="87"/>
      <c r="AY1955" s="87"/>
      <c r="AZ1955" s="87"/>
      <c r="BA1955" s="87"/>
      <c r="BB1955" s="87"/>
      <c r="BC1955" s="87"/>
      <c r="BD1955" s="87"/>
      <c r="BE1955" s="87"/>
      <c r="BF1955" s="87"/>
      <c r="BG1955" s="87"/>
      <c r="BH1955" s="87"/>
      <c r="BI1955" s="87"/>
      <c r="BJ1955" s="87"/>
      <c r="BK1955" s="87"/>
      <c r="BL1955" s="87"/>
      <c r="BM1955" s="87"/>
      <c r="BN1955" s="87"/>
      <c r="BO1955" s="87"/>
      <c r="BP1955" s="87"/>
      <c r="BQ1955" s="87"/>
      <c r="BR1955" s="87"/>
      <c r="BS1955" s="87"/>
      <c r="BT1955" s="87"/>
      <c r="BU1955" s="87"/>
      <c r="BV1955" s="87"/>
      <c r="BW1955" s="87"/>
      <c r="BX1955" s="87"/>
      <c r="BY1955" s="87"/>
    </row>
    <row r="1956" spans="21:77" x14ac:dyDescent="0.3">
      <c r="U1956" s="19"/>
      <c r="V1956" s="87"/>
      <c r="W1956" s="87"/>
      <c r="X1956" s="87"/>
      <c r="Y1956" s="87"/>
      <c r="Z1956" s="87"/>
      <c r="AA1956" s="87"/>
      <c r="AB1956" s="87"/>
      <c r="AC1956" s="87"/>
      <c r="AD1956" s="87"/>
      <c r="AE1956" s="87"/>
      <c r="AF1956" s="87"/>
      <c r="AG1956" s="87"/>
      <c r="AH1956" s="87"/>
      <c r="AI1956" s="87"/>
      <c r="AJ1956" s="87"/>
      <c r="AK1956" s="87"/>
      <c r="AL1956" s="87"/>
      <c r="AM1956" s="87"/>
      <c r="AN1956" s="87"/>
      <c r="AO1956" s="87"/>
      <c r="AP1956" s="87"/>
      <c r="AQ1956" s="87"/>
      <c r="AR1956" s="87"/>
      <c r="AS1956" s="87"/>
      <c r="AT1956" s="87"/>
      <c r="AU1956" s="87"/>
      <c r="AV1956" s="87"/>
      <c r="AW1956" s="87"/>
      <c r="AX1956" s="87"/>
      <c r="AY1956" s="87"/>
      <c r="AZ1956" s="87"/>
      <c r="BA1956" s="87"/>
      <c r="BB1956" s="87"/>
      <c r="BC1956" s="87"/>
      <c r="BD1956" s="87"/>
      <c r="BE1956" s="87"/>
      <c r="BF1956" s="87"/>
      <c r="BG1956" s="87"/>
      <c r="BH1956" s="87"/>
      <c r="BI1956" s="87"/>
      <c r="BJ1956" s="87"/>
      <c r="BK1956" s="87"/>
      <c r="BL1956" s="87"/>
      <c r="BM1956" s="87"/>
      <c r="BN1956" s="87"/>
      <c r="BO1956" s="87"/>
      <c r="BP1956" s="87"/>
      <c r="BQ1956" s="87"/>
      <c r="BR1956" s="87"/>
      <c r="BS1956" s="87"/>
      <c r="BT1956" s="87"/>
      <c r="BU1956" s="87"/>
      <c r="BV1956" s="87"/>
      <c r="BW1956" s="87"/>
      <c r="BX1956" s="87"/>
      <c r="BY1956" s="87"/>
    </row>
    <row r="1957" spans="21:77" x14ac:dyDescent="0.3">
      <c r="U1957" s="19"/>
      <c r="V1957" s="87"/>
      <c r="W1957" s="87"/>
      <c r="X1957" s="87"/>
      <c r="Y1957" s="87"/>
      <c r="Z1957" s="87"/>
      <c r="AA1957" s="87"/>
      <c r="AB1957" s="87"/>
      <c r="AC1957" s="87"/>
      <c r="AD1957" s="87"/>
      <c r="AE1957" s="87"/>
      <c r="AF1957" s="87"/>
      <c r="AG1957" s="87"/>
      <c r="AH1957" s="87"/>
      <c r="AI1957" s="87"/>
      <c r="AJ1957" s="87"/>
      <c r="AK1957" s="87"/>
      <c r="AL1957" s="87"/>
      <c r="AM1957" s="87"/>
      <c r="AN1957" s="87"/>
      <c r="AO1957" s="87"/>
      <c r="AP1957" s="87"/>
      <c r="AQ1957" s="87"/>
      <c r="AR1957" s="87"/>
      <c r="AS1957" s="87"/>
      <c r="AT1957" s="87"/>
      <c r="AU1957" s="87"/>
      <c r="AV1957" s="87"/>
      <c r="AW1957" s="87"/>
      <c r="AX1957" s="87"/>
      <c r="AY1957" s="87"/>
      <c r="AZ1957" s="87"/>
      <c r="BA1957" s="87"/>
      <c r="BB1957" s="87"/>
      <c r="BC1957" s="87"/>
      <c r="BD1957" s="87"/>
      <c r="BE1957" s="87"/>
      <c r="BF1957" s="87"/>
      <c r="BG1957" s="87"/>
      <c r="BH1957" s="87"/>
      <c r="BI1957" s="87"/>
      <c r="BJ1957" s="87"/>
      <c r="BK1957" s="87"/>
      <c r="BL1957" s="87"/>
      <c r="BM1957" s="87"/>
      <c r="BN1957" s="87"/>
      <c r="BO1957" s="87"/>
      <c r="BP1957" s="87"/>
      <c r="BQ1957" s="87"/>
      <c r="BR1957" s="87"/>
      <c r="BS1957" s="87"/>
      <c r="BT1957" s="87"/>
      <c r="BU1957" s="87"/>
      <c r="BV1957" s="87"/>
      <c r="BW1957" s="87"/>
      <c r="BX1957" s="87"/>
      <c r="BY1957" s="87"/>
    </row>
    <row r="1958" spans="21:77" x14ac:dyDescent="0.3">
      <c r="U1958" s="19"/>
      <c r="V1958" s="87"/>
      <c r="W1958" s="87"/>
      <c r="X1958" s="87"/>
      <c r="Y1958" s="87"/>
      <c r="Z1958" s="87"/>
      <c r="AA1958" s="87"/>
      <c r="AB1958" s="87"/>
      <c r="AC1958" s="87"/>
      <c r="AD1958" s="87"/>
      <c r="AE1958" s="87"/>
      <c r="AF1958" s="87"/>
      <c r="AG1958" s="87"/>
      <c r="AH1958" s="87"/>
      <c r="AI1958" s="87"/>
      <c r="AJ1958" s="87"/>
      <c r="AK1958" s="87"/>
      <c r="AL1958" s="87"/>
      <c r="AM1958" s="87"/>
      <c r="AN1958" s="87"/>
      <c r="AO1958" s="87"/>
      <c r="AP1958" s="87"/>
      <c r="AQ1958" s="87"/>
      <c r="AR1958" s="87"/>
      <c r="AS1958" s="87"/>
      <c r="AT1958" s="87"/>
      <c r="AU1958" s="87"/>
      <c r="AV1958" s="87"/>
      <c r="AW1958" s="87"/>
      <c r="AX1958" s="87"/>
      <c r="AY1958" s="87"/>
      <c r="AZ1958" s="87"/>
      <c r="BA1958" s="87"/>
      <c r="BB1958" s="87"/>
      <c r="BC1958" s="87"/>
      <c r="BD1958" s="87"/>
      <c r="BE1958" s="87"/>
      <c r="BF1958" s="87"/>
      <c r="BG1958" s="87"/>
      <c r="BH1958" s="87"/>
      <c r="BI1958" s="87"/>
      <c r="BJ1958" s="87"/>
      <c r="BK1958" s="87"/>
      <c r="BL1958" s="87"/>
      <c r="BM1958" s="87"/>
      <c r="BN1958" s="87"/>
      <c r="BO1958" s="87"/>
      <c r="BP1958" s="87"/>
      <c r="BQ1958" s="87"/>
      <c r="BR1958" s="87"/>
      <c r="BS1958" s="87"/>
      <c r="BT1958" s="87"/>
      <c r="BU1958" s="87"/>
      <c r="BV1958" s="87"/>
      <c r="BW1958" s="87"/>
      <c r="BX1958" s="87"/>
      <c r="BY1958" s="87"/>
    </row>
    <row r="1959" spans="21:77" x14ac:dyDescent="0.3">
      <c r="U1959" s="19"/>
      <c r="V1959" s="87"/>
      <c r="W1959" s="87"/>
      <c r="X1959" s="87"/>
      <c r="Y1959" s="87"/>
      <c r="Z1959" s="87"/>
      <c r="AA1959" s="87"/>
      <c r="AB1959" s="87"/>
      <c r="AC1959" s="87"/>
      <c r="AD1959" s="87"/>
      <c r="AE1959" s="87"/>
      <c r="AF1959" s="87"/>
      <c r="AG1959" s="87"/>
      <c r="AH1959" s="87"/>
      <c r="AI1959" s="87"/>
      <c r="AJ1959" s="87"/>
      <c r="AK1959" s="87"/>
      <c r="AL1959" s="87"/>
      <c r="AM1959" s="87"/>
      <c r="AN1959" s="87"/>
      <c r="AO1959" s="87"/>
      <c r="AP1959" s="87"/>
      <c r="AQ1959" s="87"/>
      <c r="AR1959" s="87"/>
      <c r="AS1959" s="87"/>
      <c r="AT1959" s="87"/>
      <c r="AU1959" s="87"/>
      <c r="AV1959" s="87"/>
      <c r="AW1959" s="87"/>
      <c r="AX1959" s="87"/>
      <c r="AY1959" s="87"/>
      <c r="AZ1959" s="87"/>
      <c r="BA1959" s="87"/>
      <c r="BB1959" s="87"/>
      <c r="BC1959" s="87"/>
      <c r="BD1959" s="87"/>
      <c r="BE1959" s="87"/>
      <c r="BF1959" s="87"/>
      <c r="BG1959" s="87"/>
      <c r="BH1959" s="87"/>
      <c r="BI1959" s="87"/>
      <c r="BJ1959" s="87"/>
      <c r="BK1959" s="87"/>
      <c r="BL1959" s="87"/>
      <c r="BM1959" s="87"/>
      <c r="BN1959" s="87"/>
      <c r="BO1959" s="87"/>
      <c r="BP1959" s="87"/>
      <c r="BQ1959" s="87"/>
      <c r="BR1959" s="87"/>
      <c r="BS1959" s="87"/>
      <c r="BT1959" s="87"/>
      <c r="BU1959" s="87"/>
      <c r="BV1959" s="87"/>
      <c r="BW1959" s="87"/>
      <c r="BX1959" s="87"/>
      <c r="BY1959" s="87"/>
    </row>
    <row r="1960" spans="21:77" x14ac:dyDescent="0.3">
      <c r="U1960" s="19"/>
      <c r="V1960" s="87"/>
      <c r="W1960" s="87"/>
      <c r="X1960" s="87"/>
      <c r="Y1960" s="87"/>
      <c r="Z1960" s="87"/>
      <c r="AA1960" s="87"/>
      <c r="AB1960" s="87"/>
      <c r="AC1960" s="87"/>
      <c r="AD1960" s="87"/>
      <c r="AE1960" s="87"/>
      <c r="AF1960" s="87"/>
      <c r="AG1960" s="87"/>
      <c r="AH1960" s="87"/>
      <c r="AI1960" s="87"/>
      <c r="AJ1960" s="87"/>
      <c r="AK1960" s="87"/>
      <c r="AL1960" s="87"/>
      <c r="AM1960" s="87"/>
      <c r="AN1960" s="87"/>
      <c r="AO1960" s="87"/>
      <c r="AP1960" s="87"/>
      <c r="AQ1960" s="87"/>
      <c r="AR1960" s="87"/>
      <c r="AS1960" s="87"/>
      <c r="AT1960" s="87"/>
      <c r="AU1960" s="87"/>
      <c r="AV1960" s="87"/>
      <c r="AW1960" s="87"/>
      <c r="AX1960" s="87"/>
      <c r="AY1960" s="87"/>
      <c r="AZ1960" s="87"/>
      <c r="BA1960" s="87"/>
      <c r="BB1960" s="87"/>
      <c r="BC1960" s="87"/>
      <c r="BD1960" s="87"/>
      <c r="BE1960" s="87"/>
      <c r="BF1960" s="87"/>
      <c r="BG1960" s="87"/>
      <c r="BH1960" s="87"/>
      <c r="BI1960" s="87"/>
      <c r="BJ1960" s="87"/>
      <c r="BK1960" s="87"/>
      <c r="BL1960" s="87"/>
      <c r="BM1960" s="87"/>
      <c r="BN1960" s="87"/>
      <c r="BO1960" s="87"/>
      <c r="BP1960" s="87"/>
      <c r="BQ1960" s="87"/>
      <c r="BR1960" s="87"/>
      <c r="BS1960" s="87"/>
      <c r="BT1960" s="87"/>
      <c r="BU1960" s="87"/>
      <c r="BV1960" s="87"/>
      <c r="BW1960" s="87"/>
      <c r="BX1960" s="87"/>
      <c r="BY1960" s="87"/>
    </row>
    <row r="1961" spans="21:77" x14ac:dyDescent="0.3">
      <c r="U1961" s="19"/>
      <c r="V1961" s="87"/>
      <c r="W1961" s="87"/>
      <c r="X1961" s="87"/>
      <c r="Y1961" s="87"/>
      <c r="Z1961" s="87"/>
      <c r="AA1961" s="87"/>
      <c r="AB1961" s="87"/>
      <c r="AC1961" s="87"/>
      <c r="AD1961" s="87"/>
      <c r="AE1961" s="87"/>
      <c r="AF1961" s="87"/>
      <c r="AG1961" s="87"/>
      <c r="AH1961" s="87"/>
      <c r="AI1961" s="87"/>
      <c r="AJ1961" s="87"/>
      <c r="AK1961" s="87"/>
      <c r="AL1961" s="87"/>
      <c r="AM1961" s="87"/>
      <c r="AN1961" s="87"/>
      <c r="AO1961" s="87"/>
      <c r="AP1961" s="87"/>
      <c r="AQ1961" s="87"/>
      <c r="AR1961" s="87"/>
      <c r="AS1961" s="87"/>
      <c r="AT1961" s="87"/>
      <c r="AU1961" s="87"/>
      <c r="AV1961" s="87"/>
      <c r="AW1961" s="87"/>
      <c r="AX1961" s="87"/>
      <c r="AY1961" s="87"/>
      <c r="AZ1961" s="87"/>
      <c r="BA1961" s="87"/>
      <c r="BB1961" s="87"/>
      <c r="BC1961" s="87"/>
      <c r="BD1961" s="87"/>
      <c r="BE1961" s="87"/>
      <c r="BF1961" s="87"/>
      <c r="BG1961" s="87"/>
      <c r="BH1961" s="87"/>
      <c r="BI1961" s="87"/>
      <c r="BJ1961" s="87"/>
      <c r="BK1961" s="87"/>
      <c r="BL1961" s="87"/>
      <c r="BM1961" s="87"/>
      <c r="BN1961" s="87"/>
      <c r="BO1961" s="87"/>
      <c r="BP1961" s="87"/>
      <c r="BQ1961" s="87"/>
      <c r="BR1961" s="87"/>
      <c r="BS1961" s="87"/>
      <c r="BT1961" s="87"/>
      <c r="BU1961" s="87"/>
      <c r="BV1961" s="87"/>
      <c r="BW1961" s="87"/>
      <c r="BX1961" s="87"/>
      <c r="BY1961" s="87"/>
    </row>
    <row r="1962" spans="21:77" x14ac:dyDescent="0.3">
      <c r="U1962" s="19"/>
      <c r="V1962" s="87"/>
      <c r="W1962" s="87"/>
      <c r="X1962" s="87"/>
      <c r="Y1962" s="87"/>
      <c r="Z1962" s="87"/>
      <c r="AA1962" s="87"/>
      <c r="AB1962" s="87"/>
      <c r="AC1962" s="87"/>
      <c r="AD1962" s="87"/>
      <c r="AE1962" s="87"/>
      <c r="AF1962" s="87"/>
      <c r="AG1962" s="87"/>
      <c r="AH1962" s="87"/>
      <c r="AI1962" s="87"/>
      <c r="AJ1962" s="87"/>
      <c r="AK1962" s="87"/>
      <c r="AL1962" s="87"/>
      <c r="AM1962" s="87"/>
      <c r="AN1962" s="87"/>
      <c r="AO1962" s="87"/>
      <c r="AP1962" s="87"/>
      <c r="AQ1962" s="87"/>
      <c r="AR1962" s="87"/>
      <c r="AS1962" s="87"/>
      <c r="AT1962" s="87"/>
      <c r="AU1962" s="87"/>
      <c r="AV1962" s="87"/>
      <c r="AW1962" s="87"/>
      <c r="AX1962" s="87"/>
      <c r="AY1962" s="87"/>
      <c r="AZ1962" s="87"/>
      <c r="BA1962" s="87"/>
      <c r="BB1962" s="87"/>
      <c r="BC1962" s="87"/>
      <c r="BD1962" s="87"/>
      <c r="BE1962" s="87"/>
      <c r="BF1962" s="87"/>
      <c r="BG1962" s="87"/>
      <c r="BH1962" s="87"/>
      <c r="BI1962" s="87"/>
      <c r="BJ1962" s="87"/>
      <c r="BK1962" s="87"/>
      <c r="BL1962" s="87"/>
      <c r="BM1962" s="87"/>
      <c r="BN1962" s="87"/>
      <c r="BO1962" s="87"/>
      <c r="BP1962" s="87"/>
      <c r="BQ1962" s="87"/>
      <c r="BR1962" s="87"/>
      <c r="BS1962" s="87"/>
      <c r="BT1962" s="87"/>
      <c r="BU1962" s="87"/>
      <c r="BV1962" s="87"/>
      <c r="BW1962" s="87"/>
      <c r="BX1962" s="87"/>
      <c r="BY1962" s="87"/>
    </row>
    <row r="1963" spans="21:77" x14ac:dyDescent="0.3">
      <c r="U1963" s="19"/>
      <c r="V1963" s="87"/>
      <c r="W1963" s="87"/>
      <c r="X1963" s="87"/>
      <c r="Y1963" s="87"/>
      <c r="Z1963" s="87"/>
      <c r="AA1963" s="87"/>
      <c r="AB1963" s="87"/>
      <c r="AC1963" s="87"/>
      <c r="AD1963" s="87"/>
      <c r="AE1963" s="87"/>
      <c r="AF1963" s="87"/>
      <c r="AG1963" s="87"/>
      <c r="AH1963" s="87"/>
      <c r="AI1963" s="87"/>
      <c r="AJ1963" s="87"/>
      <c r="AK1963" s="87"/>
      <c r="AL1963" s="87"/>
      <c r="AM1963" s="87"/>
      <c r="AN1963" s="87"/>
      <c r="AO1963" s="87"/>
      <c r="AP1963" s="87"/>
      <c r="AQ1963" s="87"/>
      <c r="AR1963" s="87"/>
      <c r="AS1963" s="87"/>
      <c r="AT1963" s="87"/>
      <c r="AU1963" s="87"/>
      <c r="AV1963" s="87"/>
      <c r="AW1963" s="87"/>
      <c r="AX1963" s="87"/>
      <c r="AY1963" s="87"/>
      <c r="AZ1963" s="87"/>
      <c r="BA1963" s="87"/>
      <c r="BB1963" s="87"/>
      <c r="BC1963" s="87"/>
      <c r="BD1963" s="87"/>
      <c r="BE1963" s="87"/>
      <c r="BF1963" s="87"/>
      <c r="BG1963" s="87"/>
      <c r="BH1963" s="87"/>
      <c r="BI1963" s="87"/>
      <c r="BJ1963" s="87"/>
      <c r="BK1963" s="87"/>
      <c r="BL1963" s="87"/>
      <c r="BM1963" s="87"/>
      <c r="BN1963" s="87"/>
      <c r="BO1963" s="87"/>
      <c r="BP1963" s="87"/>
      <c r="BQ1963" s="87"/>
      <c r="BR1963" s="87"/>
      <c r="BS1963" s="87"/>
      <c r="BT1963" s="87"/>
      <c r="BU1963" s="87"/>
      <c r="BV1963" s="87"/>
      <c r="BW1963" s="87"/>
      <c r="BX1963" s="87"/>
      <c r="BY1963" s="87"/>
    </row>
    <row r="1964" spans="21:77" x14ac:dyDescent="0.3">
      <c r="U1964" s="19"/>
      <c r="V1964" s="87"/>
      <c r="W1964" s="87"/>
      <c r="X1964" s="87"/>
      <c r="Y1964" s="87"/>
      <c r="Z1964" s="87"/>
      <c r="AA1964" s="87"/>
      <c r="AB1964" s="87"/>
      <c r="AC1964" s="87"/>
      <c r="AD1964" s="87"/>
      <c r="AE1964" s="87"/>
      <c r="AF1964" s="87"/>
      <c r="AG1964" s="87"/>
      <c r="AH1964" s="87"/>
      <c r="AI1964" s="87"/>
      <c r="AJ1964" s="87"/>
      <c r="AK1964" s="87"/>
      <c r="AL1964" s="87"/>
      <c r="AM1964" s="87"/>
      <c r="AN1964" s="87"/>
      <c r="AO1964" s="87"/>
      <c r="AP1964" s="87"/>
      <c r="AQ1964" s="87"/>
      <c r="AR1964" s="87"/>
      <c r="AS1964" s="87"/>
      <c r="AT1964" s="87"/>
      <c r="AU1964" s="87"/>
      <c r="AV1964" s="87"/>
      <c r="AW1964" s="87"/>
      <c r="AX1964" s="87"/>
      <c r="AY1964" s="87"/>
      <c r="AZ1964" s="87"/>
      <c r="BA1964" s="87"/>
      <c r="BB1964" s="87"/>
      <c r="BC1964" s="87"/>
      <c r="BD1964" s="87"/>
      <c r="BE1964" s="87"/>
      <c r="BF1964" s="87"/>
      <c r="BG1964" s="87"/>
      <c r="BH1964" s="87"/>
      <c r="BI1964" s="87"/>
      <c r="BJ1964" s="87"/>
      <c r="BK1964" s="87"/>
      <c r="BL1964" s="87"/>
      <c r="BM1964" s="87"/>
      <c r="BN1964" s="87"/>
      <c r="BO1964" s="87"/>
      <c r="BP1964" s="87"/>
      <c r="BQ1964" s="87"/>
      <c r="BR1964" s="87"/>
      <c r="BS1964" s="87"/>
      <c r="BT1964" s="87"/>
      <c r="BU1964" s="87"/>
      <c r="BV1964" s="87"/>
      <c r="BW1964" s="87"/>
      <c r="BX1964" s="87"/>
      <c r="BY1964" s="87"/>
    </row>
    <row r="1965" spans="21:77" x14ac:dyDescent="0.3">
      <c r="U1965" s="19"/>
      <c r="V1965" s="87"/>
      <c r="W1965" s="87"/>
      <c r="X1965" s="87"/>
      <c r="Y1965" s="87"/>
      <c r="Z1965" s="87"/>
      <c r="AA1965" s="87"/>
      <c r="AB1965" s="87"/>
      <c r="AC1965" s="87"/>
      <c r="AD1965" s="87"/>
      <c r="AE1965" s="87"/>
      <c r="AF1965" s="87"/>
      <c r="AG1965" s="87"/>
      <c r="AH1965" s="87"/>
      <c r="AI1965" s="87"/>
      <c r="AJ1965" s="87"/>
      <c r="AK1965" s="87"/>
      <c r="AL1965" s="87"/>
      <c r="AM1965" s="87"/>
      <c r="AN1965" s="87"/>
      <c r="AO1965" s="87"/>
      <c r="AP1965" s="87"/>
      <c r="AQ1965" s="87"/>
      <c r="AR1965" s="87"/>
      <c r="AS1965" s="87"/>
      <c r="AT1965" s="87"/>
      <c r="AU1965" s="87"/>
      <c r="AV1965" s="87"/>
      <c r="AW1965" s="87"/>
      <c r="AX1965" s="87"/>
      <c r="AY1965" s="87"/>
      <c r="AZ1965" s="87"/>
      <c r="BA1965" s="87"/>
      <c r="BB1965" s="87"/>
      <c r="BC1965" s="87"/>
      <c r="BD1965" s="87"/>
      <c r="BE1965" s="87"/>
      <c r="BF1965" s="87"/>
      <c r="BG1965" s="87"/>
      <c r="BH1965" s="87"/>
      <c r="BI1965" s="87"/>
      <c r="BJ1965" s="87"/>
      <c r="BK1965" s="87"/>
      <c r="BL1965" s="87"/>
      <c r="BM1965" s="87"/>
      <c r="BN1965" s="87"/>
      <c r="BO1965" s="87"/>
      <c r="BP1965" s="87"/>
      <c r="BQ1965" s="87"/>
      <c r="BR1965" s="87"/>
      <c r="BS1965" s="87"/>
      <c r="BT1965" s="87"/>
      <c r="BU1965" s="87"/>
      <c r="BV1965" s="87"/>
      <c r="BW1965" s="87"/>
      <c r="BX1965" s="87"/>
      <c r="BY1965" s="87"/>
    </row>
    <row r="1966" spans="21:77" x14ac:dyDescent="0.3">
      <c r="U1966" s="19"/>
      <c r="V1966" s="87"/>
      <c r="W1966" s="87"/>
      <c r="X1966" s="87"/>
      <c r="Y1966" s="87"/>
      <c r="Z1966" s="87"/>
      <c r="AA1966" s="87"/>
      <c r="AB1966" s="87"/>
      <c r="AC1966" s="87"/>
      <c r="AD1966" s="87"/>
      <c r="AE1966" s="87"/>
      <c r="AF1966" s="87"/>
      <c r="AG1966" s="87"/>
      <c r="AH1966" s="87"/>
      <c r="AI1966" s="87"/>
      <c r="AJ1966" s="87"/>
      <c r="AK1966" s="87"/>
      <c r="AL1966" s="87"/>
      <c r="AM1966" s="87"/>
      <c r="AN1966" s="87"/>
      <c r="AO1966" s="87"/>
      <c r="AP1966" s="87"/>
      <c r="AQ1966" s="87"/>
      <c r="AR1966" s="87"/>
      <c r="AS1966" s="87"/>
      <c r="AT1966" s="87"/>
      <c r="AU1966" s="87"/>
      <c r="AV1966" s="87"/>
      <c r="AW1966" s="87"/>
      <c r="AX1966" s="87"/>
      <c r="AY1966" s="87"/>
      <c r="AZ1966" s="87"/>
      <c r="BA1966" s="87"/>
      <c r="BB1966" s="87"/>
      <c r="BC1966" s="87"/>
      <c r="BD1966" s="87"/>
      <c r="BE1966" s="87"/>
      <c r="BF1966" s="87"/>
      <c r="BG1966" s="87"/>
      <c r="BH1966" s="87"/>
      <c r="BI1966" s="87"/>
      <c r="BJ1966" s="87"/>
      <c r="BK1966" s="87"/>
      <c r="BL1966" s="87"/>
      <c r="BM1966" s="87"/>
      <c r="BN1966" s="87"/>
      <c r="BO1966" s="87"/>
      <c r="BP1966" s="87"/>
      <c r="BQ1966" s="87"/>
      <c r="BR1966" s="87"/>
      <c r="BS1966" s="87"/>
      <c r="BT1966" s="87"/>
      <c r="BU1966" s="87"/>
      <c r="BV1966" s="87"/>
      <c r="BW1966" s="87"/>
      <c r="BX1966" s="87"/>
      <c r="BY1966" s="87"/>
    </row>
    <row r="1967" spans="21:77" x14ac:dyDescent="0.3">
      <c r="U1967" s="19"/>
      <c r="V1967" s="87"/>
      <c r="W1967" s="87"/>
      <c r="X1967" s="87"/>
      <c r="Y1967" s="87"/>
      <c r="Z1967" s="87"/>
      <c r="AA1967" s="87"/>
      <c r="AB1967" s="87"/>
      <c r="AC1967" s="87"/>
      <c r="AD1967" s="87"/>
      <c r="AE1967" s="87"/>
      <c r="AF1967" s="87"/>
      <c r="AG1967" s="87"/>
      <c r="AH1967" s="87"/>
      <c r="AI1967" s="87"/>
      <c r="AJ1967" s="87"/>
      <c r="AK1967" s="87"/>
      <c r="AL1967" s="87"/>
      <c r="AM1967" s="87"/>
      <c r="AN1967" s="87"/>
      <c r="AO1967" s="87"/>
      <c r="AP1967" s="87"/>
      <c r="AQ1967" s="87"/>
      <c r="AR1967" s="87"/>
      <c r="AS1967" s="87"/>
      <c r="AT1967" s="87"/>
      <c r="AU1967" s="87"/>
      <c r="AV1967" s="87"/>
      <c r="AW1967" s="87"/>
      <c r="AX1967" s="87"/>
      <c r="AY1967" s="87"/>
      <c r="AZ1967" s="87"/>
      <c r="BA1967" s="87"/>
      <c r="BB1967" s="87"/>
      <c r="BC1967" s="87"/>
      <c r="BD1967" s="87"/>
      <c r="BE1967" s="87"/>
      <c r="BF1967" s="87"/>
      <c r="BG1967" s="87"/>
      <c r="BH1967" s="87"/>
      <c r="BI1967" s="87"/>
      <c r="BJ1967" s="87"/>
      <c r="BK1967" s="87"/>
      <c r="BL1967" s="87"/>
      <c r="BM1967" s="87"/>
      <c r="BN1967" s="87"/>
      <c r="BO1967" s="87"/>
      <c r="BP1967" s="87"/>
      <c r="BQ1967" s="87"/>
      <c r="BR1967" s="87"/>
      <c r="BS1967" s="87"/>
      <c r="BT1967" s="87"/>
      <c r="BU1967" s="87"/>
      <c r="BV1967" s="87"/>
      <c r="BW1967" s="87"/>
      <c r="BX1967" s="87"/>
      <c r="BY1967" s="87"/>
    </row>
    <row r="1968" spans="21:77" x14ac:dyDescent="0.3">
      <c r="U1968" s="19"/>
      <c r="V1968" s="87"/>
      <c r="W1968" s="87"/>
      <c r="X1968" s="87"/>
      <c r="Y1968" s="87"/>
      <c r="Z1968" s="87"/>
      <c r="AA1968" s="87"/>
      <c r="AB1968" s="87"/>
      <c r="AC1968" s="87"/>
      <c r="AD1968" s="87"/>
      <c r="AE1968" s="87"/>
      <c r="AF1968" s="87"/>
      <c r="AG1968" s="87"/>
      <c r="AH1968" s="87"/>
      <c r="AI1968" s="87"/>
      <c r="AJ1968" s="87"/>
      <c r="AK1968" s="87"/>
      <c r="AL1968" s="87"/>
      <c r="AM1968" s="87"/>
      <c r="AN1968" s="87"/>
      <c r="AO1968" s="87"/>
      <c r="AP1968" s="87"/>
      <c r="AQ1968" s="87"/>
      <c r="AR1968" s="87"/>
      <c r="AS1968" s="87"/>
      <c r="AT1968" s="87"/>
      <c r="AU1968" s="87"/>
      <c r="AV1968" s="87"/>
      <c r="AW1968" s="87"/>
      <c r="AX1968" s="87"/>
      <c r="AY1968" s="87"/>
      <c r="AZ1968" s="87"/>
      <c r="BA1968" s="87"/>
      <c r="BB1968" s="87"/>
      <c r="BC1968" s="87"/>
      <c r="BD1968" s="87"/>
      <c r="BE1968" s="87"/>
      <c r="BF1968" s="87"/>
      <c r="BG1968" s="87"/>
      <c r="BH1968" s="87"/>
      <c r="BI1968" s="87"/>
      <c r="BJ1968" s="87"/>
      <c r="BK1968" s="87"/>
      <c r="BL1968" s="87"/>
      <c r="BM1968" s="87"/>
      <c r="BN1968" s="87"/>
      <c r="BO1968" s="87"/>
      <c r="BP1968" s="87"/>
      <c r="BQ1968" s="87"/>
      <c r="BR1968" s="87"/>
      <c r="BS1968" s="87"/>
      <c r="BT1968" s="87"/>
      <c r="BU1968" s="87"/>
      <c r="BV1968" s="87"/>
      <c r="BW1968" s="87"/>
      <c r="BX1968" s="87"/>
      <c r="BY1968" s="87"/>
    </row>
    <row r="1969" spans="21:77" x14ac:dyDescent="0.3">
      <c r="U1969" s="19"/>
      <c r="V1969" s="87"/>
      <c r="W1969" s="87"/>
      <c r="X1969" s="87"/>
      <c r="Y1969" s="87"/>
      <c r="Z1969" s="87"/>
      <c r="AA1969" s="87"/>
      <c r="AB1969" s="87"/>
      <c r="AC1969" s="87"/>
      <c r="AD1969" s="87"/>
      <c r="AE1969" s="87"/>
      <c r="AF1969" s="87"/>
      <c r="AG1969" s="87"/>
      <c r="AH1969" s="87"/>
      <c r="AI1969" s="87"/>
      <c r="AJ1969" s="87"/>
      <c r="AK1969" s="87"/>
      <c r="AL1969" s="87"/>
      <c r="AM1969" s="87"/>
      <c r="AN1969" s="87"/>
      <c r="AO1969" s="87"/>
      <c r="AP1969" s="87"/>
      <c r="AQ1969" s="87"/>
      <c r="AR1969" s="87"/>
      <c r="AS1969" s="87"/>
      <c r="AT1969" s="87"/>
      <c r="AU1969" s="87"/>
      <c r="AV1969" s="87"/>
      <c r="AW1969" s="87"/>
      <c r="AX1969" s="87"/>
      <c r="AY1969" s="87"/>
      <c r="AZ1969" s="87"/>
      <c r="BA1969" s="87"/>
      <c r="BB1969" s="87"/>
      <c r="BC1969" s="87"/>
      <c r="BD1969" s="87"/>
      <c r="BE1969" s="87"/>
      <c r="BF1969" s="87"/>
      <c r="BG1969" s="87"/>
      <c r="BH1969" s="87"/>
      <c r="BI1969" s="87"/>
      <c r="BJ1969" s="87"/>
      <c r="BK1969" s="87"/>
      <c r="BL1969" s="87"/>
      <c r="BM1969" s="87"/>
      <c r="BN1969" s="87"/>
      <c r="BO1969" s="87"/>
      <c r="BP1969" s="87"/>
      <c r="BQ1969" s="87"/>
      <c r="BR1969" s="87"/>
      <c r="BS1969" s="87"/>
      <c r="BT1969" s="87"/>
      <c r="BU1969" s="87"/>
      <c r="BV1969" s="87"/>
      <c r="BW1969" s="87"/>
      <c r="BX1969" s="87"/>
      <c r="BY1969" s="87"/>
    </row>
    <row r="1970" spans="21:77" x14ac:dyDescent="0.3">
      <c r="U1970" s="19"/>
      <c r="V1970" s="87"/>
      <c r="W1970" s="87"/>
      <c r="X1970" s="87"/>
      <c r="Y1970" s="87"/>
      <c r="Z1970" s="87"/>
      <c r="AA1970" s="87"/>
      <c r="AB1970" s="87"/>
      <c r="AC1970" s="87"/>
      <c r="AD1970" s="87"/>
      <c r="AE1970" s="87"/>
      <c r="AF1970" s="87"/>
      <c r="AG1970" s="87"/>
      <c r="AH1970" s="87"/>
      <c r="AI1970" s="87"/>
      <c r="AJ1970" s="87"/>
      <c r="AK1970" s="87"/>
      <c r="AL1970" s="87"/>
      <c r="AM1970" s="87"/>
      <c r="AN1970" s="87"/>
      <c r="AO1970" s="87"/>
      <c r="AP1970" s="87"/>
      <c r="AQ1970" s="87"/>
      <c r="AR1970" s="87"/>
      <c r="AS1970" s="87"/>
      <c r="AT1970" s="87"/>
      <c r="AU1970" s="87"/>
      <c r="AV1970" s="87"/>
      <c r="AW1970" s="87"/>
      <c r="AX1970" s="87"/>
      <c r="AY1970" s="87"/>
      <c r="AZ1970" s="87"/>
      <c r="BA1970" s="87"/>
      <c r="BB1970" s="87"/>
      <c r="BC1970" s="87"/>
      <c r="BD1970" s="87"/>
      <c r="BE1970" s="87"/>
      <c r="BF1970" s="87"/>
      <c r="BG1970" s="87"/>
      <c r="BH1970" s="87"/>
      <c r="BI1970" s="87"/>
      <c r="BJ1970" s="87"/>
      <c r="BK1970" s="87"/>
      <c r="BL1970" s="87"/>
      <c r="BM1970" s="87"/>
      <c r="BN1970" s="87"/>
      <c r="BO1970" s="87"/>
      <c r="BP1970" s="87"/>
      <c r="BQ1970" s="87"/>
      <c r="BR1970" s="87"/>
      <c r="BS1970" s="87"/>
      <c r="BT1970" s="87"/>
      <c r="BU1970" s="87"/>
      <c r="BV1970" s="87"/>
      <c r="BW1970" s="87"/>
      <c r="BX1970" s="87"/>
      <c r="BY1970" s="87"/>
    </row>
    <row r="1971" spans="21:77" x14ac:dyDescent="0.3">
      <c r="U1971" s="19"/>
      <c r="V1971" s="87"/>
      <c r="W1971" s="87"/>
      <c r="X1971" s="87"/>
      <c r="Y1971" s="87"/>
      <c r="Z1971" s="87"/>
      <c r="AA1971" s="87"/>
      <c r="AB1971" s="87"/>
      <c r="AC1971" s="87"/>
      <c r="AD1971" s="87"/>
      <c r="AE1971" s="87"/>
      <c r="AF1971" s="87"/>
      <c r="AG1971" s="87"/>
      <c r="AH1971" s="87"/>
      <c r="AI1971" s="87"/>
      <c r="AJ1971" s="87"/>
      <c r="AK1971" s="87"/>
      <c r="AL1971" s="87"/>
      <c r="AM1971" s="87"/>
      <c r="AN1971" s="87"/>
      <c r="AO1971" s="87"/>
      <c r="AP1971" s="87"/>
      <c r="AQ1971" s="87"/>
      <c r="AR1971" s="87"/>
      <c r="AS1971" s="87"/>
      <c r="AT1971" s="87"/>
      <c r="AU1971" s="87"/>
      <c r="AV1971" s="87"/>
      <c r="AW1971" s="87"/>
      <c r="AX1971" s="87"/>
      <c r="AY1971" s="87"/>
      <c r="AZ1971" s="87"/>
      <c r="BA1971" s="87"/>
      <c r="BB1971" s="87"/>
      <c r="BC1971" s="87"/>
      <c r="BD1971" s="87"/>
      <c r="BE1971" s="87"/>
      <c r="BF1971" s="87"/>
      <c r="BG1971" s="87"/>
      <c r="BH1971" s="87"/>
      <c r="BI1971" s="87"/>
      <c r="BJ1971" s="87"/>
      <c r="BK1971" s="87"/>
      <c r="BL1971" s="87"/>
      <c r="BM1971" s="87"/>
      <c r="BN1971" s="87"/>
      <c r="BO1971" s="87"/>
      <c r="BP1971" s="87"/>
      <c r="BQ1971" s="87"/>
      <c r="BR1971" s="87"/>
      <c r="BS1971" s="87"/>
      <c r="BT1971" s="87"/>
      <c r="BU1971" s="87"/>
      <c r="BV1971" s="87"/>
      <c r="BW1971" s="87"/>
      <c r="BX1971" s="87"/>
      <c r="BY1971" s="87"/>
    </row>
    <row r="1972" spans="21:77" x14ac:dyDescent="0.3">
      <c r="U1972" s="19"/>
      <c r="V1972" s="87"/>
      <c r="W1972" s="87"/>
      <c r="X1972" s="87"/>
      <c r="Y1972" s="87"/>
      <c r="Z1972" s="87"/>
      <c r="AA1972" s="87"/>
      <c r="AB1972" s="87"/>
      <c r="AC1972" s="87"/>
      <c r="AD1972" s="87"/>
      <c r="AE1972" s="87"/>
      <c r="AF1972" s="87"/>
      <c r="AG1972" s="87"/>
      <c r="AH1972" s="87"/>
      <c r="AI1972" s="87"/>
      <c r="AJ1972" s="87"/>
      <c r="AK1972" s="87"/>
      <c r="AL1972" s="87"/>
      <c r="AM1972" s="87"/>
      <c r="AN1972" s="87"/>
      <c r="AO1972" s="87"/>
      <c r="AP1972" s="87"/>
      <c r="AQ1972" s="87"/>
      <c r="AR1972" s="87"/>
      <c r="AS1972" s="87"/>
      <c r="AT1972" s="87"/>
      <c r="AU1972" s="87"/>
      <c r="AV1972" s="87"/>
      <c r="AW1972" s="87"/>
      <c r="AX1972" s="87"/>
      <c r="AY1972" s="87"/>
      <c r="AZ1972" s="87"/>
      <c r="BA1972" s="87"/>
      <c r="BB1972" s="87"/>
      <c r="BC1972" s="87"/>
      <c r="BD1972" s="87"/>
      <c r="BE1972" s="87"/>
      <c r="BF1972" s="87"/>
      <c r="BG1972" s="87"/>
      <c r="BH1972" s="87"/>
      <c r="BI1972" s="87"/>
      <c r="BJ1972" s="87"/>
      <c r="BK1972" s="87"/>
      <c r="BL1972" s="87"/>
      <c r="BM1972" s="87"/>
      <c r="BN1972" s="87"/>
      <c r="BO1972" s="87"/>
      <c r="BP1972" s="87"/>
      <c r="BQ1972" s="87"/>
      <c r="BR1972" s="87"/>
      <c r="BS1972" s="87"/>
      <c r="BT1972" s="87"/>
      <c r="BU1972" s="87"/>
      <c r="BV1972" s="87"/>
      <c r="BW1972" s="87"/>
      <c r="BX1972" s="87"/>
      <c r="BY1972" s="87"/>
    </row>
    <row r="1973" spans="21:77" x14ac:dyDescent="0.3">
      <c r="U1973" s="19"/>
      <c r="V1973" s="87"/>
      <c r="W1973" s="87"/>
      <c r="X1973" s="87"/>
      <c r="Y1973" s="87"/>
      <c r="Z1973" s="87"/>
      <c r="AA1973" s="87"/>
      <c r="AB1973" s="87"/>
      <c r="AC1973" s="87"/>
      <c r="AD1973" s="87"/>
      <c r="AE1973" s="87"/>
      <c r="AF1973" s="87"/>
      <c r="AG1973" s="87"/>
      <c r="AH1973" s="87"/>
      <c r="AI1973" s="87"/>
      <c r="AJ1973" s="87"/>
      <c r="AK1973" s="87"/>
      <c r="AL1973" s="87"/>
      <c r="AM1973" s="87"/>
      <c r="AN1973" s="87"/>
      <c r="AO1973" s="87"/>
      <c r="AP1973" s="87"/>
      <c r="AQ1973" s="87"/>
      <c r="AR1973" s="87"/>
      <c r="AS1973" s="87"/>
      <c r="AT1973" s="87"/>
      <c r="AU1973" s="87"/>
      <c r="AV1973" s="87"/>
      <c r="AW1973" s="87"/>
      <c r="AX1973" s="87"/>
      <c r="AY1973" s="87"/>
      <c r="AZ1973" s="87"/>
      <c r="BA1973" s="87"/>
      <c r="BB1973" s="87"/>
      <c r="BC1973" s="87"/>
      <c r="BD1973" s="87"/>
      <c r="BE1973" s="87"/>
      <c r="BF1973" s="87"/>
      <c r="BG1973" s="87"/>
      <c r="BH1973" s="87"/>
      <c r="BI1973" s="87"/>
      <c r="BJ1973" s="87"/>
      <c r="BK1973" s="87"/>
      <c r="BL1973" s="87"/>
      <c r="BM1973" s="87"/>
      <c r="BN1973" s="87"/>
      <c r="BO1973" s="87"/>
      <c r="BP1973" s="87"/>
      <c r="BQ1973" s="87"/>
      <c r="BR1973" s="87"/>
      <c r="BS1973" s="87"/>
      <c r="BT1973" s="87"/>
      <c r="BU1973" s="87"/>
      <c r="BV1973" s="87"/>
      <c r="BW1973" s="87"/>
      <c r="BX1973" s="87"/>
      <c r="BY1973" s="87"/>
    </row>
    <row r="1974" spans="21:77" x14ac:dyDescent="0.3">
      <c r="U1974" s="19"/>
      <c r="V1974" s="87"/>
      <c r="W1974" s="87"/>
      <c r="X1974" s="87"/>
      <c r="Y1974" s="87"/>
      <c r="Z1974" s="87"/>
      <c r="AA1974" s="87"/>
      <c r="AB1974" s="87"/>
      <c r="AC1974" s="87"/>
      <c r="AD1974" s="87"/>
      <c r="AE1974" s="87"/>
      <c r="AF1974" s="87"/>
      <c r="AG1974" s="87"/>
      <c r="AH1974" s="87"/>
      <c r="AI1974" s="87"/>
      <c r="AJ1974" s="87"/>
      <c r="AK1974" s="87"/>
      <c r="AL1974" s="87"/>
      <c r="AM1974" s="87"/>
      <c r="AN1974" s="87"/>
      <c r="AO1974" s="87"/>
      <c r="AP1974" s="87"/>
      <c r="AQ1974" s="87"/>
      <c r="AR1974" s="87"/>
      <c r="AS1974" s="87"/>
      <c r="AT1974" s="87"/>
      <c r="AU1974" s="87"/>
      <c r="AV1974" s="87"/>
      <c r="AW1974" s="87"/>
      <c r="AX1974" s="87"/>
      <c r="AY1974" s="87"/>
      <c r="AZ1974" s="87"/>
      <c r="BA1974" s="87"/>
      <c r="BB1974" s="87"/>
      <c r="BC1974" s="87"/>
      <c r="BD1974" s="87"/>
      <c r="BE1974" s="87"/>
      <c r="BF1974" s="87"/>
      <c r="BG1974" s="87"/>
      <c r="BH1974" s="87"/>
      <c r="BI1974" s="87"/>
      <c r="BJ1974" s="87"/>
      <c r="BK1974" s="87"/>
      <c r="BL1974" s="87"/>
      <c r="BM1974" s="87"/>
      <c r="BN1974" s="87"/>
      <c r="BO1974" s="87"/>
      <c r="BP1974" s="87"/>
      <c r="BQ1974" s="87"/>
      <c r="BR1974" s="87"/>
      <c r="BS1974" s="87"/>
      <c r="BT1974" s="87"/>
      <c r="BU1974" s="87"/>
      <c r="BV1974" s="87"/>
      <c r="BW1974" s="87"/>
      <c r="BX1974" s="87"/>
      <c r="BY1974" s="87"/>
    </row>
    <row r="1975" spans="21:77" x14ac:dyDescent="0.3">
      <c r="U1975" s="19"/>
      <c r="V1975" s="87"/>
      <c r="W1975" s="87"/>
      <c r="X1975" s="87"/>
      <c r="Y1975" s="87"/>
      <c r="Z1975" s="87"/>
      <c r="AA1975" s="87"/>
      <c r="AB1975" s="87"/>
      <c r="AC1975" s="87"/>
      <c r="AD1975" s="87"/>
      <c r="AE1975" s="87"/>
      <c r="AF1975" s="87"/>
      <c r="AG1975" s="87"/>
      <c r="AH1975" s="87"/>
      <c r="AI1975" s="87"/>
      <c r="AJ1975" s="87"/>
      <c r="AK1975" s="87"/>
      <c r="AL1975" s="87"/>
      <c r="AM1975" s="87"/>
      <c r="AN1975" s="87"/>
      <c r="AO1975" s="87"/>
      <c r="AP1975" s="87"/>
      <c r="AQ1975" s="87"/>
      <c r="AR1975" s="87"/>
      <c r="AS1975" s="87"/>
      <c r="AT1975" s="87"/>
      <c r="AU1975" s="87"/>
      <c r="AV1975" s="87"/>
      <c r="AW1975" s="87"/>
      <c r="AX1975" s="87"/>
      <c r="AY1975" s="87"/>
      <c r="AZ1975" s="87"/>
      <c r="BA1975" s="87"/>
      <c r="BB1975" s="87"/>
      <c r="BC1975" s="87"/>
      <c r="BD1975" s="87"/>
      <c r="BE1975" s="87"/>
      <c r="BF1975" s="87"/>
      <c r="BG1975" s="87"/>
      <c r="BH1975" s="87"/>
      <c r="BI1975" s="87"/>
      <c r="BJ1975" s="87"/>
      <c r="BK1975" s="87"/>
      <c r="BL1975" s="87"/>
      <c r="BM1975" s="87"/>
      <c r="BN1975" s="87"/>
      <c r="BO1975" s="87"/>
      <c r="BP1975" s="87"/>
      <c r="BQ1975" s="87"/>
      <c r="BR1975" s="87"/>
      <c r="BS1975" s="87"/>
      <c r="BT1975" s="87"/>
      <c r="BU1975" s="87"/>
      <c r="BV1975" s="87"/>
      <c r="BW1975" s="87"/>
      <c r="BX1975" s="87"/>
      <c r="BY1975" s="87"/>
    </row>
    <row r="1976" spans="21:77" x14ac:dyDescent="0.3">
      <c r="U1976" s="19"/>
      <c r="V1976" s="87"/>
      <c r="W1976" s="87"/>
      <c r="X1976" s="87"/>
      <c r="Y1976" s="87"/>
      <c r="Z1976" s="87"/>
      <c r="AA1976" s="87"/>
      <c r="AB1976" s="87"/>
      <c r="AC1976" s="87"/>
      <c r="AD1976" s="87"/>
      <c r="AE1976" s="87"/>
      <c r="AF1976" s="87"/>
      <c r="AG1976" s="87"/>
      <c r="AH1976" s="87"/>
      <c r="AI1976" s="87"/>
      <c r="AJ1976" s="87"/>
      <c r="AK1976" s="87"/>
      <c r="AL1976" s="87"/>
      <c r="AM1976" s="87"/>
      <c r="AN1976" s="87"/>
      <c r="AO1976" s="87"/>
      <c r="AP1976" s="87"/>
      <c r="AQ1976" s="87"/>
      <c r="AR1976" s="87"/>
      <c r="AS1976" s="87"/>
      <c r="AT1976" s="87"/>
      <c r="AU1976" s="87"/>
      <c r="AV1976" s="87"/>
      <c r="AW1976" s="87"/>
      <c r="AX1976" s="87"/>
      <c r="AY1976" s="87"/>
      <c r="AZ1976" s="87"/>
      <c r="BA1976" s="87"/>
      <c r="BB1976" s="87"/>
      <c r="BC1976" s="87"/>
      <c r="BD1976" s="87"/>
      <c r="BE1976" s="87"/>
      <c r="BF1976" s="87"/>
      <c r="BG1976" s="87"/>
      <c r="BH1976" s="87"/>
      <c r="BI1976" s="87"/>
      <c r="BJ1976" s="87"/>
      <c r="BK1976" s="87"/>
      <c r="BL1976" s="87"/>
      <c r="BM1976" s="87"/>
      <c r="BN1976" s="87"/>
      <c r="BO1976" s="87"/>
      <c r="BP1976" s="87"/>
      <c r="BQ1976" s="87"/>
      <c r="BR1976" s="87"/>
      <c r="BS1976" s="87"/>
      <c r="BT1976" s="87"/>
      <c r="BU1976" s="87"/>
      <c r="BV1976" s="87"/>
      <c r="BW1976" s="87"/>
      <c r="BX1976" s="87"/>
      <c r="BY1976" s="87"/>
    </row>
    <row r="1977" spans="21:77" x14ac:dyDescent="0.3">
      <c r="U1977" s="19"/>
      <c r="V1977" s="87"/>
      <c r="W1977" s="87"/>
      <c r="X1977" s="87"/>
      <c r="Y1977" s="87"/>
      <c r="Z1977" s="87"/>
      <c r="AA1977" s="87"/>
      <c r="AB1977" s="87"/>
      <c r="AC1977" s="87"/>
      <c r="AD1977" s="87"/>
      <c r="AE1977" s="87"/>
      <c r="AF1977" s="87"/>
      <c r="AG1977" s="87"/>
      <c r="AH1977" s="87"/>
      <c r="AI1977" s="87"/>
      <c r="AJ1977" s="87"/>
      <c r="AK1977" s="87"/>
      <c r="AL1977" s="87"/>
      <c r="AM1977" s="87"/>
      <c r="AN1977" s="87"/>
      <c r="AO1977" s="87"/>
      <c r="AP1977" s="87"/>
      <c r="AQ1977" s="87"/>
      <c r="AR1977" s="87"/>
      <c r="AS1977" s="87"/>
      <c r="AT1977" s="87"/>
      <c r="AU1977" s="87"/>
      <c r="AV1977" s="87"/>
      <c r="AW1977" s="87"/>
      <c r="AX1977" s="87"/>
      <c r="AY1977" s="87"/>
      <c r="AZ1977" s="87"/>
      <c r="BA1977" s="87"/>
      <c r="BB1977" s="87"/>
      <c r="BC1977" s="87"/>
      <c r="BD1977" s="87"/>
      <c r="BE1977" s="87"/>
      <c r="BF1977" s="87"/>
      <c r="BG1977" s="87"/>
      <c r="BH1977" s="87"/>
      <c r="BI1977" s="87"/>
      <c r="BJ1977" s="87"/>
      <c r="BK1977" s="87"/>
      <c r="BL1977" s="87"/>
      <c r="BM1977" s="87"/>
      <c r="BN1977" s="87"/>
      <c r="BO1977" s="87"/>
      <c r="BP1977" s="87"/>
      <c r="BQ1977" s="87"/>
      <c r="BR1977" s="87"/>
      <c r="BS1977" s="87"/>
      <c r="BT1977" s="87"/>
      <c r="BU1977" s="87"/>
      <c r="BV1977" s="87"/>
      <c r="BW1977" s="87"/>
      <c r="BX1977" s="87"/>
      <c r="BY1977" s="87"/>
    </row>
    <row r="1978" spans="21:77" x14ac:dyDescent="0.3">
      <c r="U1978" s="19"/>
      <c r="V1978" s="87"/>
      <c r="W1978" s="87"/>
      <c r="X1978" s="87"/>
      <c r="Y1978" s="87"/>
      <c r="Z1978" s="87"/>
      <c r="AA1978" s="87"/>
      <c r="AB1978" s="87"/>
      <c r="AC1978" s="87"/>
      <c r="AD1978" s="87"/>
      <c r="AE1978" s="87"/>
      <c r="AF1978" s="87"/>
      <c r="AG1978" s="87"/>
      <c r="AH1978" s="87"/>
      <c r="AI1978" s="87"/>
      <c r="AJ1978" s="87"/>
      <c r="AK1978" s="87"/>
      <c r="AL1978" s="87"/>
      <c r="AM1978" s="87"/>
      <c r="AN1978" s="87"/>
      <c r="AO1978" s="87"/>
      <c r="AP1978" s="87"/>
      <c r="AQ1978" s="87"/>
      <c r="AR1978" s="87"/>
      <c r="AS1978" s="87"/>
      <c r="AT1978" s="87"/>
      <c r="AU1978" s="87"/>
      <c r="AV1978" s="87"/>
      <c r="AW1978" s="87"/>
      <c r="AX1978" s="87"/>
      <c r="AY1978" s="87"/>
      <c r="AZ1978" s="87"/>
      <c r="BA1978" s="87"/>
      <c r="BB1978" s="87"/>
      <c r="BC1978" s="87"/>
      <c r="BD1978" s="87"/>
      <c r="BE1978" s="87"/>
      <c r="BF1978" s="87"/>
      <c r="BG1978" s="87"/>
      <c r="BH1978" s="87"/>
      <c r="BI1978" s="87"/>
      <c r="BJ1978" s="87"/>
      <c r="BK1978" s="87"/>
      <c r="BL1978" s="87"/>
      <c r="BM1978" s="87"/>
      <c r="BN1978" s="87"/>
      <c r="BO1978" s="87"/>
      <c r="BP1978" s="87"/>
      <c r="BQ1978" s="87"/>
      <c r="BR1978" s="87"/>
      <c r="BS1978" s="87"/>
      <c r="BT1978" s="87"/>
      <c r="BU1978" s="87"/>
      <c r="BV1978" s="87"/>
      <c r="BW1978" s="87"/>
      <c r="BX1978" s="87"/>
      <c r="BY1978" s="87"/>
    </row>
    <row r="1979" spans="21:77" x14ac:dyDescent="0.3">
      <c r="U1979" s="19"/>
      <c r="V1979" s="87"/>
      <c r="W1979" s="87"/>
      <c r="X1979" s="87"/>
      <c r="Y1979" s="87"/>
      <c r="Z1979" s="87"/>
      <c r="AA1979" s="87"/>
      <c r="AB1979" s="87"/>
      <c r="AC1979" s="87"/>
      <c r="AD1979" s="87"/>
      <c r="AE1979" s="87"/>
      <c r="AF1979" s="87"/>
      <c r="AG1979" s="87"/>
      <c r="AH1979" s="87"/>
      <c r="AI1979" s="87"/>
      <c r="AJ1979" s="87"/>
      <c r="AK1979" s="87"/>
      <c r="AL1979" s="87"/>
      <c r="AM1979" s="87"/>
      <c r="AN1979" s="87"/>
      <c r="AO1979" s="87"/>
      <c r="AP1979" s="87"/>
      <c r="AQ1979" s="87"/>
      <c r="AR1979" s="87"/>
      <c r="AS1979" s="87"/>
      <c r="AT1979" s="87"/>
      <c r="AU1979" s="87"/>
      <c r="AV1979" s="87"/>
      <c r="AW1979" s="87"/>
      <c r="AX1979" s="87"/>
      <c r="AY1979" s="87"/>
      <c r="AZ1979" s="87"/>
      <c r="BA1979" s="87"/>
      <c r="BB1979" s="87"/>
      <c r="BC1979" s="87"/>
      <c r="BD1979" s="87"/>
      <c r="BE1979" s="87"/>
      <c r="BF1979" s="87"/>
      <c r="BG1979" s="87"/>
      <c r="BH1979" s="87"/>
      <c r="BI1979" s="87"/>
      <c r="BJ1979" s="87"/>
      <c r="BK1979" s="87"/>
      <c r="BL1979" s="87"/>
      <c r="BM1979" s="87"/>
      <c r="BN1979" s="87"/>
      <c r="BO1979" s="87"/>
      <c r="BP1979" s="87"/>
      <c r="BQ1979" s="87"/>
      <c r="BR1979" s="87"/>
      <c r="BS1979" s="87"/>
      <c r="BT1979" s="87"/>
      <c r="BU1979" s="87"/>
      <c r="BV1979" s="87"/>
      <c r="BW1979" s="87"/>
      <c r="BX1979" s="87"/>
      <c r="BY1979" s="87"/>
    </row>
    <row r="1980" spans="21:77" x14ac:dyDescent="0.3">
      <c r="U1980" s="19"/>
      <c r="V1980" s="87"/>
      <c r="W1980" s="87"/>
      <c r="X1980" s="87"/>
      <c r="Y1980" s="87"/>
      <c r="Z1980" s="87"/>
      <c r="AA1980" s="87"/>
      <c r="AB1980" s="87"/>
      <c r="AC1980" s="87"/>
      <c r="AD1980" s="87"/>
      <c r="AE1980" s="87"/>
      <c r="AF1980" s="87"/>
      <c r="AG1980" s="87"/>
      <c r="AH1980" s="87"/>
      <c r="AI1980" s="87"/>
      <c r="AJ1980" s="87"/>
      <c r="AK1980" s="87"/>
      <c r="AL1980" s="87"/>
      <c r="AM1980" s="87"/>
      <c r="AN1980" s="87"/>
      <c r="AO1980" s="87"/>
      <c r="AP1980" s="87"/>
      <c r="AQ1980" s="87"/>
      <c r="AR1980" s="87"/>
      <c r="AS1980" s="87"/>
      <c r="AT1980" s="87"/>
      <c r="AU1980" s="87"/>
      <c r="AV1980" s="87"/>
      <c r="AW1980" s="87"/>
      <c r="AX1980" s="87"/>
      <c r="AY1980" s="87"/>
      <c r="AZ1980" s="87"/>
      <c r="BA1980" s="87"/>
      <c r="BB1980" s="87"/>
      <c r="BC1980" s="87"/>
      <c r="BD1980" s="87"/>
      <c r="BE1980" s="87"/>
      <c r="BF1980" s="87"/>
      <c r="BG1980" s="87"/>
      <c r="BH1980" s="87"/>
      <c r="BI1980" s="87"/>
      <c r="BJ1980" s="87"/>
      <c r="BK1980" s="87"/>
      <c r="BL1980" s="87"/>
      <c r="BM1980" s="87"/>
      <c r="BN1980" s="87"/>
      <c r="BO1980" s="87"/>
      <c r="BP1980" s="87"/>
      <c r="BQ1980" s="87"/>
      <c r="BR1980" s="87"/>
      <c r="BS1980" s="87"/>
      <c r="BT1980" s="87"/>
      <c r="BU1980" s="87"/>
      <c r="BV1980" s="87"/>
      <c r="BW1980" s="87"/>
      <c r="BX1980" s="87"/>
      <c r="BY1980" s="87"/>
    </row>
    <row r="1981" spans="21:77" x14ac:dyDescent="0.3">
      <c r="U1981" s="19"/>
      <c r="V1981" s="87"/>
      <c r="W1981" s="87"/>
      <c r="X1981" s="87"/>
      <c r="Y1981" s="87"/>
      <c r="Z1981" s="87"/>
      <c r="AA1981" s="87"/>
      <c r="AB1981" s="87"/>
      <c r="AC1981" s="87"/>
      <c r="AD1981" s="87"/>
      <c r="AE1981" s="87"/>
      <c r="AF1981" s="87"/>
      <c r="AG1981" s="87"/>
      <c r="AH1981" s="87"/>
      <c r="AI1981" s="87"/>
      <c r="AJ1981" s="87"/>
      <c r="AK1981" s="87"/>
      <c r="AL1981" s="87"/>
      <c r="AM1981" s="87"/>
      <c r="AN1981" s="87"/>
      <c r="AO1981" s="87"/>
      <c r="AP1981" s="87"/>
      <c r="AQ1981" s="87"/>
      <c r="AR1981" s="87"/>
      <c r="AS1981" s="87"/>
      <c r="AT1981" s="87"/>
      <c r="AU1981" s="87"/>
      <c r="AV1981" s="87"/>
      <c r="AW1981" s="87"/>
      <c r="AX1981" s="87"/>
      <c r="AY1981" s="87"/>
      <c r="AZ1981" s="87"/>
      <c r="BA1981" s="87"/>
      <c r="BB1981" s="87"/>
      <c r="BC1981" s="87"/>
      <c r="BD1981" s="87"/>
      <c r="BE1981" s="87"/>
      <c r="BF1981" s="87"/>
      <c r="BG1981" s="87"/>
      <c r="BH1981" s="87"/>
      <c r="BI1981" s="87"/>
      <c r="BJ1981" s="87"/>
      <c r="BK1981" s="87"/>
      <c r="BL1981" s="87"/>
      <c r="BM1981" s="87"/>
      <c r="BN1981" s="87"/>
      <c r="BO1981" s="87"/>
      <c r="BP1981" s="87"/>
      <c r="BQ1981" s="87"/>
      <c r="BR1981" s="87"/>
      <c r="BS1981" s="87"/>
      <c r="BT1981" s="87"/>
      <c r="BU1981" s="87"/>
      <c r="BV1981" s="87"/>
      <c r="BW1981" s="87"/>
      <c r="BX1981" s="87"/>
      <c r="BY1981" s="87"/>
    </row>
    <row r="1982" spans="21:77" x14ac:dyDescent="0.3">
      <c r="U1982" s="19"/>
      <c r="V1982" s="87"/>
      <c r="W1982" s="87"/>
      <c r="X1982" s="87"/>
      <c r="Y1982" s="87"/>
      <c r="Z1982" s="87"/>
      <c r="AA1982" s="87"/>
      <c r="AB1982" s="87"/>
      <c r="AC1982" s="87"/>
      <c r="AD1982" s="87"/>
      <c r="AE1982" s="87"/>
      <c r="AF1982" s="87"/>
      <c r="AG1982" s="87"/>
      <c r="AH1982" s="87"/>
      <c r="AI1982" s="87"/>
      <c r="AJ1982" s="87"/>
      <c r="AK1982" s="87"/>
      <c r="AL1982" s="87"/>
      <c r="AM1982" s="87"/>
      <c r="AN1982" s="87"/>
      <c r="AO1982" s="87"/>
      <c r="AP1982" s="87"/>
      <c r="AQ1982" s="87"/>
      <c r="AR1982" s="87"/>
      <c r="AS1982" s="87"/>
      <c r="AT1982" s="87"/>
      <c r="AU1982" s="87"/>
      <c r="AV1982" s="87"/>
      <c r="AW1982" s="87"/>
      <c r="AX1982" s="87"/>
      <c r="AY1982" s="87"/>
      <c r="AZ1982" s="87"/>
      <c r="BA1982" s="87"/>
      <c r="BB1982" s="87"/>
      <c r="BC1982" s="87"/>
      <c r="BD1982" s="87"/>
      <c r="BE1982" s="87"/>
      <c r="BF1982" s="87"/>
      <c r="BG1982" s="87"/>
      <c r="BH1982" s="87"/>
      <c r="BI1982" s="87"/>
      <c r="BJ1982" s="87"/>
      <c r="BK1982" s="87"/>
      <c r="BL1982" s="87"/>
      <c r="BM1982" s="87"/>
      <c r="BN1982" s="87"/>
      <c r="BO1982" s="87"/>
      <c r="BP1982" s="87"/>
      <c r="BQ1982" s="87"/>
      <c r="BR1982" s="87"/>
      <c r="BS1982" s="87"/>
      <c r="BT1982" s="87"/>
      <c r="BU1982" s="87"/>
      <c r="BV1982" s="87"/>
      <c r="BW1982" s="87"/>
      <c r="BX1982" s="87"/>
      <c r="BY1982" s="87"/>
    </row>
    <row r="1983" spans="21:77" x14ac:dyDescent="0.3">
      <c r="U1983" s="19"/>
      <c r="V1983" s="87"/>
      <c r="W1983" s="87"/>
      <c r="X1983" s="87"/>
      <c r="Y1983" s="87"/>
      <c r="Z1983" s="87"/>
      <c r="AA1983" s="87"/>
      <c r="AB1983" s="87"/>
      <c r="AC1983" s="87"/>
      <c r="AD1983" s="87"/>
      <c r="AE1983" s="87"/>
      <c r="AF1983" s="87"/>
      <c r="AG1983" s="87"/>
      <c r="AH1983" s="87"/>
      <c r="AI1983" s="87"/>
      <c r="AJ1983" s="87"/>
      <c r="AK1983" s="87"/>
      <c r="AL1983" s="87"/>
      <c r="AM1983" s="87"/>
      <c r="AN1983" s="87"/>
      <c r="AO1983" s="87"/>
      <c r="AP1983" s="87"/>
      <c r="AQ1983" s="87"/>
      <c r="AR1983" s="87"/>
      <c r="AS1983" s="87"/>
      <c r="AT1983" s="87"/>
      <c r="AU1983" s="87"/>
      <c r="AV1983" s="87"/>
      <c r="AW1983" s="87"/>
      <c r="AX1983" s="87"/>
      <c r="AY1983" s="87"/>
      <c r="AZ1983" s="87"/>
      <c r="BA1983" s="87"/>
      <c r="BB1983" s="87"/>
      <c r="BC1983" s="87"/>
      <c r="BD1983" s="87"/>
      <c r="BE1983" s="87"/>
      <c r="BF1983" s="87"/>
      <c r="BG1983" s="87"/>
      <c r="BH1983" s="87"/>
      <c r="BI1983" s="87"/>
      <c r="BJ1983" s="87"/>
      <c r="BK1983" s="87"/>
      <c r="BL1983" s="87"/>
      <c r="BM1983" s="87"/>
      <c r="BN1983" s="87"/>
      <c r="BO1983" s="87"/>
      <c r="BP1983" s="87"/>
      <c r="BQ1983" s="87"/>
      <c r="BR1983" s="87"/>
      <c r="BS1983" s="87"/>
      <c r="BT1983" s="87"/>
      <c r="BU1983" s="87"/>
      <c r="BV1983" s="87"/>
      <c r="BW1983" s="87"/>
      <c r="BX1983" s="87"/>
      <c r="BY1983" s="87"/>
    </row>
    <row r="1984" spans="21:77" x14ac:dyDescent="0.3">
      <c r="U1984" s="19"/>
      <c r="V1984" s="87"/>
      <c r="W1984" s="87"/>
      <c r="X1984" s="87"/>
      <c r="Y1984" s="87"/>
      <c r="Z1984" s="87"/>
      <c r="AA1984" s="87"/>
      <c r="AB1984" s="87"/>
      <c r="AC1984" s="87"/>
      <c r="AD1984" s="87"/>
      <c r="AE1984" s="87"/>
      <c r="AF1984" s="87"/>
      <c r="AG1984" s="87"/>
      <c r="AH1984" s="87"/>
      <c r="AI1984" s="87"/>
      <c r="AJ1984" s="87"/>
      <c r="AK1984" s="87"/>
      <c r="AL1984" s="87"/>
      <c r="AM1984" s="87"/>
      <c r="AN1984" s="87"/>
      <c r="AO1984" s="87"/>
      <c r="AP1984" s="87"/>
      <c r="AQ1984" s="87"/>
      <c r="AR1984" s="87"/>
      <c r="AS1984" s="87"/>
      <c r="AT1984" s="87"/>
      <c r="AU1984" s="87"/>
      <c r="AV1984" s="87"/>
      <c r="AW1984" s="87"/>
      <c r="AX1984" s="87"/>
      <c r="AY1984" s="87"/>
      <c r="AZ1984" s="87"/>
      <c r="BA1984" s="87"/>
      <c r="BB1984" s="87"/>
      <c r="BC1984" s="87"/>
      <c r="BD1984" s="87"/>
      <c r="BE1984" s="87"/>
      <c r="BF1984" s="87"/>
      <c r="BG1984" s="87"/>
      <c r="BH1984" s="87"/>
      <c r="BI1984" s="87"/>
      <c r="BJ1984" s="87"/>
      <c r="BK1984" s="87"/>
      <c r="BL1984" s="87"/>
      <c r="BM1984" s="87"/>
      <c r="BN1984" s="87"/>
      <c r="BO1984" s="87"/>
      <c r="BP1984" s="87"/>
      <c r="BQ1984" s="87"/>
      <c r="BR1984" s="87"/>
      <c r="BS1984" s="87"/>
      <c r="BT1984" s="87"/>
      <c r="BU1984" s="87"/>
      <c r="BV1984" s="87"/>
      <c r="BW1984" s="87"/>
      <c r="BX1984" s="87"/>
      <c r="BY1984" s="87"/>
    </row>
    <row r="1985" spans="21:77" x14ac:dyDescent="0.3">
      <c r="U1985" s="19"/>
      <c r="V1985" s="87"/>
      <c r="W1985" s="87"/>
      <c r="X1985" s="87"/>
      <c r="Y1985" s="87"/>
      <c r="Z1985" s="87"/>
      <c r="AA1985" s="87"/>
      <c r="AB1985" s="87"/>
      <c r="AC1985" s="87"/>
      <c r="AD1985" s="87"/>
      <c r="AE1985" s="87"/>
      <c r="AF1985" s="87"/>
      <c r="AG1985" s="87"/>
      <c r="AH1985" s="87"/>
      <c r="AI1985" s="87"/>
      <c r="AJ1985" s="87"/>
      <c r="AK1985" s="87"/>
      <c r="AL1985" s="87"/>
      <c r="AM1985" s="87"/>
      <c r="AN1985" s="87"/>
      <c r="AO1985" s="87"/>
      <c r="AP1985" s="87"/>
      <c r="AQ1985" s="87"/>
      <c r="AR1985" s="87"/>
      <c r="AS1985" s="87"/>
      <c r="AT1985" s="87"/>
      <c r="AU1985" s="87"/>
      <c r="AV1985" s="87"/>
      <c r="AW1985" s="87"/>
      <c r="AX1985" s="87"/>
      <c r="AY1985" s="87"/>
      <c r="AZ1985" s="87"/>
      <c r="BA1985" s="87"/>
      <c r="BB1985" s="87"/>
      <c r="BC1985" s="87"/>
      <c r="BD1985" s="87"/>
      <c r="BE1985" s="87"/>
      <c r="BF1985" s="87"/>
      <c r="BG1985" s="87"/>
      <c r="BH1985" s="87"/>
      <c r="BI1985" s="87"/>
      <c r="BJ1985" s="87"/>
      <c r="BK1985" s="87"/>
      <c r="BL1985" s="87"/>
      <c r="BM1985" s="87"/>
      <c r="BN1985" s="87"/>
      <c r="BO1985" s="87"/>
      <c r="BP1985" s="87"/>
      <c r="BQ1985" s="87"/>
      <c r="BR1985" s="87"/>
      <c r="BS1985" s="87"/>
      <c r="BT1985" s="87"/>
      <c r="BU1985" s="87"/>
      <c r="BV1985" s="87"/>
      <c r="BW1985" s="87"/>
      <c r="BX1985" s="87"/>
      <c r="BY1985" s="87"/>
    </row>
    <row r="1986" spans="21:77" x14ac:dyDescent="0.3">
      <c r="U1986" s="19"/>
      <c r="V1986" s="87"/>
      <c r="W1986" s="87"/>
      <c r="X1986" s="87"/>
      <c r="Y1986" s="87"/>
      <c r="Z1986" s="87"/>
      <c r="AA1986" s="87"/>
      <c r="AB1986" s="87"/>
      <c r="AC1986" s="87"/>
      <c r="AD1986" s="87"/>
      <c r="AE1986" s="87"/>
      <c r="AF1986" s="87"/>
      <c r="AG1986" s="87"/>
      <c r="AH1986" s="87"/>
      <c r="AI1986" s="87"/>
      <c r="AJ1986" s="87"/>
      <c r="AK1986" s="87"/>
      <c r="AL1986" s="87"/>
      <c r="AM1986" s="87"/>
      <c r="AN1986" s="87"/>
      <c r="AO1986" s="87"/>
      <c r="AP1986" s="87"/>
      <c r="AQ1986" s="87"/>
      <c r="AR1986" s="87"/>
      <c r="AS1986" s="87"/>
      <c r="AT1986" s="87"/>
      <c r="AU1986" s="87"/>
      <c r="AV1986" s="87"/>
      <c r="AW1986" s="87"/>
      <c r="AX1986" s="87"/>
      <c r="AY1986" s="87"/>
      <c r="AZ1986" s="87"/>
      <c r="BA1986" s="87"/>
      <c r="BB1986" s="87"/>
      <c r="BC1986" s="87"/>
      <c r="BD1986" s="87"/>
      <c r="BE1986" s="87"/>
      <c r="BF1986" s="87"/>
      <c r="BG1986" s="87"/>
      <c r="BH1986" s="87"/>
      <c r="BI1986" s="87"/>
      <c r="BJ1986" s="87"/>
      <c r="BK1986" s="87"/>
      <c r="BL1986" s="87"/>
      <c r="BM1986" s="87"/>
      <c r="BN1986" s="87"/>
      <c r="BO1986" s="87"/>
      <c r="BP1986" s="87"/>
      <c r="BQ1986" s="87"/>
      <c r="BR1986" s="87"/>
      <c r="BS1986" s="87"/>
      <c r="BT1986" s="87"/>
      <c r="BU1986" s="87"/>
      <c r="BV1986" s="87"/>
      <c r="BW1986" s="87"/>
      <c r="BX1986" s="87"/>
      <c r="BY1986" s="87"/>
    </row>
    <row r="1987" spans="21:77" x14ac:dyDescent="0.3">
      <c r="U1987" s="19"/>
      <c r="V1987" s="87"/>
      <c r="W1987" s="87"/>
      <c r="X1987" s="87"/>
      <c r="Y1987" s="87"/>
      <c r="Z1987" s="87"/>
      <c r="AA1987" s="87"/>
      <c r="AB1987" s="87"/>
      <c r="AC1987" s="87"/>
      <c r="AD1987" s="87"/>
      <c r="AE1987" s="87"/>
      <c r="AF1987" s="87"/>
      <c r="AG1987" s="87"/>
      <c r="AH1987" s="87"/>
      <c r="AI1987" s="87"/>
      <c r="AJ1987" s="87"/>
      <c r="AK1987" s="87"/>
      <c r="AL1987" s="87"/>
      <c r="AM1987" s="87"/>
      <c r="AN1987" s="87"/>
      <c r="AO1987" s="87"/>
      <c r="AP1987" s="87"/>
      <c r="AQ1987" s="87"/>
      <c r="AR1987" s="87"/>
      <c r="AS1987" s="87"/>
      <c r="AT1987" s="87"/>
      <c r="AU1987" s="87"/>
      <c r="AV1987" s="87"/>
      <c r="AW1987" s="87"/>
      <c r="AX1987" s="87"/>
      <c r="AY1987" s="87"/>
      <c r="AZ1987" s="87"/>
      <c r="BA1987" s="87"/>
      <c r="BB1987" s="87"/>
      <c r="BC1987" s="87"/>
      <c r="BD1987" s="87"/>
      <c r="BE1987" s="87"/>
      <c r="BF1987" s="87"/>
      <c r="BG1987" s="87"/>
      <c r="BH1987" s="87"/>
      <c r="BI1987" s="87"/>
      <c r="BJ1987" s="87"/>
      <c r="BK1987" s="87"/>
      <c r="BL1987" s="87"/>
      <c r="BM1987" s="87"/>
      <c r="BN1987" s="87"/>
      <c r="BO1987" s="87"/>
      <c r="BP1987" s="87"/>
      <c r="BQ1987" s="87"/>
      <c r="BR1987" s="87"/>
      <c r="BS1987" s="87"/>
      <c r="BT1987" s="87"/>
      <c r="BU1987" s="87"/>
      <c r="BV1987" s="87"/>
      <c r="BW1987" s="87"/>
      <c r="BX1987" s="87"/>
      <c r="BY1987" s="87"/>
    </row>
    <row r="1988" spans="21:77" x14ac:dyDescent="0.3">
      <c r="U1988" s="19"/>
      <c r="V1988" s="87"/>
      <c r="W1988" s="87"/>
      <c r="X1988" s="87"/>
      <c r="Y1988" s="87"/>
      <c r="Z1988" s="87"/>
      <c r="AA1988" s="87"/>
      <c r="AB1988" s="87"/>
      <c r="AC1988" s="87"/>
      <c r="AD1988" s="87"/>
      <c r="AE1988" s="87"/>
      <c r="AF1988" s="87"/>
      <c r="AG1988" s="87"/>
      <c r="AH1988" s="87"/>
      <c r="AI1988" s="87"/>
      <c r="AJ1988" s="87"/>
      <c r="AK1988" s="87"/>
      <c r="AL1988" s="87"/>
      <c r="AM1988" s="87"/>
      <c r="AN1988" s="87"/>
      <c r="AO1988" s="87"/>
      <c r="AP1988" s="87"/>
      <c r="AQ1988" s="87"/>
      <c r="AR1988" s="87"/>
      <c r="AS1988" s="87"/>
      <c r="AT1988" s="87"/>
      <c r="AU1988" s="87"/>
      <c r="AV1988" s="87"/>
      <c r="AW1988" s="87"/>
      <c r="AX1988" s="87"/>
      <c r="AY1988" s="87"/>
      <c r="AZ1988" s="87"/>
      <c r="BA1988" s="87"/>
      <c r="BB1988" s="87"/>
      <c r="BC1988" s="87"/>
      <c r="BD1988" s="87"/>
      <c r="BE1988" s="87"/>
      <c r="BF1988" s="87"/>
      <c r="BG1988" s="87"/>
      <c r="BH1988" s="87"/>
      <c r="BI1988" s="87"/>
      <c r="BJ1988" s="87"/>
      <c r="BK1988" s="87"/>
      <c r="BL1988" s="87"/>
      <c r="BM1988" s="87"/>
      <c r="BN1988" s="87"/>
      <c r="BO1988" s="87"/>
      <c r="BP1988" s="87"/>
      <c r="BQ1988" s="87"/>
      <c r="BR1988" s="87"/>
      <c r="BS1988" s="87"/>
      <c r="BT1988" s="87"/>
      <c r="BU1988" s="87"/>
      <c r="BV1988" s="87"/>
      <c r="BW1988" s="87"/>
      <c r="BX1988" s="87"/>
      <c r="BY1988" s="87"/>
    </row>
    <row r="1989" spans="21:77" x14ac:dyDescent="0.3">
      <c r="U1989" s="19"/>
      <c r="V1989" s="87"/>
      <c r="W1989" s="87"/>
      <c r="X1989" s="87"/>
      <c r="Y1989" s="87"/>
      <c r="Z1989" s="87"/>
      <c r="AA1989" s="87"/>
      <c r="AB1989" s="87"/>
      <c r="AC1989" s="87"/>
      <c r="AD1989" s="87"/>
      <c r="AE1989" s="87"/>
      <c r="AF1989" s="87"/>
      <c r="AG1989" s="87"/>
      <c r="AH1989" s="87"/>
      <c r="AI1989" s="87"/>
      <c r="AJ1989" s="87"/>
      <c r="AK1989" s="87"/>
      <c r="AL1989" s="87"/>
      <c r="AM1989" s="87"/>
      <c r="AN1989" s="87"/>
      <c r="AO1989" s="87"/>
      <c r="AP1989" s="87"/>
      <c r="AQ1989" s="87"/>
      <c r="AR1989" s="87"/>
      <c r="AS1989" s="87"/>
      <c r="AT1989" s="87"/>
      <c r="AU1989" s="87"/>
      <c r="AV1989" s="87"/>
      <c r="AW1989" s="87"/>
      <c r="AX1989" s="87"/>
      <c r="AY1989" s="87"/>
      <c r="AZ1989" s="87"/>
      <c r="BA1989" s="87"/>
      <c r="BB1989" s="87"/>
      <c r="BC1989" s="87"/>
      <c r="BD1989" s="87"/>
      <c r="BE1989" s="87"/>
      <c r="BF1989" s="87"/>
      <c r="BG1989" s="87"/>
      <c r="BH1989" s="87"/>
      <c r="BI1989" s="87"/>
      <c r="BJ1989" s="87"/>
      <c r="BK1989" s="87"/>
      <c r="BL1989" s="87"/>
      <c r="BM1989" s="87"/>
      <c r="BN1989" s="87"/>
      <c r="BO1989" s="87"/>
      <c r="BP1989" s="87"/>
      <c r="BQ1989" s="87"/>
      <c r="BR1989" s="87"/>
      <c r="BS1989" s="87"/>
      <c r="BT1989" s="87"/>
      <c r="BU1989" s="87"/>
      <c r="BV1989" s="87"/>
      <c r="BW1989" s="87"/>
      <c r="BX1989" s="87"/>
      <c r="BY1989" s="87"/>
    </row>
    <row r="1990" spans="21:77" x14ac:dyDescent="0.3">
      <c r="U1990" s="19"/>
      <c r="V1990" s="87"/>
      <c r="W1990" s="87"/>
      <c r="X1990" s="87"/>
      <c r="Y1990" s="87"/>
      <c r="Z1990" s="87"/>
      <c r="AA1990" s="87"/>
      <c r="AB1990" s="87"/>
      <c r="AC1990" s="87"/>
      <c r="AD1990" s="87"/>
      <c r="AE1990" s="87"/>
      <c r="AF1990" s="87"/>
      <c r="AG1990" s="87"/>
      <c r="AH1990" s="87"/>
      <c r="AI1990" s="87"/>
      <c r="AJ1990" s="87"/>
      <c r="AK1990" s="87"/>
      <c r="AL1990" s="87"/>
      <c r="AM1990" s="87"/>
      <c r="AN1990" s="87"/>
      <c r="AO1990" s="87"/>
      <c r="AP1990" s="87"/>
      <c r="AQ1990" s="87"/>
      <c r="AR1990" s="87"/>
      <c r="AS1990" s="87"/>
      <c r="AT1990" s="87"/>
      <c r="AU1990" s="87"/>
      <c r="AV1990" s="87"/>
      <c r="AW1990" s="87"/>
      <c r="AX1990" s="87"/>
      <c r="AY1990" s="87"/>
      <c r="AZ1990" s="87"/>
      <c r="BA1990" s="87"/>
      <c r="BB1990" s="87"/>
      <c r="BC1990" s="87"/>
      <c r="BD1990" s="87"/>
      <c r="BE1990" s="87"/>
      <c r="BF1990" s="87"/>
      <c r="BG1990" s="87"/>
      <c r="BH1990" s="87"/>
      <c r="BI1990" s="87"/>
      <c r="BJ1990" s="87"/>
      <c r="BK1990" s="87"/>
      <c r="BL1990" s="87"/>
      <c r="BM1990" s="87"/>
      <c r="BN1990" s="87"/>
      <c r="BO1990" s="87"/>
      <c r="BP1990" s="87"/>
      <c r="BQ1990" s="87"/>
      <c r="BR1990" s="87"/>
      <c r="BS1990" s="87"/>
      <c r="BT1990" s="87"/>
      <c r="BU1990" s="87"/>
      <c r="BV1990" s="87"/>
      <c r="BW1990" s="87"/>
      <c r="BX1990" s="87"/>
      <c r="BY1990" s="87"/>
    </row>
    <row r="1991" spans="21:77" x14ac:dyDescent="0.3">
      <c r="U1991" s="19"/>
      <c r="V1991" s="87"/>
      <c r="W1991" s="87"/>
      <c r="X1991" s="87"/>
      <c r="Y1991" s="87"/>
      <c r="Z1991" s="87"/>
      <c r="AA1991" s="87"/>
      <c r="AB1991" s="87"/>
      <c r="AC1991" s="87"/>
      <c r="AD1991" s="87"/>
      <c r="AE1991" s="87"/>
      <c r="AF1991" s="87"/>
      <c r="AG1991" s="87"/>
      <c r="AH1991" s="87"/>
      <c r="AI1991" s="87"/>
      <c r="AJ1991" s="87"/>
      <c r="AK1991" s="87"/>
      <c r="AL1991" s="87"/>
      <c r="AM1991" s="87"/>
      <c r="AN1991" s="87"/>
      <c r="AO1991" s="87"/>
      <c r="AP1991" s="87"/>
      <c r="AQ1991" s="87"/>
      <c r="AR1991" s="87"/>
      <c r="AS1991" s="87"/>
      <c r="AT1991" s="87"/>
      <c r="AU1991" s="87"/>
      <c r="AV1991" s="87"/>
      <c r="AW1991" s="87"/>
      <c r="AX1991" s="87"/>
      <c r="AY1991" s="87"/>
      <c r="AZ1991" s="87"/>
      <c r="BA1991" s="87"/>
      <c r="BB1991" s="87"/>
      <c r="BC1991" s="87"/>
      <c r="BD1991" s="87"/>
      <c r="BE1991" s="87"/>
      <c r="BF1991" s="87"/>
      <c r="BG1991" s="87"/>
      <c r="BH1991" s="87"/>
      <c r="BI1991" s="87"/>
      <c r="BJ1991" s="87"/>
      <c r="BK1991" s="87"/>
      <c r="BL1991" s="87"/>
      <c r="BM1991" s="87"/>
      <c r="BN1991" s="87"/>
      <c r="BO1991" s="87"/>
      <c r="BP1991" s="87"/>
      <c r="BQ1991" s="87"/>
      <c r="BR1991" s="87"/>
      <c r="BS1991" s="87"/>
      <c r="BT1991" s="87"/>
      <c r="BU1991" s="87"/>
      <c r="BV1991" s="87"/>
      <c r="BW1991" s="87"/>
      <c r="BX1991" s="87"/>
      <c r="BY1991" s="87"/>
    </row>
    <row r="1992" spans="21:77" x14ac:dyDescent="0.3">
      <c r="U1992" s="19"/>
      <c r="V1992" s="87"/>
      <c r="W1992" s="87"/>
      <c r="X1992" s="87"/>
      <c r="Y1992" s="87"/>
      <c r="Z1992" s="87"/>
      <c r="AA1992" s="87"/>
      <c r="AB1992" s="87"/>
      <c r="AC1992" s="87"/>
      <c r="AD1992" s="87"/>
      <c r="AE1992" s="87"/>
      <c r="AF1992" s="87"/>
      <c r="AG1992" s="87"/>
      <c r="AH1992" s="87"/>
      <c r="AI1992" s="87"/>
      <c r="AJ1992" s="87"/>
      <c r="AK1992" s="87"/>
      <c r="AL1992" s="87"/>
      <c r="AM1992" s="87"/>
      <c r="AN1992" s="87"/>
      <c r="AO1992" s="87"/>
      <c r="AP1992" s="87"/>
      <c r="AQ1992" s="87"/>
      <c r="AR1992" s="87"/>
      <c r="AS1992" s="87"/>
      <c r="AT1992" s="87"/>
      <c r="AU1992" s="87"/>
      <c r="AV1992" s="87"/>
      <c r="AW1992" s="87"/>
      <c r="AX1992" s="87"/>
      <c r="AY1992" s="87"/>
      <c r="AZ1992" s="87"/>
      <c r="BA1992" s="87"/>
      <c r="BB1992" s="87"/>
      <c r="BC1992" s="87"/>
      <c r="BD1992" s="87"/>
      <c r="BE1992" s="87"/>
      <c r="BF1992" s="87"/>
      <c r="BG1992" s="87"/>
      <c r="BH1992" s="87"/>
      <c r="BI1992" s="87"/>
      <c r="BJ1992" s="87"/>
      <c r="BK1992" s="87"/>
      <c r="BL1992" s="87"/>
      <c r="BM1992" s="87"/>
      <c r="BN1992" s="87"/>
      <c r="BO1992" s="87"/>
      <c r="BP1992" s="87"/>
      <c r="BQ1992" s="87"/>
      <c r="BR1992" s="87"/>
      <c r="BS1992" s="87"/>
      <c r="BT1992" s="87"/>
      <c r="BU1992" s="87"/>
      <c r="BV1992" s="87"/>
      <c r="BW1992" s="87"/>
      <c r="BX1992" s="87"/>
      <c r="BY1992" s="87"/>
    </row>
    <row r="1993" spans="21:77" x14ac:dyDescent="0.3">
      <c r="U1993" s="19"/>
      <c r="V1993" s="87"/>
      <c r="W1993" s="87"/>
      <c r="X1993" s="87"/>
      <c r="Y1993" s="87"/>
      <c r="Z1993" s="87"/>
      <c r="AA1993" s="87"/>
      <c r="AB1993" s="87"/>
      <c r="AC1993" s="87"/>
      <c r="AD1993" s="87"/>
      <c r="AE1993" s="87"/>
      <c r="AF1993" s="87"/>
      <c r="AG1993" s="87"/>
      <c r="AH1993" s="87"/>
      <c r="AI1993" s="87"/>
      <c r="AJ1993" s="87"/>
      <c r="AK1993" s="87"/>
      <c r="AL1993" s="87"/>
      <c r="AM1993" s="87"/>
      <c r="AN1993" s="87"/>
      <c r="AO1993" s="87"/>
      <c r="AP1993" s="87"/>
      <c r="AQ1993" s="87"/>
      <c r="AR1993" s="87"/>
      <c r="AS1993" s="87"/>
      <c r="AT1993" s="87"/>
      <c r="AU1993" s="87"/>
      <c r="AV1993" s="87"/>
      <c r="AW1993" s="87"/>
      <c r="AX1993" s="87"/>
      <c r="AY1993" s="87"/>
      <c r="AZ1993" s="87"/>
      <c r="BA1993" s="87"/>
      <c r="BB1993" s="87"/>
      <c r="BC1993" s="87"/>
      <c r="BD1993" s="87"/>
      <c r="BE1993" s="87"/>
      <c r="BF1993" s="87"/>
      <c r="BG1993" s="87"/>
      <c r="BH1993" s="87"/>
      <c r="BI1993" s="87"/>
      <c r="BJ1993" s="87"/>
      <c r="BK1993" s="87"/>
      <c r="BL1993" s="87"/>
      <c r="BM1993" s="87"/>
      <c r="BN1993" s="87"/>
      <c r="BO1993" s="87"/>
      <c r="BP1993" s="87"/>
      <c r="BQ1993" s="87"/>
      <c r="BR1993" s="87"/>
      <c r="BS1993" s="87"/>
      <c r="BT1993" s="87"/>
      <c r="BU1993" s="87"/>
      <c r="BV1993" s="87"/>
      <c r="BW1993" s="87"/>
      <c r="BX1993" s="87"/>
      <c r="BY1993" s="87"/>
    </row>
    <row r="1994" spans="21:77" x14ac:dyDescent="0.3">
      <c r="U1994" s="19"/>
      <c r="V1994" s="87"/>
      <c r="W1994" s="87"/>
      <c r="X1994" s="87"/>
      <c r="Y1994" s="87"/>
      <c r="Z1994" s="87"/>
      <c r="AA1994" s="87"/>
      <c r="AB1994" s="87"/>
      <c r="AC1994" s="87"/>
      <c r="AD1994" s="87"/>
      <c r="AE1994" s="87"/>
      <c r="AF1994" s="87"/>
      <c r="AG1994" s="87"/>
      <c r="AH1994" s="87"/>
      <c r="AI1994" s="87"/>
      <c r="AJ1994" s="87"/>
      <c r="AK1994" s="87"/>
      <c r="AL1994" s="87"/>
      <c r="AM1994" s="87"/>
      <c r="AN1994" s="87"/>
      <c r="AO1994" s="87"/>
      <c r="AP1994" s="87"/>
      <c r="AQ1994" s="87"/>
      <c r="AR1994" s="87"/>
      <c r="AS1994" s="87"/>
      <c r="AT1994" s="87"/>
      <c r="AU1994" s="87"/>
      <c r="AV1994" s="87"/>
      <c r="AW1994" s="87"/>
      <c r="AX1994" s="87"/>
      <c r="AY1994" s="87"/>
      <c r="AZ1994" s="87"/>
      <c r="BA1994" s="87"/>
      <c r="BB1994" s="87"/>
      <c r="BC1994" s="87"/>
      <c r="BD1994" s="87"/>
      <c r="BE1994" s="87"/>
      <c r="BF1994" s="87"/>
      <c r="BG1994" s="87"/>
      <c r="BH1994" s="87"/>
      <c r="BI1994" s="87"/>
      <c r="BJ1994" s="87"/>
      <c r="BK1994" s="87"/>
      <c r="BL1994" s="87"/>
      <c r="BM1994" s="87"/>
      <c r="BN1994" s="87"/>
      <c r="BO1994" s="87"/>
      <c r="BP1994" s="87"/>
      <c r="BQ1994" s="87"/>
      <c r="BR1994" s="87"/>
      <c r="BS1994" s="87"/>
      <c r="BT1994" s="87"/>
      <c r="BU1994" s="87"/>
      <c r="BV1994" s="87"/>
      <c r="BW1994" s="87"/>
      <c r="BX1994" s="87"/>
      <c r="BY1994" s="87"/>
    </row>
    <row r="1995" spans="21:77" x14ac:dyDescent="0.3">
      <c r="U1995" s="19"/>
      <c r="V1995" s="87"/>
      <c r="W1995" s="87"/>
      <c r="X1995" s="87"/>
      <c r="Y1995" s="87"/>
      <c r="Z1995" s="87"/>
      <c r="AA1995" s="87"/>
      <c r="AB1995" s="87"/>
      <c r="AC1995" s="87"/>
      <c r="AD1995" s="87"/>
      <c r="AE1995" s="87"/>
      <c r="AF1995" s="87"/>
      <c r="AG1995" s="87"/>
      <c r="AH1995" s="87"/>
      <c r="AI1995" s="87"/>
      <c r="AJ1995" s="87"/>
      <c r="AK1995" s="87"/>
      <c r="AL1995" s="87"/>
      <c r="AM1995" s="87"/>
      <c r="AN1995" s="87"/>
      <c r="AO1995" s="87"/>
      <c r="AP1995" s="87"/>
      <c r="AQ1995" s="87"/>
      <c r="AR1995" s="87"/>
      <c r="AS1995" s="87"/>
      <c r="AT1995" s="87"/>
      <c r="AU1995" s="87"/>
      <c r="AV1995" s="87"/>
      <c r="AW1995" s="87"/>
      <c r="AX1995" s="87"/>
      <c r="AY1995" s="87"/>
      <c r="AZ1995" s="87"/>
      <c r="BA1995" s="87"/>
      <c r="BB1995" s="87"/>
      <c r="BC1995" s="87"/>
      <c r="BD1995" s="87"/>
      <c r="BE1995" s="87"/>
      <c r="BF1995" s="87"/>
      <c r="BG1995" s="87"/>
      <c r="BH1995" s="87"/>
      <c r="BI1995" s="87"/>
      <c r="BJ1995" s="87"/>
      <c r="BK1995" s="87"/>
      <c r="BL1995" s="87"/>
      <c r="BM1995" s="87"/>
      <c r="BN1995" s="87"/>
      <c r="BO1995" s="87"/>
      <c r="BP1995" s="87"/>
      <c r="BQ1995" s="87"/>
      <c r="BR1995" s="87"/>
      <c r="BS1995" s="87"/>
      <c r="BT1995" s="87"/>
      <c r="BU1995" s="87"/>
      <c r="BV1995" s="87"/>
      <c r="BW1995" s="87"/>
      <c r="BX1995" s="87"/>
      <c r="BY1995" s="87"/>
    </row>
    <row r="1996" spans="21:77" x14ac:dyDescent="0.3">
      <c r="U1996" s="19"/>
      <c r="V1996" s="87"/>
      <c r="W1996" s="87"/>
      <c r="X1996" s="87"/>
      <c r="Y1996" s="87"/>
      <c r="Z1996" s="87"/>
      <c r="AA1996" s="87"/>
      <c r="AB1996" s="87"/>
      <c r="AC1996" s="87"/>
      <c r="AD1996" s="87"/>
      <c r="AE1996" s="87"/>
      <c r="AF1996" s="87"/>
      <c r="AG1996" s="87"/>
      <c r="AH1996" s="87"/>
      <c r="AI1996" s="87"/>
      <c r="AJ1996" s="87"/>
      <c r="AK1996" s="87"/>
      <c r="AL1996" s="87"/>
      <c r="AM1996" s="87"/>
      <c r="AN1996" s="87"/>
      <c r="AO1996" s="87"/>
      <c r="AP1996" s="87"/>
      <c r="AQ1996" s="87"/>
      <c r="AR1996" s="87"/>
      <c r="AS1996" s="87"/>
      <c r="AT1996" s="87"/>
      <c r="AU1996" s="87"/>
      <c r="AV1996" s="87"/>
      <c r="AW1996" s="87"/>
      <c r="AX1996" s="87"/>
      <c r="AY1996" s="87"/>
      <c r="AZ1996" s="87"/>
      <c r="BA1996" s="87"/>
      <c r="BB1996" s="87"/>
      <c r="BC1996" s="87"/>
      <c r="BD1996" s="87"/>
      <c r="BE1996" s="87"/>
      <c r="BF1996" s="87"/>
      <c r="BG1996" s="87"/>
      <c r="BH1996" s="87"/>
      <c r="BI1996" s="87"/>
      <c r="BJ1996" s="87"/>
      <c r="BK1996" s="87"/>
      <c r="BL1996" s="87"/>
      <c r="BM1996" s="87"/>
      <c r="BN1996" s="87"/>
      <c r="BO1996" s="87"/>
      <c r="BP1996" s="87"/>
      <c r="BQ1996" s="87"/>
      <c r="BR1996" s="87"/>
      <c r="BS1996" s="87"/>
      <c r="BT1996" s="87"/>
      <c r="BU1996" s="87"/>
      <c r="BV1996" s="87"/>
      <c r="BW1996" s="87"/>
      <c r="BX1996" s="87"/>
      <c r="BY1996" s="87"/>
    </row>
    <row r="1997" spans="21:77" x14ac:dyDescent="0.3">
      <c r="U1997" s="19"/>
      <c r="V1997" s="87"/>
      <c r="W1997" s="87"/>
      <c r="X1997" s="87"/>
      <c r="Y1997" s="87"/>
      <c r="Z1997" s="87"/>
      <c r="AA1997" s="87"/>
      <c r="AB1997" s="87"/>
      <c r="AC1997" s="87"/>
      <c r="AD1997" s="87"/>
      <c r="AE1997" s="87"/>
      <c r="AF1997" s="87"/>
      <c r="AG1997" s="87"/>
      <c r="AH1997" s="87"/>
      <c r="AI1997" s="87"/>
      <c r="AJ1997" s="87"/>
      <c r="AK1997" s="87"/>
      <c r="AL1997" s="87"/>
      <c r="AM1997" s="87"/>
      <c r="AN1997" s="87"/>
      <c r="AO1997" s="87"/>
      <c r="AP1997" s="87"/>
      <c r="AQ1997" s="87"/>
      <c r="AR1997" s="87"/>
      <c r="AS1997" s="87"/>
      <c r="AT1997" s="87"/>
      <c r="AU1997" s="87"/>
      <c r="AV1997" s="87"/>
      <c r="AW1997" s="87"/>
      <c r="AX1997" s="87"/>
      <c r="AY1997" s="87"/>
      <c r="AZ1997" s="87"/>
      <c r="BA1997" s="87"/>
      <c r="BB1997" s="87"/>
      <c r="BC1997" s="87"/>
      <c r="BD1997" s="87"/>
      <c r="BE1997" s="87"/>
      <c r="BF1997" s="87"/>
      <c r="BG1997" s="87"/>
      <c r="BH1997" s="87"/>
      <c r="BI1997" s="87"/>
      <c r="BJ1997" s="87"/>
      <c r="BK1997" s="87"/>
      <c r="BL1997" s="87"/>
      <c r="BM1997" s="87"/>
      <c r="BN1997" s="87"/>
      <c r="BO1997" s="87"/>
      <c r="BP1997" s="87"/>
      <c r="BQ1997" s="87"/>
      <c r="BR1997" s="87"/>
      <c r="BS1997" s="87"/>
      <c r="BT1997" s="87"/>
      <c r="BU1997" s="87"/>
      <c r="BV1997" s="87"/>
      <c r="BW1997" s="87"/>
      <c r="BX1997" s="87"/>
      <c r="BY1997" s="87"/>
    </row>
    <row r="1998" spans="21:77" x14ac:dyDescent="0.3">
      <c r="U1998" s="19"/>
      <c r="V1998" s="87"/>
      <c r="W1998" s="87"/>
      <c r="X1998" s="87"/>
      <c r="Y1998" s="87"/>
      <c r="Z1998" s="87"/>
      <c r="AA1998" s="87"/>
      <c r="AB1998" s="87"/>
      <c r="AC1998" s="87"/>
      <c r="AD1998" s="87"/>
      <c r="AE1998" s="87"/>
      <c r="AF1998" s="87"/>
      <c r="AG1998" s="87"/>
      <c r="AH1998" s="87"/>
      <c r="AI1998" s="87"/>
      <c r="AJ1998" s="87"/>
      <c r="AK1998" s="87"/>
      <c r="AL1998" s="87"/>
      <c r="AM1998" s="87"/>
      <c r="AN1998" s="87"/>
      <c r="AO1998" s="87"/>
      <c r="AP1998" s="87"/>
      <c r="AQ1998" s="87"/>
      <c r="AR1998" s="87"/>
      <c r="AS1998" s="87"/>
      <c r="AT1998" s="87"/>
      <c r="AU1998" s="87"/>
      <c r="AV1998" s="87"/>
      <c r="AW1998" s="87"/>
      <c r="AX1998" s="87"/>
      <c r="AY1998" s="87"/>
      <c r="AZ1998" s="87"/>
      <c r="BA1998" s="87"/>
      <c r="BB1998" s="87"/>
      <c r="BC1998" s="87"/>
      <c r="BD1998" s="87"/>
      <c r="BE1998" s="87"/>
      <c r="BF1998" s="87"/>
      <c r="BG1998" s="87"/>
      <c r="BH1998" s="87"/>
      <c r="BI1998" s="87"/>
      <c r="BJ1998" s="87"/>
      <c r="BK1998" s="87"/>
      <c r="BL1998" s="87"/>
      <c r="BM1998" s="87"/>
      <c r="BN1998" s="87"/>
      <c r="BO1998" s="87"/>
      <c r="BP1998" s="87"/>
      <c r="BQ1998" s="87"/>
      <c r="BR1998" s="87"/>
      <c r="BS1998" s="87"/>
      <c r="BT1998" s="87"/>
      <c r="BU1998" s="87"/>
      <c r="BV1998" s="87"/>
      <c r="BW1998" s="87"/>
      <c r="BX1998" s="87"/>
      <c r="BY1998" s="87"/>
    </row>
    <row r="1999" spans="21:77" x14ac:dyDescent="0.3">
      <c r="U1999" s="19"/>
      <c r="V1999" s="87"/>
      <c r="W1999" s="87"/>
      <c r="X1999" s="87"/>
      <c r="Y1999" s="87"/>
      <c r="Z1999" s="87"/>
      <c r="AA1999" s="87"/>
      <c r="AB1999" s="87"/>
      <c r="AC1999" s="87"/>
      <c r="AD1999" s="87"/>
      <c r="AE1999" s="87"/>
      <c r="AF1999" s="87"/>
      <c r="AG1999" s="87"/>
      <c r="AH1999" s="87"/>
      <c r="AI1999" s="87"/>
      <c r="AJ1999" s="87"/>
      <c r="AK1999" s="87"/>
      <c r="AL1999" s="87"/>
      <c r="AM1999" s="87"/>
      <c r="AN1999" s="87"/>
      <c r="AO1999" s="87"/>
      <c r="AP1999" s="87"/>
      <c r="AQ1999" s="87"/>
      <c r="AR1999" s="87"/>
      <c r="AS1999" s="87"/>
      <c r="AT1999" s="87"/>
      <c r="AU1999" s="87"/>
      <c r="AV1999" s="87"/>
      <c r="AW1999" s="87"/>
      <c r="AX1999" s="87"/>
      <c r="AY1999" s="87"/>
      <c r="AZ1999" s="87"/>
      <c r="BA1999" s="87"/>
      <c r="BB1999" s="87"/>
      <c r="BC1999" s="87"/>
      <c r="BD1999" s="87"/>
      <c r="BE1999" s="87"/>
      <c r="BF1999" s="87"/>
      <c r="BG1999" s="87"/>
      <c r="BH1999" s="87"/>
      <c r="BI1999" s="87"/>
      <c r="BJ1999" s="87"/>
      <c r="BK1999" s="87"/>
      <c r="BL1999" s="87"/>
      <c r="BM1999" s="87"/>
      <c r="BN1999" s="87"/>
      <c r="BO1999" s="87"/>
      <c r="BP1999" s="87"/>
      <c r="BQ1999" s="87"/>
      <c r="BR1999" s="87"/>
      <c r="BS1999" s="87"/>
      <c r="BT1999" s="87"/>
      <c r="BU1999" s="87"/>
      <c r="BV1999" s="87"/>
      <c r="BW1999" s="87"/>
      <c r="BX1999" s="87"/>
      <c r="BY1999" s="87"/>
    </row>
    <row r="2000" spans="21:77" x14ac:dyDescent="0.3">
      <c r="U2000" s="19"/>
      <c r="V2000" s="87"/>
      <c r="W2000" s="87"/>
      <c r="X2000" s="87"/>
      <c r="Y2000" s="87"/>
      <c r="Z2000" s="87"/>
      <c r="AA2000" s="87"/>
      <c r="AB2000" s="87"/>
      <c r="AC2000" s="87"/>
      <c r="AD2000" s="87"/>
      <c r="AE2000" s="87"/>
      <c r="AF2000" s="87"/>
      <c r="AG2000" s="87"/>
      <c r="AH2000" s="87"/>
      <c r="AI2000" s="87"/>
      <c r="AJ2000" s="87"/>
      <c r="AK2000" s="87"/>
      <c r="AL2000" s="87"/>
      <c r="AM2000" s="87"/>
      <c r="AN2000" s="87"/>
      <c r="AO2000" s="87"/>
      <c r="AP2000" s="87"/>
      <c r="AQ2000" s="87"/>
      <c r="AR2000" s="87"/>
      <c r="AS2000" s="87"/>
      <c r="AT2000" s="87"/>
      <c r="AU2000" s="87"/>
      <c r="AV2000" s="87"/>
      <c r="AW2000" s="87"/>
      <c r="AX2000" s="87"/>
      <c r="AY2000" s="87"/>
      <c r="AZ2000" s="87"/>
      <c r="BA2000" s="87"/>
      <c r="BB2000" s="87"/>
      <c r="BC2000" s="87"/>
      <c r="BD2000" s="87"/>
      <c r="BE2000" s="87"/>
      <c r="BF2000" s="87"/>
      <c r="BG2000" s="87"/>
      <c r="BH2000" s="87"/>
      <c r="BI2000" s="87"/>
      <c r="BJ2000" s="87"/>
      <c r="BK2000" s="87"/>
      <c r="BL2000" s="87"/>
      <c r="BM2000" s="87"/>
      <c r="BN2000" s="87"/>
      <c r="BO2000" s="87"/>
      <c r="BP2000" s="87"/>
      <c r="BQ2000" s="87"/>
      <c r="BR2000" s="87"/>
      <c r="BS2000" s="87"/>
      <c r="BT2000" s="87"/>
      <c r="BU2000" s="87"/>
      <c r="BV2000" s="87"/>
      <c r="BW2000" s="87"/>
      <c r="BX2000" s="87"/>
      <c r="BY2000" s="87"/>
    </row>
    <row r="2001" spans="21:77" x14ac:dyDescent="0.3">
      <c r="U2001" s="19"/>
      <c r="V2001" s="87"/>
      <c r="W2001" s="87"/>
      <c r="X2001" s="87"/>
      <c r="Y2001" s="87"/>
      <c r="Z2001" s="87"/>
      <c r="AA2001" s="87"/>
      <c r="AB2001" s="87"/>
      <c r="AC2001" s="87"/>
      <c r="AD2001" s="87"/>
      <c r="AE2001" s="87"/>
      <c r="AF2001" s="87"/>
      <c r="AG2001" s="87"/>
      <c r="AH2001" s="87"/>
      <c r="AI2001" s="87"/>
      <c r="AJ2001" s="87"/>
      <c r="AK2001" s="87"/>
      <c r="AL2001" s="87"/>
      <c r="AM2001" s="87"/>
      <c r="AN2001" s="87"/>
      <c r="AO2001" s="87"/>
      <c r="AP2001" s="87"/>
      <c r="AQ2001" s="87"/>
      <c r="AR2001" s="87"/>
      <c r="AS2001" s="87"/>
      <c r="AT2001" s="87"/>
      <c r="AU2001" s="87"/>
      <c r="AV2001" s="87"/>
      <c r="AW2001" s="87"/>
      <c r="AX2001" s="87"/>
      <c r="AY2001" s="87"/>
      <c r="AZ2001" s="87"/>
      <c r="BA2001" s="87"/>
      <c r="BB2001" s="87"/>
      <c r="BC2001" s="87"/>
      <c r="BD2001" s="87"/>
      <c r="BE2001" s="87"/>
      <c r="BF2001" s="87"/>
      <c r="BG2001" s="87"/>
      <c r="BH2001" s="87"/>
      <c r="BI2001" s="87"/>
      <c r="BJ2001" s="87"/>
      <c r="BK2001" s="87"/>
      <c r="BL2001" s="87"/>
      <c r="BM2001" s="87"/>
      <c r="BN2001" s="87"/>
      <c r="BO2001" s="87"/>
      <c r="BP2001" s="87"/>
      <c r="BQ2001" s="87"/>
      <c r="BR2001" s="87"/>
      <c r="BS2001" s="87"/>
      <c r="BT2001" s="87"/>
      <c r="BU2001" s="87"/>
      <c r="BV2001" s="87"/>
      <c r="BW2001" s="87"/>
      <c r="BX2001" s="87"/>
      <c r="BY2001" s="87"/>
    </row>
    <row r="2002" spans="21:77" x14ac:dyDescent="0.3">
      <c r="U2002" s="19"/>
      <c r="V2002" s="87"/>
      <c r="W2002" s="87"/>
      <c r="X2002" s="87"/>
      <c r="Y2002" s="87"/>
      <c r="Z2002" s="87"/>
      <c r="AA2002" s="87"/>
      <c r="AB2002" s="87"/>
      <c r="AC2002" s="87"/>
      <c r="AD2002" s="87"/>
      <c r="AE2002" s="87"/>
      <c r="AF2002" s="87"/>
      <c r="AG2002" s="87"/>
      <c r="AH2002" s="87"/>
      <c r="AI2002" s="87"/>
      <c r="AJ2002" s="87"/>
      <c r="AK2002" s="87"/>
      <c r="AL2002" s="87"/>
      <c r="AM2002" s="87"/>
      <c r="AN2002" s="87"/>
      <c r="AO2002" s="87"/>
      <c r="AP2002" s="87"/>
      <c r="AQ2002" s="87"/>
      <c r="AR2002" s="87"/>
      <c r="AS2002" s="87"/>
      <c r="AT2002" s="87"/>
      <c r="AU2002" s="87"/>
      <c r="AV2002" s="87"/>
      <c r="AW2002" s="87"/>
      <c r="AX2002" s="87"/>
      <c r="AY2002" s="87"/>
      <c r="AZ2002" s="87"/>
      <c r="BA2002" s="87"/>
      <c r="BB2002" s="87"/>
      <c r="BC2002" s="87"/>
      <c r="BD2002" s="87"/>
      <c r="BE2002" s="87"/>
      <c r="BF2002" s="87"/>
      <c r="BG2002" s="87"/>
      <c r="BH2002" s="87"/>
      <c r="BI2002" s="87"/>
      <c r="BJ2002" s="87"/>
      <c r="BK2002" s="87"/>
      <c r="BL2002" s="87"/>
      <c r="BM2002" s="87"/>
      <c r="BN2002" s="87"/>
      <c r="BO2002" s="87"/>
      <c r="BP2002" s="87"/>
      <c r="BQ2002" s="87"/>
      <c r="BR2002" s="87"/>
      <c r="BS2002" s="87"/>
      <c r="BT2002" s="87"/>
      <c r="BU2002" s="87"/>
      <c r="BV2002" s="87"/>
      <c r="BW2002" s="87"/>
      <c r="BX2002" s="87"/>
      <c r="BY2002" s="87"/>
    </row>
    <row r="2003" spans="21:77" x14ac:dyDescent="0.3">
      <c r="U2003" s="19"/>
      <c r="V2003" s="87"/>
      <c r="W2003" s="87"/>
      <c r="X2003" s="87"/>
      <c r="Y2003" s="87"/>
      <c r="Z2003" s="87"/>
      <c r="AA2003" s="87"/>
      <c r="AB2003" s="87"/>
      <c r="AC2003" s="87"/>
      <c r="AD2003" s="87"/>
      <c r="AE2003" s="87"/>
      <c r="AF2003" s="87"/>
      <c r="AG2003" s="87"/>
      <c r="AH2003" s="87"/>
      <c r="AI2003" s="87"/>
      <c r="AJ2003" s="87"/>
      <c r="AK2003" s="87"/>
      <c r="AL2003" s="87"/>
      <c r="AM2003" s="87"/>
      <c r="AN2003" s="87"/>
      <c r="AO2003" s="87"/>
      <c r="AP2003" s="87"/>
      <c r="AQ2003" s="87"/>
      <c r="AR2003" s="87"/>
      <c r="AS2003" s="87"/>
      <c r="AT2003" s="87"/>
      <c r="AU2003" s="87"/>
      <c r="AV2003" s="87"/>
      <c r="AW2003" s="87"/>
      <c r="AX2003" s="87"/>
      <c r="AY2003" s="87"/>
      <c r="AZ2003" s="87"/>
      <c r="BA2003" s="87"/>
      <c r="BB2003" s="87"/>
      <c r="BC2003" s="87"/>
      <c r="BD2003" s="87"/>
      <c r="BE2003" s="87"/>
      <c r="BF2003" s="87"/>
      <c r="BG2003" s="87"/>
      <c r="BH2003" s="87"/>
      <c r="BI2003" s="87"/>
      <c r="BJ2003" s="87"/>
      <c r="BK2003" s="87"/>
      <c r="BL2003" s="87"/>
      <c r="BM2003" s="87"/>
      <c r="BN2003" s="87"/>
      <c r="BO2003" s="87"/>
      <c r="BP2003" s="87"/>
      <c r="BQ2003" s="87"/>
      <c r="BR2003" s="87"/>
      <c r="BS2003" s="87"/>
      <c r="BT2003" s="87"/>
      <c r="BU2003" s="87"/>
      <c r="BV2003" s="87"/>
      <c r="BW2003" s="87"/>
      <c r="BX2003" s="87"/>
      <c r="BY2003" s="87"/>
    </row>
    <row r="2004" spans="21:77" x14ac:dyDescent="0.3">
      <c r="U2004" s="19"/>
      <c r="V2004" s="87"/>
      <c r="W2004" s="87"/>
      <c r="X2004" s="87"/>
      <c r="Y2004" s="87"/>
      <c r="Z2004" s="87"/>
      <c r="AA2004" s="87"/>
      <c r="AB2004" s="87"/>
      <c r="AC2004" s="87"/>
      <c r="AD2004" s="87"/>
      <c r="AE2004" s="87"/>
      <c r="AF2004" s="87"/>
      <c r="AG2004" s="87"/>
      <c r="AH2004" s="87"/>
      <c r="AI2004" s="87"/>
      <c r="AJ2004" s="87"/>
      <c r="AK2004" s="87"/>
      <c r="AL2004" s="87"/>
      <c r="AM2004" s="87"/>
      <c r="AN2004" s="87"/>
      <c r="AO2004" s="87"/>
      <c r="AP2004" s="87"/>
      <c r="AQ2004" s="87"/>
      <c r="AR2004" s="87"/>
      <c r="AS2004" s="87"/>
      <c r="AT2004" s="87"/>
      <c r="AU2004" s="87"/>
      <c r="AV2004" s="87"/>
      <c r="AW2004" s="87"/>
      <c r="AX2004" s="87"/>
      <c r="AY2004" s="87"/>
      <c r="AZ2004" s="87"/>
      <c r="BA2004" s="87"/>
      <c r="BB2004" s="87"/>
      <c r="BC2004" s="87"/>
      <c r="BD2004" s="87"/>
      <c r="BE2004" s="87"/>
      <c r="BF2004" s="87"/>
      <c r="BG2004" s="87"/>
      <c r="BH2004" s="87"/>
      <c r="BI2004" s="87"/>
      <c r="BJ2004" s="87"/>
      <c r="BK2004" s="87"/>
      <c r="BL2004" s="87"/>
      <c r="BM2004" s="87"/>
      <c r="BN2004" s="87"/>
      <c r="BO2004" s="87"/>
      <c r="BP2004" s="87"/>
      <c r="BQ2004" s="87"/>
      <c r="BR2004" s="87"/>
      <c r="BS2004" s="87"/>
      <c r="BT2004" s="87"/>
      <c r="BU2004" s="87"/>
      <c r="BV2004" s="87"/>
      <c r="BW2004" s="87"/>
      <c r="BX2004" s="87"/>
      <c r="BY2004" s="87"/>
    </row>
    <row r="2005" spans="21:77" x14ac:dyDescent="0.3">
      <c r="U2005" s="19"/>
      <c r="V2005" s="87"/>
      <c r="W2005" s="87"/>
      <c r="X2005" s="87"/>
      <c r="Y2005" s="87"/>
      <c r="Z2005" s="87"/>
      <c r="AA2005" s="87"/>
      <c r="AB2005" s="87"/>
      <c r="AC2005" s="87"/>
      <c r="AD2005" s="87"/>
      <c r="AE2005" s="87"/>
      <c r="AF2005" s="87"/>
      <c r="AG2005" s="87"/>
      <c r="AH2005" s="87"/>
      <c r="AI2005" s="87"/>
      <c r="AJ2005" s="87"/>
      <c r="AK2005" s="87"/>
      <c r="AL2005" s="87"/>
      <c r="AM2005" s="87"/>
      <c r="AN2005" s="87"/>
      <c r="AO2005" s="87"/>
      <c r="AP2005" s="87"/>
      <c r="AQ2005" s="87"/>
      <c r="AR2005" s="87"/>
      <c r="AS2005" s="87"/>
      <c r="AT2005" s="87"/>
      <c r="AU2005" s="87"/>
      <c r="AV2005" s="87"/>
      <c r="AW2005" s="87"/>
      <c r="AX2005" s="87"/>
      <c r="AY2005" s="87"/>
      <c r="AZ2005" s="87"/>
      <c r="BA2005" s="87"/>
      <c r="BB2005" s="87"/>
      <c r="BC2005" s="87"/>
      <c r="BD2005" s="87"/>
      <c r="BE2005" s="87"/>
      <c r="BF2005" s="87"/>
      <c r="BG2005" s="87"/>
      <c r="BH2005" s="87"/>
      <c r="BI2005" s="87"/>
      <c r="BJ2005" s="87"/>
      <c r="BK2005" s="87"/>
      <c r="BL2005" s="87"/>
      <c r="BM2005" s="87"/>
      <c r="BN2005" s="87"/>
      <c r="BO2005" s="87"/>
      <c r="BP2005" s="87"/>
      <c r="BQ2005" s="87"/>
      <c r="BR2005" s="87"/>
      <c r="BS2005" s="87"/>
      <c r="BT2005" s="87"/>
      <c r="BU2005" s="87"/>
      <c r="BV2005" s="87"/>
      <c r="BW2005" s="87"/>
      <c r="BX2005" s="87"/>
      <c r="BY2005" s="87"/>
    </row>
    <row r="2006" spans="21:77" x14ac:dyDescent="0.3">
      <c r="U2006" s="19"/>
      <c r="V2006" s="87"/>
      <c r="W2006" s="87"/>
      <c r="X2006" s="87"/>
      <c r="Y2006" s="87"/>
      <c r="Z2006" s="87"/>
      <c r="AA2006" s="87"/>
      <c r="AB2006" s="87"/>
      <c r="AC2006" s="87"/>
      <c r="AD2006" s="87"/>
      <c r="AE2006" s="87"/>
      <c r="AF2006" s="87"/>
      <c r="AG2006" s="87"/>
      <c r="AH2006" s="87"/>
      <c r="AI2006" s="87"/>
      <c r="AJ2006" s="87"/>
      <c r="AK2006" s="87"/>
      <c r="AL2006" s="87"/>
      <c r="AM2006" s="87"/>
      <c r="AN2006" s="87"/>
      <c r="AO2006" s="87"/>
      <c r="AP2006" s="87"/>
      <c r="AQ2006" s="87"/>
      <c r="AR2006" s="87"/>
      <c r="AS2006" s="87"/>
      <c r="AT2006" s="87"/>
      <c r="AU2006" s="87"/>
      <c r="AV2006" s="87"/>
      <c r="AW2006" s="87"/>
      <c r="AX2006" s="87"/>
      <c r="AY2006" s="87"/>
      <c r="AZ2006" s="87"/>
      <c r="BA2006" s="87"/>
      <c r="BB2006" s="87"/>
      <c r="BC2006" s="87"/>
      <c r="BD2006" s="87"/>
      <c r="BE2006" s="87"/>
      <c r="BF2006" s="87"/>
      <c r="BG2006" s="87"/>
      <c r="BH2006" s="87"/>
      <c r="BI2006" s="87"/>
      <c r="BJ2006" s="87"/>
      <c r="BK2006" s="87"/>
      <c r="BL2006" s="87"/>
      <c r="BM2006" s="87"/>
      <c r="BN2006" s="87"/>
      <c r="BO2006" s="87"/>
      <c r="BP2006" s="87"/>
      <c r="BQ2006" s="87"/>
      <c r="BR2006" s="87"/>
      <c r="BS2006" s="87"/>
      <c r="BT2006" s="87"/>
      <c r="BU2006" s="87"/>
      <c r="BV2006" s="87"/>
      <c r="BW2006" s="87"/>
      <c r="BX2006" s="87"/>
      <c r="BY2006" s="87"/>
    </row>
    <row r="2007" spans="21:77" x14ac:dyDescent="0.3">
      <c r="U2007" s="19"/>
      <c r="V2007" s="87"/>
      <c r="W2007" s="87"/>
      <c r="X2007" s="87"/>
      <c r="Y2007" s="87"/>
      <c r="Z2007" s="87"/>
      <c r="AA2007" s="87"/>
      <c r="AB2007" s="87"/>
      <c r="AC2007" s="87"/>
      <c r="AD2007" s="87"/>
      <c r="AE2007" s="87"/>
      <c r="AF2007" s="87"/>
      <c r="AG2007" s="87"/>
      <c r="AH2007" s="87"/>
      <c r="AI2007" s="87"/>
      <c r="AJ2007" s="87"/>
      <c r="AK2007" s="87"/>
      <c r="AL2007" s="87"/>
      <c r="AM2007" s="87"/>
      <c r="AN2007" s="87"/>
      <c r="AO2007" s="87"/>
      <c r="AP2007" s="87"/>
      <c r="AQ2007" s="87"/>
      <c r="AR2007" s="87"/>
      <c r="AS2007" s="87"/>
      <c r="AT2007" s="87"/>
      <c r="AU2007" s="87"/>
      <c r="AV2007" s="87"/>
      <c r="AW2007" s="87"/>
      <c r="AX2007" s="87"/>
      <c r="AY2007" s="87"/>
      <c r="AZ2007" s="87"/>
      <c r="BA2007" s="87"/>
      <c r="BB2007" s="87"/>
      <c r="BC2007" s="87"/>
      <c r="BD2007" s="87"/>
      <c r="BE2007" s="87"/>
      <c r="BF2007" s="87"/>
      <c r="BG2007" s="87"/>
      <c r="BH2007" s="87"/>
      <c r="BI2007" s="87"/>
      <c r="BJ2007" s="87"/>
      <c r="BK2007" s="87"/>
      <c r="BL2007" s="87"/>
      <c r="BM2007" s="87"/>
      <c r="BN2007" s="87"/>
      <c r="BO2007" s="87"/>
      <c r="BP2007" s="87"/>
      <c r="BQ2007" s="87"/>
      <c r="BR2007" s="87"/>
      <c r="BS2007" s="87"/>
      <c r="BT2007" s="87"/>
      <c r="BU2007" s="87"/>
      <c r="BV2007" s="87"/>
      <c r="BW2007" s="87"/>
      <c r="BX2007" s="87"/>
      <c r="BY2007" s="87"/>
    </row>
    <row r="2008" spans="21:77" x14ac:dyDescent="0.3">
      <c r="U2008" s="19"/>
      <c r="V2008" s="87"/>
      <c r="W2008" s="87"/>
      <c r="X2008" s="87"/>
      <c r="Y2008" s="87"/>
      <c r="Z2008" s="87"/>
      <c r="AA2008" s="87"/>
      <c r="AB2008" s="87"/>
      <c r="AC2008" s="87"/>
      <c r="AD2008" s="87"/>
      <c r="AE2008" s="87"/>
      <c r="AF2008" s="87"/>
      <c r="AG2008" s="87"/>
      <c r="AH2008" s="87"/>
      <c r="AI2008" s="87"/>
      <c r="AJ2008" s="87"/>
      <c r="AK2008" s="87"/>
      <c r="AL2008" s="87"/>
      <c r="AM2008" s="87"/>
      <c r="AN2008" s="87"/>
      <c r="AO2008" s="87"/>
      <c r="AP2008" s="87"/>
      <c r="AQ2008" s="87"/>
      <c r="AR2008" s="87"/>
      <c r="AS2008" s="87"/>
      <c r="AT2008" s="87"/>
      <c r="AU2008" s="87"/>
      <c r="AV2008" s="87"/>
      <c r="AW2008" s="87"/>
      <c r="AX2008" s="87"/>
      <c r="AY2008" s="87"/>
      <c r="AZ2008" s="87"/>
      <c r="BA2008" s="87"/>
      <c r="BB2008" s="87"/>
      <c r="BC2008" s="87"/>
      <c r="BD2008" s="87"/>
      <c r="BE2008" s="87"/>
      <c r="BF2008" s="87"/>
      <c r="BG2008" s="87"/>
      <c r="BH2008" s="87"/>
      <c r="BI2008" s="87"/>
      <c r="BJ2008" s="87"/>
      <c r="BK2008" s="87"/>
      <c r="BL2008" s="87"/>
      <c r="BM2008" s="87"/>
      <c r="BN2008" s="87"/>
      <c r="BO2008" s="87"/>
      <c r="BP2008" s="87"/>
      <c r="BQ2008" s="87"/>
      <c r="BR2008" s="87"/>
      <c r="BS2008" s="87"/>
      <c r="BT2008" s="87"/>
      <c r="BU2008" s="87"/>
      <c r="BV2008" s="87"/>
      <c r="BW2008" s="87"/>
      <c r="BX2008" s="87"/>
      <c r="BY2008" s="87"/>
    </row>
    <row r="2009" spans="21:77" x14ac:dyDescent="0.3">
      <c r="U2009" s="19"/>
      <c r="V2009" s="87"/>
      <c r="W2009" s="87"/>
      <c r="X2009" s="87"/>
      <c r="Y2009" s="87"/>
      <c r="Z2009" s="87"/>
      <c r="AA2009" s="87"/>
      <c r="AB2009" s="87"/>
      <c r="AC2009" s="87"/>
      <c r="AD2009" s="87"/>
      <c r="AE2009" s="87"/>
      <c r="AF2009" s="87"/>
      <c r="AG2009" s="87"/>
      <c r="AH2009" s="87"/>
      <c r="AI2009" s="87"/>
      <c r="AJ2009" s="87"/>
      <c r="AK2009" s="87"/>
      <c r="AL2009" s="87"/>
      <c r="AM2009" s="87"/>
      <c r="AN2009" s="87"/>
      <c r="AO2009" s="87"/>
      <c r="AP2009" s="87"/>
      <c r="AQ2009" s="87"/>
      <c r="AR2009" s="87"/>
      <c r="AS2009" s="87"/>
      <c r="AT2009" s="87"/>
      <c r="AU2009" s="87"/>
      <c r="AV2009" s="87"/>
      <c r="AW2009" s="87"/>
      <c r="AX2009" s="87"/>
      <c r="AY2009" s="87"/>
      <c r="AZ2009" s="87"/>
      <c r="BA2009" s="87"/>
      <c r="BB2009" s="87"/>
      <c r="BC2009" s="87"/>
      <c r="BD2009" s="87"/>
      <c r="BE2009" s="87"/>
      <c r="BF2009" s="87"/>
      <c r="BG2009" s="87"/>
      <c r="BH2009" s="87"/>
      <c r="BI2009" s="87"/>
      <c r="BJ2009" s="87"/>
      <c r="BK2009" s="87"/>
      <c r="BL2009" s="87"/>
      <c r="BM2009" s="87"/>
      <c r="BN2009" s="87"/>
      <c r="BO2009" s="87"/>
      <c r="BP2009" s="87"/>
      <c r="BQ2009" s="87"/>
      <c r="BR2009" s="87"/>
      <c r="BS2009" s="87"/>
      <c r="BT2009" s="87"/>
      <c r="BU2009" s="87"/>
      <c r="BV2009" s="87"/>
      <c r="BW2009" s="87"/>
      <c r="BX2009" s="87"/>
      <c r="BY2009" s="87"/>
    </row>
    <row r="2010" spans="21:77" x14ac:dyDescent="0.3">
      <c r="U2010" s="19"/>
      <c r="V2010" s="87"/>
      <c r="W2010" s="87"/>
      <c r="X2010" s="87"/>
      <c r="Y2010" s="87"/>
      <c r="Z2010" s="87"/>
      <c r="AA2010" s="87"/>
      <c r="AB2010" s="87"/>
      <c r="AC2010" s="87"/>
      <c r="AD2010" s="87"/>
      <c r="AE2010" s="87"/>
      <c r="AF2010" s="87"/>
      <c r="AG2010" s="87"/>
      <c r="AH2010" s="87"/>
      <c r="AI2010" s="87"/>
      <c r="AJ2010" s="87"/>
      <c r="AK2010" s="87"/>
      <c r="AL2010" s="87"/>
      <c r="AM2010" s="87"/>
      <c r="AN2010" s="87"/>
      <c r="AO2010" s="87"/>
      <c r="AP2010" s="87"/>
      <c r="AQ2010" s="87"/>
      <c r="AR2010" s="87"/>
      <c r="AS2010" s="87"/>
      <c r="AT2010" s="87"/>
      <c r="AU2010" s="87"/>
      <c r="AV2010" s="87"/>
      <c r="AW2010" s="87"/>
      <c r="AX2010" s="87"/>
      <c r="AY2010" s="87"/>
      <c r="AZ2010" s="87"/>
      <c r="BA2010" s="87"/>
      <c r="BB2010" s="87"/>
      <c r="BC2010" s="87"/>
      <c r="BD2010" s="87"/>
      <c r="BE2010" s="87"/>
      <c r="BF2010" s="87"/>
      <c r="BG2010" s="87"/>
      <c r="BH2010" s="87"/>
      <c r="BI2010" s="87"/>
      <c r="BJ2010" s="87"/>
      <c r="BK2010" s="87"/>
      <c r="BL2010" s="87"/>
      <c r="BM2010" s="87"/>
      <c r="BN2010" s="87"/>
      <c r="BO2010" s="87"/>
      <c r="BP2010" s="87"/>
      <c r="BQ2010" s="87"/>
      <c r="BR2010" s="87"/>
      <c r="BS2010" s="87"/>
      <c r="BT2010" s="87"/>
      <c r="BU2010" s="87"/>
      <c r="BV2010" s="87"/>
      <c r="BW2010" s="87"/>
      <c r="BX2010" s="87"/>
      <c r="BY2010" s="87"/>
    </row>
    <row r="2011" spans="21:77" x14ac:dyDescent="0.3">
      <c r="U2011" s="19"/>
      <c r="V2011" s="87"/>
      <c r="W2011" s="87"/>
      <c r="X2011" s="87"/>
      <c r="Y2011" s="87"/>
      <c r="Z2011" s="87"/>
      <c r="AA2011" s="87"/>
      <c r="AB2011" s="87"/>
      <c r="AC2011" s="87"/>
      <c r="AD2011" s="87"/>
      <c r="AE2011" s="87"/>
      <c r="AF2011" s="87"/>
      <c r="AG2011" s="87"/>
      <c r="AH2011" s="87"/>
      <c r="AI2011" s="87"/>
      <c r="AJ2011" s="87"/>
      <c r="AK2011" s="87"/>
      <c r="AL2011" s="87"/>
      <c r="AM2011" s="87"/>
      <c r="AN2011" s="87"/>
      <c r="AO2011" s="87"/>
      <c r="AP2011" s="87"/>
      <c r="AQ2011" s="87"/>
      <c r="AR2011" s="87"/>
      <c r="AS2011" s="87"/>
      <c r="AT2011" s="87"/>
      <c r="AU2011" s="87"/>
      <c r="AV2011" s="87"/>
      <c r="AW2011" s="87"/>
      <c r="AX2011" s="87"/>
      <c r="AY2011" s="87"/>
      <c r="AZ2011" s="87"/>
      <c r="BA2011" s="87"/>
      <c r="BB2011" s="87"/>
      <c r="BC2011" s="87"/>
      <c r="BD2011" s="87"/>
      <c r="BE2011" s="87"/>
      <c r="BF2011" s="87"/>
      <c r="BG2011" s="87"/>
      <c r="BH2011" s="87"/>
      <c r="BI2011" s="87"/>
      <c r="BJ2011" s="87"/>
      <c r="BK2011" s="87"/>
      <c r="BL2011" s="87"/>
      <c r="BM2011" s="87"/>
      <c r="BN2011" s="87"/>
      <c r="BO2011" s="87"/>
      <c r="BP2011" s="87"/>
      <c r="BQ2011" s="87"/>
      <c r="BR2011" s="87"/>
      <c r="BS2011" s="87"/>
      <c r="BT2011" s="87"/>
      <c r="BU2011" s="87"/>
      <c r="BV2011" s="87"/>
      <c r="BW2011" s="87"/>
      <c r="BX2011" s="87"/>
      <c r="BY2011" s="87"/>
    </row>
    <row r="2012" spans="21:77" x14ac:dyDescent="0.3">
      <c r="U2012" s="19"/>
      <c r="V2012" s="87"/>
      <c r="W2012" s="87"/>
      <c r="X2012" s="87"/>
      <c r="Y2012" s="87"/>
      <c r="Z2012" s="87"/>
      <c r="AA2012" s="87"/>
      <c r="AB2012" s="87"/>
      <c r="AC2012" s="87"/>
      <c r="AD2012" s="87"/>
      <c r="AE2012" s="87"/>
      <c r="AF2012" s="87"/>
      <c r="AG2012" s="87"/>
      <c r="AH2012" s="87"/>
      <c r="AI2012" s="87"/>
      <c r="AJ2012" s="87"/>
      <c r="AK2012" s="87"/>
      <c r="AL2012" s="87"/>
      <c r="AM2012" s="87"/>
      <c r="AN2012" s="87"/>
      <c r="AO2012" s="87"/>
      <c r="AP2012" s="87"/>
      <c r="AQ2012" s="87"/>
      <c r="AR2012" s="87"/>
      <c r="AS2012" s="87"/>
      <c r="AT2012" s="87"/>
      <c r="AU2012" s="87"/>
      <c r="AV2012" s="87"/>
      <c r="AW2012" s="87"/>
      <c r="AX2012" s="87"/>
      <c r="AY2012" s="87"/>
      <c r="AZ2012" s="87"/>
      <c r="BA2012" s="87"/>
      <c r="BB2012" s="87"/>
      <c r="BC2012" s="87"/>
      <c r="BD2012" s="87"/>
      <c r="BE2012" s="87"/>
      <c r="BF2012" s="87"/>
      <c r="BG2012" s="87"/>
      <c r="BH2012" s="87"/>
      <c r="BI2012" s="87"/>
      <c r="BJ2012" s="87"/>
      <c r="BK2012" s="87"/>
      <c r="BL2012" s="87"/>
      <c r="BM2012" s="87"/>
      <c r="BN2012" s="87"/>
      <c r="BO2012" s="87"/>
      <c r="BP2012" s="87"/>
      <c r="BQ2012" s="87"/>
      <c r="BR2012" s="87"/>
      <c r="BS2012" s="87"/>
      <c r="BT2012" s="87"/>
      <c r="BU2012" s="87"/>
      <c r="BV2012" s="87"/>
      <c r="BW2012" s="87"/>
      <c r="BX2012" s="87"/>
      <c r="BY2012" s="87"/>
    </row>
    <row r="2013" spans="21:77" x14ac:dyDescent="0.3">
      <c r="U2013" s="19"/>
      <c r="V2013" s="87"/>
      <c r="W2013" s="87"/>
      <c r="X2013" s="87"/>
      <c r="Y2013" s="87"/>
      <c r="Z2013" s="87"/>
      <c r="AA2013" s="87"/>
      <c r="AB2013" s="87"/>
      <c r="AC2013" s="87"/>
      <c r="AD2013" s="87"/>
      <c r="AE2013" s="87"/>
      <c r="AF2013" s="87"/>
      <c r="AG2013" s="87"/>
      <c r="AH2013" s="87"/>
      <c r="AI2013" s="87"/>
      <c r="AJ2013" s="87"/>
      <c r="AK2013" s="87"/>
      <c r="AL2013" s="87"/>
      <c r="AM2013" s="87"/>
      <c r="AN2013" s="87"/>
      <c r="AO2013" s="87"/>
      <c r="AP2013" s="87"/>
      <c r="AQ2013" s="87"/>
      <c r="AR2013" s="87"/>
      <c r="AS2013" s="87"/>
      <c r="AT2013" s="87"/>
      <c r="AU2013" s="87"/>
      <c r="AV2013" s="87"/>
      <c r="AW2013" s="87"/>
      <c r="AX2013" s="87"/>
      <c r="AY2013" s="87"/>
      <c r="AZ2013" s="87"/>
      <c r="BA2013" s="87"/>
      <c r="BB2013" s="87"/>
      <c r="BC2013" s="87"/>
      <c r="BD2013" s="87"/>
      <c r="BE2013" s="87"/>
      <c r="BF2013" s="87"/>
      <c r="BG2013" s="87"/>
      <c r="BH2013" s="87"/>
      <c r="BI2013" s="87"/>
      <c r="BJ2013" s="87"/>
      <c r="BK2013" s="87"/>
      <c r="BL2013" s="87"/>
      <c r="BM2013" s="87"/>
      <c r="BN2013" s="87"/>
      <c r="BO2013" s="87"/>
      <c r="BP2013" s="87"/>
      <c r="BQ2013" s="87"/>
      <c r="BR2013" s="87"/>
      <c r="BS2013" s="87"/>
      <c r="BT2013" s="87"/>
      <c r="BU2013" s="87"/>
      <c r="BV2013" s="87"/>
      <c r="BW2013" s="87"/>
      <c r="BX2013" s="87"/>
      <c r="BY2013" s="87"/>
    </row>
    <row r="2014" spans="21:77" x14ac:dyDescent="0.3">
      <c r="U2014" s="19"/>
      <c r="V2014" s="87"/>
      <c r="W2014" s="87"/>
      <c r="X2014" s="87"/>
      <c r="Y2014" s="87"/>
      <c r="Z2014" s="87"/>
      <c r="AA2014" s="87"/>
      <c r="AB2014" s="87"/>
      <c r="AC2014" s="87"/>
      <c r="AD2014" s="87"/>
      <c r="AE2014" s="87"/>
      <c r="AF2014" s="87"/>
      <c r="AG2014" s="87"/>
      <c r="AH2014" s="87"/>
      <c r="AI2014" s="87"/>
      <c r="AJ2014" s="87"/>
      <c r="AK2014" s="87"/>
      <c r="AL2014" s="87"/>
      <c r="AM2014" s="87"/>
      <c r="AN2014" s="87"/>
      <c r="AO2014" s="87"/>
      <c r="AP2014" s="87"/>
      <c r="AQ2014" s="87"/>
      <c r="AR2014" s="87"/>
      <c r="AS2014" s="87"/>
      <c r="AT2014" s="87"/>
      <c r="AU2014" s="87"/>
      <c r="AV2014" s="87"/>
      <c r="AW2014" s="87"/>
      <c r="AX2014" s="87"/>
      <c r="AY2014" s="87"/>
      <c r="AZ2014" s="87"/>
      <c r="BA2014" s="87"/>
      <c r="BB2014" s="87"/>
      <c r="BC2014" s="87"/>
      <c r="BD2014" s="87"/>
      <c r="BE2014" s="87"/>
      <c r="BF2014" s="87"/>
      <c r="BG2014" s="87"/>
      <c r="BH2014" s="87"/>
      <c r="BI2014" s="87"/>
      <c r="BJ2014" s="87"/>
      <c r="BK2014" s="87"/>
      <c r="BL2014" s="87"/>
      <c r="BM2014" s="87"/>
      <c r="BN2014" s="87"/>
      <c r="BO2014" s="87"/>
      <c r="BP2014" s="87"/>
      <c r="BQ2014" s="87"/>
      <c r="BR2014" s="87"/>
      <c r="BS2014" s="87"/>
      <c r="BT2014" s="87"/>
      <c r="BU2014" s="87"/>
      <c r="BV2014" s="87"/>
      <c r="BW2014" s="87"/>
      <c r="BX2014" s="87"/>
      <c r="BY2014" s="87"/>
    </row>
    <row r="2015" spans="21:77" x14ac:dyDescent="0.3">
      <c r="U2015" s="19"/>
      <c r="V2015" s="87"/>
      <c r="W2015" s="87"/>
      <c r="X2015" s="87"/>
      <c r="Y2015" s="87"/>
      <c r="Z2015" s="87"/>
      <c r="AA2015" s="87"/>
      <c r="AB2015" s="87"/>
      <c r="AC2015" s="87"/>
      <c r="AD2015" s="87"/>
      <c r="AE2015" s="87"/>
      <c r="AF2015" s="87"/>
      <c r="AG2015" s="87"/>
      <c r="AH2015" s="87"/>
      <c r="AI2015" s="87"/>
      <c r="AJ2015" s="87"/>
      <c r="AK2015" s="87"/>
      <c r="AL2015" s="87"/>
      <c r="AM2015" s="87"/>
      <c r="AN2015" s="87"/>
      <c r="AO2015" s="87"/>
      <c r="AP2015" s="87"/>
      <c r="AQ2015" s="87"/>
      <c r="AR2015" s="87"/>
      <c r="AS2015" s="87"/>
      <c r="AT2015" s="87"/>
      <c r="AU2015" s="87"/>
      <c r="AV2015" s="87"/>
      <c r="AW2015" s="87"/>
      <c r="AX2015" s="87"/>
      <c r="AY2015" s="87"/>
      <c r="AZ2015" s="87"/>
      <c r="BA2015" s="87"/>
      <c r="BB2015" s="87"/>
      <c r="BC2015" s="87"/>
      <c r="BD2015" s="87"/>
      <c r="BE2015" s="87"/>
      <c r="BF2015" s="87"/>
      <c r="BG2015" s="87"/>
      <c r="BH2015" s="87"/>
      <c r="BI2015" s="87"/>
      <c r="BJ2015" s="87"/>
      <c r="BK2015" s="87"/>
      <c r="BL2015" s="87"/>
      <c r="BM2015" s="87"/>
      <c r="BN2015" s="87"/>
      <c r="BO2015" s="87"/>
      <c r="BP2015" s="87"/>
      <c r="BQ2015" s="87"/>
      <c r="BR2015" s="87"/>
      <c r="BS2015" s="87"/>
      <c r="BT2015" s="87"/>
      <c r="BU2015" s="87"/>
      <c r="BV2015" s="87"/>
      <c r="BW2015" s="87"/>
      <c r="BX2015" s="87"/>
      <c r="BY2015" s="87"/>
    </row>
    <row r="2016" spans="21:77" x14ac:dyDescent="0.3">
      <c r="U2016" s="19"/>
      <c r="V2016" s="87"/>
      <c r="W2016" s="87"/>
      <c r="X2016" s="87"/>
      <c r="Y2016" s="87"/>
      <c r="Z2016" s="87"/>
      <c r="AA2016" s="87"/>
      <c r="AB2016" s="87"/>
      <c r="AC2016" s="87"/>
      <c r="AD2016" s="87"/>
      <c r="AE2016" s="87"/>
      <c r="AF2016" s="87"/>
      <c r="AG2016" s="87"/>
      <c r="AH2016" s="87"/>
      <c r="AI2016" s="87"/>
      <c r="AJ2016" s="87"/>
      <c r="AK2016" s="87"/>
      <c r="AL2016" s="87"/>
      <c r="AM2016" s="87"/>
      <c r="AN2016" s="87"/>
      <c r="AO2016" s="87"/>
      <c r="AP2016" s="87"/>
      <c r="AQ2016" s="87"/>
      <c r="AR2016" s="87"/>
      <c r="AS2016" s="87"/>
      <c r="AT2016" s="87"/>
      <c r="AU2016" s="87"/>
      <c r="AV2016" s="87"/>
      <c r="AW2016" s="87"/>
      <c r="AX2016" s="87"/>
      <c r="AY2016" s="87"/>
      <c r="AZ2016" s="87"/>
      <c r="BA2016" s="87"/>
      <c r="BB2016" s="87"/>
      <c r="BC2016" s="87"/>
      <c r="BD2016" s="87"/>
      <c r="BE2016" s="87"/>
      <c r="BF2016" s="87"/>
      <c r="BG2016" s="87"/>
      <c r="BH2016" s="87"/>
      <c r="BI2016" s="87"/>
      <c r="BJ2016" s="87"/>
      <c r="BK2016" s="87"/>
      <c r="BL2016" s="87"/>
      <c r="BM2016" s="87"/>
      <c r="BN2016" s="87"/>
      <c r="BO2016" s="87"/>
      <c r="BP2016" s="87"/>
      <c r="BQ2016" s="87"/>
      <c r="BR2016" s="87"/>
      <c r="BS2016" s="87"/>
      <c r="BT2016" s="87"/>
      <c r="BU2016" s="87"/>
      <c r="BV2016" s="87"/>
      <c r="BW2016" s="87"/>
      <c r="BX2016" s="87"/>
      <c r="BY2016" s="87"/>
    </row>
    <row r="2017" spans="21:77" x14ac:dyDescent="0.3">
      <c r="U2017" s="19"/>
      <c r="V2017" s="87"/>
      <c r="W2017" s="87"/>
      <c r="X2017" s="87"/>
      <c r="Y2017" s="87"/>
      <c r="Z2017" s="87"/>
      <c r="AA2017" s="87"/>
      <c r="AB2017" s="87"/>
      <c r="AC2017" s="87"/>
      <c r="AD2017" s="87"/>
      <c r="AE2017" s="87"/>
      <c r="AF2017" s="87"/>
      <c r="AG2017" s="87"/>
      <c r="AH2017" s="87"/>
      <c r="AI2017" s="87"/>
      <c r="AJ2017" s="87"/>
      <c r="AK2017" s="87"/>
      <c r="AL2017" s="87"/>
      <c r="AM2017" s="87"/>
      <c r="AN2017" s="87"/>
      <c r="AO2017" s="87"/>
      <c r="AP2017" s="87"/>
      <c r="AQ2017" s="87"/>
      <c r="AR2017" s="87"/>
      <c r="AS2017" s="87"/>
      <c r="AT2017" s="87"/>
      <c r="AU2017" s="87"/>
      <c r="AV2017" s="87"/>
      <c r="AW2017" s="87"/>
      <c r="AX2017" s="87"/>
      <c r="AY2017" s="87"/>
      <c r="AZ2017" s="87"/>
      <c r="BA2017" s="87"/>
      <c r="BB2017" s="87"/>
      <c r="BC2017" s="87"/>
      <c r="BD2017" s="87"/>
      <c r="BE2017" s="87"/>
      <c r="BF2017" s="87"/>
      <c r="BG2017" s="87"/>
      <c r="BH2017" s="87"/>
      <c r="BI2017" s="87"/>
      <c r="BJ2017" s="87"/>
      <c r="BK2017" s="87"/>
      <c r="BL2017" s="87"/>
      <c r="BM2017" s="87"/>
      <c r="BN2017" s="87"/>
      <c r="BO2017" s="87"/>
      <c r="BP2017" s="87"/>
      <c r="BQ2017" s="87"/>
      <c r="BR2017" s="87"/>
      <c r="BS2017" s="87"/>
      <c r="BT2017" s="87"/>
      <c r="BU2017" s="87"/>
      <c r="BV2017" s="87"/>
      <c r="BW2017" s="87"/>
      <c r="BX2017" s="87"/>
      <c r="BY2017" s="87"/>
    </row>
    <row r="2018" spans="21:77" x14ac:dyDescent="0.3">
      <c r="U2018" s="19"/>
      <c r="V2018" s="87"/>
      <c r="W2018" s="87"/>
      <c r="X2018" s="87"/>
      <c r="Y2018" s="87"/>
      <c r="Z2018" s="87"/>
      <c r="AA2018" s="87"/>
      <c r="AB2018" s="87"/>
      <c r="AC2018" s="87"/>
      <c r="AD2018" s="87"/>
      <c r="AE2018" s="87"/>
      <c r="AF2018" s="87"/>
      <c r="AG2018" s="87"/>
      <c r="AH2018" s="87"/>
      <c r="AI2018" s="87"/>
      <c r="AJ2018" s="87"/>
      <c r="AK2018" s="87"/>
      <c r="AL2018" s="87"/>
      <c r="AM2018" s="87"/>
      <c r="AN2018" s="87"/>
      <c r="AO2018" s="87"/>
      <c r="AP2018" s="87"/>
      <c r="AQ2018" s="87"/>
      <c r="AR2018" s="87"/>
      <c r="AS2018" s="87"/>
      <c r="AT2018" s="87"/>
      <c r="AU2018" s="87"/>
      <c r="AV2018" s="87"/>
      <c r="AW2018" s="87"/>
      <c r="AX2018" s="87"/>
      <c r="AY2018" s="87"/>
      <c r="AZ2018" s="87"/>
      <c r="BA2018" s="87"/>
      <c r="BB2018" s="87"/>
      <c r="BC2018" s="87"/>
      <c r="BD2018" s="87"/>
      <c r="BE2018" s="87"/>
      <c r="BF2018" s="87"/>
      <c r="BG2018" s="87"/>
      <c r="BH2018" s="87"/>
      <c r="BI2018" s="87"/>
      <c r="BJ2018" s="87"/>
      <c r="BK2018" s="87"/>
      <c r="BL2018" s="87"/>
      <c r="BM2018" s="87"/>
      <c r="BN2018" s="87"/>
      <c r="BO2018" s="87"/>
      <c r="BP2018" s="87"/>
      <c r="BQ2018" s="87"/>
      <c r="BR2018" s="87"/>
      <c r="BS2018" s="87"/>
      <c r="BT2018" s="87"/>
      <c r="BU2018" s="87"/>
      <c r="BV2018" s="87"/>
      <c r="BW2018" s="87"/>
      <c r="BX2018" s="87"/>
      <c r="BY2018" s="87"/>
    </row>
    <row r="2019" spans="21:77" x14ac:dyDescent="0.3">
      <c r="U2019" s="19"/>
      <c r="V2019" s="87"/>
      <c r="W2019" s="87"/>
      <c r="X2019" s="87"/>
      <c r="Y2019" s="87"/>
      <c r="Z2019" s="87"/>
      <c r="AA2019" s="87"/>
      <c r="AB2019" s="87"/>
      <c r="AC2019" s="87"/>
      <c r="AD2019" s="87"/>
      <c r="AE2019" s="87"/>
      <c r="AF2019" s="87"/>
      <c r="AG2019" s="87"/>
      <c r="AH2019" s="87"/>
      <c r="AI2019" s="87"/>
      <c r="AJ2019" s="87"/>
      <c r="AK2019" s="87"/>
      <c r="AL2019" s="87"/>
      <c r="AM2019" s="87"/>
      <c r="AN2019" s="87"/>
      <c r="AO2019" s="87"/>
      <c r="AP2019" s="87"/>
      <c r="AQ2019" s="87"/>
      <c r="AR2019" s="87"/>
      <c r="AS2019" s="87"/>
      <c r="AT2019" s="87"/>
      <c r="AU2019" s="87"/>
      <c r="AV2019" s="87"/>
      <c r="AW2019" s="87"/>
      <c r="AX2019" s="87"/>
      <c r="AY2019" s="87"/>
      <c r="AZ2019" s="87"/>
      <c r="BA2019" s="87"/>
      <c r="BB2019" s="87"/>
      <c r="BC2019" s="87"/>
      <c r="BD2019" s="87"/>
      <c r="BE2019" s="87"/>
      <c r="BF2019" s="87"/>
      <c r="BG2019" s="87"/>
      <c r="BH2019" s="87"/>
      <c r="BI2019" s="87"/>
      <c r="BJ2019" s="87"/>
      <c r="BK2019" s="87"/>
      <c r="BL2019" s="87"/>
      <c r="BM2019" s="87"/>
      <c r="BN2019" s="87"/>
      <c r="BO2019" s="87"/>
      <c r="BP2019" s="87"/>
      <c r="BQ2019" s="87"/>
      <c r="BR2019" s="87"/>
      <c r="BS2019" s="87"/>
      <c r="BT2019" s="87"/>
      <c r="BU2019" s="87"/>
      <c r="BV2019" s="87"/>
      <c r="BW2019" s="87"/>
      <c r="BX2019" s="87"/>
      <c r="BY2019" s="87"/>
    </row>
    <row r="2020" spans="21:77" x14ac:dyDescent="0.3">
      <c r="U2020" s="19"/>
      <c r="V2020" s="87"/>
      <c r="W2020" s="87"/>
      <c r="X2020" s="87"/>
      <c r="Y2020" s="87"/>
      <c r="Z2020" s="87"/>
      <c r="AA2020" s="87"/>
      <c r="AB2020" s="87"/>
      <c r="AC2020" s="87"/>
      <c r="AD2020" s="87"/>
      <c r="AE2020" s="87"/>
      <c r="AF2020" s="87"/>
      <c r="AG2020" s="87"/>
      <c r="AH2020" s="87"/>
      <c r="AI2020" s="87"/>
      <c r="AJ2020" s="87"/>
      <c r="AK2020" s="87"/>
      <c r="AL2020" s="87"/>
      <c r="AM2020" s="87"/>
      <c r="AN2020" s="87"/>
      <c r="AO2020" s="87"/>
      <c r="AP2020" s="87"/>
      <c r="AQ2020" s="87"/>
      <c r="AR2020" s="87"/>
      <c r="AS2020" s="87"/>
      <c r="AT2020" s="87"/>
      <c r="AU2020" s="87"/>
      <c r="AV2020" s="87"/>
      <c r="AW2020" s="87"/>
      <c r="AX2020" s="87"/>
      <c r="AY2020" s="87"/>
      <c r="AZ2020" s="87"/>
      <c r="BA2020" s="87"/>
      <c r="BB2020" s="87"/>
      <c r="BC2020" s="87"/>
      <c r="BD2020" s="87"/>
      <c r="BE2020" s="87"/>
      <c r="BF2020" s="87"/>
      <c r="BG2020" s="87"/>
      <c r="BH2020" s="87"/>
      <c r="BI2020" s="87"/>
      <c r="BJ2020" s="87"/>
      <c r="BK2020" s="87"/>
      <c r="BL2020" s="87"/>
      <c r="BM2020" s="87"/>
      <c r="BN2020" s="87"/>
      <c r="BO2020" s="87"/>
      <c r="BP2020" s="87"/>
      <c r="BQ2020" s="87"/>
      <c r="BR2020" s="87"/>
      <c r="BS2020" s="87"/>
      <c r="BT2020" s="87"/>
      <c r="BU2020" s="87"/>
      <c r="BV2020" s="87"/>
      <c r="BW2020" s="87"/>
      <c r="BX2020" s="87"/>
      <c r="BY2020" s="87"/>
    </row>
    <row r="2021" spans="21:77" x14ac:dyDescent="0.3">
      <c r="U2021" s="19"/>
      <c r="V2021" s="87"/>
      <c r="W2021" s="87"/>
      <c r="X2021" s="87"/>
      <c r="Y2021" s="87"/>
      <c r="Z2021" s="87"/>
      <c r="AA2021" s="87"/>
      <c r="AB2021" s="87"/>
      <c r="AC2021" s="87"/>
      <c r="AD2021" s="87"/>
      <c r="AE2021" s="87"/>
      <c r="AF2021" s="87"/>
      <c r="AG2021" s="87"/>
      <c r="AH2021" s="87"/>
      <c r="AI2021" s="87"/>
      <c r="AJ2021" s="87"/>
      <c r="AK2021" s="87"/>
      <c r="AL2021" s="87"/>
      <c r="AM2021" s="87"/>
      <c r="AN2021" s="87"/>
      <c r="AO2021" s="87"/>
      <c r="AP2021" s="87"/>
      <c r="AQ2021" s="87"/>
      <c r="AR2021" s="87"/>
      <c r="AS2021" s="87"/>
      <c r="AT2021" s="87"/>
      <c r="AU2021" s="87"/>
      <c r="AV2021" s="87"/>
      <c r="AW2021" s="87"/>
      <c r="AX2021" s="87"/>
      <c r="AY2021" s="87"/>
      <c r="AZ2021" s="87"/>
      <c r="BA2021" s="87"/>
      <c r="BB2021" s="87"/>
      <c r="BC2021" s="87"/>
      <c r="BD2021" s="87"/>
      <c r="BE2021" s="87"/>
      <c r="BF2021" s="87"/>
      <c r="BG2021" s="87"/>
      <c r="BH2021" s="87"/>
      <c r="BI2021" s="87"/>
      <c r="BJ2021" s="87"/>
      <c r="BK2021" s="87"/>
      <c r="BL2021" s="87"/>
      <c r="BM2021" s="87"/>
      <c r="BN2021" s="87"/>
      <c r="BO2021" s="87"/>
      <c r="BP2021" s="87"/>
      <c r="BQ2021" s="87"/>
      <c r="BR2021" s="87"/>
      <c r="BS2021" s="87"/>
      <c r="BT2021" s="87"/>
      <c r="BU2021" s="87"/>
      <c r="BV2021" s="87"/>
      <c r="BW2021" s="87"/>
      <c r="BX2021" s="87"/>
      <c r="BY2021" s="87"/>
    </row>
    <row r="2022" spans="21:77" x14ac:dyDescent="0.3">
      <c r="U2022" s="19"/>
      <c r="V2022" s="87"/>
      <c r="W2022" s="87"/>
      <c r="X2022" s="87"/>
      <c r="Y2022" s="87"/>
      <c r="Z2022" s="87"/>
      <c r="AA2022" s="87"/>
      <c r="AB2022" s="87"/>
      <c r="AC2022" s="87"/>
      <c r="AD2022" s="87"/>
      <c r="AE2022" s="87"/>
      <c r="AF2022" s="87"/>
      <c r="AG2022" s="87"/>
      <c r="AH2022" s="87"/>
      <c r="AI2022" s="87"/>
      <c r="AJ2022" s="87"/>
      <c r="AK2022" s="87"/>
      <c r="AL2022" s="87"/>
      <c r="AM2022" s="87"/>
      <c r="AN2022" s="87"/>
      <c r="AO2022" s="87"/>
      <c r="AP2022" s="87"/>
      <c r="AQ2022" s="87"/>
      <c r="AR2022" s="87"/>
      <c r="AS2022" s="87"/>
      <c r="AT2022" s="87"/>
      <c r="AU2022" s="87"/>
      <c r="AV2022" s="87"/>
      <c r="AW2022" s="87"/>
      <c r="AX2022" s="87"/>
      <c r="AY2022" s="87"/>
      <c r="AZ2022" s="87"/>
      <c r="BA2022" s="87"/>
      <c r="BB2022" s="87"/>
      <c r="BC2022" s="87"/>
      <c r="BD2022" s="87"/>
      <c r="BE2022" s="87"/>
      <c r="BF2022" s="87"/>
      <c r="BG2022" s="87"/>
      <c r="BH2022" s="87"/>
      <c r="BI2022" s="87"/>
      <c r="BJ2022" s="87"/>
      <c r="BK2022" s="87"/>
      <c r="BL2022" s="87"/>
      <c r="BM2022" s="87"/>
      <c r="BN2022" s="87"/>
      <c r="BO2022" s="87"/>
      <c r="BP2022" s="87"/>
      <c r="BQ2022" s="87"/>
      <c r="BR2022" s="87"/>
      <c r="BS2022" s="87"/>
      <c r="BT2022" s="87"/>
      <c r="BU2022" s="87"/>
      <c r="BV2022" s="87"/>
      <c r="BW2022" s="87"/>
      <c r="BX2022" s="87"/>
      <c r="BY2022" s="87"/>
    </row>
    <row r="2023" spans="21:77" x14ac:dyDescent="0.3">
      <c r="U2023" s="19"/>
      <c r="V2023" s="87"/>
      <c r="W2023" s="87"/>
      <c r="X2023" s="87"/>
      <c r="Y2023" s="87"/>
      <c r="Z2023" s="87"/>
      <c r="AA2023" s="87"/>
      <c r="AB2023" s="87"/>
      <c r="AC2023" s="87"/>
      <c r="AD2023" s="87"/>
      <c r="AE2023" s="87"/>
      <c r="AF2023" s="87"/>
      <c r="AG2023" s="87"/>
      <c r="AH2023" s="87"/>
      <c r="AI2023" s="87"/>
      <c r="AJ2023" s="87"/>
      <c r="AK2023" s="87"/>
      <c r="AL2023" s="87"/>
      <c r="AM2023" s="87"/>
      <c r="AN2023" s="87"/>
      <c r="AO2023" s="87"/>
      <c r="AP2023" s="87"/>
      <c r="AQ2023" s="87"/>
      <c r="AR2023" s="87"/>
      <c r="AS2023" s="87"/>
      <c r="AT2023" s="87"/>
      <c r="AU2023" s="87"/>
      <c r="AV2023" s="87"/>
      <c r="AW2023" s="87"/>
      <c r="AX2023" s="87"/>
      <c r="AY2023" s="87"/>
      <c r="AZ2023" s="87"/>
      <c r="BA2023" s="87"/>
      <c r="BB2023" s="87"/>
      <c r="BC2023" s="87"/>
      <c r="BD2023" s="87"/>
      <c r="BE2023" s="87"/>
      <c r="BF2023" s="87"/>
      <c r="BG2023" s="87"/>
      <c r="BH2023" s="87"/>
      <c r="BI2023" s="87"/>
      <c r="BJ2023" s="87"/>
      <c r="BK2023" s="87"/>
      <c r="BL2023" s="87"/>
      <c r="BM2023" s="87"/>
      <c r="BN2023" s="87"/>
      <c r="BO2023" s="87"/>
      <c r="BP2023" s="87"/>
      <c r="BQ2023" s="87"/>
      <c r="BR2023" s="87"/>
      <c r="BS2023" s="87"/>
      <c r="BT2023" s="87"/>
      <c r="BU2023" s="87"/>
      <c r="BV2023" s="87"/>
      <c r="BW2023" s="87"/>
      <c r="BX2023" s="87"/>
      <c r="BY2023" s="87"/>
    </row>
    <row r="2024" spans="21:77" x14ac:dyDescent="0.3">
      <c r="U2024" s="19"/>
      <c r="V2024" s="87"/>
      <c r="W2024" s="87"/>
      <c r="X2024" s="87"/>
      <c r="Y2024" s="87"/>
      <c r="Z2024" s="87"/>
      <c r="AA2024" s="87"/>
      <c r="AB2024" s="87"/>
      <c r="AC2024" s="87"/>
      <c r="AD2024" s="87"/>
      <c r="AE2024" s="87"/>
      <c r="AF2024" s="87"/>
      <c r="AG2024" s="87"/>
      <c r="AH2024" s="87"/>
      <c r="AI2024" s="87"/>
      <c r="AJ2024" s="87"/>
      <c r="AK2024" s="87"/>
      <c r="AL2024" s="87"/>
      <c r="AM2024" s="87"/>
      <c r="AN2024" s="87"/>
      <c r="AO2024" s="87"/>
      <c r="AP2024" s="87"/>
      <c r="AQ2024" s="87"/>
      <c r="AR2024" s="87"/>
      <c r="AS2024" s="87"/>
      <c r="AT2024" s="87"/>
      <c r="AU2024" s="87"/>
      <c r="AV2024" s="87"/>
      <c r="AW2024" s="87"/>
      <c r="AX2024" s="87"/>
      <c r="AY2024" s="87"/>
      <c r="AZ2024" s="87"/>
      <c r="BA2024" s="87"/>
      <c r="BB2024" s="87"/>
      <c r="BC2024" s="87"/>
      <c r="BD2024" s="87"/>
      <c r="BE2024" s="87"/>
      <c r="BF2024" s="87"/>
      <c r="BG2024" s="87"/>
      <c r="BH2024" s="87"/>
      <c r="BI2024" s="87"/>
      <c r="BJ2024" s="87"/>
      <c r="BK2024" s="87"/>
      <c r="BL2024" s="87"/>
      <c r="BM2024" s="87"/>
      <c r="BN2024" s="87"/>
      <c r="BO2024" s="87"/>
      <c r="BP2024" s="87"/>
      <c r="BQ2024" s="87"/>
      <c r="BR2024" s="87"/>
      <c r="BS2024" s="87"/>
      <c r="BT2024" s="87"/>
      <c r="BU2024" s="87"/>
      <c r="BV2024" s="87"/>
      <c r="BW2024" s="87"/>
      <c r="BX2024" s="87"/>
      <c r="BY2024" s="87"/>
    </row>
    <row r="2025" spans="21:77" x14ac:dyDescent="0.3">
      <c r="U2025" s="19"/>
      <c r="V2025" s="87"/>
      <c r="W2025" s="87"/>
      <c r="X2025" s="87"/>
      <c r="Y2025" s="87"/>
      <c r="Z2025" s="87"/>
      <c r="AA2025" s="87"/>
      <c r="AB2025" s="87"/>
      <c r="AC2025" s="87"/>
      <c r="AD2025" s="87"/>
      <c r="AE2025" s="87"/>
      <c r="AF2025" s="87"/>
      <c r="AG2025" s="87"/>
      <c r="AH2025" s="87"/>
      <c r="AI2025" s="87"/>
      <c r="AJ2025" s="87"/>
      <c r="AK2025" s="87"/>
      <c r="AL2025" s="87"/>
      <c r="AM2025" s="87"/>
      <c r="AN2025" s="87"/>
      <c r="AO2025" s="87"/>
      <c r="AP2025" s="87"/>
      <c r="AQ2025" s="87"/>
      <c r="AR2025" s="87"/>
      <c r="AS2025" s="87"/>
      <c r="AT2025" s="87"/>
      <c r="AU2025" s="87"/>
      <c r="AV2025" s="87"/>
      <c r="AW2025" s="87"/>
      <c r="AX2025" s="87"/>
      <c r="AY2025" s="87"/>
      <c r="AZ2025" s="87"/>
      <c r="BA2025" s="87"/>
      <c r="BB2025" s="87"/>
      <c r="BC2025" s="87"/>
      <c r="BD2025" s="87"/>
      <c r="BE2025" s="87"/>
      <c r="BF2025" s="87"/>
      <c r="BG2025" s="87"/>
      <c r="BH2025" s="87"/>
      <c r="BI2025" s="87"/>
      <c r="BJ2025" s="87"/>
      <c r="BK2025" s="87"/>
      <c r="BL2025" s="87"/>
      <c r="BM2025" s="87"/>
      <c r="BN2025" s="87"/>
      <c r="BO2025" s="87"/>
      <c r="BP2025" s="87"/>
      <c r="BQ2025" s="87"/>
      <c r="BR2025" s="87"/>
      <c r="BS2025" s="87"/>
      <c r="BT2025" s="87"/>
      <c r="BU2025" s="87"/>
      <c r="BV2025" s="87"/>
      <c r="BW2025" s="87"/>
      <c r="BX2025" s="87"/>
      <c r="BY2025" s="87"/>
    </row>
    <row r="2026" spans="21:77" x14ac:dyDescent="0.3">
      <c r="U2026" s="19"/>
      <c r="V2026" s="87"/>
      <c r="W2026" s="87"/>
      <c r="X2026" s="87"/>
      <c r="Y2026" s="87"/>
      <c r="Z2026" s="87"/>
      <c r="AA2026" s="87"/>
      <c r="AB2026" s="87"/>
      <c r="AC2026" s="87"/>
      <c r="AD2026" s="87"/>
      <c r="AE2026" s="87"/>
      <c r="AF2026" s="87"/>
      <c r="AG2026" s="87"/>
      <c r="AH2026" s="87"/>
      <c r="AI2026" s="87"/>
      <c r="AJ2026" s="87"/>
      <c r="AK2026" s="87"/>
      <c r="AL2026" s="87"/>
      <c r="AM2026" s="87"/>
      <c r="AN2026" s="87"/>
      <c r="AO2026" s="87"/>
      <c r="AP2026" s="87"/>
      <c r="AQ2026" s="87"/>
      <c r="AR2026" s="87"/>
      <c r="AS2026" s="87"/>
      <c r="AT2026" s="87"/>
      <c r="AU2026" s="87"/>
      <c r="AV2026" s="87"/>
      <c r="AW2026" s="87"/>
      <c r="AX2026" s="87"/>
      <c r="AY2026" s="87"/>
      <c r="AZ2026" s="87"/>
      <c r="BA2026" s="87"/>
      <c r="BB2026" s="87"/>
      <c r="BC2026" s="87"/>
      <c r="BD2026" s="87"/>
      <c r="BE2026" s="87"/>
      <c r="BF2026" s="87"/>
      <c r="BG2026" s="87"/>
      <c r="BH2026" s="87"/>
      <c r="BI2026" s="87"/>
      <c r="BJ2026" s="87"/>
      <c r="BK2026" s="87"/>
      <c r="BL2026" s="87"/>
      <c r="BM2026" s="87"/>
      <c r="BN2026" s="87"/>
      <c r="BO2026" s="87"/>
      <c r="BP2026" s="87"/>
      <c r="BQ2026" s="87"/>
      <c r="BR2026" s="87"/>
      <c r="BS2026" s="87"/>
      <c r="BT2026" s="87"/>
      <c r="BU2026" s="87"/>
      <c r="BV2026" s="87"/>
      <c r="BW2026" s="87"/>
      <c r="BX2026" s="87"/>
      <c r="BY2026" s="87"/>
    </row>
    <row r="2027" spans="21:77" x14ac:dyDescent="0.3">
      <c r="U2027" s="19"/>
      <c r="V2027" s="87"/>
      <c r="W2027" s="87"/>
      <c r="X2027" s="87"/>
      <c r="Y2027" s="87"/>
      <c r="Z2027" s="87"/>
      <c r="AA2027" s="87"/>
      <c r="AB2027" s="87"/>
      <c r="AC2027" s="87"/>
      <c r="AD2027" s="87"/>
      <c r="AE2027" s="87"/>
      <c r="AF2027" s="87"/>
      <c r="AG2027" s="87"/>
      <c r="AH2027" s="87"/>
      <c r="AI2027" s="87"/>
      <c r="AJ2027" s="87"/>
      <c r="AK2027" s="87"/>
      <c r="AL2027" s="87"/>
      <c r="AM2027" s="87"/>
      <c r="AN2027" s="87"/>
      <c r="AO2027" s="87"/>
      <c r="AP2027" s="87"/>
      <c r="AQ2027" s="87"/>
      <c r="AR2027" s="87"/>
      <c r="AS2027" s="87"/>
      <c r="AT2027" s="87"/>
      <c r="AU2027" s="87"/>
      <c r="AV2027" s="87"/>
      <c r="AW2027" s="87"/>
      <c r="AX2027" s="87"/>
      <c r="AY2027" s="87"/>
      <c r="AZ2027" s="87"/>
      <c r="BA2027" s="87"/>
      <c r="BB2027" s="87"/>
      <c r="BC2027" s="87"/>
      <c r="BD2027" s="87"/>
      <c r="BE2027" s="87"/>
      <c r="BF2027" s="87"/>
      <c r="BG2027" s="87"/>
      <c r="BH2027" s="87"/>
      <c r="BI2027" s="87"/>
      <c r="BJ2027" s="87"/>
      <c r="BK2027" s="87"/>
      <c r="BL2027" s="87"/>
      <c r="BM2027" s="87"/>
      <c r="BN2027" s="87"/>
      <c r="BO2027" s="87"/>
      <c r="BP2027" s="87"/>
      <c r="BQ2027" s="87"/>
      <c r="BR2027" s="87"/>
      <c r="BS2027" s="87"/>
      <c r="BT2027" s="87"/>
      <c r="BU2027" s="87"/>
      <c r="BV2027" s="87"/>
      <c r="BW2027" s="87"/>
      <c r="BX2027" s="87"/>
      <c r="BY2027" s="87"/>
    </row>
    <row r="2028" spans="21:77" x14ac:dyDescent="0.3">
      <c r="U2028" s="19"/>
      <c r="V2028" s="87"/>
      <c r="W2028" s="87"/>
      <c r="X2028" s="87"/>
      <c r="Y2028" s="87"/>
      <c r="Z2028" s="87"/>
      <c r="AA2028" s="87"/>
      <c r="AB2028" s="87"/>
      <c r="AC2028" s="87"/>
      <c r="AD2028" s="87"/>
      <c r="AE2028" s="87"/>
      <c r="AF2028" s="87"/>
      <c r="AG2028" s="87"/>
      <c r="AH2028" s="87"/>
      <c r="AI2028" s="87"/>
      <c r="AJ2028" s="87"/>
      <c r="AK2028" s="87"/>
      <c r="AL2028" s="87"/>
      <c r="AM2028" s="87"/>
      <c r="AN2028" s="87"/>
      <c r="AO2028" s="87"/>
      <c r="AP2028" s="87"/>
      <c r="AQ2028" s="87"/>
      <c r="AR2028" s="87"/>
      <c r="AS2028" s="87"/>
      <c r="AT2028" s="87"/>
      <c r="AU2028" s="87"/>
      <c r="AV2028" s="87"/>
      <c r="AW2028" s="87"/>
      <c r="AX2028" s="87"/>
      <c r="AY2028" s="87"/>
      <c r="AZ2028" s="87"/>
      <c r="BA2028" s="87"/>
      <c r="BB2028" s="87"/>
      <c r="BC2028" s="87"/>
      <c r="BD2028" s="87"/>
      <c r="BE2028" s="87"/>
      <c r="BF2028" s="87"/>
      <c r="BG2028" s="87"/>
      <c r="BH2028" s="87"/>
      <c r="BI2028" s="87"/>
      <c r="BJ2028" s="87"/>
      <c r="BK2028" s="87"/>
      <c r="BL2028" s="87"/>
      <c r="BM2028" s="87"/>
      <c r="BN2028" s="87"/>
      <c r="BO2028" s="87"/>
      <c r="BP2028" s="87"/>
      <c r="BQ2028" s="87"/>
      <c r="BR2028" s="87"/>
      <c r="BS2028" s="87"/>
      <c r="BT2028" s="87"/>
      <c r="BU2028" s="87"/>
      <c r="BV2028" s="87"/>
      <c r="BW2028" s="87"/>
      <c r="BX2028" s="87"/>
      <c r="BY2028" s="87"/>
    </row>
    <row r="2029" spans="21:77" x14ac:dyDescent="0.3">
      <c r="U2029" s="19"/>
      <c r="V2029" s="87"/>
      <c r="W2029" s="87"/>
      <c r="X2029" s="87"/>
      <c r="Y2029" s="87"/>
      <c r="Z2029" s="87"/>
      <c r="AA2029" s="87"/>
      <c r="AB2029" s="87"/>
      <c r="AC2029" s="87"/>
      <c r="AD2029" s="87"/>
      <c r="AE2029" s="87"/>
      <c r="AF2029" s="87"/>
      <c r="AG2029" s="87"/>
      <c r="AH2029" s="87"/>
      <c r="AI2029" s="87"/>
      <c r="AJ2029" s="87"/>
      <c r="AK2029" s="87"/>
      <c r="AL2029" s="87"/>
      <c r="AM2029" s="87"/>
      <c r="AN2029" s="87"/>
      <c r="AO2029" s="87"/>
      <c r="AP2029" s="87"/>
      <c r="AQ2029" s="87"/>
      <c r="AR2029" s="87"/>
      <c r="AS2029" s="87"/>
      <c r="AT2029" s="87"/>
      <c r="AU2029" s="87"/>
      <c r="AV2029" s="87"/>
      <c r="AW2029" s="87"/>
      <c r="AX2029" s="87"/>
      <c r="AY2029" s="87"/>
      <c r="AZ2029" s="87"/>
      <c r="BA2029" s="87"/>
      <c r="BB2029" s="87"/>
      <c r="BC2029" s="87"/>
      <c r="BD2029" s="87"/>
      <c r="BE2029" s="87"/>
      <c r="BF2029" s="87"/>
      <c r="BG2029" s="87"/>
      <c r="BH2029" s="87"/>
      <c r="BI2029" s="87"/>
      <c r="BJ2029" s="87"/>
      <c r="BK2029" s="87"/>
      <c r="BL2029" s="87"/>
      <c r="BM2029" s="87"/>
      <c r="BN2029" s="87"/>
      <c r="BO2029" s="87"/>
      <c r="BP2029" s="87"/>
      <c r="BQ2029" s="87"/>
      <c r="BR2029" s="87"/>
      <c r="BS2029" s="87"/>
      <c r="BT2029" s="87"/>
      <c r="BU2029" s="87"/>
      <c r="BV2029" s="87"/>
      <c r="BW2029" s="87"/>
      <c r="BX2029" s="87"/>
      <c r="BY2029" s="87"/>
    </row>
    <row r="2030" spans="21:77" x14ac:dyDescent="0.3">
      <c r="U2030" s="19"/>
      <c r="V2030" s="87"/>
      <c r="W2030" s="87"/>
      <c r="X2030" s="87"/>
      <c r="Y2030" s="87"/>
      <c r="Z2030" s="87"/>
      <c r="AA2030" s="87"/>
      <c r="AB2030" s="87"/>
      <c r="AC2030" s="87"/>
      <c r="AD2030" s="87"/>
      <c r="AE2030" s="87"/>
      <c r="AF2030" s="87"/>
      <c r="AG2030" s="87"/>
      <c r="AH2030" s="87"/>
      <c r="AI2030" s="87"/>
      <c r="AJ2030" s="87"/>
      <c r="AK2030" s="87"/>
      <c r="AL2030" s="87"/>
      <c r="AM2030" s="87"/>
      <c r="AN2030" s="87"/>
      <c r="AO2030" s="87"/>
      <c r="AP2030" s="87"/>
      <c r="AQ2030" s="87"/>
      <c r="AR2030" s="87"/>
      <c r="AS2030" s="87"/>
      <c r="AT2030" s="87"/>
      <c r="AU2030" s="87"/>
      <c r="AV2030" s="87"/>
      <c r="AW2030" s="87"/>
      <c r="AX2030" s="87"/>
      <c r="AY2030" s="87"/>
      <c r="AZ2030" s="87"/>
      <c r="BA2030" s="87"/>
      <c r="BB2030" s="87"/>
      <c r="BC2030" s="87"/>
      <c r="BD2030" s="87"/>
      <c r="BE2030" s="87"/>
      <c r="BF2030" s="87"/>
      <c r="BG2030" s="87"/>
      <c r="BH2030" s="87"/>
      <c r="BI2030" s="87"/>
      <c r="BJ2030" s="87"/>
      <c r="BK2030" s="87"/>
      <c r="BL2030" s="87"/>
      <c r="BM2030" s="87"/>
      <c r="BN2030" s="87"/>
      <c r="BO2030" s="87"/>
      <c r="BP2030" s="87"/>
      <c r="BQ2030" s="87"/>
      <c r="BR2030" s="87"/>
      <c r="BS2030" s="87"/>
      <c r="BT2030" s="87"/>
      <c r="BU2030" s="87"/>
      <c r="BV2030" s="87"/>
      <c r="BW2030" s="87"/>
      <c r="BX2030" s="87"/>
      <c r="BY2030" s="87"/>
    </row>
    <row r="2031" spans="21:77" x14ac:dyDescent="0.3">
      <c r="U2031" s="19"/>
      <c r="V2031" s="87"/>
      <c r="W2031" s="87"/>
      <c r="X2031" s="87"/>
      <c r="Y2031" s="87"/>
      <c r="Z2031" s="87"/>
      <c r="AA2031" s="87"/>
      <c r="AB2031" s="87"/>
      <c r="AC2031" s="87"/>
      <c r="AD2031" s="87"/>
      <c r="AE2031" s="87"/>
      <c r="AF2031" s="87"/>
      <c r="AG2031" s="87"/>
      <c r="AH2031" s="87"/>
      <c r="AI2031" s="87"/>
      <c r="AJ2031" s="87"/>
      <c r="AK2031" s="87"/>
      <c r="AL2031" s="87"/>
      <c r="AM2031" s="87"/>
      <c r="AN2031" s="87"/>
      <c r="AO2031" s="87"/>
      <c r="AP2031" s="87"/>
      <c r="AQ2031" s="87"/>
      <c r="AR2031" s="87"/>
      <c r="AS2031" s="87"/>
      <c r="AT2031" s="87"/>
      <c r="AU2031" s="87"/>
      <c r="AV2031" s="87"/>
      <c r="AW2031" s="87"/>
      <c r="AX2031" s="87"/>
      <c r="AY2031" s="87"/>
      <c r="AZ2031" s="87"/>
      <c r="BA2031" s="87"/>
      <c r="BB2031" s="87"/>
      <c r="BC2031" s="87"/>
      <c r="BD2031" s="87"/>
      <c r="BE2031" s="87"/>
      <c r="BF2031" s="87"/>
      <c r="BG2031" s="87"/>
      <c r="BH2031" s="87"/>
      <c r="BI2031" s="87"/>
      <c r="BJ2031" s="87"/>
      <c r="BK2031" s="87"/>
      <c r="BL2031" s="87"/>
      <c r="BM2031" s="87"/>
      <c r="BN2031" s="87"/>
      <c r="BO2031" s="87"/>
      <c r="BP2031" s="87"/>
      <c r="BQ2031" s="87"/>
      <c r="BR2031" s="87"/>
      <c r="BS2031" s="87"/>
      <c r="BT2031" s="87"/>
      <c r="BU2031" s="87"/>
      <c r="BV2031" s="87"/>
      <c r="BW2031" s="87"/>
      <c r="BX2031" s="87"/>
      <c r="BY2031" s="87"/>
    </row>
    <row r="2032" spans="21:77" x14ac:dyDescent="0.3">
      <c r="U2032" s="19"/>
      <c r="V2032" s="87"/>
      <c r="W2032" s="87"/>
      <c r="X2032" s="87"/>
      <c r="Y2032" s="87"/>
      <c r="Z2032" s="87"/>
      <c r="AA2032" s="87"/>
      <c r="AB2032" s="87"/>
      <c r="AC2032" s="87"/>
      <c r="AD2032" s="87"/>
      <c r="AE2032" s="87"/>
      <c r="AF2032" s="87"/>
      <c r="AG2032" s="87"/>
      <c r="AH2032" s="87"/>
      <c r="AI2032" s="87"/>
      <c r="AJ2032" s="87"/>
      <c r="AK2032" s="87"/>
      <c r="AL2032" s="87"/>
      <c r="AM2032" s="87"/>
      <c r="AN2032" s="87"/>
      <c r="AO2032" s="87"/>
      <c r="AP2032" s="87"/>
      <c r="AQ2032" s="87"/>
      <c r="AR2032" s="87"/>
      <c r="AS2032" s="87"/>
      <c r="AT2032" s="87"/>
      <c r="AU2032" s="87"/>
      <c r="AV2032" s="87"/>
      <c r="AW2032" s="87"/>
      <c r="AX2032" s="87"/>
      <c r="AY2032" s="87"/>
      <c r="AZ2032" s="87"/>
      <c r="BA2032" s="87"/>
      <c r="BB2032" s="87"/>
      <c r="BC2032" s="87"/>
      <c r="BD2032" s="87"/>
      <c r="BE2032" s="87"/>
      <c r="BF2032" s="87"/>
      <c r="BG2032" s="87"/>
      <c r="BH2032" s="87"/>
      <c r="BI2032" s="87"/>
      <c r="BJ2032" s="87"/>
      <c r="BK2032" s="87"/>
      <c r="BL2032" s="87"/>
      <c r="BM2032" s="87"/>
      <c r="BN2032" s="87"/>
      <c r="BO2032" s="87"/>
      <c r="BP2032" s="87"/>
      <c r="BQ2032" s="87"/>
      <c r="BR2032" s="87"/>
      <c r="BS2032" s="87"/>
      <c r="BT2032" s="87"/>
      <c r="BU2032" s="87"/>
      <c r="BV2032" s="87"/>
      <c r="BW2032" s="87"/>
      <c r="BX2032" s="87"/>
      <c r="BY2032" s="87"/>
    </row>
    <row r="2033" spans="21:77" x14ac:dyDescent="0.3">
      <c r="U2033" s="19"/>
      <c r="V2033" s="87"/>
      <c r="W2033" s="87"/>
      <c r="X2033" s="87"/>
      <c r="Y2033" s="87"/>
      <c r="Z2033" s="87"/>
      <c r="AA2033" s="87"/>
      <c r="AB2033" s="87"/>
      <c r="AC2033" s="87"/>
      <c r="AD2033" s="87"/>
      <c r="AE2033" s="87"/>
      <c r="AF2033" s="87"/>
      <c r="AG2033" s="87"/>
      <c r="AH2033" s="87"/>
      <c r="AI2033" s="87"/>
      <c r="AJ2033" s="87"/>
      <c r="AK2033" s="87"/>
      <c r="AL2033" s="87"/>
      <c r="AM2033" s="87"/>
      <c r="AN2033" s="87"/>
      <c r="AO2033" s="87"/>
      <c r="AP2033" s="87"/>
      <c r="AQ2033" s="87"/>
      <c r="AR2033" s="87"/>
      <c r="AS2033" s="87"/>
      <c r="AT2033" s="87"/>
      <c r="AU2033" s="87"/>
      <c r="AV2033" s="87"/>
      <c r="AW2033" s="87"/>
      <c r="AX2033" s="87"/>
      <c r="AY2033" s="87"/>
      <c r="AZ2033" s="87"/>
      <c r="BA2033" s="87"/>
      <c r="BB2033" s="87"/>
      <c r="BC2033" s="87"/>
      <c r="BD2033" s="87"/>
      <c r="BE2033" s="87"/>
      <c r="BF2033" s="87"/>
      <c r="BG2033" s="87"/>
      <c r="BH2033" s="87"/>
      <c r="BI2033" s="87"/>
      <c r="BJ2033" s="87"/>
      <c r="BK2033" s="87"/>
      <c r="BL2033" s="87"/>
      <c r="BM2033" s="87"/>
      <c r="BN2033" s="87"/>
      <c r="BO2033" s="87"/>
      <c r="BP2033" s="87"/>
      <c r="BQ2033" s="87"/>
      <c r="BR2033" s="87"/>
      <c r="BS2033" s="87"/>
      <c r="BT2033" s="87"/>
      <c r="BU2033" s="87"/>
      <c r="BV2033" s="87"/>
      <c r="BW2033" s="87"/>
      <c r="BX2033" s="87"/>
      <c r="BY2033" s="87"/>
    </row>
    <row r="2034" spans="21:77" x14ac:dyDescent="0.3">
      <c r="U2034" s="19"/>
      <c r="V2034" s="87"/>
      <c r="W2034" s="87"/>
      <c r="X2034" s="87"/>
      <c r="Y2034" s="87"/>
      <c r="Z2034" s="87"/>
      <c r="AA2034" s="87"/>
      <c r="AB2034" s="87"/>
      <c r="AC2034" s="87"/>
      <c r="AD2034" s="87"/>
      <c r="AE2034" s="87"/>
      <c r="AF2034" s="87"/>
      <c r="AG2034" s="87"/>
      <c r="AH2034" s="87"/>
      <c r="AI2034" s="87"/>
      <c r="AJ2034" s="87"/>
      <c r="AK2034" s="87"/>
      <c r="AL2034" s="87"/>
      <c r="AM2034" s="87"/>
      <c r="AN2034" s="87"/>
      <c r="AO2034" s="87"/>
      <c r="AP2034" s="87"/>
      <c r="AQ2034" s="87"/>
      <c r="AR2034" s="87"/>
      <c r="AS2034" s="87"/>
      <c r="AT2034" s="87"/>
      <c r="AU2034" s="87"/>
      <c r="AV2034" s="87"/>
      <c r="AW2034" s="87"/>
      <c r="AX2034" s="87"/>
      <c r="AY2034" s="87"/>
      <c r="AZ2034" s="87"/>
      <c r="BA2034" s="87"/>
      <c r="BB2034" s="87"/>
      <c r="BC2034" s="87"/>
      <c r="BD2034" s="87"/>
      <c r="BE2034" s="87"/>
      <c r="BF2034" s="87"/>
      <c r="BG2034" s="87"/>
      <c r="BH2034" s="87"/>
      <c r="BI2034" s="87"/>
      <c r="BJ2034" s="87"/>
      <c r="BK2034" s="87"/>
      <c r="BL2034" s="87"/>
      <c r="BM2034" s="87"/>
      <c r="BN2034" s="87"/>
      <c r="BO2034" s="87"/>
      <c r="BP2034" s="87"/>
      <c r="BQ2034" s="87"/>
      <c r="BR2034" s="87"/>
      <c r="BS2034" s="87"/>
      <c r="BT2034" s="87"/>
      <c r="BU2034" s="87"/>
      <c r="BV2034" s="87"/>
      <c r="BW2034" s="87"/>
      <c r="BX2034" s="87"/>
      <c r="BY2034" s="87"/>
    </row>
    <row r="2035" spans="21:77" x14ac:dyDescent="0.3">
      <c r="U2035" s="19"/>
      <c r="V2035" s="87"/>
      <c r="W2035" s="87"/>
      <c r="X2035" s="87"/>
      <c r="Y2035" s="87"/>
      <c r="Z2035" s="87"/>
      <c r="AA2035" s="87"/>
      <c r="AB2035" s="87"/>
      <c r="AC2035" s="87"/>
      <c r="AD2035" s="87"/>
      <c r="AE2035" s="87"/>
      <c r="AF2035" s="87"/>
      <c r="AG2035" s="87"/>
      <c r="AH2035" s="87"/>
      <c r="AI2035" s="87"/>
      <c r="AJ2035" s="87"/>
      <c r="AK2035" s="87"/>
      <c r="AL2035" s="87"/>
      <c r="AM2035" s="87"/>
      <c r="AN2035" s="87"/>
      <c r="AO2035" s="87"/>
      <c r="AP2035" s="87"/>
      <c r="AQ2035" s="87"/>
      <c r="AR2035" s="87"/>
      <c r="AS2035" s="87"/>
      <c r="AT2035" s="87"/>
      <c r="AU2035" s="87"/>
      <c r="AV2035" s="87"/>
      <c r="AW2035" s="87"/>
      <c r="AX2035" s="87"/>
      <c r="AY2035" s="87"/>
      <c r="AZ2035" s="87"/>
      <c r="BA2035" s="87"/>
      <c r="BB2035" s="87"/>
      <c r="BC2035" s="87"/>
      <c r="BD2035" s="87"/>
      <c r="BE2035" s="87"/>
      <c r="BF2035" s="87"/>
      <c r="BG2035" s="87"/>
      <c r="BH2035" s="87"/>
      <c r="BI2035" s="87"/>
      <c r="BJ2035" s="87"/>
      <c r="BK2035" s="87"/>
      <c r="BL2035" s="87"/>
      <c r="BM2035" s="87"/>
      <c r="BN2035" s="87"/>
      <c r="BO2035" s="87"/>
      <c r="BP2035" s="87"/>
      <c r="BQ2035" s="87"/>
      <c r="BR2035" s="87"/>
      <c r="BS2035" s="87"/>
      <c r="BT2035" s="87"/>
      <c r="BU2035" s="87"/>
      <c r="BV2035" s="87"/>
      <c r="BW2035" s="87"/>
      <c r="BX2035" s="87"/>
      <c r="BY2035" s="87"/>
    </row>
    <row r="2036" spans="21:77" x14ac:dyDescent="0.3">
      <c r="U2036" s="19"/>
      <c r="V2036" s="87"/>
      <c r="W2036" s="87"/>
      <c r="X2036" s="87"/>
      <c r="Y2036" s="87"/>
      <c r="Z2036" s="87"/>
      <c r="AA2036" s="87"/>
      <c r="AB2036" s="87"/>
      <c r="AC2036" s="87"/>
      <c r="AD2036" s="87"/>
      <c r="AE2036" s="87"/>
      <c r="AF2036" s="87"/>
      <c r="AG2036" s="87"/>
      <c r="AH2036" s="87"/>
      <c r="AI2036" s="87"/>
      <c r="AJ2036" s="87"/>
      <c r="AK2036" s="87"/>
      <c r="AL2036" s="87"/>
      <c r="AM2036" s="87"/>
      <c r="AN2036" s="87"/>
      <c r="AO2036" s="87"/>
      <c r="AP2036" s="87"/>
      <c r="AQ2036" s="87"/>
      <c r="AR2036" s="87"/>
      <c r="AS2036" s="87"/>
      <c r="AT2036" s="87"/>
      <c r="AU2036" s="87"/>
      <c r="AV2036" s="87"/>
      <c r="AW2036" s="87"/>
      <c r="AX2036" s="87"/>
      <c r="AY2036" s="87"/>
      <c r="AZ2036" s="87"/>
      <c r="BA2036" s="87"/>
      <c r="BB2036" s="87"/>
      <c r="BC2036" s="87"/>
      <c r="BD2036" s="87"/>
      <c r="BE2036" s="87"/>
      <c r="BF2036" s="87"/>
      <c r="BG2036" s="87"/>
      <c r="BH2036" s="87"/>
      <c r="BI2036" s="87"/>
      <c r="BJ2036" s="87"/>
      <c r="BK2036" s="87"/>
      <c r="BL2036" s="87"/>
      <c r="BM2036" s="87"/>
      <c r="BN2036" s="87"/>
      <c r="BO2036" s="87"/>
      <c r="BP2036" s="87"/>
      <c r="BQ2036" s="87"/>
      <c r="BR2036" s="87"/>
      <c r="BS2036" s="87"/>
      <c r="BT2036" s="87"/>
      <c r="BU2036" s="87"/>
      <c r="BV2036" s="87"/>
      <c r="BW2036" s="87"/>
      <c r="BX2036" s="87"/>
      <c r="BY2036" s="87"/>
    </row>
    <row r="2037" spans="21:77" x14ac:dyDescent="0.3">
      <c r="U2037" s="19"/>
      <c r="V2037" s="87"/>
      <c r="W2037" s="87"/>
      <c r="X2037" s="87"/>
      <c r="Y2037" s="87"/>
      <c r="Z2037" s="87"/>
      <c r="AA2037" s="87"/>
      <c r="AB2037" s="87"/>
      <c r="AC2037" s="87"/>
      <c r="AD2037" s="87"/>
      <c r="AE2037" s="87"/>
      <c r="AF2037" s="87"/>
      <c r="AG2037" s="87"/>
      <c r="AH2037" s="87"/>
      <c r="AI2037" s="87"/>
      <c r="AJ2037" s="87"/>
      <c r="AK2037" s="87"/>
      <c r="AL2037" s="87"/>
      <c r="AM2037" s="87"/>
      <c r="AN2037" s="87"/>
      <c r="AO2037" s="87"/>
      <c r="AP2037" s="87"/>
      <c r="AQ2037" s="87"/>
      <c r="AR2037" s="87"/>
      <c r="AS2037" s="87"/>
      <c r="AT2037" s="87"/>
      <c r="AU2037" s="87"/>
      <c r="AV2037" s="87"/>
      <c r="AW2037" s="87"/>
      <c r="AX2037" s="87"/>
      <c r="AY2037" s="87"/>
      <c r="AZ2037" s="87"/>
      <c r="BA2037" s="87"/>
      <c r="BB2037" s="87"/>
      <c r="BC2037" s="87"/>
      <c r="BD2037" s="87"/>
      <c r="BE2037" s="87"/>
      <c r="BF2037" s="87"/>
      <c r="BG2037" s="87"/>
      <c r="BH2037" s="87"/>
      <c r="BI2037" s="87"/>
      <c r="BJ2037" s="87"/>
      <c r="BK2037" s="87"/>
      <c r="BL2037" s="87"/>
      <c r="BM2037" s="87"/>
      <c r="BN2037" s="87"/>
      <c r="BO2037" s="87"/>
      <c r="BP2037" s="87"/>
      <c r="BQ2037" s="87"/>
      <c r="BR2037" s="87"/>
      <c r="BS2037" s="87"/>
      <c r="BT2037" s="87"/>
      <c r="BU2037" s="87"/>
      <c r="BV2037" s="87"/>
      <c r="BW2037" s="87"/>
      <c r="BX2037" s="87"/>
      <c r="BY2037" s="87"/>
    </row>
    <row r="2038" spans="21:77" x14ac:dyDescent="0.3">
      <c r="U2038" s="19"/>
      <c r="V2038" s="87"/>
      <c r="W2038" s="87"/>
      <c r="X2038" s="87"/>
      <c r="Y2038" s="87"/>
      <c r="Z2038" s="87"/>
      <c r="AA2038" s="87"/>
      <c r="AB2038" s="87"/>
      <c r="AC2038" s="87"/>
      <c r="AD2038" s="87"/>
      <c r="AE2038" s="87"/>
      <c r="AF2038" s="87"/>
      <c r="AG2038" s="87"/>
      <c r="AH2038" s="87"/>
      <c r="AI2038" s="87"/>
      <c r="AJ2038" s="87"/>
      <c r="AK2038" s="87"/>
      <c r="AL2038" s="87"/>
      <c r="AM2038" s="87"/>
      <c r="AN2038" s="87"/>
      <c r="AO2038" s="87"/>
      <c r="AP2038" s="87"/>
      <c r="AQ2038" s="87"/>
      <c r="AR2038" s="87"/>
      <c r="AS2038" s="87"/>
      <c r="AT2038" s="87"/>
      <c r="AU2038" s="87"/>
      <c r="AV2038" s="87"/>
      <c r="AW2038" s="87"/>
      <c r="AX2038" s="87"/>
      <c r="AY2038" s="87"/>
      <c r="AZ2038" s="87"/>
      <c r="BA2038" s="87"/>
      <c r="BB2038" s="87"/>
      <c r="BC2038" s="87"/>
      <c r="BD2038" s="87"/>
      <c r="BE2038" s="87"/>
      <c r="BF2038" s="87"/>
      <c r="BG2038" s="87"/>
      <c r="BH2038" s="87"/>
      <c r="BI2038" s="87"/>
      <c r="BJ2038" s="87"/>
      <c r="BK2038" s="87"/>
      <c r="BL2038" s="87"/>
      <c r="BM2038" s="87"/>
      <c r="BN2038" s="87"/>
      <c r="BO2038" s="87"/>
      <c r="BP2038" s="87"/>
      <c r="BQ2038" s="87"/>
      <c r="BR2038" s="87"/>
      <c r="BS2038" s="87"/>
      <c r="BT2038" s="87"/>
      <c r="BU2038" s="87"/>
      <c r="BV2038" s="87"/>
      <c r="BW2038" s="87"/>
      <c r="BX2038" s="87"/>
      <c r="BY2038" s="87"/>
    </row>
    <row r="2039" spans="21:77" x14ac:dyDescent="0.3">
      <c r="U2039" s="19"/>
      <c r="V2039" s="87"/>
      <c r="W2039" s="87"/>
      <c r="X2039" s="87"/>
      <c r="Y2039" s="87"/>
      <c r="Z2039" s="87"/>
      <c r="AA2039" s="87"/>
      <c r="AB2039" s="87"/>
      <c r="AC2039" s="87"/>
      <c r="AD2039" s="87"/>
      <c r="AE2039" s="87"/>
      <c r="AF2039" s="87"/>
      <c r="AG2039" s="87"/>
      <c r="AH2039" s="87"/>
      <c r="AI2039" s="87"/>
      <c r="AJ2039" s="87"/>
      <c r="AK2039" s="87"/>
      <c r="AL2039" s="87"/>
      <c r="AM2039" s="87"/>
      <c r="AN2039" s="87"/>
      <c r="AO2039" s="87"/>
      <c r="AP2039" s="87"/>
      <c r="AQ2039" s="87"/>
      <c r="AR2039" s="87"/>
      <c r="AS2039" s="87"/>
      <c r="AT2039" s="87"/>
      <c r="AU2039" s="87"/>
      <c r="AV2039" s="87"/>
      <c r="AW2039" s="87"/>
      <c r="AX2039" s="87"/>
      <c r="AY2039" s="87"/>
      <c r="AZ2039" s="87"/>
      <c r="BA2039" s="87"/>
      <c r="BB2039" s="87"/>
      <c r="BC2039" s="87"/>
      <c r="BD2039" s="87"/>
      <c r="BE2039" s="87"/>
      <c r="BF2039" s="87"/>
      <c r="BG2039" s="87"/>
      <c r="BH2039" s="87"/>
      <c r="BI2039" s="87"/>
      <c r="BJ2039" s="87"/>
      <c r="BK2039" s="87"/>
      <c r="BL2039" s="87"/>
      <c r="BM2039" s="87"/>
      <c r="BN2039" s="87"/>
      <c r="BO2039" s="87"/>
      <c r="BP2039" s="87"/>
      <c r="BQ2039" s="87"/>
      <c r="BR2039" s="87"/>
      <c r="BS2039" s="87"/>
      <c r="BT2039" s="87"/>
      <c r="BU2039" s="87"/>
      <c r="BV2039" s="87"/>
      <c r="BW2039" s="87"/>
      <c r="BX2039" s="87"/>
      <c r="BY2039" s="87"/>
    </row>
    <row r="2040" spans="21:77" x14ac:dyDescent="0.3">
      <c r="U2040" s="19"/>
      <c r="V2040" s="87"/>
      <c r="W2040" s="87"/>
      <c r="X2040" s="87"/>
      <c r="Y2040" s="87"/>
      <c r="Z2040" s="87"/>
      <c r="AA2040" s="87"/>
      <c r="AB2040" s="87"/>
      <c r="AC2040" s="87"/>
      <c r="AD2040" s="87"/>
      <c r="AE2040" s="87"/>
      <c r="AF2040" s="87"/>
      <c r="AG2040" s="87"/>
      <c r="AH2040" s="87"/>
      <c r="AI2040" s="87"/>
      <c r="AJ2040" s="87"/>
      <c r="AK2040" s="87"/>
      <c r="AL2040" s="87"/>
      <c r="AM2040" s="87"/>
      <c r="AN2040" s="87"/>
      <c r="AO2040" s="87"/>
      <c r="AP2040" s="87"/>
      <c r="AQ2040" s="87"/>
      <c r="AR2040" s="87"/>
      <c r="AS2040" s="87"/>
      <c r="AT2040" s="87"/>
      <c r="AU2040" s="87"/>
      <c r="AV2040" s="87"/>
      <c r="AW2040" s="87"/>
      <c r="AX2040" s="87"/>
      <c r="AY2040" s="87"/>
      <c r="AZ2040" s="87"/>
      <c r="BA2040" s="87"/>
      <c r="BB2040" s="87"/>
      <c r="BC2040" s="87"/>
      <c r="BD2040" s="87"/>
      <c r="BE2040" s="87"/>
      <c r="BF2040" s="87"/>
      <c r="BG2040" s="87"/>
      <c r="BH2040" s="87"/>
      <c r="BI2040" s="87"/>
      <c r="BJ2040" s="87"/>
      <c r="BK2040" s="87"/>
      <c r="BL2040" s="87"/>
      <c r="BM2040" s="87"/>
      <c r="BN2040" s="87"/>
      <c r="BO2040" s="87"/>
      <c r="BP2040" s="87"/>
      <c r="BQ2040" s="87"/>
      <c r="BR2040" s="87"/>
      <c r="BS2040" s="87"/>
      <c r="BT2040" s="87"/>
      <c r="BU2040" s="87"/>
      <c r="BV2040" s="87"/>
      <c r="BW2040" s="87"/>
      <c r="BX2040" s="87"/>
      <c r="BY2040" s="87"/>
    </row>
    <row r="2041" spans="21:77" x14ac:dyDescent="0.3">
      <c r="U2041" s="19"/>
      <c r="V2041" s="87"/>
      <c r="W2041" s="87"/>
      <c r="X2041" s="87"/>
      <c r="Y2041" s="87"/>
      <c r="Z2041" s="87"/>
      <c r="AA2041" s="87"/>
      <c r="AB2041" s="87"/>
      <c r="AC2041" s="87"/>
      <c r="AD2041" s="87"/>
      <c r="AE2041" s="87"/>
      <c r="AF2041" s="87"/>
      <c r="AG2041" s="87"/>
      <c r="AH2041" s="87"/>
      <c r="AI2041" s="87"/>
      <c r="AJ2041" s="87"/>
      <c r="AK2041" s="87"/>
      <c r="AL2041" s="87"/>
      <c r="AM2041" s="87"/>
      <c r="AN2041" s="87"/>
      <c r="AO2041" s="87"/>
      <c r="AP2041" s="87"/>
      <c r="AQ2041" s="87"/>
      <c r="AR2041" s="87"/>
      <c r="AS2041" s="87"/>
      <c r="AT2041" s="87"/>
      <c r="AU2041" s="87"/>
      <c r="AV2041" s="87"/>
      <c r="AW2041" s="87"/>
      <c r="AX2041" s="87"/>
      <c r="AY2041" s="87"/>
      <c r="AZ2041" s="87"/>
      <c r="BA2041" s="87"/>
      <c r="BB2041" s="87"/>
      <c r="BC2041" s="87"/>
      <c r="BD2041" s="87"/>
      <c r="BE2041" s="87"/>
      <c r="BF2041" s="87"/>
      <c r="BG2041" s="87"/>
      <c r="BH2041" s="87"/>
      <c r="BI2041" s="87"/>
      <c r="BJ2041" s="87"/>
      <c r="BK2041" s="87"/>
      <c r="BL2041" s="87"/>
      <c r="BM2041" s="87"/>
      <c r="BN2041" s="87"/>
      <c r="BO2041" s="87"/>
      <c r="BP2041" s="87"/>
      <c r="BQ2041" s="87"/>
      <c r="BR2041" s="87"/>
      <c r="BS2041" s="87"/>
      <c r="BT2041" s="87"/>
      <c r="BU2041" s="87"/>
      <c r="BV2041" s="87"/>
      <c r="BW2041" s="87"/>
      <c r="BX2041" s="87"/>
      <c r="BY2041" s="87"/>
    </row>
    <row r="2042" spans="21:77" x14ac:dyDescent="0.3">
      <c r="U2042" s="19"/>
      <c r="V2042" s="87"/>
      <c r="W2042" s="87"/>
      <c r="X2042" s="87"/>
      <c r="Y2042" s="87"/>
      <c r="Z2042" s="87"/>
      <c r="AA2042" s="87"/>
      <c r="AB2042" s="87"/>
      <c r="AC2042" s="87"/>
      <c r="AD2042" s="87"/>
      <c r="AE2042" s="87"/>
      <c r="AF2042" s="87"/>
      <c r="AG2042" s="87"/>
      <c r="AH2042" s="87"/>
      <c r="AI2042" s="87"/>
      <c r="AJ2042" s="87"/>
      <c r="AK2042" s="87"/>
      <c r="AL2042" s="87"/>
      <c r="AM2042" s="87"/>
      <c r="AN2042" s="87"/>
      <c r="AO2042" s="87"/>
      <c r="AP2042" s="87"/>
      <c r="AQ2042" s="87"/>
      <c r="AR2042" s="87"/>
      <c r="AS2042" s="87"/>
      <c r="AT2042" s="87"/>
      <c r="AU2042" s="87"/>
      <c r="AV2042" s="87"/>
      <c r="AW2042" s="87"/>
      <c r="AX2042" s="87"/>
      <c r="AY2042" s="87"/>
      <c r="AZ2042" s="87"/>
      <c r="BA2042" s="87"/>
      <c r="BB2042" s="87"/>
      <c r="BC2042" s="87"/>
      <c r="BD2042" s="87"/>
      <c r="BE2042" s="87"/>
      <c r="BF2042" s="87"/>
      <c r="BG2042" s="87"/>
      <c r="BH2042" s="87"/>
      <c r="BI2042" s="87"/>
      <c r="BJ2042" s="87"/>
      <c r="BK2042" s="87"/>
      <c r="BL2042" s="87"/>
      <c r="BM2042" s="87"/>
      <c r="BN2042" s="87"/>
      <c r="BO2042" s="87"/>
      <c r="BP2042" s="87"/>
      <c r="BQ2042" s="87"/>
      <c r="BR2042" s="87"/>
      <c r="BS2042" s="87"/>
      <c r="BT2042" s="87"/>
      <c r="BU2042" s="87"/>
      <c r="BV2042" s="87"/>
      <c r="BW2042" s="87"/>
      <c r="BX2042" s="87"/>
      <c r="BY2042" s="87"/>
    </row>
    <row r="2043" spans="21:77" x14ac:dyDescent="0.3">
      <c r="U2043" s="19"/>
      <c r="V2043" s="87"/>
      <c r="W2043" s="87"/>
      <c r="X2043" s="87"/>
      <c r="Y2043" s="87"/>
      <c r="Z2043" s="87"/>
      <c r="AA2043" s="87"/>
      <c r="AB2043" s="87"/>
      <c r="AC2043" s="87"/>
      <c r="AD2043" s="87"/>
      <c r="AE2043" s="87"/>
      <c r="AF2043" s="87"/>
      <c r="AG2043" s="87"/>
      <c r="AH2043" s="87"/>
      <c r="AI2043" s="87"/>
      <c r="AJ2043" s="87"/>
      <c r="AK2043" s="87"/>
      <c r="AL2043" s="87"/>
      <c r="AM2043" s="87"/>
      <c r="AN2043" s="87"/>
      <c r="AO2043" s="87"/>
      <c r="AP2043" s="87"/>
      <c r="AQ2043" s="87"/>
      <c r="AR2043" s="87"/>
      <c r="AS2043" s="87"/>
      <c r="AT2043" s="87"/>
      <c r="AU2043" s="87"/>
      <c r="AV2043" s="87"/>
      <c r="AW2043" s="87"/>
      <c r="AX2043" s="87"/>
      <c r="AY2043" s="87"/>
      <c r="AZ2043" s="87"/>
      <c r="BA2043" s="87"/>
      <c r="BB2043" s="87"/>
      <c r="BC2043" s="87"/>
      <c r="BD2043" s="87"/>
      <c r="BE2043" s="87"/>
      <c r="BF2043" s="87"/>
      <c r="BG2043" s="87"/>
      <c r="BH2043" s="87"/>
      <c r="BI2043" s="87"/>
      <c r="BJ2043" s="87"/>
      <c r="BK2043" s="87"/>
      <c r="BL2043" s="87"/>
      <c r="BM2043" s="87"/>
      <c r="BN2043" s="87"/>
      <c r="BO2043" s="87"/>
      <c r="BP2043" s="87"/>
      <c r="BQ2043" s="87"/>
      <c r="BR2043" s="87"/>
      <c r="BS2043" s="87"/>
      <c r="BT2043" s="87"/>
      <c r="BU2043" s="87"/>
      <c r="BV2043" s="87"/>
      <c r="BW2043" s="87"/>
      <c r="BX2043" s="87"/>
      <c r="BY2043" s="87"/>
    </row>
    <row r="2044" spans="21:77" x14ac:dyDescent="0.3">
      <c r="U2044" s="19"/>
      <c r="V2044" s="87"/>
      <c r="W2044" s="87"/>
      <c r="X2044" s="87"/>
      <c r="Y2044" s="87"/>
      <c r="Z2044" s="87"/>
      <c r="AA2044" s="87"/>
      <c r="AB2044" s="87"/>
      <c r="AC2044" s="87"/>
      <c r="AD2044" s="87"/>
      <c r="AE2044" s="87"/>
      <c r="AF2044" s="87"/>
      <c r="AG2044" s="87"/>
      <c r="AH2044" s="87"/>
      <c r="AI2044" s="87"/>
      <c r="AJ2044" s="87"/>
      <c r="AK2044" s="87"/>
      <c r="AL2044" s="87"/>
      <c r="AM2044" s="87"/>
      <c r="AN2044" s="87"/>
      <c r="AO2044" s="87"/>
      <c r="AP2044" s="87"/>
      <c r="AQ2044" s="87"/>
      <c r="AR2044" s="87"/>
      <c r="AS2044" s="87"/>
      <c r="AT2044" s="87"/>
      <c r="AU2044" s="87"/>
      <c r="AV2044" s="87"/>
      <c r="AW2044" s="87"/>
      <c r="AX2044" s="87"/>
      <c r="AY2044" s="87"/>
      <c r="AZ2044" s="87"/>
      <c r="BA2044" s="87"/>
      <c r="BB2044" s="87"/>
      <c r="BC2044" s="87"/>
      <c r="BD2044" s="87"/>
      <c r="BE2044" s="87"/>
      <c r="BF2044" s="87"/>
      <c r="BG2044" s="87"/>
      <c r="BH2044" s="87"/>
      <c r="BI2044" s="87"/>
      <c r="BJ2044" s="87"/>
      <c r="BK2044" s="87"/>
      <c r="BL2044" s="87"/>
      <c r="BM2044" s="87"/>
      <c r="BN2044" s="87"/>
      <c r="BO2044" s="87"/>
      <c r="BP2044" s="87"/>
      <c r="BQ2044" s="87"/>
      <c r="BR2044" s="87"/>
      <c r="BS2044" s="87"/>
      <c r="BT2044" s="87"/>
      <c r="BU2044" s="87"/>
      <c r="BV2044" s="87"/>
      <c r="BW2044" s="87"/>
      <c r="BX2044" s="87"/>
      <c r="BY2044" s="87"/>
    </row>
    <row r="2045" spans="21:77" x14ac:dyDescent="0.3">
      <c r="U2045" s="19"/>
      <c r="V2045" s="87"/>
      <c r="W2045" s="87"/>
      <c r="X2045" s="87"/>
      <c r="Y2045" s="87"/>
      <c r="Z2045" s="87"/>
      <c r="AA2045" s="87"/>
      <c r="AB2045" s="87"/>
      <c r="AC2045" s="87"/>
      <c r="AD2045" s="87"/>
      <c r="AE2045" s="87"/>
      <c r="AF2045" s="87"/>
      <c r="AG2045" s="87"/>
      <c r="AH2045" s="87"/>
      <c r="AI2045" s="87"/>
      <c r="AJ2045" s="87"/>
      <c r="AK2045" s="87"/>
      <c r="AL2045" s="87"/>
      <c r="AM2045" s="87"/>
      <c r="AN2045" s="87"/>
      <c r="AO2045" s="87"/>
      <c r="AP2045" s="87"/>
      <c r="AQ2045" s="87"/>
      <c r="AR2045" s="87"/>
      <c r="AS2045" s="87"/>
      <c r="AT2045" s="87"/>
      <c r="AU2045" s="87"/>
      <c r="AV2045" s="87"/>
      <c r="AW2045" s="87"/>
      <c r="AX2045" s="87"/>
      <c r="AY2045" s="87"/>
      <c r="AZ2045" s="87"/>
      <c r="BA2045" s="87"/>
      <c r="BB2045" s="87"/>
      <c r="BC2045" s="87"/>
      <c r="BD2045" s="87"/>
      <c r="BE2045" s="87"/>
      <c r="BF2045" s="87"/>
      <c r="BG2045" s="87"/>
      <c r="BH2045" s="87"/>
      <c r="BI2045" s="87"/>
      <c r="BJ2045" s="87"/>
      <c r="BK2045" s="87"/>
      <c r="BL2045" s="87"/>
      <c r="BM2045" s="87"/>
      <c r="BN2045" s="87"/>
      <c r="BO2045" s="87"/>
      <c r="BP2045" s="87"/>
      <c r="BQ2045" s="87"/>
      <c r="BR2045" s="87"/>
      <c r="BS2045" s="87"/>
      <c r="BT2045" s="87"/>
      <c r="BU2045" s="87"/>
      <c r="BV2045" s="87"/>
      <c r="BW2045" s="87"/>
      <c r="BX2045" s="87"/>
      <c r="BY2045" s="87"/>
    </row>
    <row r="2046" spans="21:77" x14ac:dyDescent="0.3">
      <c r="U2046" s="19"/>
      <c r="V2046" s="87"/>
      <c r="W2046" s="87"/>
      <c r="X2046" s="87"/>
      <c r="Y2046" s="87"/>
      <c r="Z2046" s="87"/>
      <c r="AA2046" s="87"/>
      <c r="AB2046" s="87"/>
      <c r="AC2046" s="87"/>
      <c r="AD2046" s="87"/>
      <c r="AE2046" s="87"/>
      <c r="AF2046" s="87"/>
      <c r="AG2046" s="87"/>
      <c r="AH2046" s="87"/>
      <c r="AI2046" s="87"/>
      <c r="AJ2046" s="87"/>
      <c r="AK2046" s="87"/>
      <c r="AL2046" s="87"/>
      <c r="AM2046" s="87"/>
      <c r="AN2046" s="87"/>
      <c r="AO2046" s="87"/>
      <c r="AP2046" s="87"/>
      <c r="AQ2046" s="87"/>
      <c r="AR2046" s="87"/>
      <c r="AS2046" s="87"/>
      <c r="AT2046" s="87"/>
      <c r="AU2046" s="87"/>
      <c r="AV2046" s="87"/>
      <c r="AW2046" s="87"/>
      <c r="AX2046" s="87"/>
      <c r="AY2046" s="87"/>
      <c r="AZ2046" s="87"/>
      <c r="BA2046" s="87"/>
      <c r="BB2046" s="87"/>
      <c r="BC2046" s="87"/>
      <c r="BD2046" s="87"/>
      <c r="BE2046" s="87"/>
      <c r="BF2046" s="87"/>
      <c r="BG2046" s="87"/>
      <c r="BH2046" s="87"/>
      <c r="BI2046" s="87"/>
      <c r="BJ2046" s="87"/>
      <c r="BK2046" s="87"/>
      <c r="BL2046" s="87"/>
      <c r="BM2046" s="87"/>
      <c r="BN2046" s="87"/>
      <c r="BO2046" s="87"/>
      <c r="BP2046" s="87"/>
      <c r="BQ2046" s="87"/>
      <c r="BR2046" s="87"/>
      <c r="BS2046" s="87"/>
      <c r="BT2046" s="87"/>
      <c r="BU2046" s="87"/>
      <c r="BV2046" s="87"/>
      <c r="BW2046" s="87"/>
      <c r="BX2046" s="87"/>
      <c r="BY2046" s="87"/>
    </row>
    <row r="2047" spans="21:77" x14ac:dyDescent="0.3">
      <c r="U2047" s="19"/>
      <c r="V2047" s="87"/>
      <c r="W2047" s="87"/>
      <c r="X2047" s="87"/>
      <c r="Y2047" s="87"/>
      <c r="Z2047" s="87"/>
      <c r="AA2047" s="87"/>
      <c r="AB2047" s="87"/>
      <c r="AC2047" s="87"/>
      <c r="AD2047" s="87"/>
      <c r="AE2047" s="87"/>
      <c r="AF2047" s="87"/>
      <c r="AG2047" s="87"/>
      <c r="AH2047" s="87"/>
      <c r="AI2047" s="87"/>
      <c r="AJ2047" s="87"/>
      <c r="AK2047" s="87"/>
      <c r="AL2047" s="87"/>
      <c r="AM2047" s="87"/>
      <c r="AN2047" s="87"/>
      <c r="AO2047" s="87"/>
      <c r="AP2047" s="87"/>
      <c r="AQ2047" s="87"/>
      <c r="AR2047" s="87"/>
      <c r="AS2047" s="87"/>
      <c r="AT2047" s="87"/>
      <c r="AU2047" s="87"/>
      <c r="AV2047" s="87"/>
      <c r="AW2047" s="87"/>
      <c r="AX2047" s="87"/>
      <c r="AY2047" s="87"/>
      <c r="AZ2047" s="87"/>
      <c r="BA2047" s="87"/>
      <c r="BB2047" s="87"/>
      <c r="BC2047" s="87"/>
      <c r="BD2047" s="87"/>
      <c r="BE2047" s="87"/>
      <c r="BF2047" s="87"/>
      <c r="BG2047" s="87"/>
      <c r="BH2047" s="87"/>
      <c r="BI2047" s="87"/>
      <c r="BJ2047" s="87"/>
      <c r="BK2047" s="87"/>
      <c r="BL2047" s="87"/>
      <c r="BM2047" s="87"/>
      <c r="BN2047" s="87"/>
      <c r="BO2047" s="87"/>
      <c r="BP2047" s="87"/>
      <c r="BQ2047" s="87"/>
      <c r="BR2047" s="87"/>
      <c r="BS2047" s="87"/>
      <c r="BT2047" s="87"/>
      <c r="BU2047" s="87"/>
      <c r="BV2047" s="87"/>
      <c r="BW2047" s="87"/>
      <c r="BX2047" s="87"/>
      <c r="BY2047" s="87"/>
    </row>
    <row r="2048" spans="21:77" x14ac:dyDescent="0.3">
      <c r="U2048" s="19"/>
      <c r="V2048" s="87"/>
      <c r="W2048" s="87"/>
      <c r="X2048" s="87"/>
      <c r="Y2048" s="87"/>
      <c r="Z2048" s="87"/>
      <c r="AA2048" s="87"/>
      <c r="AB2048" s="87"/>
      <c r="AC2048" s="87"/>
      <c r="AD2048" s="87"/>
      <c r="AE2048" s="87"/>
      <c r="AF2048" s="87"/>
      <c r="AG2048" s="87"/>
      <c r="AH2048" s="87"/>
      <c r="AI2048" s="87"/>
      <c r="AJ2048" s="87"/>
      <c r="AK2048" s="87"/>
      <c r="AL2048" s="87"/>
      <c r="AM2048" s="87"/>
      <c r="AN2048" s="87"/>
      <c r="AO2048" s="87"/>
      <c r="AP2048" s="87"/>
      <c r="AQ2048" s="87"/>
      <c r="AR2048" s="87"/>
      <c r="AS2048" s="87"/>
      <c r="AT2048" s="87"/>
      <c r="AU2048" s="87"/>
      <c r="AV2048" s="87"/>
      <c r="AW2048" s="87"/>
      <c r="AX2048" s="87"/>
      <c r="AY2048" s="87"/>
      <c r="AZ2048" s="87"/>
      <c r="BA2048" s="87"/>
      <c r="BB2048" s="87"/>
      <c r="BC2048" s="87"/>
      <c r="BD2048" s="87"/>
      <c r="BE2048" s="87"/>
      <c r="BF2048" s="87"/>
      <c r="BG2048" s="87"/>
      <c r="BH2048" s="87"/>
      <c r="BI2048" s="87"/>
      <c r="BJ2048" s="87"/>
      <c r="BK2048" s="87"/>
      <c r="BL2048" s="87"/>
      <c r="BM2048" s="87"/>
      <c r="BN2048" s="87"/>
      <c r="BO2048" s="87"/>
      <c r="BP2048" s="87"/>
      <c r="BQ2048" s="87"/>
      <c r="BR2048" s="87"/>
      <c r="BS2048" s="87"/>
      <c r="BT2048" s="87"/>
      <c r="BU2048" s="87"/>
      <c r="BV2048" s="87"/>
      <c r="BW2048" s="87"/>
      <c r="BX2048" s="87"/>
      <c r="BY2048" s="87"/>
    </row>
    <row r="2049" spans="21:77" x14ac:dyDescent="0.3">
      <c r="U2049" s="19"/>
      <c r="V2049" s="87"/>
      <c r="W2049" s="87"/>
      <c r="X2049" s="87"/>
      <c r="Y2049" s="87"/>
      <c r="Z2049" s="87"/>
      <c r="AA2049" s="87"/>
      <c r="AB2049" s="87"/>
      <c r="AC2049" s="87"/>
      <c r="AD2049" s="87"/>
      <c r="AE2049" s="87"/>
      <c r="AF2049" s="87"/>
      <c r="AG2049" s="87"/>
      <c r="AH2049" s="87"/>
      <c r="AI2049" s="87"/>
      <c r="AJ2049" s="87"/>
      <c r="AK2049" s="87"/>
      <c r="AL2049" s="87"/>
      <c r="AM2049" s="87"/>
      <c r="AN2049" s="87"/>
      <c r="AO2049" s="87"/>
      <c r="AP2049" s="87"/>
      <c r="AQ2049" s="87"/>
      <c r="AR2049" s="87"/>
      <c r="AS2049" s="87"/>
      <c r="AT2049" s="87"/>
      <c r="AU2049" s="87"/>
      <c r="AV2049" s="87"/>
      <c r="AW2049" s="87"/>
      <c r="AX2049" s="87"/>
      <c r="AY2049" s="87"/>
      <c r="AZ2049" s="87"/>
      <c r="BA2049" s="87"/>
      <c r="BB2049" s="87"/>
      <c r="BC2049" s="87"/>
      <c r="BD2049" s="87"/>
      <c r="BE2049" s="87"/>
      <c r="BF2049" s="87"/>
      <c r="BG2049" s="87"/>
      <c r="BH2049" s="87"/>
      <c r="BI2049" s="87"/>
      <c r="BJ2049" s="87"/>
      <c r="BK2049" s="87"/>
      <c r="BL2049" s="87"/>
      <c r="BM2049" s="87"/>
      <c r="BN2049" s="87"/>
      <c r="BO2049" s="87"/>
      <c r="BP2049" s="87"/>
      <c r="BQ2049" s="87"/>
      <c r="BR2049" s="87"/>
      <c r="BS2049" s="87"/>
      <c r="BT2049" s="87"/>
      <c r="BU2049" s="87"/>
      <c r="BV2049" s="87"/>
      <c r="BW2049" s="87"/>
      <c r="BX2049" s="87"/>
      <c r="BY2049" s="87"/>
    </row>
    <row r="2050" spans="21:77" x14ac:dyDescent="0.3">
      <c r="U2050" s="19"/>
      <c r="V2050" s="87"/>
      <c r="W2050" s="87"/>
      <c r="X2050" s="87"/>
      <c r="Y2050" s="87"/>
      <c r="Z2050" s="87"/>
      <c r="AA2050" s="87"/>
      <c r="AB2050" s="87"/>
      <c r="AC2050" s="87"/>
      <c r="AD2050" s="87"/>
      <c r="AE2050" s="87"/>
      <c r="AF2050" s="87"/>
      <c r="AG2050" s="87"/>
      <c r="AH2050" s="87"/>
      <c r="AI2050" s="87"/>
      <c r="AJ2050" s="87"/>
      <c r="AK2050" s="87"/>
      <c r="AL2050" s="87"/>
      <c r="AM2050" s="87"/>
      <c r="AN2050" s="87"/>
      <c r="AO2050" s="87"/>
      <c r="AP2050" s="87"/>
      <c r="AQ2050" s="87"/>
      <c r="AR2050" s="87"/>
      <c r="AS2050" s="87"/>
      <c r="AT2050" s="87"/>
      <c r="AU2050" s="87"/>
      <c r="AV2050" s="87"/>
      <c r="AW2050" s="87"/>
      <c r="AX2050" s="87"/>
      <c r="AY2050" s="87"/>
      <c r="AZ2050" s="87"/>
      <c r="BA2050" s="87"/>
      <c r="BB2050" s="87"/>
      <c r="BC2050" s="87"/>
      <c r="BD2050" s="87"/>
      <c r="BE2050" s="87"/>
      <c r="BF2050" s="87"/>
      <c r="BG2050" s="87"/>
      <c r="BH2050" s="87"/>
      <c r="BI2050" s="87"/>
      <c r="BJ2050" s="87"/>
      <c r="BK2050" s="87"/>
      <c r="BL2050" s="87"/>
      <c r="BM2050" s="87"/>
      <c r="BN2050" s="87"/>
      <c r="BO2050" s="87"/>
      <c r="BP2050" s="87"/>
      <c r="BQ2050" s="87"/>
      <c r="BR2050" s="87"/>
      <c r="BS2050" s="87"/>
      <c r="BT2050" s="87"/>
      <c r="BU2050" s="87"/>
      <c r="BV2050" s="87"/>
      <c r="BW2050" s="87"/>
      <c r="BX2050" s="87"/>
      <c r="BY2050" s="87"/>
    </row>
    <row r="2051" spans="21:77" x14ac:dyDescent="0.3">
      <c r="U2051" s="19"/>
      <c r="V2051" s="87"/>
      <c r="W2051" s="87"/>
      <c r="X2051" s="87"/>
      <c r="Y2051" s="87"/>
      <c r="Z2051" s="87"/>
      <c r="AA2051" s="87"/>
      <c r="AB2051" s="87"/>
      <c r="AC2051" s="87"/>
      <c r="AD2051" s="87"/>
      <c r="AE2051" s="87"/>
      <c r="AF2051" s="87"/>
      <c r="AG2051" s="87"/>
      <c r="AH2051" s="87"/>
      <c r="AI2051" s="87"/>
      <c r="AJ2051" s="87"/>
      <c r="AK2051" s="87"/>
      <c r="AL2051" s="87"/>
      <c r="AM2051" s="87"/>
      <c r="AN2051" s="87"/>
      <c r="AO2051" s="87"/>
      <c r="AP2051" s="87"/>
      <c r="AQ2051" s="87"/>
      <c r="AR2051" s="87"/>
      <c r="AS2051" s="87"/>
      <c r="AT2051" s="87"/>
      <c r="AU2051" s="87"/>
      <c r="AV2051" s="87"/>
      <c r="AW2051" s="87"/>
      <c r="AX2051" s="87"/>
      <c r="AY2051" s="87"/>
      <c r="AZ2051" s="87"/>
      <c r="BA2051" s="87"/>
      <c r="BB2051" s="87"/>
      <c r="BC2051" s="87"/>
      <c r="BD2051" s="87"/>
      <c r="BE2051" s="87"/>
      <c r="BF2051" s="87"/>
      <c r="BG2051" s="87"/>
      <c r="BH2051" s="87"/>
      <c r="BI2051" s="87"/>
      <c r="BJ2051" s="87"/>
      <c r="BK2051" s="87"/>
      <c r="BL2051" s="87"/>
      <c r="BM2051" s="87"/>
      <c r="BN2051" s="87"/>
      <c r="BO2051" s="87"/>
      <c r="BP2051" s="87"/>
      <c r="BQ2051" s="87"/>
      <c r="BR2051" s="87"/>
      <c r="BS2051" s="87"/>
      <c r="BT2051" s="87"/>
      <c r="BU2051" s="87"/>
      <c r="BV2051" s="87"/>
      <c r="BW2051" s="87"/>
      <c r="BX2051" s="87"/>
      <c r="BY2051" s="87"/>
    </row>
    <row r="2052" spans="21:77" x14ac:dyDescent="0.3">
      <c r="U2052" s="19"/>
      <c r="V2052" s="87"/>
      <c r="W2052" s="87"/>
      <c r="X2052" s="87"/>
      <c r="Y2052" s="87"/>
      <c r="Z2052" s="87"/>
      <c r="AA2052" s="87"/>
      <c r="AB2052" s="87"/>
      <c r="AC2052" s="87"/>
      <c r="AD2052" s="87"/>
      <c r="AE2052" s="87"/>
      <c r="AF2052" s="87"/>
      <c r="AG2052" s="87"/>
      <c r="AH2052" s="87"/>
      <c r="AI2052" s="87"/>
      <c r="AJ2052" s="87"/>
      <c r="AK2052" s="87"/>
      <c r="AL2052" s="87"/>
      <c r="AM2052" s="87"/>
      <c r="AN2052" s="87"/>
      <c r="AO2052" s="87"/>
      <c r="AP2052" s="87"/>
      <c r="AQ2052" s="87"/>
      <c r="AR2052" s="87"/>
      <c r="AS2052" s="87"/>
      <c r="AT2052" s="87"/>
      <c r="AU2052" s="87"/>
      <c r="AV2052" s="87"/>
      <c r="AW2052" s="87"/>
      <c r="AX2052" s="87"/>
      <c r="AY2052" s="87"/>
      <c r="AZ2052" s="87"/>
      <c r="BA2052" s="87"/>
      <c r="BB2052" s="87"/>
      <c r="BC2052" s="87"/>
      <c r="BD2052" s="87"/>
      <c r="BE2052" s="87"/>
      <c r="BF2052" s="87"/>
      <c r="BG2052" s="87"/>
      <c r="BH2052" s="87"/>
      <c r="BI2052" s="87"/>
      <c r="BJ2052" s="87"/>
      <c r="BK2052" s="87"/>
      <c r="BL2052" s="87"/>
      <c r="BM2052" s="87"/>
      <c r="BN2052" s="87"/>
      <c r="BO2052" s="87"/>
      <c r="BP2052" s="87"/>
      <c r="BQ2052" s="87"/>
      <c r="BR2052" s="87"/>
      <c r="BS2052" s="87"/>
      <c r="BT2052" s="87"/>
      <c r="BU2052" s="87"/>
      <c r="BV2052" s="87"/>
      <c r="BW2052" s="87"/>
      <c r="BX2052" s="87"/>
      <c r="BY2052" s="87"/>
    </row>
    <row r="2053" spans="21:77" x14ac:dyDescent="0.3">
      <c r="U2053" s="19"/>
      <c r="V2053" s="87"/>
      <c r="W2053" s="87"/>
      <c r="X2053" s="87"/>
      <c r="Y2053" s="87"/>
      <c r="Z2053" s="87"/>
      <c r="AA2053" s="87"/>
      <c r="AB2053" s="87"/>
      <c r="AC2053" s="87"/>
      <c r="AD2053" s="87"/>
      <c r="AE2053" s="87"/>
      <c r="AF2053" s="87"/>
      <c r="AG2053" s="87"/>
      <c r="AH2053" s="87"/>
      <c r="AI2053" s="87"/>
      <c r="AJ2053" s="87"/>
      <c r="AK2053" s="87"/>
      <c r="AL2053" s="87"/>
      <c r="AM2053" s="87"/>
      <c r="AN2053" s="87"/>
      <c r="AO2053" s="87"/>
      <c r="AP2053" s="87"/>
      <c r="AQ2053" s="87"/>
      <c r="AR2053" s="87"/>
      <c r="AS2053" s="87"/>
      <c r="AT2053" s="87"/>
      <c r="AU2053" s="87"/>
      <c r="AV2053" s="87"/>
      <c r="AW2053" s="87"/>
      <c r="AX2053" s="87"/>
      <c r="AY2053" s="87"/>
      <c r="AZ2053" s="87"/>
      <c r="BA2053" s="87"/>
      <c r="BB2053" s="87"/>
      <c r="BC2053" s="87"/>
      <c r="BD2053" s="87"/>
      <c r="BE2053" s="87"/>
      <c r="BF2053" s="87"/>
      <c r="BG2053" s="87"/>
      <c r="BH2053" s="87"/>
      <c r="BI2053" s="87"/>
      <c r="BJ2053" s="87"/>
      <c r="BK2053" s="87"/>
      <c r="BL2053" s="87"/>
      <c r="BM2053" s="87"/>
      <c r="BN2053" s="87"/>
      <c r="BO2053" s="87"/>
      <c r="BP2053" s="87"/>
      <c r="BQ2053" s="87"/>
      <c r="BR2053" s="87"/>
      <c r="BS2053" s="87"/>
      <c r="BT2053" s="87"/>
      <c r="BU2053" s="87"/>
      <c r="BV2053" s="87"/>
      <c r="BW2053" s="87"/>
      <c r="BX2053" s="87"/>
      <c r="BY2053" s="87"/>
    </row>
    <row r="2054" spans="21:77" x14ac:dyDescent="0.3">
      <c r="U2054" s="19"/>
      <c r="V2054" s="87"/>
      <c r="W2054" s="87"/>
      <c r="X2054" s="87"/>
      <c r="Y2054" s="87"/>
      <c r="Z2054" s="87"/>
      <c r="AA2054" s="87"/>
      <c r="AB2054" s="87"/>
      <c r="AC2054" s="87"/>
      <c r="AD2054" s="87"/>
      <c r="AE2054" s="87"/>
      <c r="AF2054" s="87"/>
      <c r="AG2054" s="87"/>
      <c r="AH2054" s="87"/>
      <c r="AI2054" s="87"/>
      <c r="AJ2054" s="87"/>
      <c r="AK2054" s="87"/>
      <c r="AL2054" s="87"/>
      <c r="AM2054" s="87"/>
      <c r="AN2054" s="87"/>
      <c r="AO2054" s="87"/>
      <c r="AP2054" s="87"/>
      <c r="AQ2054" s="87"/>
      <c r="AR2054" s="87"/>
      <c r="AS2054" s="87"/>
      <c r="AT2054" s="87"/>
      <c r="AU2054" s="87"/>
      <c r="AV2054" s="87"/>
      <c r="AW2054" s="87"/>
      <c r="AX2054" s="87"/>
      <c r="AY2054" s="87"/>
      <c r="AZ2054" s="87"/>
      <c r="BA2054" s="87"/>
      <c r="BB2054" s="87"/>
      <c r="BC2054" s="87"/>
      <c r="BD2054" s="87"/>
      <c r="BE2054" s="87"/>
      <c r="BF2054" s="87"/>
      <c r="BG2054" s="87"/>
      <c r="BH2054" s="87"/>
      <c r="BI2054" s="87"/>
      <c r="BJ2054" s="87"/>
      <c r="BK2054" s="87"/>
      <c r="BL2054" s="87"/>
      <c r="BM2054" s="87"/>
      <c r="BN2054" s="87"/>
      <c r="BO2054" s="87"/>
      <c r="BP2054" s="87"/>
      <c r="BQ2054" s="87"/>
      <c r="BR2054" s="87"/>
      <c r="BS2054" s="87"/>
      <c r="BT2054" s="87"/>
      <c r="BU2054" s="87"/>
      <c r="BV2054" s="87"/>
      <c r="BW2054" s="87"/>
      <c r="BX2054" s="87"/>
      <c r="BY2054" s="87"/>
    </row>
    <row r="2055" spans="21:77" x14ac:dyDescent="0.3">
      <c r="U2055" s="19"/>
      <c r="V2055" s="87"/>
      <c r="W2055" s="87"/>
      <c r="X2055" s="87"/>
      <c r="Y2055" s="87"/>
      <c r="Z2055" s="87"/>
      <c r="AA2055" s="87"/>
      <c r="AB2055" s="87"/>
      <c r="AC2055" s="87"/>
      <c r="AD2055" s="87"/>
      <c r="AE2055" s="87"/>
      <c r="AF2055" s="87"/>
      <c r="AG2055" s="87"/>
      <c r="AH2055" s="87"/>
      <c r="AI2055" s="87"/>
      <c r="AJ2055" s="87"/>
      <c r="AK2055" s="87"/>
      <c r="AL2055" s="87"/>
      <c r="AM2055" s="87"/>
      <c r="AN2055" s="87"/>
      <c r="AO2055" s="87"/>
      <c r="AP2055" s="87"/>
      <c r="AQ2055" s="87"/>
      <c r="AR2055" s="87"/>
      <c r="AS2055" s="87"/>
      <c r="AT2055" s="87"/>
      <c r="AU2055" s="87"/>
      <c r="AV2055" s="87"/>
      <c r="AW2055" s="87"/>
      <c r="AX2055" s="87"/>
      <c r="AY2055" s="87"/>
      <c r="AZ2055" s="87"/>
      <c r="BA2055" s="87"/>
      <c r="BB2055" s="87"/>
      <c r="BC2055" s="87"/>
      <c r="BD2055" s="87"/>
      <c r="BE2055" s="87"/>
      <c r="BF2055" s="87"/>
      <c r="BG2055" s="87"/>
      <c r="BH2055" s="87"/>
      <c r="BI2055" s="87"/>
      <c r="BJ2055" s="87"/>
      <c r="BK2055" s="87"/>
      <c r="BL2055" s="87"/>
      <c r="BM2055" s="87"/>
      <c r="BN2055" s="87"/>
      <c r="BO2055" s="87"/>
      <c r="BP2055" s="87"/>
      <c r="BQ2055" s="87"/>
      <c r="BR2055" s="87"/>
      <c r="BS2055" s="87"/>
      <c r="BT2055" s="87"/>
      <c r="BU2055" s="87"/>
      <c r="BV2055" s="87"/>
      <c r="BW2055" s="87"/>
      <c r="BX2055" s="87"/>
      <c r="BY2055" s="87"/>
    </row>
    <row r="2056" spans="21:77" x14ac:dyDescent="0.3">
      <c r="U2056" s="19"/>
      <c r="V2056" s="87"/>
      <c r="W2056" s="87"/>
      <c r="X2056" s="87"/>
      <c r="Y2056" s="87"/>
      <c r="Z2056" s="87"/>
      <c r="AA2056" s="87"/>
      <c r="AB2056" s="87"/>
      <c r="AC2056" s="87"/>
      <c r="AD2056" s="87"/>
      <c r="AE2056" s="87"/>
      <c r="AF2056" s="87"/>
      <c r="AG2056" s="87"/>
      <c r="AH2056" s="87"/>
      <c r="AI2056" s="87"/>
      <c r="AJ2056" s="87"/>
      <c r="AK2056" s="87"/>
      <c r="AL2056" s="87"/>
      <c r="AM2056" s="87"/>
      <c r="AN2056" s="87"/>
      <c r="AO2056" s="87"/>
      <c r="AP2056" s="87"/>
      <c r="AQ2056" s="87"/>
      <c r="AR2056" s="87"/>
      <c r="AS2056" s="87"/>
      <c r="AT2056" s="87"/>
      <c r="AU2056" s="87"/>
      <c r="AV2056" s="87"/>
      <c r="AW2056" s="87"/>
      <c r="AX2056" s="87"/>
      <c r="AY2056" s="87"/>
      <c r="AZ2056" s="87"/>
      <c r="BA2056" s="87"/>
      <c r="BB2056" s="87"/>
      <c r="BC2056" s="87"/>
      <c r="BD2056" s="87"/>
      <c r="BE2056" s="87"/>
      <c r="BF2056" s="87"/>
      <c r="BG2056" s="87"/>
      <c r="BH2056" s="87"/>
      <c r="BI2056" s="87"/>
      <c r="BJ2056" s="87"/>
      <c r="BK2056" s="87"/>
      <c r="BL2056" s="87"/>
      <c r="BM2056" s="87"/>
      <c r="BN2056" s="87"/>
      <c r="BO2056" s="87"/>
      <c r="BP2056" s="87"/>
      <c r="BQ2056" s="87"/>
      <c r="BR2056" s="87"/>
      <c r="BS2056" s="87"/>
      <c r="BT2056" s="87"/>
      <c r="BU2056" s="87"/>
      <c r="BV2056" s="87"/>
      <c r="BW2056" s="87"/>
      <c r="BX2056" s="87"/>
      <c r="BY2056" s="87"/>
    </row>
    <row r="2057" spans="21:77" x14ac:dyDescent="0.3">
      <c r="U2057" s="19"/>
      <c r="V2057" s="87"/>
      <c r="W2057" s="87"/>
      <c r="X2057" s="87"/>
      <c r="Y2057" s="87"/>
      <c r="Z2057" s="87"/>
      <c r="AA2057" s="87"/>
      <c r="AB2057" s="87"/>
      <c r="AC2057" s="87"/>
      <c r="AD2057" s="87"/>
      <c r="AE2057" s="87"/>
      <c r="AF2057" s="87"/>
      <c r="AG2057" s="87"/>
      <c r="AH2057" s="87"/>
      <c r="AI2057" s="87"/>
      <c r="AJ2057" s="87"/>
      <c r="AK2057" s="87"/>
      <c r="AL2057" s="87"/>
      <c r="AM2057" s="87"/>
      <c r="AN2057" s="87"/>
      <c r="AO2057" s="87"/>
      <c r="AP2057" s="87"/>
      <c r="AQ2057" s="87"/>
      <c r="AR2057" s="87"/>
      <c r="AS2057" s="87"/>
      <c r="AT2057" s="87"/>
      <c r="AU2057" s="87"/>
      <c r="AV2057" s="87"/>
      <c r="AW2057" s="87"/>
      <c r="AX2057" s="87"/>
      <c r="AY2057" s="87"/>
      <c r="AZ2057" s="87"/>
      <c r="BA2057" s="87"/>
      <c r="BB2057" s="87"/>
      <c r="BC2057" s="87"/>
      <c r="BD2057" s="87"/>
      <c r="BE2057" s="87"/>
      <c r="BF2057" s="87"/>
      <c r="BG2057" s="87"/>
      <c r="BH2057" s="87"/>
      <c r="BI2057" s="87"/>
      <c r="BJ2057" s="87"/>
      <c r="BK2057" s="87"/>
      <c r="BL2057" s="87"/>
      <c r="BM2057" s="87"/>
      <c r="BN2057" s="87"/>
      <c r="BO2057" s="87"/>
      <c r="BP2057" s="87"/>
      <c r="BQ2057" s="87"/>
      <c r="BR2057" s="87"/>
      <c r="BS2057" s="87"/>
      <c r="BT2057" s="87"/>
      <c r="BU2057" s="87"/>
      <c r="BV2057" s="87"/>
      <c r="BW2057" s="87"/>
      <c r="BX2057" s="87"/>
      <c r="BY2057" s="87"/>
    </row>
    <row r="2058" spans="21:77" x14ac:dyDescent="0.3">
      <c r="U2058" s="19"/>
      <c r="V2058" s="87"/>
      <c r="W2058" s="87"/>
      <c r="X2058" s="87"/>
      <c r="Y2058" s="87"/>
      <c r="Z2058" s="87"/>
      <c r="AA2058" s="87"/>
      <c r="AB2058" s="87"/>
      <c r="AC2058" s="87"/>
      <c r="AD2058" s="87"/>
      <c r="AE2058" s="87"/>
      <c r="AF2058" s="87"/>
      <c r="AG2058" s="87"/>
      <c r="AH2058" s="87"/>
      <c r="AI2058" s="87"/>
      <c r="AJ2058" s="87"/>
      <c r="AK2058" s="87"/>
      <c r="AL2058" s="87"/>
      <c r="AM2058" s="87"/>
      <c r="AN2058" s="87"/>
      <c r="AO2058" s="87"/>
      <c r="AP2058" s="87"/>
      <c r="AQ2058" s="87"/>
      <c r="AR2058" s="87"/>
      <c r="AS2058" s="87"/>
      <c r="AT2058" s="87"/>
      <c r="AU2058" s="87"/>
      <c r="AV2058" s="87"/>
      <c r="AW2058" s="87"/>
      <c r="AX2058" s="87"/>
      <c r="AY2058" s="87"/>
      <c r="AZ2058" s="87"/>
      <c r="BA2058" s="87"/>
      <c r="BB2058" s="87"/>
      <c r="BC2058" s="87"/>
      <c r="BD2058" s="87"/>
      <c r="BE2058" s="87"/>
      <c r="BF2058" s="87"/>
      <c r="BG2058" s="87"/>
      <c r="BH2058" s="87"/>
      <c r="BI2058" s="87"/>
      <c r="BJ2058" s="87"/>
      <c r="BK2058" s="87"/>
      <c r="BL2058" s="87"/>
      <c r="BM2058" s="87"/>
      <c r="BN2058" s="87"/>
      <c r="BO2058" s="87"/>
      <c r="BP2058" s="87"/>
      <c r="BQ2058" s="87"/>
      <c r="BR2058" s="87"/>
      <c r="BS2058" s="87"/>
      <c r="BT2058" s="87"/>
      <c r="BU2058" s="87"/>
      <c r="BV2058" s="87"/>
      <c r="BW2058" s="87"/>
      <c r="BX2058" s="87"/>
      <c r="BY2058" s="87"/>
    </row>
    <row r="2059" spans="21:77" x14ac:dyDescent="0.3">
      <c r="U2059" s="19"/>
      <c r="V2059" s="87"/>
      <c r="W2059" s="87"/>
      <c r="X2059" s="87"/>
      <c r="Y2059" s="87"/>
      <c r="Z2059" s="87"/>
      <c r="AA2059" s="87"/>
      <c r="AB2059" s="87"/>
      <c r="AC2059" s="87"/>
      <c r="AD2059" s="87"/>
      <c r="AE2059" s="87"/>
      <c r="AF2059" s="87"/>
      <c r="AG2059" s="87"/>
      <c r="AH2059" s="87"/>
      <c r="AI2059" s="87"/>
      <c r="AJ2059" s="87"/>
      <c r="AK2059" s="87"/>
      <c r="AL2059" s="87"/>
      <c r="AM2059" s="87"/>
      <c r="AN2059" s="87"/>
      <c r="AO2059" s="87"/>
      <c r="AP2059" s="87"/>
      <c r="AQ2059" s="87"/>
      <c r="AR2059" s="87"/>
      <c r="AS2059" s="87"/>
      <c r="AT2059" s="87"/>
      <c r="AU2059" s="87"/>
      <c r="AV2059" s="87"/>
      <c r="AW2059" s="87"/>
      <c r="AX2059" s="87"/>
      <c r="AY2059" s="87"/>
      <c r="AZ2059" s="87"/>
      <c r="BA2059" s="87"/>
      <c r="BB2059" s="87"/>
      <c r="BC2059" s="87"/>
      <c r="BD2059" s="87"/>
      <c r="BE2059" s="87"/>
      <c r="BF2059" s="87"/>
      <c r="BG2059" s="87"/>
      <c r="BH2059" s="87"/>
      <c r="BI2059" s="87"/>
      <c r="BJ2059" s="87"/>
      <c r="BK2059" s="87"/>
      <c r="BL2059" s="87"/>
      <c r="BM2059" s="87"/>
      <c r="BN2059" s="87"/>
      <c r="BO2059" s="87"/>
      <c r="BP2059" s="87"/>
      <c r="BQ2059" s="87"/>
      <c r="BR2059" s="87"/>
      <c r="BS2059" s="87"/>
      <c r="BT2059" s="87"/>
      <c r="BU2059" s="87"/>
      <c r="BV2059" s="87"/>
      <c r="BW2059" s="87"/>
      <c r="BX2059" s="87"/>
      <c r="BY2059" s="87"/>
    </row>
    <row r="2060" spans="21:77" x14ac:dyDescent="0.3">
      <c r="U2060" s="19"/>
      <c r="V2060" s="87"/>
      <c r="W2060" s="87"/>
      <c r="X2060" s="87"/>
      <c r="Y2060" s="87"/>
      <c r="Z2060" s="87"/>
      <c r="AA2060" s="87"/>
      <c r="AB2060" s="87"/>
      <c r="AC2060" s="87"/>
      <c r="AD2060" s="87"/>
      <c r="AE2060" s="87"/>
      <c r="AF2060" s="87"/>
      <c r="AG2060" s="87"/>
      <c r="AH2060" s="87"/>
      <c r="AI2060" s="87"/>
      <c r="AJ2060" s="87"/>
      <c r="AK2060" s="87"/>
      <c r="AL2060" s="87"/>
      <c r="AM2060" s="87"/>
      <c r="AN2060" s="87"/>
      <c r="AO2060" s="87"/>
      <c r="AP2060" s="87"/>
      <c r="AQ2060" s="87"/>
      <c r="AR2060" s="87"/>
      <c r="AS2060" s="87"/>
      <c r="AT2060" s="87"/>
      <c r="AU2060" s="87"/>
      <c r="AV2060" s="87"/>
      <c r="AW2060" s="87"/>
      <c r="AX2060" s="87"/>
      <c r="AY2060" s="87"/>
      <c r="AZ2060" s="87"/>
      <c r="BA2060" s="87"/>
      <c r="BB2060" s="87"/>
      <c r="BC2060" s="87"/>
      <c r="BD2060" s="87"/>
      <c r="BE2060" s="87"/>
      <c r="BF2060" s="87"/>
      <c r="BG2060" s="87"/>
      <c r="BH2060" s="87"/>
      <c r="BI2060" s="87"/>
      <c r="BJ2060" s="87"/>
      <c r="BK2060" s="87"/>
      <c r="BL2060" s="87"/>
      <c r="BM2060" s="87"/>
      <c r="BN2060" s="87"/>
      <c r="BO2060" s="87"/>
      <c r="BP2060" s="87"/>
      <c r="BQ2060" s="87"/>
      <c r="BR2060" s="87"/>
      <c r="BS2060" s="87"/>
      <c r="BT2060" s="87"/>
      <c r="BU2060" s="87"/>
      <c r="BV2060" s="87"/>
      <c r="BW2060" s="87"/>
      <c r="BX2060" s="87"/>
      <c r="BY2060" s="87"/>
    </row>
    <row r="2061" spans="21:77" x14ac:dyDescent="0.3">
      <c r="U2061" s="19"/>
      <c r="V2061" s="87"/>
      <c r="W2061" s="87"/>
      <c r="X2061" s="87"/>
      <c r="Y2061" s="87"/>
      <c r="Z2061" s="87"/>
      <c r="AA2061" s="87"/>
      <c r="AB2061" s="87"/>
      <c r="AC2061" s="87"/>
      <c r="AD2061" s="87"/>
      <c r="AE2061" s="87"/>
      <c r="AF2061" s="87"/>
      <c r="AG2061" s="87"/>
      <c r="AH2061" s="87"/>
      <c r="AI2061" s="87"/>
      <c r="AJ2061" s="87"/>
      <c r="AK2061" s="87"/>
      <c r="AL2061" s="87"/>
      <c r="AM2061" s="87"/>
      <c r="AN2061" s="87"/>
      <c r="AO2061" s="87"/>
      <c r="AP2061" s="87"/>
      <c r="AQ2061" s="87"/>
      <c r="AR2061" s="87"/>
      <c r="AS2061" s="87"/>
      <c r="AT2061" s="87"/>
      <c r="AU2061" s="87"/>
      <c r="AV2061" s="87"/>
      <c r="AW2061" s="87"/>
      <c r="AX2061" s="87"/>
      <c r="AY2061" s="87"/>
      <c r="AZ2061" s="87"/>
      <c r="BA2061" s="87"/>
      <c r="BB2061" s="87"/>
      <c r="BC2061" s="87"/>
      <c r="BD2061" s="87"/>
      <c r="BE2061" s="87"/>
      <c r="BF2061" s="87"/>
      <c r="BG2061" s="87"/>
      <c r="BH2061" s="87"/>
      <c r="BI2061" s="87"/>
      <c r="BJ2061" s="87"/>
      <c r="BK2061" s="87"/>
      <c r="BL2061" s="87"/>
      <c r="BM2061" s="87"/>
      <c r="BN2061" s="87"/>
      <c r="BO2061" s="87"/>
      <c r="BP2061" s="87"/>
      <c r="BQ2061" s="87"/>
      <c r="BR2061" s="87"/>
      <c r="BS2061" s="87"/>
      <c r="BT2061" s="87"/>
      <c r="BU2061" s="87"/>
      <c r="BV2061" s="87"/>
      <c r="BW2061" s="87"/>
      <c r="BX2061" s="87"/>
      <c r="BY2061" s="87"/>
    </row>
    <row r="2062" spans="21:77" x14ac:dyDescent="0.3">
      <c r="U2062" s="19"/>
      <c r="V2062" s="87"/>
      <c r="W2062" s="87"/>
      <c r="X2062" s="87"/>
      <c r="Y2062" s="87"/>
      <c r="Z2062" s="87"/>
      <c r="AA2062" s="87"/>
      <c r="AB2062" s="87"/>
      <c r="AC2062" s="87"/>
      <c r="AD2062" s="87"/>
      <c r="AE2062" s="87"/>
      <c r="AF2062" s="87"/>
      <c r="AG2062" s="87"/>
      <c r="AH2062" s="87"/>
      <c r="AI2062" s="87"/>
      <c r="AJ2062" s="87"/>
      <c r="AK2062" s="87"/>
      <c r="AL2062" s="87"/>
      <c r="AM2062" s="87"/>
      <c r="AN2062" s="87"/>
      <c r="AO2062" s="87"/>
      <c r="AP2062" s="87"/>
      <c r="AQ2062" s="87"/>
      <c r="AR2062" s="87"/>
      <c r="AS2062" s="87"/>
      <c r="AT2062" s="87"/>
      <c r="AU2062" s="87"/>
      <c r="AV2062" s="87"/>
      <c r="AW2062" s="87"/>
      <c r="AX2062" s="87"/>
      <c r="AY2062" s="87"/>
      <c r="AZ2062" s="87"/>
      <c r="BA2062" s="87"/>
      <c r="BB2062" s="87"/>
      <c r="BC2062" s="87"/>
      <c r="BD2062" s="87"/>
      <c r="BE2062" s="87"/>
      <c r="BF2062" s="87"/>
      <c r="BG2062" s="87"/>
      <c r="BH2062" s="87"/>
      <c r="BI2062" s="87"/>
      <c r="BJ2062" s="87"/>
      <c r="BK2062" s="87"/>
      <c r="BL2062" s="87"/>
      <c r="BM2062" s="87"/>
      <c r="BN2062" s="87"/>
      <c r="BO2062" s="87"/>
      <c r="BP2062" s="87"/>
      <c r="BQ2062" s="87"/>
      <c r="BR2062" s="87"/>
      <c r="BS2062" s="87"/>
      <c r="BT2062" s="87"/>
      <c r="BU2062" s="87"/>
      <c r="BV2062" s="87"/>
      <c r="BW2062" s="87"/>
      <c r="BX2062" s="87"/>
      <c r="BY2062" s="87"/>
    </row>
    <row r="2063" spans="21:77" x14ac:dyDescent="0.3">
      <c r="U2063" s="19"/>
      <c r="V2063" s="87"/>
      <c r="W2063" s="87"/>
      <c r="X2063" s="87"/>
      <c r="Y2063" s="87"/>
      <c r="Z2063" s="87"/>
      <c r="AA2063" s="87"/>
      <c r="AB2063" s="87"/>
      <c r="AC2063" s="87"/>
      <c r="AD2063" s="87"/>
      <c r="AE2063" s="87"/>
      <c r="AF2063" s="87"/>
      <c r="AG2063" s="87"/>
      <c r="AH2063" s="87"/>
      <c r="AI2063" s="87"/>
      <c r="AJ2063" s="87"/>
      <c r="AK2063" s="87"/>
      <c r="AL2063" s="87"/>
      <c r="AM2063" s="87"/>
      <c r="AN2063" s="87"/>
      <c r="AO2063" s="87"/>
      <c r="AP2063" s="87"/>
      <c r="AQ2063" s="87"/>
      <c r="AR2063" s="87"/>
      <c r="AS2063" s="87"/>
      <c r="AT2063" s="87"/>
      <c r="AU2063" s="87"/>
      <c r="AV2063" s="87"/>
      <c r="AW2063" s="87"/>
      <c r="AX2063" s="87"/>
      <c r="AY2063" s="87"/>
      <c r="AZ2063" s="87"/>
      <c r="BA2063" s="87"/>
      <c r="BB2063" s="87"/>
      <c r="BC2063" s="87"/>
      <c r="BD2063" s="87"/>
      <c r="BE2063" s="87"/>
      <c r="BF2063" s="87"/>
      <c r="BG2063" s="87"/>
      <c r="BH2063" s="87"/>
      <c r="BI2063" s="87"/>
      <c r="BJ2063" s="87"/>
      <c r="BK2063" s="87"/>
      <c r="BL2063" s="87"/>
      <c r="BM2063" s="87"/>
      <c r="BN2063" s="87"/>
      <c r="BO2063" s="87"/>
      <c r="BP2063" s="87"/>
      <c r="BQ2063" s="87"/>
      <c r="BR2063" s="87"/>
      <c r="BS2063" s="87"/>
      <c r="BT2063" s="87"/>
      <c r="BU2063" s="87"/>
      <c r="BV2063" s="87"/>
      <c r="BW2063" s="87"/>
      <c r="BX2063" s="87"/>
      <c r="BY2063" s="87"/>
    </row>
    <row r="2064" spans="21:77" x14ac:dyDescent="0.3">
      <c r="U2064" s="19"/>
      <c r="V2064" s="87"/>
      <c r="W2064" s="87"/>
      <c r="X2064" s="87"/>
      <c r="Y2064" s="87"/>
      <c r="Z2064" s="87"/>
      <c r="AA2064" s="87"/>
      <c r="AB2064" s="87"/>
      <c r="AC2064" s="87"/>
      <c r="AD2064" s="87"/>
      <c r="AE2064" s="87"/>
      <c r="AF2064" s="87"/>
      <c r="AG2064" s="87"/>
      <c r="AH2064" s="87"/>
      <c r="AI2064" s="87"/>
      <c r="AJ2064" s="87"/>
      <c r="AK2064" s="87"/>
      <c r="AL2064" s="87"/>
      <c r="AM2064" s="87"/>
      <c r="AN2064" s="87"/>
      <c r="AO2064" s="87"/>
      <c r="AP2064" s="87"/>
      <c r="AQ2064" s="87"/>
      <c r="AR2064" s="87"/>
      <c r="AS2064" s="87"/>
      <c r="AT2064" s="87"/>
      <c r="AU2064" s="87"/>
      <c r="AV2064" s="87"/>
      <c r="AW2064" s="87"/>
      <c r="AX2064" s="87"/>
      <c r="AY2064" s="87"/>
      <c r="AZ2064" s="87"/>
      <c r="BA2064" s="87"/>
      <c r="BB2064" s="87"/>
      <c r="BC2064" s="87"/>
      <c r="BD2064" s="87"/>
      <c r="BE2064" s="87"/>
      <c r="BF2064" s="87"/>
      <c r="BG2064" s="87"/>
      <c r="BH2064" s="87"/>
      <c r="BI2064" s="87"/>
      <c r="BJ2064" s="87"/>
      <c r="BK2064" s="87"/>
      <c r="BL2064" s="87"/>
      <c r="BM2064" s="87"/>
      <c r="BN2064" s="87"/>
      <c r="BO2064" s="87"/>
      <c r="BP2064" s="87"/>
      <c r="BQ2064" s="87"/>
      <c r="BR2064" s="87"/>
      <c r="BS2064" s="87"/>
      <c r="BT2064" s="87"/>
      <c r="BU2064" s="87"/>
      <c r="BV2064" s="87"/>
      <c r="BW2064" s="87"/>
      <c r="BX2064" s="87"/>
      <c r="BY2064" s="87"/>
    </row>
    <row r="2065" spans="21:77" x14ac:dyDescent="0.3">
      <c r="U2065" s="19"/>
      <c r="V2065" s="87"/>
      <c r="W2065" s="87"/>
      <c r="X2065" s="87"/>
      <c r="Y2065" s="87"/>
      <c r="Z2065" s="87"/>
      <c r="AA2065" s="87"/>
      <c r="AB2065" s="87"/>
      <c r="AC2065" s="87"/>
      <c r="AD2065" s="87"/>
      <c r="AE2065" s="87"/>
      <c r="AF2065" s="87"/>
      <c r="AG2065" s="87"/>
      <c r="AH2065" s="87"/>
      <c r="AI2065" s="87"/>
      <c r="AJ2065" s="87"/>
      <c r="AK2065" s="87"/>
      <c r="AL2065" s="87"/>
      <c r="AM2065" s="87"/>
      <c r="AN2065" s="87"/>
      <c r="AO2065" s="87"/>
      <c r="AP2065" s="87"/>
      <c r="AQ2065" s="87"/>
      <c r="AR2065" s="87"/>
      <c r="AS2065" s="87"/>
      <c r="AT2065" s="87"/>
      <c r="AU2065" s="87"/>
      <c r="AV2065" s="87"/>
      <c r="AW2065" s="87"/>
      <c r="AX2065" s="87"/>
      <c r="AY2065" s="87"/>
      <c r="AZ2065" s="87"/>
      <c r="BA2065" s="87"/>
      <c r="BB2065" s="87"/>
      <c r="BC2065" s="87"/>
      <c r="BD2065" s="87"/>
      <c r="BE2065" s="87"/>
      <c r="BF2065" s="87"/>
      <c r="BG2065" s="87"/>
      <c r="BH2065" s="87"/>
      <c r="BI2065" s="87"/>
      <c r="BJ2065" s="87"/>
      <c r="BK2065" s="87"/>
      <c r="BL2065" s="87"/>
      <c r="BM2065" s="87"/>
      <c r="BN2065" s="87"/>
      <c r="BO2065" s="87"/>
      <c r="BP2065" s="87"/>
      <c r="BQ2065" s="87"/>
      <c r="BR2065" s="87"/>
      <c r="BS2065" s="87"/>
      <c r="BT2065" s="87"/>
      <c r="BU2065" s="87"/>
      <c r="BV2065" s="87"/>
      <c r="BW2065" s="87"/>
      <c r="BX2065" s="87"/>
      <c r="BY2065" s="87"/>
    </row>
    <row r="2066" spans="21:77" x14ac:dyDescent="0.3">
      <c r="U2066" s="19"/>
      <c r="V2066" s="87"/>
      <c r="W2066" s="87"/>
      <c r="X2066" s="87"/>
      <c r="Y2066" s="87"/>
      <c r="Z2066" s="87"/>
      <c r="AA2066" s="87"/>
      <c r="AB2066" s="87"/>
      <c r="AC2066" s="87"/>
      <c r="AD2066" s="87"/>
      <c r="AE2066" s="87"/>
      <c r="AF2066" s="87"/>
      <c r="AG2066" s="87"/>
      <c r="AH2066" s="87"/>
      <c r="AI2066" s="87"/>
      <c r="AJ2066" s="87"/>
      <c r="AK2066" s="87"/>
      <c r="AL2066" s="87"/>
      <c r="AM2066" s="87"/>
      <c r="AN2066" s="87"/>
      <c r="AO2066" s="87"/>
      <c r="AP2066" s="87"/>
      <c r="AQ2066" s="87"/>
      <c r="AR2066" s="87"/>
      <c r="AS2066" s="87"/>
      <c r="AT2066" s="87"/>
      <c r="AU2066" s="87"/>
      <c r="AV2066" s="87"/>
      <c r="AW2066" s="87"/>
      <c r="AX2066" s="87"/>
      <c r="AY2066" s="87"/>
      <c r="AZ2066" s="87"/>
      <c r="BA2066" s="87"/>
      <c r="BB2066" s="87"/>
      <c r="BC2066" s="87"/>
      <c r="BD2066" s="87"/>
      <c r="BE2066" s="87"/>
      <c r="BF2066" s="87"/>
      <c r="BG2066" s="87"/>
      <c r="BH2066" s="87"/>
      <c r="BI2066" s="87"/>
      <c r="BJ2066" s="87"/>
      <c r="BK2066" s="87"/>
      <c r="BL2066" s="87"/>
      <c r="BM2066" s="87"/>
      <c r="BN2066" s="87"/>
      <c r="BO2066" s="87"/>
      <c r="BP2066" s="87"/>
      <c r="BQ2066" s="87"/>
      <c r="BR2066" s="87"/>
      <c r="BS2066" s="87"/>
      <c r="BT2066" s="87"/>
      <c r="BU2066" s="87"/>
      <c r="BV2066" s="87"/>
      <c r="BW2066" s="87"/>
      <c r="BX2066" s="87"/>
      <c r="BY2066" s="87"/>
    </row>
    <row r="2067" spans="21:77" x14ac:dyDescent="0.3">
      <c r="U2067" s="19"/>
      <c r="V2067" s="87"/>
      <c r="W2067" s="87"/>
      <c r="X2067" s="87"/>
      <c r="Y2067" s="87"/>
      <c r="Z2067" s="87"/>
      <c r="AA2067" s="87"/>
      <c r="AB2067" s="87"/>
      <c r="AC2067" s="87"/>
      <c r="AD2067" s="87"/>
      <c r="AE2067" s="87"/>
      <c r="AF2067" s="87"/>
      <c r="AG2067" s="87"/>
      <c r="AH2067" s="87"/>
      <c r="AI2067" s="87"/>
      <c r="AJ2067" s="87"/>
      <c r="AK2067" s="87"/>
      <c r="AL2067" s="87"/>
      <c r="AM2067" s="87"/>
      <c r="AN2067" s="87"/>
      <c r="AO2067" s="87"/>
      <c r="AP2067" s="87"/>
      <c r="AQ2067" s="87"/>
      <c r="AR2067" s="87"/>
      <c r="AS2067" s="87"/>
      <c r="AT2067" s="87"/>
      <c r="AU2067" s="87"/>
      <c r="AV2067" s="87"/>
      <c r="AW2067" s="87"/>
      <c r="AX2067" s="87"/>
      <c r="AY2067" s="87"/>
      <c r="AZ2067" s="87"/>
      <c r="BA2067" s="87"/>
      <c r="BB2067" s="87"/>
      <c r="BC2067" s="87"/>
      <c r="BD2067" s="87"/>
      <c r="BE2067" s="87"/>
      <c r="BF2067" s="87"/>
      <c r="BG2067" s="87"/>
      <c r="BH2067" s="87"/>
      <c r="BI2067" s="87"/>
      <c r="BJ2067" s="87"/>
      <c r="BK2067" s="87"/>
      <c r="BL2067" s="87"/>
      <c r="BM2067" s="87"/>
      <c r="BN2067" s="87"/>
      <c r="BO2067" s="87"/>
      <c r="BP2067" s="87"/>
      <c r="BQ2067" s="87"/>
      <c r="BR2067" s="87"/>
      <c r="BS2067" s="87"/>
      <c r="BT2067" s="87"/>
      <c r="BU2067" s="87"/>
      <c r="BV2067" s="87"/>
      <c r="BW2067" s="87"/>
      <c r="BX2067" s="87"/>
      <c r="BY2067" s="87"/>
    </row>
    <row r="2068" spans="21:77" x14ac:dyDescent="0.3">
      <c r="U2068" s="19"/>
      <c r="V2068" s="87"/>
      <c r="W2068" s="87"/>
      <c r="X2068" s="87"/>
      <c r="Y2068" s="87"/>
      <c r="Z2068" s="87"/>
      <c r="AA2068" s="87"/>
      <c r="AB2068" s="87"/>
      <c r="AC2068" s="87"/>
      <c r="AD2068" s="87"/>
      <c r="AE2068" s="87"/>
      <c r="AF2068" s="87"/>
      <c r="AG2068" s="87"/>
      <c r="AH2068" s="87"/>
      <c r="AI2068" s="87"/>
      <c r="AJ2068" s="87"/>
      <c r="AK2068" s="87"/>
      <c r="AL2068" s="87"/>
      <c r="AM2068" s="87"/>
      <c r="AN2068" s="87"/>
      <c r="AO2068" s="87"/>
      <c r="AP2068" s="87"/>
      <c r="AQ2068" s="87"/>
      <c r="AR2068" s="87"/>
      <c r="AS2068" s="87"/>
      <c r="AT2068" s="87"/>
      <c r="AU2068" s="87"/>
      <c r="AV2068" s="87"/>
      <c r="AW2068" s="87"/>
      <c r="AX2068" s="87"/>
      <c r="AY2068" s="87"/>
      <c r="AZ2068" s="87"/>
      <c r="BA2068" s="87"/>
      <c r="BB2068" s="87"/>
      <c r="BC2068" s="87"/>
      <c r="BD2068" s="87"/>
      <c r="BE2068" s="87"/>
      <c r="BF2068" s="87"/>
      <c r="BG2068" s="87"/>
      <c r="BH2068" s="87"/>
      <c r="BI2068" s="87"/>
      <c r="BJ2068" s="87"/>
      <c r="BK2068" s="87"/>
      <c r="BL2068" s="87"/>
      <c r="BM2068" s="87"/>
      <c r="BN2068" s="87"/>
      <c r="BO2068" s="87"/>
      <c r="BP2068" s="87"/>
      <c r="BQ2068" s="87"/>
      <c r="BR2068" s="87"/>
      <c r="BS2068" s="87"/>
      <c r="BT2068" s="87"/>
      <c r="BU2068" s="87"/>
      <c r="BV2068" s="87"/>
      <c r="BW2068" s="87"/>
      <c r="BX2068" s="87"/>
      <c r="BY2068" s="87"/>
    </row>
    <row r="2069" spans="21:77" x14ac:dyDescent="0.3">
      <c r="U2069" s="19"/>
      <c r="V2069" s="87"/>
      <c r="W2069" s="87"/>
      <c r="X2069" s="87"/>
      <c r="Y2069" s="87"/>
      <c r="Z2069" s="87"/>
      <c r="AA2069" s="87"/>
      <c r="AB2069" s="87"/>
      <c r="AC2069" s="87"/>
      <c r="AD2069" s="87"/>
      <c r="AE2069" s="87"/>
      <c r="AF2069" s="87"/>
      <c r="AG2069" s="87"/>
      <c r="AH2069" s="87"/>
      <c r="AI2069" s="87"/>
      <c r="AJ2069" s="87"/>
      <c r="AK2069" s="87"/>
      <c r="AL2069" s="87"/>
      <c r="AM2069" s="87"/>
      <c r="AN2069" s="87"/>
      <c r="AO2069" s="87"/>
      <c r="AP2069" s="87"/>
      <c r="AQ2069" s="87"/>
      <c r="AR2069" s="87"/>
      <c r="AS2069" s="87"/>
      <c r="AT2069" s="87"/>
      <c r="AU2069" s="87"/>
      <c r="AV2069" s="87"/>
      <c r="AW2069" s="87"/>
      <c r="AX2069" s="87"/>
      <c r="AY2069" s="87"/>
      <c r="AZ2069" s="87"/>
      <c r="BA2069" s="87"/>
      <c r="BB2069" s="87"/>
      <c r="BC2069" s="87"/>
      <c r="BD2069" s="87"/>
      <c r="BE2069" s="87"/>
      <c r="BF2069" s="87"/>
      <c r="BG2069" s="87"/>
      <c r="BH2069" s="87"/>
      <c r="BI2069" s="87"/>
      <c r="BJ2069" s="87"/>
      <c r="BK2069" s="87"/>
      <c r="BL2069" s="87"/>
      <c r="BM2069" s="87"/>
      <c r="BN2069" s="87"/>
      <c r="BO2069" s="87"/>
      <c r="BP2069" s="87"/>
      <c r="BQ2069" s="87"/>
      <c r="BR2069" s="87"/>
      <c r="BS2069" s="87"/>
      <c r="BT2069" s="87"/>
      <c r="BU2069" s="87"/>
      <c r="BV2069" s="87"/>
      <c r="BW2069" s="87"/>
      <c r="BX2069" s="87"/>
      <c r="BY2069" s="87"/>
    </row>
    <row r="2070" spans="21:77" x14ac:dyDescent="0.3">
      <c r="U2070" s="19"/>
      <c r="V2070" s="87"/>
      <c r="W2070" s="87"/>
      <c r="X2070" s="87"/>
      <c r="Y2070" s="87"/>
      <c r="Z2070" s="87"/>
      <c r="AA2070" s="87"/>
      <c r="AB2070" s="87"/>
      <c r="AC2070" s="87"/>
      <c r="AD2070" s="87"/>
      <c r="AE2070" s="87"/>
      <c r="AF2070" s="87"/>
      <c r="AG2070" s="87"/>
      <c r="AH2070" s="87"/>
      <c r="AI2070" s="87"/>
      <c r="AJ2070" s="87"/>
      <c r="AK2070" s="87"/>
      <c r="AL2070" s="87"/>
      <c r="AM2070" s="87"/>
      <c r="AN2070" s="87"/>
      <c r="AO2070" s="87"/>
      <c r="AP2070" s="87"/>
      <c r="AQ2070" s="87"/>
      <c r="AR2070" s="87"/>
      <c r="AS2070" s="87"/>
      <c r="AT2070" s="87"/>
      <c r="AU2070" s="87"/>
      <c r="AV2070" s="87"/>
      <c r="AW2070" s="87"/>
      <c r="AX2070" s="87"/>
      <c r="AY2070" s="87"/>
      <c r="AZ2070" s="87"/>
      <c r="BA2070" s="87"/>
      <c r="BB2070" s="87"/>
      <c r="BC2070" s="87"/>
      <c r="BD2070" s="87"/>
      <c r="BE2070" s="87"/>
      <c r="BF2070" s="87"/>
      <c r="BG2070" s="87"/>
      <c r="BH2070" s="87"/>
      <c r="BI2070" s="87"/>
      <c r="BJ2070" s="87"/>
      <c r="BK2070" s="87"/>
      <c r="BL2070" s="87"/>
      <c r="BM2070" s="87"/>
      <c r="BN2070" s="87"/>
      <c r="BO2070" s="87"/>
      <c r="BP2070" s="87"/>
      <c r="BQ2070" s="87"/>
      <c r="BR2070" s="87"/>
      <c r="BS2070" s="87"/>
      <c r="BT2070" s="87"/>
      <c r="BU2070" s="87"/>
      <c r="BV2070" s="87"/>
      <c r="BW2070" s="87"/>
      <c r="BX2070" s="87"/>
      <c r="BY2070" s="87"/>
    </row>
    <row r="2071" spans="21:77" x14ac:dyDescent="0.3">
      <c r="U2071" s="19"/>
      <c r="V2071" s="87"/>
      <c r="W2071" s="87"/>
      <c r="X2071" s="87"/>
      <c r="Y2071" s="87"/>
      <c r="Z2071" s="87"/>
      <c r="AA2071" s="87"/>
      <c r="AB2071" s="87"/>
      <c r="AC2071" s="87"/>
      <c r="AD2071" s="87"/>
      <c r="AE2071" s="87"/>
      <c r="AF2071" s="87"/>
      <c r="AG2071" s="87"/>
      <c r="AH2071" s="87"/>
      <c r="AI2071" s="87"/>
      <c r="AJ2071" s="87"/>
      <c r="AK2071" s="87"/>
      <c r="AL2071" s="87"/>
      <c r="AM2071" s="87"/>
      <c r="AN2071" s="87"/>
      <c r="AO2071" s="87"/>
      <c r="AP2071" s="87"/>
      <c r="AQ2071" s="87"/>
      <c r="AR2071" s="87"/>
      <c r="AS2071" s="87"/>
      <c r="AT2071" s="87"/>
      <c r="AU2071" s="87"/>
      <c r="AV2071" s="87"/>
      <c r="AW2071" s="87"/>
      <c r="AX2071" s="87"/>
      <c r="AY2071" s="87"/>
      <c r="AZ2071" s="87"/>
      <c r="BA2071" s="87"/>
      <c r="BB2071" s="87"/>
      <c r="BC2071" s="87"/>
      <c r="BD2071" s="87"/>
      <c r="BE2071" s="87"/>
      <c r="BF2071" s="87"/>
      <c r="BG2071" s="87"/>
      <c r="BH2071" s="87"/>
      <c r="BI2071" s="87"/>
      <c r="BJ2071" s="87"/>
      <c r="BK2071" s="87"/>
      <c r="BL2071" s="87"/>
      <c r="BM2071" s="87"/>
      <c r="BN2071" s="87"/>
      <c r="BO2071" s="87"/>
      <c r="BP2071" s="87"/>
      <c r="BQ2071" s="87"/>
      <c r="BR2071" s="87"/>
      <c r="BS2071" s="87"/>
      <c r="BT2071" s="87"/>
      <c r="BU2071" s="87"/>
      <c r="BV2071" s="87"/>
      <c r="BW2071" s="87"/>
      <c r="BX2071" s="87"/>
      <c r="BY2071" s="87"/>
    </row>
    <row r="2072" spans="21:77" x14ac:dyDescent="0.3">
      <c r="U2072" s="19"/>
      <c r="V2072" s="87"/>
      <c r="W2072" s="87"/>
      <c r="X2072" s="87"/>
      <c r="Y2072" s="87"/>
      <c r="Z2072" s="87"/>
      <c r="AA2072" s="87"/>
      <c r="AB2072" s="87"/>
      <c r="AC2072" s="87"/>
      <c r="AD2072" s="87"/>
      <c r="AE2072" s="87"/>
      <c r="AF2072" s="87"/>
      <c r="AG2072" s="87"/>
      <c r="AH2072" s="87"/>
      <c r="AI2072" s="87"/>
      <c r="AJ2072" s="87"/>
      <c r="AK2072" s="87"/>
      <c r="AL2072" s="87"/>
      <c r="AM2072" s="87"/>
      <c r="AN2072" s="87"/>
      <c r="AO2072" s="87"/>
      <c r="AP2072" s="87"/>
      <c r="AQ2072" s="87"/>
      <c r="AR2072" s="87"/>
      <c r="AS2072" s="87"/>
      <c r="AT2072" s="87"/>
      <c r="AU2072" s="87"/>
      <c r="AV2072" s="87"/>
      <c r="AW2072" s="87"/>
      <c r="AX2072" s="87"/>
      <c r="AY2072" s="87"/>
      <c r="AZ2072" s="87"/>
      <c r="BA2072" s="87"/>
      <c r="BB2072" s="87"/>
      <c r="BC2072" s="87"/>
      <c r="BD2072" s="87"/>
      <c r="BE2072" s="87"/>
      <c r="BF2072" s="87"/>
      <c r="BG2072" s="87"/>
      <c r="BH2072" s="87"/>
      <c r="BI2072" s="87"/>
      <c r="BJ2072" s="87"/>
      <c r="BK2072" s="87"/>
      <c r="BL2072" s="87"/>
      <c r="BM2072" s="87"/>
      <c r="BN2072" s="87"/>
      <c r="BO2072" s="87"/>
      <c r="BP2072" s="87"/>
      <c r="BQ2072" s="87"/>
      <c r="BR2072" s="87"/>
      <c r="BS2072" s="87"/>
      <c r="BT2072" s="87"/>
      <c r="BU2072" s="87"/>
      <c r="BV2072" s="87"/>
      <c r="BW2072" s="87"/>
      <c r="BX2072" s="87"/>
      <c r="BY2072" s="87"/>
    </row>
    <row r="2073" spans="21:77" x14ac:dyDescent="0.3">
      <c r="U2073" s="19"/>
      <c r="V2073" s="87"/>
      <c r="W2073" s="87"/>
      <c r="X2073" s="87"/>
      <c r="Y2073" s="87"/>
      <c r="Z2073" s="87"/>
      <c r="AA2073" s="87"/>
      <c r="AB2073" s="87"/>
      <c r="AC2073" s="87"/>
      <c r="AD2073" s="87"/>
      <c r="AE2073" s="87"/>
      <c r="AF2073" s="87"/>
      <c r="AG2073" s="87"/>
      <c r="AH2073" s="87"/>
      <c r="AI2073" s="87"/>
      <c r="AJ2073" s="87"/>
      <c r="AK2073" s="87"/>
      <c r="AL2073" s="87"/>
      <c r="AM2073" s="87"/>
      <c r="AN2073" s="87"/>
      <c r="AO2073" s="87"/>
      <c r="AP2073" s="87"/>
      <c r="AQ2073" s="87"/>
      <c r="AR2073" s="87"/>
      <c r="AS2073" s="87"/>
      <c r="AT2073" s="87"/>
      <c r="AU2073" s="87"/>
      <c r="AV2073" s="87"/>
      <c r="AW2073" s="87"/>
      <c r="AX2073" s="87"/>
      <c r="AY2073" s="87"/>
      <c r="AZ2073" s="87"/>
      <c r="BA2073" s="87"/>
      <c r="BB2073" s="87"/>
      <c r="BC2073" s="87"/>
      <c r="BD2073" s="87"/>
      <c r="BE2073" s="87"/>
      <c r="BF2073" s="87"/>
      <c r="BG2073" s="87"/>
      <c r="BH2073" s="87"/>
      <c r="BI2073" s="87"/>
      <c r="BJ2073" s="87"/>
      <c r="BK2073" s="87"/>
      <c r="BL2073" s="87"/>
      <c r="BM2073" s="87"/>
      <c r="BN2073" s="87"/>
      <c r="BO2073" s="87"/>
      <c r="BP2073" s="87"/>
      <c r="BQ2073" s="87"/>
      <c r="BR2073" s="87"/>
      <c r="BS2073" s="87"/>
      <c r="BT2073" s="87"/>
      <c r="BU2073" s="87"/>
      <c r="BV2073" s="87"/>
      <c r="BW2073" s="87"/>
      <c r="BX2073" s="87"/>
      <c r="BY2073" s="87"/>
    </row>
    <row r="2074" spans="21:77" x14ac:dyDescent="0.3">
      <c r="U2074" s="19"/>
      <c r="V2074" s="87"/>
      <c r="W2074" s="87"/>
      <c r="X2074" s="87"/>
      <c r="Y2074" s="87"/>
      <c r="Z2074" s="87"/>
      <c r="AA2074" s="87"/>
      <c r="AB2074" s="87"/>
      <c r="AC2074" s="87"/>
      <c r="AD2074" s="87"/>
      <c r="AE2074" s="87"/>
      <c r="AF2074" s="87"/>
      <c r="AG2074" s="87"/>
      <c r="AH2074" s="87"/>
      <c r="AI2074" s="87"/>
      <c r="AJ2074" s="87"/>
      <c r="AK2074" s="87"/>
      <c r="AL2074" s="87"/>
      <c r="AM2074" s="87"/>
      <c r="AN2074" s="87"/>
      <c r="AO2074" s="87"/>
      <c r="AP2074" s="87"/>
      <c r="AQ2074" s="87"/>
      <c r="AR2074" s="87"/>
      <c r="AS2074" s="87"/>
      <c r="AT2074" s="87"/>
      <c r="AU2074" s="87"/>
      <c r="AV2074" s="87"/>
      <c r="AW2074" s="87"/>
      <c r="AX2074" s="87"/>
      <c r="AY2074" s="87"/>
      <c r="AZ2074" s="87"/>
      <c r="BA2074" s="87"/>
      <c r="BB2074" s="87"/>
      <c r="BC2074" s="87"/>
      <c r="BD2074" s="87"/>
      <c r="BE2074" s="87"/>
      <c r="BF2074" s="87"/>
      <c r="BG2074" s="87"/>
      <c r="BH2074" s="87"/>
      <c r="BI2074" s="87"/>
      <c r="BJ2074" s="87"/>
      <c r="BK2074" s="87"/>
      <c r="BL2074" s="87"/>
      <c r="BM2074" s="87"/>
      <c r="BN2074" s="87"/>
      <c r="BO2074" s="87"/>
      <c r="BP2074" s="87"/>
      <c r="BQ2074" s="87"/>
      <c r="BR2074" s="87"/>
      <c r="BS2074" s="87"/>
      <c r="BT2074" s="87"/>
      <c r="BU2074" s="87"/>
      <c r="BV2074" s="87"/>
      <c r="BW2074" s="87"/>
      <c r="BX2074" s="87"/>
      <c r="BY2074" s="87"/>
    </row>
    <row r="2075" spans="21:77" x14ac:dyDescent="0.3">
      <c r="U2075" s="19"/>
      <c r="V2075" s="87"/>
      <c r="W2075" s="87"/>
      <c r="X2075" s="87"/>
      <c r="Y2075" s="87"/>
      <c r="Z2075" s="87"/>
      <c r="AA2075" s="87"/>
      <c r="AB2075" s="87"/>
      <c r="AC2075" s="87"/>
      <c r="AD2075" s="87"/>
      <c r="AE2075" s="87"/>
      <c r="AF2075" s="87"/>
      <c r="AG2075" s="87"/>
      <c r="AH2075" s="87"/>
      <c r="AI2075" s="87"/>
      <c r="AJ2075" s="87"/>
      <c r="AK2075" s="87"/>
      <c r="AL2075" s="87"/>
      <c r="AM2075" s="87"/>
      <c r="AN2075" s="87"/>
      <c r="AO2075" s="87"/>
      <c r="AP2075" s="87"/>
      <c r="AQ2075" s="87"/>
      <c r="AR2075" s="87"/>
      <c r="AS2075" s="87"/>
      <c r="AT2075" s="87"/>
      <c r="AU2075" s="87"/>
      <c r="AV2075" s="87"/>
      <c r="AW2075" s="87"/>
      <c r="AX2075" s="87"/>
      <c r="AY2075" s="87"/>
      <c r="AZ2075" s="87"/>
      <c r="BA2075" s="87"/>
      <c r="BB2075" s="87"/>
      <c r="BC2075" s="87"/>
      <c r="BD2075" s="87"/>
      <c r="BE2075" s="87"/>
      <c r="BF2075" s="87"/>
      <c r="BG2075" s="87"/>
      <c r="BH2075" s="87"/>
      <c r="BI2075" s="87"/>
      <c r="BJ2075" s="87"/>
      <c r="BK2075" s="87"/>
      <c r="BL2075" s="87"/>
      <c r="BM2075" s="87"/>
      <c r="BN2075" s="87"/>
      <c r="BO2075" s="87"/>
      <c r="BP2075" s="87"/>
      <c r="BQ2075" s="87"/>
      <c r="BR2075" s="87"/>
      <c r="BS2075" s="87"/>
      <c r="BT2075" s="87"/>
      <c r="BU2075" s="87"/>
      <c r="BV2075" s="87"/>
      <c r="BW2075" s="87"/>
      <c r="BX2075" s="87"/>
      <c r="BY2075" s="87"/>
    </row>
    <row r="2076" spans="21:77" x14ac:dyDescent="0.3">
      <c r="U2076" s="19"/>
      <c r="V2076" s="87"/>
      <c r="W2076" s="87"/>
      <c r="X2076" s="87"/>
      <c r="Y2076" s="87"/>
      <c r="Z2076" s="87"/>
      <c r="AA2076" s="87"/>
      <c r="AB2076" s="87"/>
      <c r="AC2076" s="87"/>
      <c r="AD2076" s="87"/>
      <c r="AE2076" s="87"/>
      <c r="AF2076" s="87"/>
      <c r="AG2076" s="87"/>
      <c r="AH2076" s="87"/>
      <c r="AI2076" s="87"/>
      <c r="AJ2076" s="87"/>
      <c r="AK2076" s="87"/>
      <c r="AL2076" s="87"/>
      <c r="AM2076" s="87"/>
      <c r="AN2076" s="87"/>
      <c r="AO2076" s="87"/>
      <c r="AP2076" s="87"/>
      <c r="AQ2076" s="87"/>
      <c r="AR2076" s="87"/>
      <c r="AS2076" s="87"/>
      <c r="AT2076" s="87"/>
      <c r="AU2076" s="87"/>
      <c r="AV2076" s="87"/>
      <c r="AW2076" s="87"/>
      <c r="AX2076" s="87"/>
      <c r="AY2076" s="87"/>
      <c r="AZ2076" s="87"/>
      <c r="BA2076" s="87"/>
      <c r="BB2076" s="87"/>
      <c r="BC2076" s="87"/>
      <c r="BD2076" s="87"/>
      <c r="BE2076" s="87"/>
      <c r="BF2076" s="87"/>
      <c r="BG2076" s="87"/>
      <c r="BH2076" s="87"/>
      <c r="BI2076" s="87"/>
      <c r="BJ2076" s="87"/>
      <c r="BK2076" s="87"/>
      <c r="BL2076" s="87"/>
      <c r="BM2076" s="87"/>
      <c r="BN2076" s="87"/>
      <c r="BO2076" s="87"/>
      <c r="BP2076" s="87"/>
      <c r="BQ2076" s="87"/>
      <c r="BR2076" s="87"/>
      <c r="BS2076" s="87"/>
      <c r="BT2076" s="87"/>
      <c r="BU2076" s="87"/>
      <c r="BV2076" s="87"/>
      <c r="BW2076" s="87"/>
      <c r="BX2076" s="87"/>
      <c r="BY2076" s="87"/>
    </row>
    <row r="2077" spans="21:77" x14ac:dyDescent="0.3">
      <c r="U2077" s="19"/>
      <c r="V2077" s="87"/>
      <c r="W2077" s="87"/>
      <c r="X2077" s="87"/>
      <c r="Y2077" s="87"/>
      <c r="Z2077" s="87"/>
      <c r="AA2077" s="87"/>
      <c r="AB2077" s="87"/>
      <c r="AC2077" s="87"/>
      <c r="AD2077" s="87"/>
      <c r="AE2077" s="87"/>
      <c r="AF2077" s="87"/>
      <c r="AG2077" s="87"/>
      <c r="AH2077" s="87"/>
      <c r="AI2077" s="87"/>
      <c r="AJ2077" s="87"/>
      <c r="AK2077" s="87"/>
      <c r="AL2077" s="87"/>
      <c r="AM2077" s="87"/>
      <c r="AN2077" s="87"/>
      <c r="AO2077" s="87"/>
      <c r="AP2077" s="87"/>
      <c r="AQ2077" s="87"/>
      <c r="AR2077" s="87"/>
      <c r="AS2077" s="87"/>
      <c r="AT2077" s="87"/>
      <c r="AU2077" s="87"/>
      <c r="AV2077" s="87"/>
      <c r="AW2077" s="87"/>
      <c r="AX2077" s="87"/>
      <c r="AY2077" s="87"/>
      <c r="AZ2077" s="87"/>
      <c r="BA2077" s="87"/>
      <c r="BB2077" s="87"/>
      <c r="BC2077" s="87"/>
      <c r="BD2077" s="87"/>
      <c r="BE2077" s="87"/>
      <c r="BF2077" s="87"/>
      <c r="BG2077" s="87"/>
      <c r="BH2077" s="87"/>
      <c r="BI2077" s="87"/>
      <c r="BJ2077" s="87"/>
      <c r="BK2077" s="87"/>
      <c r="BL2077" s="87"/>
      <c r="BM2077" s="87"/>
      <c r="BN2077" s="87"/>
      <c r="BO2077" s="87"/>
      <c r="BP2077" s="87"/>
      <c r="BQ2077" s="87"/>
      <c r="BR2077" s="87"/>
      <c r="BS2077" s="87"/>
      <c r="BT2077" s="87"/>
      <c r="BU2077" s="87"/>
      <c r="BV2077" s="87"/>
      <c r="BW2077" s="87"/>
      <c r="BX2077" s="87"/>
      <c r="BY2077" s="87"/>
    </row>
    <row r="2078" spans="21:77" x14ac:dyDescent="0.3">
      <c r="U2078" s="19"/>
      <c r="V2078" s="87"/>
      <c r="W2078" s="87"/>
      <c r="X2078" s="87"/>
      <c r="Y2078" s="87"/>
      <c r="Z2078" s="87"/>
      <c r="AA2078" s="87"/>
      <c r="AB2078" s="87"/>
      <c r="AC2078" s="87"/>
      <c r="AD2078" s="87"/>
      <c r="AE2078" s="87"/>
      <c r="AF2078" s="87"/>
      <c r="AG2078" s="87"/>
      <c r="AH2078" s="87"/>
      <c r="AI2078" s="87"/>
      <c r="AJ2078" s="87"/>
      <c r="AK2078" s="87"/>
      <c r="AL2078" s="87"/>
      <c r="AM2078" s="87"/>
      <c r="AN2078" s="87"/>
      <c r="AO2078" s="87"/>
      <c r="AP2078" s="87"/>
      <c r="AQ2078" s="87"/>
      <c r="AR2078" s="87"/>
      <c r="AS2078" s="87"/>
      <c r="AT2078" s="87"/>
      <c r="AU2078" s="87"/>
      <c r="AV2078" s="87"/>
      <c r="AW2078" s="87"/>
      <c r="AX2078" s="87"/>
      <c r="AY2078" s="87"/>
      <c r="AZ2078" s="87"/>
      <c r="BA2078" s="87"/>
      <c r="BB2078" s="87"/>
      <c r="BC2078" s="87"/>
      <c r="BD2078" s="87"/>
      <c r="BE2078" s="87"/>
      <c r="BF2078" s="87"/>
      <c r="BG2078" s="87"/>
      <c r="BH2078" s="87"/>
      <c r="BI2078" s="87"/>
      <c r="BJ2078" s="87"/>
      <c r="BK2078" s="87"/>
      <c r="BL2078" s="87"/>
      <c r="BM2078" s="87"/>
      <c r="BN2078" s="87"/>
      <c r="BO2078" s="87"/>
      <c r="BP2078" s="87"/>
      <c r="BQ2078" s="87"/>
      <c r="BR2078" s="87"/>
      <c r="BS2078" s="87"/>
      <c r="BT2078" s="87"/>
      <c r="BU2078" s="87"/>
      <c r="BV2078" s="87"/>
      <c r="BW2078" s="87"/>
      <c r="BX2078" s="87"/>
      <c r="BY2078" s="87"/>
    </row>
    <row r="2079" spans="21:77" x14ac:dyDescent="0.3">
      <c r="U2079" s="19"/>
      <c r="V2079" s="87"/>
      <c r="W2079" s="87"/>
      <c r="X2079" s="87"/>
      <c r="Y2079" s="87"/>
      <c r="Z2079" s="87"/>
      <c r="AA2079" s="87"/>
      <c r="AB2079" s="87"/>
      <c r="AC2079" s="87"/>
      <c r="AD2079" s="87"/>
      <c r="AE2079" s="87"/>
      <c r="AF2079" s="87"/>
      <c r="AG2079" s="87"/>
      <c r="AH2079" s="87"/>
      <c r="AI2079" s="87"/>
      <c r="AJ2079" s="87"/>
      <c r="AK2079" s="87"/>
      <c r="AL2079" s="87"/>
      <c r="AM2079" s="87"/>
      <c r="AN2079" s="87"/>
      <c r="AO2079" s="87"/>
      <c r="AP2079" s="87"/>
      <c r="AQ2079" s="87"/>
      <c r="AR2079" s="87"/>
      <c r="AS2079" s="87"/>
      <c r="AT2079" s="87"/>
      <c r="AU2079" s="87"/>
      <c r="AV2079" s="87"/>
      <c r="AW2079" s="87"/>
      <c r="AX2079" s="87"/>
      <c r="AY2079" s="87"/>
      <c r="AZ2079" s="87"/>
      <c r="BA2079" s="87"/>
      <c r="BB2079" s="87"/>
      <c r="BC2079" s="87"/>
      <c r="BD2079" s="87"/>
      <c r="BE2079" s="87"/>
      <c r="BF2079" s="87"/>
      <c r="BG2079" s="87"/>
      <c r="BH2079" s="87"/>
      <c r="BI2079" s="87"/>
      <c r="BJ2079" s="87"/>
      <c r="BK2079" s="87"/>
      <c r="BL2079" s="87"/>
      <c r="BM2079" s="87"/>
      <c r="BN2079" s="87"/>
      <c r="BO2079" s="87"/>
      <c r="BP2079" s="87"/>
      <c r="BQ2079" s="87"/>
      <c r="BR2079" s="87"/>
      <c r="BS2079" s="87"/>
      <c r="BT2079" s="87"/>
      <c r="BU2079" s="87"/>
      <c r="BV2079" s="87"/>
      <c r="BW2079" s="87"/>
      <c r="BX2079" s="87"/>
      <c r="BY2079" s="87"/>
    </row>
    <row r="2080" spans="21:77" x14ac:dyDescent="0.3">
      <c r="U2080" s="19"/>
      <c r="V2080" s="87"/>
      <c r="W2080" s="87"/>
      <c r="X2080" s="87"/>
      <c r="Y2080" s="87"/>
      <c r="Z2080" s="87"/>
      <c r="AA2080" s="87"/>
      <c r="AB2080" s="87"/>
      <c r="AC2080" s="87"/>
      <c r="AD2080" s="87"/>
      <c r="AE2080" s="87"/>
      <c r="AF2080" s="87"/>
      <c r="AG2080" s="87"/>
      <c r="AH2080" s="87"/>
      <c r="AI2080" s="87"/>
      <c r="AJ2080" s="87"/>
      <c r="AK2080" s="87"/>
      <c r="AL2080" s="87"/>
      <c r="AM2080" s="87"/>
      <c r="AN2080" s="87"/>
      <c r="AO2080" s="87"/>
      <c r="AP2080" s="87"/>
      <c r="AQ2080" s="87"/>
      <c r="AR2080" s="87"/>
      <c r="AS2080" s="87"/>
      <c r="AT2080" s="87"/>
      <c r="AU2080" s="87"/>
      <c r="AV2080" s="87"/>
      <c r="AW2080" s="87"/>
      <c r="AX2080" s="87"/>
      <c r="AY2080" s="87"/>
      <c r="AZ2080" s="87"/>
      <c r="BA2080" s="87"/>
      <c r="BB2080" s="87"/>
      <c r="BC2080" s="87"/>
      <c r="BD2080" s="87"/>
      <c r="BE2080" s="87"/>
      <c r="BF2080" s="87"/>
      <c r="BG2080" s="87"/>
      <c r="BH2080" s="87"/>
      <c r="BI2080" s="87"/>
      <c r="BJ2080" s="87"/>
      <c r="BK2080" s="87"/>
      <c r="BL2080" s="87"/>
      <c r="BM2080" s="87"/>
      <c r="BN2080" s="87"/>
      <c r="BO2080" s="87"/>
      <c r="BP2080" s="87"/>
      <c r="BQ2080" s="87"/>
      <c r="BR2080" s="87"/>
      <c r="BS2080" s="87"/>
      <c r="BT2080" s="87"/>
      <c r="BU2080" s="87"/>
      <c r="BV2080" s="87"/>
      <c r="BW2080" s="87"/>
      <c r="BX2080" s="87"/>
      <c r="BY2080" s="87"/>
    </row>
    <row r="2081" spans="21:77" x14ac:dyDescent="0.3">
      <c r="U2081" s="19"/>
      <c r="V2081" s="87"/>
      <c r="W2081" s="87"/>
      <c r="X2081" s="87"/>
      <c r="Y2081" s="87"/>
      <c r="Z2081" s="87"/>
      <c r="AA2081" s="87"/>
      <c r="AB2081" s="87"/>
      <c r="AC2081" s="87"/>
      <c r="AD2081" s="87"/>
      <c r="AE2081" s="87"/>
      <c r="AF2081" s="87"/>
      <c r="AG2081" s="87"/>
      <c r="AH2081" s="87"/>
      <c r="AI2081" s="87"/>
      <c r="AJ2081" s="87"/>
      <c r="AK2081" s="87"/>
      <c r="AL2081" s="87"/>
      <c r="AM2081" s="87"/>
      <c r="AN2081" s="87"/>
      <c r="AO2081" s="87"/>
      <c r="AP2081" s="87"/>
      <c r="AQ2081" s="87"/>
      <c r="AR2081" s="87"/>
      <c r="AS2081" s="87"/>
      <c r="AT2081" s="87"/>
      <c r="AU2081" s="87"/>
      <c r="AV2081" s="87"/>
      <c r="AW2081" s="87"/>
      <c r="AX2081" s="87"/>
      <c r="AY2081" s="87"/>
      <c r="AZ2081" s="87"/>
      <c r="BA2081" s="87"/>
      <c r="BB2081" s="87"/>
      <c r="BC2081" s="87"/>
      <c r="BD2081" s="87"/>
      <c r="BE2081" s="87"/>
      <c r="BF2081" s="87"/>
      <c r="BG2081" s="87"/>
      <c r="BH2081" s="87"/>
      <c r="BI2081" s="87"/>
      <c r="BJ2081" s="87"/>
      <c r="BK2081" s="87"/>
      <c r="BL2081" s="87"/>
      <c r="BM2081" s="87"/>
      <c r="BN2081" s="87"/>
      <c r="BO2081" s="87"/>
      <c r="BP2081" s="87"/>
      <c r="BQ2081" s="87"/>
      <c r="BR2081" s="87"/>
      <c r="BS2081" s="87"/>
      <c r="BT2081" s="87"/>
      <c r="BU2081" s="87"/>
      <c r="BV2081" s="87"/>
      <c r="BW2081" s="87"/>
      <c r="BX2081" s="87"/>
      <c r="BY2081" s="87"/>
    </row>
    <row r="2082" spans="21:77" x14ac:dyDescent="0.3">
      <c r="U2082" s="19"/>
      <c r="V2082" s="87"/>
      <c r="W2082" s="87"/>
      <c r="X2082" s="87"/>
      <c r="Y2082" s="87"/>
      <c r="Z2082" s="87"/>
      <c r="AA2082" s="87"/>
      <c r="AB2082" s="87"/>
      <c r="AC2082" s="87"/>
      <c r="AD2082" s="87"/>
      <c r="AE2082" s="87"/>
      <c r="AF2082" s="87"/>
      <c r="AG2082" s="87"/>
      <c r="AH2082" s="87"/>
      <c r="AI2082" s="87"/>
      <c r="AJ2082" s="87"/>
      <c r="AK2082" s="87"/>
      <c r="AL2082" s="87"/>
      <c r="AM2082" s="87"/>
      <c r="AN2082" s="87"/>
      <c r="AO2082" s="87"/>
      <c r="AP2082" s="87"/>
      <c r="AQ2082" s="87"/>
      <c r="AR2082" s="87"/>
      <c r="AS2082" s="87"/>
      <c r="AT2082" s="87"/>
      <c r="AU2082" s="87"/>
      <c r="AV2082" s="87"/>
      <c r="AW2082" s="87"/>
      <c r="AX2082" s="87"/>
      <c r="AY2082" s="87"/>
      <c r="AZ2082" s="87"/>
      <c r="BA2082" s="87"/>
      <c r="BB2082" s="87"/>
      <c r="BC2082" s="87"/>
      <c r="BD2082" s="87"/>
      <c r="BE2082" s="87"/>
      <c r="BF2082" s="87"/>
      <c r="BG2082" s="87"/>
      <c r="BH2082" s="87"/>
      <c r="BI2082" s="87"/>
      <c r="BJ2082" s="87"/>
      <c r="BK2082" s="87"/>
      <c r="BL2082" s="87"/>
      <c r="BM2082" s="87"/>
      <c r="BN2082" s="87"/>
      <c r="BO2082" s="87"/>
      <c r="BP2082" s="87"/>
      <c r="BQ2082" s="87"/>
      <c r="BR2082" s="87"/>
      <c r="BS2082" s="87"/>
      <c r="BT2082" s="87"/>
      <c r="BU2082" s="87"/>
      <c r="BV2082" s="87"/>
      <c r="BW2082" s="87"/>
      <c r="BX2082" s="87"/>
      <c r="BY2082" s="87"/>
    </row>
    <row r="2083" spans="21:77" x14ac:dyDescent="0.3">
      <c r="U2083" s="19"/>
      <c r="V2083" s="87"/>
      <c r="W2083" s="87"/>
      <c r="X2083" s="87"/>
      <c r="Y2083" s="87"/>
      <c r="Z2083" s="87"/>
      <c r="AA2083" s="87"/>
      <c r="AB2083" s="87"/>
      <c r="AC2083" s="87"/>
      <c r="AD2083" s="87"/>
      <c r="AE2083" s="87"/>
      <c r="AF2083" s="87"/>
      <c r="AG2083" s="87"/>
      <c r="AH2083" s="87"/>
      <c r="AI2083" s="87"/>
      <c r="AJ2083" s="87"/>
      <c r="AK2083" s="87"/>
      <c r="AL2083" s="87"/>
      <c r="AM2083" s="87"/>
      <c r="AN2083" s="87"/>
      <c r="AO2083" s="87"/>
      <c r="AP2083" s="87"/>
      <c r="AQ2083" s="87"/>
      <c r="AR2083" s="87"/>
      <c r="AS2083" s="87"/>
      <c r="AT2083" s="87"/>
      <c r="AU2083" s="87"/>
      <c r="AV2083" s="87"/>
      <c r="AW2083" s="87"/>
      <c r="AX2083" s="87"/>
      <c r="AY2083" s="87"/>
      <c r="AZ2083" s="87"/>
      <c r="BA2083" s="87"/>
      <c r="BB2083" s="87"/>
      <c r="BC2083" s="87"/>
      <c r="BD2083" s="87"/>
      <c r="BE2083" s="87"/>
      <c r="BF2083" s="87"/>
      <c r="BG2083" s="87"/>
      <c r="BH2083" s="87"/>
      <c r="BI2083" s="87"/>
      <c r="BJ2083" s="87"/>
      <c r="BK2083" s="87"/>
      <c r="BL2083" s="87"/>
      <c r="BM2083" s="87"/>
      <c r="BN2083" s="87"/>
      <c r="BO2083" s="87"/>
      <c r="BP2083" s="87"/>
      <c r="BQ2083" s="87"/>
      <c r="BR2083" s="87"/>
      <c r="BS2083" s="87"/>
      <c r="BT2083" s="87"/>
      <c r="BU2083" s="87"/>
      <c r="BV2083" s="87"/>
      <c r="BW2083" s="87"/>
      <c r="BX2083" s="87"/>
      <c r="BY2083" s="87"/>
    </row>
    <row r="2084" spans="21:77" x14ac:dyDescent="0.3">
      <c r="U2084" s="19"/>
      <c r="V2084" s="87"/>
      <c r="W2084" s="87"/>
      <c r="X2084" s="87"/>
      <c r="Y2084" s="87"/>
      <c r="Z2084" s="87"/>
      <c r="AA2084" s="87"/>
      <c r="AB2084" s="87"/>
      <c r="AC2084" s="87"/>
      <c r="AD2084" s="87"/>
      <c r="AE2084" s="87"/>
      <c r="AF2084" s="87"/>
      <c r="AG2084" s="87"/>
      <c r="AH2084" s="87"/>
      <c r="AI2084" s="87"/>
      <c r="AJ2084" s="87"/>
      <c r="AK2084" s="87"/>
      <c r="AL2084" s="87"/>
      <c r="AM2084" s="87"/>
      <c r="AN2084" s="87"/>
      <c r="AO2084" s="87"/>
      <c r="AP2084" s="87"/>
      <c r="AQ2084" s="87"/>
      <c r="AR2084" s="87"/>
      <c r="AS2084" s="87"/>
      <c r="AT2084" s="87"/>
      <c r="AU2084" s="87"/>
      <c r="AV2084" s="87"/>
      <c r="AW2084" s="87"/>
      <c r="AX2084" s="87"/>
      <c r="AY2084" s="87"/>
      <c r="AZ2084" s="87"/>
      <c r="BA2084" s="87"/>
      <c r="BB2084" s="87"/>
      <c r="BC2084" s="87"/>
      <c r="BD2084" s="87"/>
      <c r="BE2084" s="87"/>
      <c r="BF2084" s="87"/>
      <c r="BG2084" s="87"/>
      <c r="BH2084" s="87"/>
      <c r="BI2084" s="87"/>
      <c r="BJ2084" s="87"/>
      <c r="BK2084" s="87"/>
      <c r="BL2084" s="87"/>
      <c r="BM2084" s="87"/>
      <c r="BN2084" s="87"/>
      <c r="BO2084" s="87"/>
      <c r="BP2084" s="87"/>
      <c r="BQ2084" s="87"/>
      <c r="BR2084" s="87"/>
      <c r="BS2084" s="87"/>
      <c r="BT2084" s="87"/>
      <c r="BU2084" s="87"/>
      <c r="BV2084" s="87"/>
      <c r="BW2084" s="87"/>
      <c r="BX2084" s="87"/>
      <c r="BY2084" s="87"/>
    </row>
    <row r="2085" spans="21:77" x14ac:dyDescent="0.3">
      <c r="U2085" s="19"/>
      <c r="V2085" s="87"/>
      <c r="W2085" s="87"/>
      <c r="X2085" s="87"/>
      <c r="Y2085" s="87"/>
      <c r="Z2085" s="87"/>
      <c r="AA2085" s="87"/>
      <c r="AB2085" s="87"/>
      <c r="AC2085" s="87"/>
      <c r="AD2085" s="87"/>
      <c r="AE2085" s="87"/>
      <c r="AF2085" s="87"/>
      <c r="AG2085" s="87"/>
      <c r="AH2085" s="87"/>
      <c r="AI2085" s="87"/>
      <c r="AJ2085" s="87"/>
      <c r="AK2085" s="87"/>
      <c r="AL2085" s="87"/>
      <c r="AM2085" s="87"/>
      <c r="AN2085" s="87"/>
      <c r="AO2085" s="87"/>
      <c r="AP2085" s="87"/>
      <c r="AQ2085" s="87"/>
      <c r="AR2085" s="87"/>
      <c r="AS2085" s="87"/>
      <c r="AT2085" s="87"/>
      <c r="AU2085" s="87"/>
      <c r="AV2085" s="87"/>
      <c r="AW2085" s="87"/>
      <c r="AX2085" s="87"/>
      <c r="AY2085" s="87"/>
      <c r="AZ2085" s="87"/>
      <c r="BA2085" s="87"/>
      <c r="BB2085" s="87"/>
      <c r="BC2085" s="87"/>
      <c r="BD2085" s="87"/>
      <c r="BE2085" s="87"/>
      <c r="BF2085" s="87"/>
      <c r="BG2085" s="87"/>
      <c r="BH2085" s="87"/>
      <c r="BI2085" s="87"/>
      <c r="BJ2085" s="87"/>
      <c r="BK2085" s="87"/>
      <c r="BL2085" s="87"/>
      <c r="BM2085" s="87"/>
      <c r="BN2085" s="87"/>
      <c r="BO2085" s="87"/>
      <c r="BP2085" s="87"/>
      <c r="BQ2085" s="87"/>
      <c r="BR2085" s="87"/>
      <c r="BS2085" s="87"/>
      <c r="BT2085" s="87"/>
      <c r="BU2085" s="87"/>
      <c r="BV2085" s="87"/>
      <c r="BW2085" s="87"/>
      <c r="BX2085" s="87"/>
      <c r="BY2085" s="87"/>
    </row>
    <row r="2086" spans="21:77" x14ac:dyDescent="0.3">
      <c r="U2086" s="19"/>
      <c r="V2086" s="87"/>
      <c r="W2086" s="87"/>
      <c r="X2086" s="87"/>
      <c r="Y2086" s="87"/>
      <c r="Z2086" s="87"/>
      <c r="AA2086" s="87"/>
      <c r="AB2086" s="87"/>
      <c r="AC2086" s="87"/>
      <c r="AD2086" s="87"/>
      <c r="AE2086" s="87"/>
      <c r="AF2086" s="87"/>
      <c r="AG2086" s="87"/>
      <c r="AH2086" s="87"/>
      <c r="AI2086" s="87"/>
      <c r="AJ2086" s="87"/>
      <c r="AK2086" s="87"/>
      <c r="AL2086" s="87"/>
      <c r="AM2086" s="87"/>
      <c r="AN2086" s="87"/>
      <c r="AO2086" s="87"/>
      <c r="AP2086" s="87"/>
      <c r="AQ2086" s="87"/>
      <c r="AR2086" s="87"/>
      <c r="AS2086" s="87"/>
      <c r="AT2086" s="87"/>
      <c r="AU2086" s="87"/>
      <c r="AV2086" s="87"/>
      <c r="AW2086" s="87"/>
      <c r="AX2086" s="87"/>
      <c r="AY2086" s="87"/>
      <c r="AZ2086" s="87"/>
      <c r="BA2086" s="87"/>
      <c r="BB2086" s="87"/>
      <c r="BC2086" s="87"/>
      <c r="BD2086" s="87"/>
      <c r="BE2086" s="87"/>
      <c r="BF2086" s="87"/>
      <c r="BG2086" s="87"/>
      <c r="BH2086" s="87"/>
      <c r="BI2086" s="87"/>
      <c r="BJ2086" s="87"/>
      <c r="BK2086" s="87"/>
      <c r="BL2086" s="87"/>
      <c r="BM2086" s="87"/>
      <c r="BN2086" s="87"/>
      <c r="BO2086" s="87"/>
      <c r="BP2086" s="87"/>
      <c r="BQ2086" s="87"/>
      <c r="BR2086" s="87"/>
      <c r="BS2086" s="87"/>
      <c r="BT2086" s="87"/>
      <c r="BU2086" s="87"/>
      <c r="BV2086" s="87"/>
      <c r="BW2086" s="87"/>
      <c r="BX2086" s="87"/>
      <c r="BY2086" s="87"/>
    </row>
    <row r="2087" spans="21:77" x14ac:dyDescent="0.3">
      <c r="U2087" s="19"/>
      <c r="V2087" s="87"/>
      <c r="W2087" s="87"/>
      <c r="X2087" s="87"/>
      <c r="Y2087" s="87"/>
      <c r="Z2087" s="87"/>
      <c r="AA2087" s="87"/>
      <c r="AB2087" s="87"/>
      <c r="AC2087" s="87"/>
      <c r="AD2087" s="87"/>
      <c r="AE2087" s="87"/>
      <c r="AF2087" s="87"/>
      <c r="AG2087" s="87"/>
      <c r="AH2087" s="87"/>
      <c r="AI2087" s="87"/>
      <c r="AJ2087" s="87"/>
      <c r="AK2087" s="87"/>
      <c r="AL2087" s="87"/>
      <c r="AM2087" s="87"/>
      <c r="AN2087" s="87"/>
      <c r="AO2087" s="87"/>
      <c r="AP2087" s="87"/>
      <c r="AQ2087" s="87"/>
      <c r="AR2087" s="87"/>
      <c r="AS2087" s="87"/>
      <c r="AT2087" s="87"/>
      <c r="AU2087" s="87"/>
      <c r="AV2087" s="87"/>
      <c r="AW2087" s="87"/>
      <c r="AX2087" s="87"/>
      <c r="AY2087" s="87"/>
      <c r="AZ2087" s="87"/>
      <c r="BA2087" s="87"/>
      <c r="BB2087" s="87"/>
      <c r="BC2087" s="87"/>
      <c r="BD2087" s="87"/>
      <c r="BE2087" s="87"/>
      <c r="BF2087" s="87"/>
      <c r="BG2087" s="87"/>
      <c r="BH2087" s="87"/>
      <c r="BI2087" s="87"/>
      <c r="BJ2087" s="87"/>
      <c r="BK2087" s="87"/>
      <c r="BL2087" s="87"/>
      <c r="BM2087" s="87"/>
      <c r="BN2087" s="87"/>
      <c r="BO2087" s="87"/>
      <c r="BP2087" s="87"/>
      <c r="BQ2087" s="87"/>
      <c r="BR2087" s="87"/>
      <c r="BS2087" s="87"/>
      <c r="BT2087" s="87"/>
      <c r="BU2087" s="87"/>
      <c r="BV2087" s="87"/>
      <c r="BW2087" s="87"/>
      <c r="BX2087" s="87"/>
      <c r="BY2087" s="87"/>
    </row>
    <row r="2088" spans="21:77" x14ac:dyDescent="0.3">
      <c r="U2088" s="19"/>
      <c r="V2088" s="87"/>
      <c r="W2088" s="87"/>
      <c r="X2088" s="87"/>
      <c r="Y2088" s="87"/>
      <c r="Z2088" s="87"/>
      <c r="AA2088" s="87"/>
      <c r="AB2088" s="87"/>
      <c r="AC2088" s="87"/>
      <c r="AD2088" s="87"/>
      <c r="AE2088" s="87"/>
      <c r="AF2088" s="87"/>
      <c r="AG2088" s="87"/>
      <c r="AH2088" s="87"/>
      <c r="AI2088" s="87"/>
      <c r="AJ2088" s="87"/>
      <c r="AK2088" s="87"/>
      <c r="AL2088" s="87"/>
      <c r="AM2088" s="87"/>
      <c r="AN2088" s="87"/>
      <c r="AO2088" s="87"/>
      <c r="AP2088" s="87"/>
      <c r="AQ2088" s="87"/>
      <c r="AR2088" s="87"/>
      <c r="AS2088" s="87"/>
      <c r="AT2088" s="87"/>
      <c r="AU2088" s="87"/>
      <c r="AV2088" s="87"/>
      <c r="AW2088" s="87"/>
      <c r="AX2088" s="87"/>
      <c r="AY2088" s="87"/>
      <c r="AZ2088" s="87"/>
      <c r="BA2088" s="87"/>
      <c r="BB2088" s="87"/>
      <c r="BC2088" s="87"/>
      <c r="BD2088" s="87"/>
      <c r="BE2088" s="87"/>
      <c r="BF2088" s="87"/>
      <c r="BG2088" s="87"/>
      <c r="BH2088" s="87"/>
      <c r="BI2088" s="87"/>
      <c r="BJ2088" s="87"/>
      <c r="BK2088" s="87"/>
      <c r="BL2088" s="87"/>
      <c r="BM2088" s="87"/>
      <c r="BN2088" s="87"/>
      <c r="BO2088" s="87"/>
      <c r="BP2088" s="87"/>
      <c r="BQ2088" s="87"/>
      <c r="BR2088" s="87"/>
      <c r="BS2088" s="87"/>
      <c r="BT2088" s="87"/>
      <c r="BU2088" s="87"/>
      <c r="BV2088" s="87"/>
      <c r="BW2088" s="87"/>
      <c r="BX2088" s="87"/>
      <c r="BY2088" s="87"/>
    </row>
    <row r="2089" spans="21:77" x14ac:dyDescent="0.3">
      <c r="U2089" s="19"/>
      <c r="V2089" s="87"/>
      <c r="W2089" s="87"/>
      <c r="X2089" s="87"/>
      <c r="Y2089" s="87"/>
      <c r="Z2089" s="87"/>
      <c r="AA2089" s="87"/>
      <c r="AB2089" s="87"/>
      <c r="AC2089" s="87"/>
      <c r="AD2089" s="87"/>
      <c r="AE2089" s="87"/>
      <c r="AF2089" s="87"/>
      <c r="AG2089" s="87"/>
      <c r="AH2089" s="87"/>
      <c r="AI2089" s="87"/>
      <c r="AJ2089" s="87"/>
      <c r="AK2089" s="87"/>
      <c r="AL2089" s="87"/>
      <c r="AM2089" s="87"/>
      <c r="AN2089" s="87"/>
      <c r="AO2089" s="87"/>
      <c r="AP2089" s="87"/>
      <c r="AQ2089" s="87"/>
      <c r="AR2089" s="87"/>
      <c r="AS2089" s="87"/>
      <c r="AT2089" s="87"/>
      <c r="AU2089" s="87"/>
      <c r="AV2089" s="87"/>
      <c r="AW2089" s="87"/>
      <c r="AX2089" s="87"/>
      <c r="AY2089" s="87"/>
      <c r="AZ2089" s="87"/>
      <c r="BA2089" s="87"/>
      <c r="BB2089" s="87"/>
      <c r="BC2089" s="87"/>
      <c r="BD2089" s="87"/>
      <c r="BE2089" s="87"/>
      <c r="BF2089" s="87"/>
      <c r="BG2089" s="87"/>
      <c r="BH2089" s="87"/>
      <c r="BI2089" s="87"/>
      <c r="BJ2089" s="87"/>
      <c r="BK2089" s="87"/>
      <c r="BL2089" s="87"/>
      <c r="BM2089" s="87"/>
      <c r="BN2089" s="87"/>
      <c r="BO2089" s="87"/>
      <c r="BP2089" s="87"/>
      <c r="BQ2089" s="87"/>
      <c r="BR2089" s="87"/>
      <c r="BS2089" s="87"/>
      <c r="BT2089" s="87"/>
      <c r="BU2089" s="87"/>
      <c r="BV2089" s="87"/>
      <c r="BW2089" s="87"/>
      <c r="BX2089" s="87"/>
      <c r="BY2089" s="87"/>
    </row>
    <row r="2090" spans="21:77" x14ac:dyDescent="0.3">
      <c r="U2090" s="19"/>
      <c r="V2090" s="87"/>
      <c r="W2090" s="87"/>
      <c r="X2090" s="87"/>
      <c r="Y2090" s="87"/>
      <c r="Z2090" s="87"/>
      <c r="AA2090" s="87"/>
      <c r="AB2090" s="87"/>
      <c r="AC2090" s="87"/>
      <c r="AD2090" s="87"/>
      <c r="AE2090" s="87"/>
      <c r="AF2090" s="87"/>
      <c r="AG2090" s="87"/>
      <c r="AH2090" s="87"/>
      <c r="AI2090" s="87"/>
      <c r="AJ2090" s="87"/>
      <c r="AK2090" s="87"/>
      <c r="AL2090" s="87"/>
      <c r="AM2090" s="87"/>
      <c r="AN2090" s="87"/>
      <c r="AO2090" s="87"/>
      <c r="AP2090" s="87"/>
      <c r="AQ2090" s="87"/>
      <c r="AR2090" s="87"/>
      <c r="AS2090" s="87"/>
      <c r="AT2090" s="87"/>
      <c r="AU2090" s="87"/>
      <c r="AV2090" s="87"/>
      <c r="AW2090" s="87"/>
      <c r="AX2090" s="87"/>
      <c r="AY2090" s="87"/>
      <c r="AZ2090" s="87"/>
      <c r="BA2090" s="87"/>
      <c r="BB2090" s="87"/>
      <c r="BC2090" s="87"/>
      <c r="BD2090" s="87"/>
      <c r="BE2090" s="87"/>
      <c r="BF2090" s="87"/>
      <c r="BG2090" s="87"/>
      <c r="BH2090" s="87"/>
      <c r="BI2090" s="87"/>
      <c r="BJ2090" s="87"/>
      <c r="BK2090" s="87"/>
      <c r="BL2090" s="87"/>
      <c r="BM2090" s="87"/>
      <c r="BN2090" s="87"/>
      <c r="BO2090" s="87"/>
      <c r="BP2090" s="87"/>
      <c r="BQ2090" s="87"/>
      <c r="BR2090" s="87"/>
      <c r="BS2090" s="87"/>
      <c r="BT2090" s="87"/>
      <c r="BU2090" s="87"/>
      <c r="BV2090" s="87"/>
      <c r="BW2090" s="87"/>
      <c r="BX2090" s="87"/>
      <c r="BY2090" s="87"/>
    </row>
    <row r="2091" spans="21:77" x14ac:dyDescent="0.3">
      <c r="U2091" s="19"/>
      <c r="V2091" s="87"/>
      <c r="W2091" s="87"/>
      <c r="X2091" s="87"/>
      <c r="Y2091" s="87"/>
      <c r="Z2091" s="87"/>
      <c r="AA2091" s="87"/>
      <c r="AB2091" s="87"/>
      <c r="AC2091" s="87"/>
      <c r="AD2091" s="87"/>
      <c r="AE2091" s="87"/>
      <c r="AF2091" s="87"/>
      <c r="AG2091" s="87"/>
      <c r="AH2091" s="87"/>
      <c r="AI2091" s="87"/>
      <c r="AJ2091" s="87"/>
      <c r="AK2091" s="87"/>
      <c r="AL2091" s="87"/>
      <c r="AM2091" s="87"/>
      <c r="AN2091" s="87"/>
      <c r="AO2091" s="87"/>
      <c r="AP2091" s="87"/>
      <c r="AQ2091" s="87"/>
      <c r="AR2091" s="87"/>
      <c r="AS2091" s="87"/>
      <c r="AT2091" s="87"/>
      <c r="AU2091" s="87"/>
      <c r="AV2091" s="87"/>
      <c r="AW2091" s="87"/>
      <c r="AX2091" s="87"/>
      <c r="AY2091" s="87"/>
      <c r="AZ2091" s="87"/>
      <c r="BA2091" s="87"/>
      <c r="BB2091" s="87"/>
      <c r="BC2091" s="87"/>
      <c r="BD2091" s="87"/>
      <c r="BE2091" s="87"/>
      <c r="BF2091" s="87"/>
      <c r="BG2091" s="87"/>
      <c r="BH2091" s="87"/>
      <c r="BI2091" s="87"/>
      <c r="BJ2091" s="87"/>
      <c r="BK2091" s="87"/>
      <c r="BL2091" s="87"/>
      <c r="BM2091" s="87"/>
      <c r="BN2091" s="87"/>
      <c r="BO2091" s="87"/>
      <c r="BP2091" s="87"/>
      <c r="BQ2091" s="87"/>
      <c r="BR2091" s="87"/>
      <c r="BS2091" s="87"/>
      <c r="BT2091" s="87"/>
      <c r="BU2091" s="87"/>
      <c r="BV2091" s="87"/>
      <c r="BW2091" s="87"/>
      <c r="BX2091" s="87"/>
      <c r="BY2091" s="87"/>
    </row>
    <row r="2092" spans="21:77" x14ac:dyDescent="0.3">
      <c r="U2092" s="19"/>
      <c r="V2092" s="87"/>
      <c r="W2092" s="87"/>
      <c r="X2092" s="87"/>
      <c r="Y2092" s="87"/>
      <c r="Z2092" s="87"/>
      <c r="AA2092" s="87"/>
      <c r="AB2092" s="87"/>
      <c r="AC2092" s="87"/>
      <c r="AD2092" s="87"/>
      <c r="AE2092" s="87"/>
      <c r="AF2092" s="87"/>
      <c r="AG2092" s="87"/>
      <c r="AH2092" s="87"/>
      <c r="AI2092" s="87"/>
      <c r="AJ2092" s="87"/>
      <c r="AK2092" s="87"/>
      <c r="AL2092" s="87"/>
      <c r="AM2092" s="87"/>
      <c r="AN2092" s="87"/>
      <c r="AO2092" s="87"/>
      <c r="AP2092" s="87"/>
      <c r="AQ2092" s="87"/>
      <c r="AR2092" s="87"/>
      <c r="AS2092" s="87"/>
      <c r="AT2092" s="87"/>
      <c r="AU2092" s="87"/>
      <c r="AV2092" s="87"/>
      <c r="AW2092" s="87"/>
      <c r="AX2092" s="87"/>
      <c r="AY2092" s="87"/>
      <c r="AZ2092" s="87"/>
      <c r="BA2092" s="87"/>
      <c r="BB2092" s="87"/>
      <c r="BC2092" s="87"/>
      <c r="BD2092" s="87"/>
      <c r="BE2092" s="87"/>
      <c r="BF2092" s="87"/>
      <c r="BG2092" s="87"/>
      <c r="BH2092" s="87"/>
      <c r="BI2092" s="87"/>
      <c r="BJ2092" s="87"/>
      <c r="BK2092" s="87"/>
      <c r="BL2092" s="87"/>
      <c r="BM2092" s="87"/>
      <c r="BN2092" s="87"/>
      <c r="BO2092" s="87"/>
      <c r="BP2092" s="87"/>
      <c r="BQ2092" s="87"/>
      <c r="BR2092" s="87"/>
      <c r="BS2092" s="87"/>
      <c r="BT2092" s="87"/>
      <c r="BU2092" s="87"/>
      <c r="BV2092" s="87"/>
      <c r="BW2092" s="87"/>
      <c r="BX2092" s="87"/>
      <c r="BY2092" s="87"/>
    </row>
    <row r="2093" spans="21:77" x14ac:dyDescent="0.3">
      <c r="U2093" s="19"/>
      <c r="V2093" s="87"/>
      <c r="W2093" s="87"/>
      <c r="X2093" s="87"/>
      <c r="Y2093" s="87"/>
      <c r="Z2093" s="87"/>
      <c r="AA2093" s="87"/>
      <c r="AB2093" s="87"/>
      <c r="AC2093" s="87"/>
      <c r="AD2093" s="87"/>
      <c r="AE2093" s="87"/>
      <c r="AF2093" s="87"/>
      <c r="AG2093" s="87"/>
      <c r="AH2093" s="87"/>
      <c r="AI2093" s="87"/>
      <c r="AJ2093" s="87"/>
      <c r="AK2093" s="87"/>
      <c r="AL2093" s="87"/>
      <c r="AM2093" s="87"/>
      <c r="AN2093" s="87"/>
      <c r="AO2093" s="87"/>
      <c r="AP2093" s="87"/>
      <c r="AQ2093" s="87"/>
      <c r="AR2093" s="87"/>
      <c r="AS2093" s="87"/>
      <c r="AT2093" s="87"/>
      <c r="AU2093" s="87"/>
      <c r="AV2093" s="87"/>
      <c r="AW2093" s="87"/>
      <c r="AX2093" s="87"/>
      <c r="AY2093" s="87"/>
      <c r="AZ2093" s="87"/>
      <c r="BA2093" s="87"/>
      <c r="BB2093" s="87"/>
      <c r="BC2093" s="87"/>
      <c r="BD2093" s="87"/>
      <c r="BE2093" s="87"/>
      <c r="BF2093" s="87"/>
      <c r="BG2093" s="87"/>
      <c r="BH2093" s="87"/>
      <c r="BI2093" s="87"/>
      <c r="BJ2093" s="87"/>
      <c r="BK2093" s="87"/>
      <c r="BL2093" s="87"/>
      <c r="BM2093" s="87"/>
      <c r="BN2093" s="87"/>
      <c r="BO2093" s="87"/>
      <c r="BP2093" s="87"/>
      <c r="BQ2093" s="87"/>
      <c r="BR2093" s="87"/>
      <c r="BS2093" s="87"/>
      <c r="BT2093" s="87"/>
      <c r="BU2093" s="87"/>
      <c r="BV2093" s="87"/>
      <c r="BW2093" s="87"/>
      <c r="BX2093" s="87"/>
      <c r="BY2093" s="87"/>
    </row>
    <row r="2094" spans="21:77" x14ac:dyDescent="0.3">
      <c r="U2094" s="19"/>
      <c r="V2094" s="87"/>
      <c r="W2094" s="87"/>
      <c r="X2094" s="87"/>
      <c r="Y2094" s="87"/>
      <c r="Z2094" s="87"/>
      <c r="AA2094" s="87"/>
      <c r="AB2094" s="87"/>
      <c r="AC2094" s="87"/>
      <c r="AD2094" s="87"/>
      <c r="AE2094" s="87"/>
      <c r="AF2094" s="87"/>
      <c r="AG2094" s="87"/>
      <c r="AH2094" s="87"/>
      <c r="AI2094" s="87"/>
      <c r="AJ2094" s="87"/>
      <c r="AK2094" s="87"/>
      <c r="AL2094" s="87"/>
      <c r="AM2094" s="87"/>
      <c r="AN2094" s="87"/>
      <c r="AO2094" s="87"/>
      <c r="AP2094" s="87"/>
      <c r="AQ2094" s="87"/>
      <c r="AR2094" s="87"/>
      <c r="AS2094" s="87"/>
      <c r="AT2094" s="87"/>
      <c r="AU2094" s="87"/>
      <c r="AV2094" s="87"/>
      <c r="AW2094" s="87"/>
      <c r="AX2094" s="87"/>
      <c r="AY2094" s="87"/>
      <c r="AZ2094" s="87"/>
      <c r="BA2094" s="87"/>
      <c r="BB2094" s="87"/>
      <c r="BC2094" s="87"/>
      <c r="BD2094" s="87"/>
      <c r="BE2094" s="87"/>
      <c r="BF2094" s="87"/>
      <c r="BG2094" s="87"/>
      <c r="BH2094" s="87"/>
      <c r="BI2094" s="87"/>
      <c r="BJ2094" s="87"/>
      <c r="BK2094" s="87"/>
      <c r="BL2094" s="87"/>
      <c r="BM2094" s="87"/>
      <c r="BN2094" s="87"/>
      <c r="BO2094" s="87"/>
      <c r="BP2094" s="87"/>
      <c r="BQ2094" s="87"/>
      <c r="BR2094" s="87"/>
      <c r="BS2094" s="87"/>
      <c r="BT2094" s="87"/>
      <c r="BU2094" s="87"/>
      <c r="BV2094" s="87"/>
      <c r="BW2094" s="87"/>
      <c r="BX2094" s="87"/>
      <c r="BY2094" s="87"/>
    </row>
    <row r="2095" spans="21:77" x14ac:dyDescent="0.3">
      <c r="U2095" s="19"/>
      <c r="V2095" s="87"/>
      <c r="W2095" s="87"/>
      <c r="X2095" s="87"/>
      <c r="Y2095" s="87"/>
      <c r="Z2095" s="87"/>
      <c r="AA2095" s="87"/>
      <c r="AB2095" s="87"/>
      <c r="AC2095" s="87"/>
      <c r="AD2095" s="87"/>
      <c r="AE2095" s="87"/>
      <c r="AF2095" s="87"/>
      <c r="AG2095" s="87"/>
      <c r="AH2095" s="87"/>
      <c r="AI2095" s="87"/>
      <c r="AJ2095" s="87"/>
      <c r="AK2095" s="87"/>
      <c r="AL2095" s="87"/>
      <c r="AM2095" s="87"/>
      <c r="AN2095" s="87"/>
      <c r="AO2095" s="87"/>
      <c r="AP2095" s="87"/>
      <c r="AQ2095" s="87"/>
      <c r="AR2095" s="87"/>
      <c r="AS2095" s="87"/>
      <c r="AT2095" s="87"/>
      <c r="AU2095" s="87"/>
      <c r="AV2095" s="87"/>
      <c r="AW2095" s="87"/>
      <c r="AX2095" s="87"/>
      <c r="AY2095" s="87"/>
      <c r="AZ2095" s="87"/>
      <c r="BA2095" s="87"/>
      <c r="BB2095" s="87"/>
      <c r="BC2095" s="87"/>
      <c r="BD2095" s="87"/>
      <c r="BE2095" s="87"/>
      <c r="BF2095" s="87"/>
      <c r="BG2095" s="87"/>
      <c r="BH2095" s="87"/>
      <c r="BI2095" s="87"/>
      <c r="BJ2095" s="87"/>
      <c r="BK2095" s="87"/>
      <c r="BL2095" s="87"/>
      <c r="BM2095" s="87"/>
      <c r="BN2095" s="87"/>
      <c r="BO2095" s="87"/>
      <c r="BP2095" s="87"/>
      <c r="BQ2095" s="87"/>
      <c r="BR2095" s="87"/>
      <c r="BS2095" s="87"/>
      <c r="BT2095" s="87"/>
      <c r="BU2095" s="87"/>
      <c r="BV2095" s="87"/>
      <c r="BW2095" s="87"/>
      <c r="BX2095" s="87"/>
      <c r="BY2095" s="87"/>
    </row>
    <row r="2096" spans="21:77" x14ac:dyDescent="0.3">
      <c r="U2096" s="19"/>
      <c r="V2096" s="87"/>
      <c r="W2096" s="87"/>
      <c r="X2096" s="87"/>
      <c r="Y2096" s="87"/>
      <c r="Z2096" s="87"/>
      <c r="AA2096" s="87"/>
      <c r="AB2096" s="87"/>
      <c r="AC2096" s="87"/>
      <c r="AD2096" s="87"/>
      <c r="AE2096" s="87"/>
      <c r="AF2096" s="87"/>
      <c r="AG2096" s="87"/>
      <c r="AH2096" s="87"/>
      <c r="AI2096" s="87"/>
      <c r="AJ2096" s="87"/>
      <c r="AK2096" s="87"/>
      <c r="AL2096" s="87"/>
      <c r="AM2096" s="87"/>
      <c r="AN2096" s="87"/>
      <c r="AO2096" s="87"/>
      <c r="AP2096" s="87"/>
      <c r="AQ2096" s="87"/>
      <c r="AR2096" s="87"/>
      <c r="AS2096" s="87"/>
      <c r="AT2096" s="87"/>
      <c r="AU2096" s="87"/>
      <c r="AV2096" s="87"/>
      <c r="AW2096" s="87"/>
      <c r="AX2096" s="87"/>
      <c r="AY2096" s="87"/>
      <c r="AZ2096" s="87"/>
      <c r="BA2096" s="87"/>
      <c r="BB2096" s="87"/>
      <c r="BC2096" s="87"/>
      <c r="BD2096" s="87"/>
      <c r="BE2096" s="87"/>
      <c r="BF2096" s="87"/>
      <c r="BG2096" s="87"/>
      <c r="BH2096" s="87"/>
      <c r="BI2096" s="87"/>
      <c r="BJ2096" s="87"/>
      <c r="BK2096" s="87"/>
      <c r="BL2096" s="87"/>
      <c r="BM2096" s="87"/>
      <c r="BN2096" s="87"/>
      <c r="BO2096" s="87"/>
      <c r="BP2096" s="87"/>
      <c r="BQ2096" s="87"/>
      <c r="BR2096" s="87"/>
      <c r="BS2096" s="87"/>
      <c r="BT2096" s="87"/>
      <c r="BU2096" s="87"/>
      <c r="BV2096" s="87"/>
      <c r="BW2096" s="87"/>
      <c r="BX2096" s="87"/>
      <c r="BY2096" s="87"/>
    </row>
    <row r="2097" spans="21:77" x14ac:dyDescent="0.3">
      <c r="U2097" s="19"/>
      <c r="V2097" s="87"/>
      <c r="W2097" s="87"/>
      <c r="X2097" s="87"/>
      <c r="Y2097" s="87"/>
      <c r="Z2097" s="87"/>
      <c r="AA2097" s="87"/>
      <c r="AB2097" s="87"/>
      <c r="AC2097" s="87"/>
      <c r="AD2097" s="87"/>
      <c r="AE2097" s="87"/>
      <c r="AF2097" s="87"/>
      <c r="AG2097" s="87"/>
      <c r="AH2097" s="87"/>
      <c r="AI2097" s="87"/>
      <c r="AJ2097" s="87"/>
      <c r="AK2097" s="87"/>
      <c r="AL2097" s="87"/>
      <c r="AM2097" s="87"/>
      <c r="AN2097" s="87"/>
      <c r="AO2097" s="87"/>
      <c r="AP2097" s="87"/>
      <c r="AQ2097" s="87"/>
      <c r="AR2097" s="87"/>
      <c r="AS2097" s="87"/>
      <c r="AT2097" s="87"/>
      <c r="AU2097" s="87"/>
      <c r="AV2097" s="87"/>
      <c r="AW2097" s="87"/>
      <c r="AX2097" s="87"/>
      <c r="AY2097" s="87"/>
      <c r="AZ2097" s="87"/>
      <c r="BA2097" s="87"/>
      <c r="BB2097" s="87"/>
      <c r="BC2097" s="87"/>
      <c r="BD2097" s="87"/>
      <c r="BE2097" s="87"/>
      <c r="BF2097" s="87"/>
      <c r="BG2097" s="87"/>
      <c r="BH2097" s="87"/>
      <c r="BI2097" s="87"/>
      <c r="BJ2097" s="87"/>
      <c r="BK2097" s="87"/>
      <c r="BL2097" s="87"/>
      <c r="BM2097" s="87"/>
      <c r="BN2097" s="87"/>
      <c r="BO2097" s="87"/>
      <c r="BP2097" s="87"/>
      <c r="BQ2097" s="87"/>
      <c r="BR2097" s="87"/>
      <c r="BS2097" s="87"/>
      <c r="BT2097" s="87"/>
      <c r="BU2097" s="87"/>
      <c r="BV2097" s="87"/>
      <c r="BW2097" s="87"/>
      <c r="BX2097" s="87"/>
      <c r="BY2097" s="87"/>
    </row>
    <row r="2098" spans="21:77" x14ac:dyDescent="0.3">
      <c r="U2098" s="19"/>
      <c r="V2098" s="87"/>
      <c r="W2098" s="87"/>
      <c r="X2098" s="87"/>
      <c r="Y2098" s="87"/>
      <c r="Z2098" s="87"/>
      <c r="AA2098" s="87"/>
      <c r="AB2098" s="87"/>
      <c r="AC2098" s="87"/>
      <c r="AD2098" s="87"/>
      <c r="AE2098" s="87"/>
      <c r="AF2098" s="87"/>
      <c r="AG2098" s="87"/>
      <c r="AH2098" s="87"/>
      <c r="AI2098" s="87"/>
      <c r="AJ2098" s="87"/>
      <c r="AK2098" s="87"/>
      <c r="AL2098" s="87"/>
      <c r="AM2098" s="87"/>
      <c r="AN2098" s="87"/>
      <c r="AO2098" s="87"/>
      <c r="AP2098" s="87"/>
      <c r="AQ2098" s="87"/>
      <c r="AR2098" s="87"/>
      <c r="AS2098" s="87"/>
      <c r="AT2098" s="87"/>
      <c r="AU2098" s="87"/>
      <c r="AV2098" s="87"/>
      <c r="AW2098" s="87"/>
      <c r="AX2098" s="87"/>
      <c r="AY2098" s="87"/>
      <c r="AZ2098" s="87"/>
      <c r="BA2098" s="87"/>
      <c r="BB2098" s="87"/>
      <c r="BC2098" s="87"/>
      <c r="BD2098" s="87"/>
      <c r="BE2098" s="87"/>
      <c r="BF2098" s="87"/>
      <c r="BG2098" s="87"/>
      <c r="BH2098" s="87"/>
      <c r="BI2098" s="87"/>
      <c r="BJ2098" s="87"/>
      <c r="BK2098" s="87"/>
      <c r="BL2098" s="87"/>
      <c r="BM2098" s="87"/>
      <c r="BN2098" s="87"/>
      <c r="BO2098" s="87"/>
      <c r="BP2098" s="87"/>
      <c r="BQ2098" s="87"/>
      <c r="BR2098" s="87"/>
      <c r="BS2098" s="87"/>
      <c r="BT2098" s="87"/>
      <c r="BU2098" s="87"/>
      <c r="BV2098" s="87"/>
      <c r="BW2098" s="87"/>
      <c r="BX2098" s="87"/>
      <c r="BY2098" s="87"/>
    </row>
    <row r="2099" spans="21:77" x14ac:dyDescent="0.3">
      <c r="U2099" s="19"/>
      <c r="V2099" s="87"/>
      <c r="W2099" s="87"/>
      <c r="X2099" s="87"/>
      <c r="Y2099" s="87"/>
      <c r="Z2099" s="87"/>
      <c r="AA2099" s="87"/>
      <c r="AB2099" s="87"/>
      <c r="AC2099" s="87"/>
      <c r="AD2099" s="87"/>
      <c r="AE2099" s="87"/>
      <c r="AF2099" s="87"/>
      <c r="AG2099" s="87"/>
      <c r="AH2099" s="87"/>
      <c r="AI2099" s="87"/>
      <c r="AJ2099" s="87"/>
      <c r="AK2099" s="87"/>
      <c r="AL2099" s="87"/>
      <c r="AM2099" s="87"/>
      <c r="AN2099" s="87"/>
      <c r="AO2099" s="87"/>
      <c r="AP2099" s="87"/>
      <c r="AQ2099" s="87"/>
      <c r="AR2099" s="87"/>
      <c r="AS2099" s="87"/>
      <c r="AT2099" s="87"/>
      <c r="AU2099" s="87"/>
      <c r="AV2099" s="87"/>
      <c r="AW2099" s="87"/>
      <c r="AX2099" s="87"/>
      <c r="AY2099" s="87"/>
      <c r="AZ2099" s="87"/>
      <c r="BA2099" s="87"/>
      <c r="BB2099" s="87"/>
      <c r="BC2099" s="87"/>
      <c r="BD2099" s="87"/>
      <c r="BE2099" s="87"/>
      <c r="BF2099" s="87"/>
      <c r="BG2099" s="87"/>
      <c r="BH2099" s="87"/>
      <c r="BI2099" s="87"/>
      <c r="BJ2099" s="87"/>
      <c r="BK2099" s="87"/>
      <c r="BL2099" s="87"/>
      <c r="BM2099" s="87"/>
      <c r="BN2099" s="87"/>
      <c r="BO2099" s="87"/>
      <c r="BP2099" s="87"/>
      <c r="BQ2099" s="87"/>
      <c r="BR2099" s="87"/>
      <c r="BS2099" s="87"/>
      <c r="BT2099" s="87"/>
      <c r="BU2099" s="87"/>
      <c r="BV2099" s="87"/>
      <c r="BW2099" s="87"/>
      <c r="BX2099" s="87"/>
      <c r="BY2099" s="87"/>
    </row>
    <row r="2100" spans="21:77" x14ac:dyDescent="0.3">
      <c r="U2100" s="19"/>
      <c r="V2100" s="87"/>
      <c r="W2100" s="87"/>
      <c r="X2100" s="87"/>
      <c r="Y2100" s="87"/>
      <c r="Z2100" s="87"/>
      <c r="AA2100" s="87"/>
      <c r="AB2100" s="87"/>
      <c r="AC2100" s="87"/>
      <c r="AD2100" s="87"/>
      <c r="AE2100" s="87"/>
      <c r="AF2100" s="87"/>
      <c r="AG2100" s="87"/>
      <c r="AH2100" s="87"/>
      <c r="AI2100" s="87"/>
      <c r="AJ2100" s="87"/>
      <c r="AK2100" s="87"/>
      <c r="AL2100" s="87"/>
      <c r="AM2100" s="87"/>
      <c r="AN2100" s="87"/>
      <c r="AO2100" s="87"/>
      <c r="AP2100" s="87"/>
      <c r="AQ2100" s="87"/>
      <c r="AR2100" s="87"/>
      <c r="AS2100" s="87"/>
      <c r="AT2100" s="87"/>
      <c r="AU2100" s="87"/>
      <c r="AV2100" s="87"/>
      <c r="AW2100" s="87"/>
      <c r="AX2100" s="87"/>
      <c r="AY2100" s="87"/>
      <c r="AZ2100" s="87"/>
      <c r="BA2100" s="87"/>
      <c r="BB2100" s="87"/>
      <c r="BC2100" s="87"/>
      <c r="BD2100" s="87"/>
      <c r="BE2100" s="87"/>
      <c r="BF2100" s="87"/>
      <c r="BG2100" s="87"/>
      <c r="BH2100" s="87"/>
      <c r="BI2100" s="87"/>
      <c r="BJ2100" s="87"/>
      <c r="BK2100" s="87"/>
      <c r="BL2100" s="87"/>
      <c r="BM2100" s="87"/>
      <c r="BN2100" s="87"/>
      <c r="BO2100" s="87"/>
      <c r="BP2100" s="87"/>
      <c r="BQ2100" s="87"/>
      <c r="BR2100" s="87"/>
      <c r="BS2100" s="87"/>
      <c r="BT2100" s="87"/>
      <c r="BU2100" s="87"/>
      <c r="BV2100" s="87"/>
      <c r="BW2100" s="87"/>
      <c r="BX2100" s="87"/>
      <c r="BY2100" s="87"/>
    </row>
    <row r="2101" spans="21:77" x14ac:dyDescent="0.3">
      <c r="U2101" s="19"/>
      <c r="V2101" s="87"/>
      <c r="W2101" s="87"/>
      <c r="X2101" s="87"/>
      <c r="Y2101" s="87"/>
      <c r="Z2101" s="87"/>
      <c r="AA2101" s="87"/>
      <c r="AB2101" s="87"/>
      <c r="AC2101" s="87"/>
      <c r="AD2101" s="87"/>
      <c r="AE2101" s="87"/>
      <c r="AF2101" s="87"/>
      <c r="AG2101" s="87"/>
      <c r="AH2101" s="87"/>
      <c r="AI2101" s="87"/>
      <c r="AJ2101" s="87"/>
      <c r="AK2101" s="87"/>
      <c r="AL2101" s="87"/>
      <c r="AM2101" s="87"/>
      <c r="AN2101" s="87"/>
      <c r="AO2101" s="87"/>
      <c r="AP2101" s="87"/>
      <c r="AQ2101" s="87"/>
      <c r="AR2101" s="87"/>
      <c r="AS2101" s="87"/>
      <c r="AT2101" s="87"/>
      <c r="AU2101" s="87"/>
      <c r="AV2101" s="87"/>
      <c r="AW2101" s="87"/>
      <c r="AX2101" s="87"/>
      <c r="AY2101" s="87"/>
      <c r="AZ2101" s="87"/>
      <c r="BA2101" s="87"/>
      <c r="BB2101" s="87"/>
      <c r="BC2101" s="87"/>
      <c r="BD2101" s="87"/>
      <c r="BE2101" s="87"/>
      <c r="BF2101" s="87"/>
      <c r="BG2101" s="87"/>
      <c r="BH2101" s="87"/>
      <c r="BI2101" s="87"/>
      <c r="BJ2101" s="87"/>
      <c r="BK2101" s="87"/>
      <c r="BL2101" s="87"/>
      <c r="BM2101" s="87"/>
      <c r="BN2101" s="87"/>
      <c r="BO2101" s="87"/>
      <c r="BP2101" s="87"/>
      <c r="BQ2101" s="87"/>
      <c r="BR2101" s="87"/>
      <c r="BS2101" s="87"/>
      <c r="BT2101" s="87"/>
      <c r="BU2101" s="87"/>
      <c r="BV2101" s="87"/>
      <c r="BW2101" s="87"/>
      <c r="BX2101" s="87"/>
      <c r="BY2101" s="87"/>
    </row>
    <row r="2102" spans="21:77" x14ac:dyDescent="0.3">
      <c r="U2102" s="19"/>
      <c r="V2102" s="87"/>
      <c r="W2102" s="87"/>
      <c r="X2102" s="87"/>
      <c r="Y2102" s="87"/>
      <c r="Z2102" s="87"/>
      <c r="AA2102" s="87"/>
      <c r="AB2102" s="87"/>
      <c r="AC2102" s="87"/>
      <c r="AD2102" s="87"/>
      <c r="AE2102" s="87"/>
      <c r="AF2102" s="87"/>
      <c r="AG2102" s="87"/>
      <c r="AH2102" s="87"/>
      <c r="AI2102" s="87"/>
      <c r="AJ2102" s="87"/>
      <c r="AK2102" s="87"/>
      <c r="AL2102" s="87"/>
      <c r="AM2102" s="87"/>
      <c r="AN2102" s="87"/>
      <c r="AO2102" s="87"/>
      <c r="AP2102" s="87"/>
      <c r="AQ2102" s="87"/>
      <c r="AR2102" s="87"/>
      <c r="AS2102" s="87"/>
      <c r="AT2102" s="87"/>
      <c r="AU2102" s="87"/>
      <c r="AV2102" s="87"/>
      <c r="AW2102" s="87"/>
      <c r="AX2102" s="87"/>
      <c r="AY2102" s="87"/>
      <c r="AZ2102" s="87"/>
      <c r="BA2102" s="87"/>
      <c r="BB2102" s="87"/>
      <c r="BC2102" s="87"/>
      <c r="BD2102" s="87"/>
      <c r="BE2102" s="87"/>
      <c r="BF2102" s="87"/>
      <c r="BG2102" s="87"/>
      <c r="BH2102" s="87"/>
      <c r="BI2102" s="87"/>
      <c r="BJ2102" s="87"/>
      <c r="BK2102" s="87"/>
      <c r="BL2102" s="87"/>
      <c r="BM2102" s="87"/>
      <c r="BN2102" s="87"/>
      <c r="BO2102" s="87"/>
      <c r="BP2102" s="87"/>
      <c r="BQ2102" s="87"/>
      <c r="BR2102" s="87"/>
      <c r="BS2102" s="87"/>
      <c r="BT2102" s="87"/>
      <c r="BU2102" s="87"/>
      <c r="BV2102" s="87"/>
      <c r="BW2102" s="87"/>
      <c r="BX2102" s="87"/>
      <c r="BY2102" s="87"/>
    </row>
    <row r="2103" spans="21:77" x14ac:dyDescent="0.3">
      <c r="U2103" s="19"/>
      <c r="V2103" s="87"/>
      <c r="W2103" s="87"/>
      <c r="X2103" s="87"/>
      <c r="Y2103" s="87"/>
      <c r="Z2103" s="87"/>
      <c r="AA2103" s="87"/>
      <c r="AB2103" s="87"/>
      <c r="AC2103" s="87"/>
      <c r="AD2103" s="87"/>
      <c r="AE2103" s="87"/>
      <c r="AF2103" s="87"/>
      <c r="AG2103" s="87"/>
      <c r="AH2103" s="87"/>
      <c r="AI2103" s="87"/>
      <c r="AJ2103" s="87"/>
      <c r="AK2103" s="87"/>
      <c r="AL2103" s="87"/>
      <c r="AM2103" s="87"/>
      <c r="AN2103" s="87"/>
      <c r="AO2103" s="87"/>
      <c r="AP2103" s="87"/>
      <c r="AQ2103" s="87"/>
      <c r="AR2103" s="87"/>
      <c r="AS2103" s="87"/>
      <c r="AT2103" s="87"/>
      <c r="AU2103" s="87"/>
      <c r="AV2103" s="87"/>
      <c r="AW2103" s="87"/>
      <c r="AX2103" s="87"/>
      <c r="AY2103" s="87"/>
      <c r="AZ2103" s="87"/>
      <c r="BA2103" s="87"/>
      <c r="BB2103" s="87"/>
      <c r="BC2103" s="87"/>
      <c r="BD2103" s="87"/>
      <c r="BE2103" s="87"/>
      <c r="BF2103" s="87"/>
      <c r="BG2103" s="87"/>
      <c r="BH2103" s="87"/>
      <c r="BI2103" s="87"/>
      <c r="BJ2103" s="87"/>
      <c r="BK2103" s="87"/>
      <c r="BL2103" s="87"/>
      <c r="BM2103" s="87"/>
      <c r="BN2103" s="87"/>
      <c r="BO2103" s="87"/>
      <c r="BP2103" s="87"/>
      <c r="BQ2103" s="87"/>
      <c r="BR2103" s="87"/>
      <c r="BS2103" s="87"/>
      <c r="BT2103" s="87"/>
      <c r="BU2103" s="87"/>
      <c r="BV2103" s="87"/>
      <c r="BW2103" s="87"/>
      <c r="BX2103" s="87"/>
      <c r="BY2103" s="87"/>
    </row>
    <row r="2104" spans="21:77" x14ac:dyDescent="0.3">
      <c r="U2104" s="19"/>
      <c r="V2104" s="87"/>
      <c r="W2104" s="87"/>
      <c r="X2104" s="87"/>
      <c r="Y2104" s="87"/>
      <c r="Z2104" s="87"/>
      <c r="AA2104" s="87"/>
      <c r="AB2104" s="87"/>
      <c r="AC2104" s="87"/>
      <c r="AD2104" s="87"/>
      <c r="AE2104" s="87"/>
      <c r="AF2104" s="87"/>
      <c r="AG2104" s="87"/>
      <c r="AH2104" s="87"/>
      <c r="AI2104" s="87"/>
      <c r="AJ2104" s="87"/>
      <c r="AK2104" s="87"/>
      <c r="AL2104" s="87"/>
      <c r="AM2104" s="87"/>
      <c r="AN2104" s="87"/>
      <c r="AO2104" s="87"/>
      <c r="AP2104" s="87"/>
      <c r="AQ2104" s="87"/>
      <c r="AR2104" s="87"/>
      <c r="AS2104" s="87"/>
      <c r="AT2104" s="87"/>
      <c r="AU2104" s="87"/>
      <c r="AV2104" s="87"/>
      <c r="AW2104" s="87"/>
      <c r="AX2104" s="87"/>
      <c r="AY2104" s="87"/>
      <c r="AZ2104" s="87"/>
      <c r="BA2104" s="87"/>
      <c r="BB2104" s="87"/>
      <c r="BC2104" s="87"/>
      <c r="BD2104" s="87"/>
      <c r="BE2104" s="87"/>
      <c r="BF2104" s="87"/>
      <c r="BG2104" s="87"/>
      <c r="BH2104" s="87"/>
      <c r="BI2104" s="87"/>
      <c r="BJ2104" s="87"/>
      <c r="BK2104" s="87"/>
      <c r="BL2104" s="87"/>
      <c r="BM2104" s="87"/>
      <c r="BN2104" s="87"/>
      <c r="BO2104" s="87"/>
      <c r="BP2104" s="87"/>
      <c r="BQ2104" s="87"/>
      <c r="BR2104" s="87"/>
      <c r="BS2104" s="87"/>
      <c r="BT2104" s="87"/>
      <c r="BU2104" s="87"/>
      <c r="BV2104" s="87"/>
      <c r="BW2104" s="87"/>
      <c r="BX2104" s="87"/>
      <c r="BY2104" s="87"/>
    </row>
    <row r="2105" spans="21:77" x14ac:dyDescent="0.3">
      <c r="U2105" s="19"/>
      <c r="V2105" s="87"/>
      <c r="W2105" s="87"/>
      <c r="X2105" s="87"/>
      <c r="Y2105" s="87"/>
      <c r="Z2105" s="87"/>
      <c r="AA2105" s="87"/>
      <c r="AB2105" s="87"/>
      <c r="AC2105" s="87"/>
      <c r="AD2105" s="87"/>
      <c r="AE2105" s="87"/>
      <c r="AF2105" s="87"/>
      <c r="AG2105" s="87"/>
      <c r="AH2105" s="87"/>
      <c r="AI2105" s="87"/>
      <c r="AJ2105" s="87"/>
      <c r="AK2105" s="87"/>
      <c r="AL2105" s="87"/>
      <c r="AM2105" s="87"/>
      <c r="AN2105" s="87"/>
      <c r="AO2105" s="87"/>
      <c r="AP2105" s="87"/>
      <c r="AQ2105" s="87"/>
      <c r="AR2105" s="87"/>
      <c r="AS2105" s="87"/>
      <c r="AT2105" s="87"/>
      <c r="AU2105" s="87"/>
      <c r="AV2105" s="87"/>
      <c r="AW2105" s="87"/>
      <c r="AX2105" s="87"/>
      <c r="AY2105" s="87"/>
      <c r="AZ2105" s="87"/>
      <c r="BA2105" s="87"/>
      <c r="BB2105" s="87"/>
      <c r="BC2105" s="87"/>
      <c r="BD2105" s="87"/>
      <c r="BE2105" s="87"/>
      <c r="BF2105" s="87"/>
      <c r="BG2105" s="87"/>
      <c r="BH2105" s="87"/>
      <c r="BI2105" s="87"/>
      <c r="BJ2105" s="87"/>
      <c r="BK2105" s="87"/>
      <c r="BL2105" s="87"/>
      <c r="BM2105" s="87"/>
      <c r="BN2105" s="87"/>
      <c r="BO2105" s="87"/>
      <c r="BP2105" s="87"/>
      <c r="BQ2105" s="87"/>
      <c r="BR2105" s="87"/>
      <c r="BS2105" s="87"/>
      <c r="BT2105" s="87"/>
      <c r="BU2105" s="87"/>
      <c r="BV2105" s="87"/>
      <c r="BW2105" s="87"/>
      <c r="BX2105" s="87"/>
      <c r="BY2105" s="87"/>
    </row>
    <row r="2106" spans="21:77" x14ac:dyDescent="0.3">
      <c r="U2106" s="19"/>
      <c r="V2106" s="87"/>
      <c r="W2106" s="87"/>
      <c r="X2106" s="87"/>
      <c r="Y2106" s="87"/>
      <c r="Z2106" s="87"/>
      <c r="AA2106" s="87"/>
      <c r="AB2106" s="87"/>
      <c r="AC2106" s="87"/>
      <c r="AD2106" s="87"/>
      <c r="AE2106" s="87"/>
      <c r="AF2106" s="87"/>
      <c r="AG2106" s="87"/>
      <c r="AH2106" s="87"/>
      <c r="AI2106" s="87"/>
      <c r="AJ2106" s="87"/>
      <c r="AK2106" s="87"/>
      <c r="AL2106" s="87"/>
      <c r="AM2106" s="87"/>
      <c r="AN2106" s="87"/>
      <c r="AO2106" s="87"/>
      <c r="AP2106" s="87"/>
      <c r="AQ2106" s="87"/>
      <c r="AR2106" s="87"/>
      <c r="AS2106" s="87"/>
      <c r="AT2106" s="87"/>
      <c r="AU2106" s="87"/>
      <c r="AV2106" s="87"/>
      <c r="AW2106" s="87"/>
      <c r="AX2106" s="87"/>
      <c r="AY2106" s="87"/>
      <c r="AZ2106" s="87"/>
      <c r="BA2106" s="87"/>
      <c r="BB2106" s="87"/>
      <c r="BC2106" s="87"/>
      <c r="BD2106" s="87"/>
      <c r="BE2106" s="87"/>
      <c r="BF2106" s="87"/>
      <c r="BG2106" s="87"/>
      <c r="BH2106" s="87"/>
      <c r="BI2106" s="87"/>
      <c r="BJ2106" s="87"/>
      <c r="BK2106" s="87"/>
      <c r="BL2106" s="87"/>
      <c r="BM2106" s="87"/>
      <c r="BN2106" s="87"/>
      <c r="BO2106" s="87"/>
      <c r="BP2106" s="87"/>
      <c r="BQ2106" s="87"/>
      <c r="BR2106" s="87"/>
      <c r="BS2106" s="87"/>
      <c r="BT2106" s="87"/>
      <c r="BU2106" s="87"/>
      <c r="BV2106" s="87"/>
      <c r="BW2106" s="87"/>
      <c r="BX2106" s="87"/>
      <c r="BY2106" s="87"/>
    </row>
    <row r="2107" spans="21:77" x14ac:dyDescent="0.3">
      <c r="U2107" s="19"/>
      <c r="V2107" s="87"/>
      <c r="W2107" s="87"/>
      <c r="X2107" s="87"/>
      <c r="Y2107" s="87"/>
      <c r="Z2107" s="87"/>
      <c r="AA2107" s="87"/>
      <c r="AB2107" s="87"/>
      <c r="AC2107" s="87"/>
      <c r="AD2107" s="87"/>
      <c r="AE2107" s="87"/>
      <c r="AF2107" s="87"/>
      <c r="AG2107" s="87"/>
      <c r="AH2107" s="87"/>
      <c r="AI2107" s="87"/>
      <c r="AJ2107" s="87"/>
      <c r="AK2107" s="87"/>
      <c r="AL2107" s="87"/>
      <c r="AM2107" s="87"/>
      <c r="AN2107" s="87"/>
      <c r="AO2107" s="87"/>
      <c r="AP2107" s="87"/>
      <c r="AQ2107" s="87"/>
      <c r="AR2107" s="87"/>
      <c r="AS2107" s="87"/>
      <c r="AT2107" s="87"/>
      <c r="AU2107" s="87"/>
      <c r="AV2107" s="87"/>
      <c r="AW2107" s="87"/>
      <c r="AX2107" s="87"/>
      <c r="AY2107" s="87"/>
      <c r="AZ2107" s="87"/>
      <c r="BA2107" s="87"/>
      <c r="BB2107" s="87"/>
      <c r="BC2107" s="87"/>
      <c r="BD2107" s="87"/>
      <c r="BE2107" s="87"/>
      <c r="BF2107" s="87"/>
      <c r="BG2107" s="87"/>
      <c r="BH2107" s="87"/>
      <c r="BI2107" s="87"/>
      <c r="BJ2107" s="87"/>
      <c r="BK2107" s="87"/>
      <c r="BL2107" s="87"/>
      <c r="BM2107" s="87"/>
      <c r="BN2107" s="87"/>
      <c r="BO2107" s="87"/>
      <c r="BP2107" s="87"/>
      <c r="BQ2107" s="87"/>
      <c r="BR2107" s="87"/>
      <c r="BS2107" s="87"/>
      <c r="BT2107" s="87"/>
      <c r="BU2107" s="87"/>
      <c r="BV2107" s="87"/>
      <c r="BW2107" s="87"/>
      <c r="BX2107" s="87"/>
      <c r="BY2107" s="87"/>
    </row>
    <row r="2108" spans="21:77" x14ac:dyDescent="0.3">
      <c r="U2108" s="19"/>
      <c r="V2108" s="87"/>
      <c r="W2108" s="87"/>
      <c r="X2108" s="87"/>
      <c r="Y2108" s="87"/>
      <c r="Z2108" s="87"/>
      <c r="AA2108" s="87"/>
      <c r="AB2108" s="87"/>
      <c r="AC2108" s="87"/>
      <c r="AD2108" s="87"/>
      <c r="AE2108" s="87"/>
      <c r="AF2108" s="87"/>
      <c r="AG2108" s="87"/>
      <c r="AH2108" s="87"/>
      <c r="AI2108" s="87"/>
      <c r="AJ2108" s="87"/>
      <c r="AK2108" s="87"/>
      <c r="AL2108" s="87"/>
      <c r="AM2108" s="87"/>
      <c r="AN2108" s="87"/>
      <c r="AO2108" s="87"/>
      <c r="AP2108" s="87"/>
      <c r="AQ2108" s="87"/>
      <c r="AR2108" s="87"/>
      <c r="AS2108" s="87"/>
      <c r="AT2108" s="87"/>
      <c r="AU2108" s="87"/>
      <c r="AV2108" s="87"/>
      <c r="AW2108" s="87"/>
      <c r="AX2108" s="87"/>
      <c r="AY2108" s="87"/>
      <c r="AZ2108" s="87"/>
      <c r="BA2108" s="87"/>
      <c r="BB2108" s="87"/>
      <c r="BC2108" s="87"/>
      <c r="BD2108" s="87"/>
      <c r="BE2108" s="87"/>
      <c r="BF2108" s="87"/>
      <c r="BG2108" s="87"/>
      <c r="BH2108" s="87"/>
      <c r="BI2108" s="87"/>
      <c r="BJ2108" s="87"/>
      <c r="BK2108" s="87"/>
      <c r="BL2108" s="87"/>
      <c r="BM2108" s="87"/>
      <c r="BN2108" s="87"/>
      <c r="BO2108" s="87"/>
      <c r="BP2108" s="87"/>
      <c r="BQ2108" s="87"/>
      <c r="BR2108" s="87"/>
      <c r="BS2108" s="87"/>
      <c r="BT2108" s="87"/>
      <c r="BU2108" s="87"/>
      <c r="BV2108" s="87"/>
      <c r="BW2108" s="87"/>
      <c r="BX2108" s="87"/>
      <c r="BY2108" s="87"/>
    </row>
    <row r="2109" spans="21:77" x14ac:dyDescent="0.3">
      <c r="U2109" s="19"/>
      <c r="V2109" s="87"/>
      <c r="W2109" s="87"/>
      <c r="X2109" s="87"/>
      <c r="Y2109" s="87"/>
      <c r="Z2109" s="87"/>
      <c r="AA2109" s="87"/>
      <c r="AB2109" s="87"/>
      <c r="AC2109" s="87"/>
      <c r="AD2109" s="87"/>
      <c r="AE2109" s="87"/>
      <c r="AF2109" s="87"/>
      <c r="AG2109" s="87"/>
      <c r="AH2109" s="87"/>
      <c r="AI2109" s="87"/>
      <c r="AJ2109" s="87"/>
      <c r="AK2109" s="87"/>
      <c r="AL2109" s="87"/>
      <c r="AM2109" s="87"/>
      <c r="AN2109" s="87"/>
      <c r="AO2109" s="87"/>
      <c r="AP2109" s="87"/>
      <c r="AQ2109" s="87"/>
      <c r="AR2109" s="87"/>
      <c r="AS2109" s="87"/>
      <c r="AT2109" s="87"/>
      <c r="AU2109" s="87"/>
      <c r="AV2109" s="87"/>
      <c r="AW2109" s="87"/>
      <c r="AX2109" s="87"/>
      <c r="AY2109" s="87"/>
      <c r="AZ2109" s="87"/>
      <c r="BA2109" s="87"/>
      <c r="BB2109" s="87"/>
      <c r="BC2109" s="87"/>
      <c r="BD2109" s="87"/>
      <c r="BE2109" s="87"/>
      <c r="BF2109" s="87"/>
      <c r="BG2109" s="87"/>
      <c r="BH2109" s="87"/>
      <c r="BI2109" s="87"/>
      <c r="BJ2109" s="87"/>
      <c r="BK2109" s="87"/>
      <c r="BL2109" s="87"/>
      <c r="BM2109" s="87"/>
      <c r="BN2109" s="87"/>
      <c r="BO2109" s="87"/>
      <c r="BP2109" s="87"/>
      <c r="BQ2109" s="87"/>
      <c r="BR2109" s="87"/>
      <c r="BS2109" s="87"/>
      <c r="BT2109" s="87"/>
      <c r="BU2109" s="87"/>
      <c r="BV2109" s="87"/>
      <c r="BW2109" s="87"/>
      <c r="BX2109" s="87"/>
      <c r="BY2109" s="87"/>
    </row>
    <row r="2110" spans="21:77" x14ac:dyDescent="0.3">
      <c r="U2110" s="19"/>
      <c r="V2110" s="87"/>
      <c r="W2110" s="87"/>
      <c r="X2110" s="87"/>
      <c r="Y2110" s="87"/>
      <c r="Z2110" s="87"/>
      <c r="AA2110" s="87"/>
      <c r="AB2110" s="87"/>
      <c r="AC2110" s="87"/>
      <c r="AD2110" s="87"/>
      <c r="AE2110" s="87"/>
      <c r="AF2110" s="87"/>
      <c r="AG2110" s="87"/>
      <c r="AH2110" s="87"/>
      <c r="AI2110" s="87"/>
      <c r="AJ2110" s="87"/>
      <c r="AK2110" s="87"/>
      <c r="AL2110" s="87"/>
      <c r="AM2110" s="87"/>
      <c r="AN2110" s="87"/>
      <c r="AO2110" s="87"/>
      <c r="AP2110" s="87"/>
      <c r="AQ2110" s="87"/>
      <c r="AR2110" s="87"/>
      <c r="AS2110" s="87"/>
      <c r="AT2110" s="87"/>
      <c r="AU2110" s="87"/>
      <c r="AV2110" s="87"/>
      <c r="AW2110" s="87"/>
      <c r="AX2110" s="87"/>
      <c r="AY2110" s="87"/>
      <c r="AZ2110" s="87"/>
      <c r="BA2110" s="87"/>
      <c r="BB2110" s="87"/>
      <c r="BC2110" s="87"/>
      <c r="BD2110" s="87"/>
      <c r="BE2110" s="87"/>
      <c r="BF2110" s="87"/>
      <c r="BG2110" s="87"/>
      <c r="BH2110" s="87"/>
      <c r="BI2110" s="87"/>
      <c r="BJ2110" s="87"/>
      <c r="BK2110" s="87"/>
      <c r="BL2110" s="87"/>
      <c r="BM2110" s="87"/>
      <c r="BN2110" s="87"/>
      <c r="BO2110" s="87"/>
      <c r="BP2110" s="87"/>
      <c r="BQ2110" s="87"/>
      <c r="BR2110" s="87"/>
      <c r="BS2110" s="87"/>
      <c r="BT2110" s="87"/>
      <c r="BU2110" s="87"/>
      <c r="BV2110" s="87"/>
      <c r="BW2110" s="87"/>
      <c r="BX2110" s="87"/>
      <c r="BY2110" s="87"/>
    </row>
    <row r="2111" spans="21:77" x14ac:dyDescent="0.3">
      <c r="U2111" s="19"/>
      <c r="V2111" s="87"/>
      <c r="W2111" s="87"/>
      <c r="X2111" s="87"/>
      <c r="Y2111" s="87"/>
      <c r="Z2111" s="87"/>
      <c r="AA2111" s="87"/>
      <c r="AB2111" s="87"/>
      <c r="AC2111" s="87"/>
      <c r="AD2111" s="87"/>
      <c r="AE2111" s="87"/>
      <c r="AF2111" s="87"/>
      <c r="AG2111" s="87"/>
      <c r="AH2111" s="87"/>
      <c r="AI2111" s="87"/>
      <c r="AJ2111" s="87"/>
      <c r="AK2111" s="87"/>
      <c r="AL2111" s="87"/>
      <c r="AM2111" s="87"/>
      <c r="AN2111" s="87"/>
      <c r="AO2111" s="87"/>
      <c r="AP2111" s="87"/>
      <c r="AQ2111" s="87"/>
      <c r="AR2111" s="87"/>
      <c r="AS2111" s="87"/>
      <c r="AT2111" s="87"/>
      <c r="AU2111" s="87"/>
      <c r="AV2111" s="87"/>
      <c r="AW2111" s="87"/>
      <c r="AX2111" s="87"/>
      <c r="AY2111" s="87"/>
      <c r="AZ2111" s="87"/>
      <c r="BA2111" s="87"/>
      <c r="BB2111" s="87"/>
      <c r="BC2111" s="87"/>
      <c r="BD2111" s="87"/>
      <c r="BE2111" s="87"/>
      <c r="BF2111" s="87"/>
      <c r="BG2111" s="87"/>
      <c r="BH2111" s="87"/>
      <c r="BI2111" s="87"/>
      <c r="BJ2111" s="87"/>
      <c r="BK2111" s="87"/>
      <c r="BL2111" s="87"/>
      <c r="BM2111" s="87"/>
      <c r="BN2111" s="87"/>
      <c r="BO2111" s="87"/>
      <c r="BP2111" s="87"/>
      <c r="BQ2111" s="87"/>
      <c r="BR2111" s="87"/>
      <c r="BS2111" s="87"/>
      <c r="BT2111" s="87"/>
      <c r="BU2111" s="87"/>
      <c r="BV2111" s="87"/>
      <c r="BW2111" s="87"/>
      <c r="BX2111" s="87"/>
      <c r="BY2111" s="87"/>
    </row>
    <row r="2112" spans="21:77" x14ac:dyDescent="0.3">
      <c r="U2112" s="19"/>
      <c r="V2112" s="87"/>
      <c r="W2112" s="87"/>
      <c r="X2112" s="87"/>
      <c r="Y2112" s="87"/>
      <c r="Z2112" s="87"/>
      <c r="AA2112" s="87"/>
      <c r="AB2112" s="87"/>
      <c r="AC2112" s="87"/>
      <c r="AD2112" s="87"/>
      <c r="AE2112" s="87"/>
      <c r="AF2112" s="87"/>
      <c r="AG2112" s="87"/>
      <c r="AH2112" s="87"/>
      <c r="AI2112" s="87"/>
      <c r="AJ2112" s="87"/>
      <c r="AK2112" s="87"/>
      <c r="AL2112" s="87"/>
      <c r="AM2112" s="87"/>
      <c r="AN2112" s="87"/>
      <c r="AO2112" s="87"/>
      <c r="AP2112" s="87"/>
      <c r="AQ2112" s="87"/>
      <c r="AR2112" s="87"/>
      <c r="AS2112" s="87"/>
      <c r="AT2112" s="87"/>
      <c r="AU2112" s="87"/>
      <c r="AV2112" s="87"/>
      <c r="AW2112" s="87"/>
      <c r="AX2112" s="87"/>
      <c r="AY2112" s="87"/>
      <c r="AZ2112" s="87"/>
      <c r="BA2112" s="87"/>
      <c r="BB2112" s="87"/>
      <c r="BC2112" s="87"/>
      <c r="BD2112" s="87"/>
      <c r="BE2112" s="87"/>
      <c r="BF2112" s="87"/>
      <c r="BG2112" s="87"/>
      <c r="BH2112" s="87"/>
      <c r="BI2112" s="87"/>
      <c r="BJ2112" s="87"/>
      <c r="BK2112" s="87"/>
      <c r="BL2112" s="87"/>
      <c r="BM2112" s="87"/>
      <c r="BN2112" s="87"/>
      <c r="BO2112" s="87"/>
      <c r="BP2112" s="87"/>
      <c r="BQ2112" s="87"/>
      <c r="BR2112" s="87"/>
      <c r="BS2112" s="87"/>
      <c r="BT2112" s="87"/>
      <c r="BU2112" s="87"/>
      <c r="BV2112" s="87"/>
      <c r="BW2112" s="87"/>
      <c r="BX2112" s="87"/>
      <c r="BY2112" s="87"/>
    </row>
    <row r="2113" spans="21:77" x14ac:dyDescent="0.3">
      <c r="U2113" s="19"/>
      <c r="V2113" s="87"/>
      <c r="W2113" s="87"/>
      <c r="X2113" s="87"/>
      <c r="Y2113" s="87"/>
      <c r="Z2113" s="87"/>
      <c r="AA2113" s="87"/>
      <c r="AB2113" s="87"/>
      <c r="AC2113" s="87"/>
      <c r="AD2113" s="87"/>
      <c r="AE2113" s="87"/>
      <c r="AF2113" s="87"/>
      <c r="AG2113" s="87"/>
      <c r="AH2113" s="87"/>
      <c r="AI2113" s="87"/>
      <c r="AJ2113" s="87"/>
      <c r="AK2113" s="87"/>
      <c r="AL2113" s="87"/>
      <c r="AM2113" s="87"/>
      <c r="AN2113" s="87"/>
      <c r="AO2113" s="87"/>
      <c r="AP2113" s="87"/>
      <c r="AQ2113" s="87"/>
      <c r="AR2113" s="87"/>
      <c r="AS2113" s="87"/>
      <c r="AT2113" s="87"/>
      <c r="AU2113" s="87"/>
      <c r="AV2113" s="87"/>
      <c r="AW2113" s="87"/>
      <c r="AX2113" s="87"/>
      <c r="AY2113" s="87"/>
      <c r="AZ2113" s="87"/>
      <c r="BA2113" s="87"/>
      <c r="BB2113" s="87"/>
      <c r="BC2113" s="87"/>
      <c r="BD2113" s="87"/>
      <c r="BE2113" s="87"/>
      <c r="BF2113" s="87"/>
      <c r="BG2113" s="87"/>
      <c r="BH2113" s="87"/>
      <c r="BI2113" s="87"/>
      <c r="BJ2113" s="87"/>
      <c r="BK2113" s="87"/>
      <c r="BL2113" s="87"/>
      <c r="BM2113" s="87"/>
      <c r="BN2113" s="87"/>
      <c r="BO2113" s="87"/>
      <c r="BP2113" s="87"/>
      <c r="BQ2113" s="87"/>
      <c r="BR2113" s="87"/>
      <c r="BS2113" s="87"/>
      <c r="BT2113" s="87"/>
      <c r="BU2113" s="87"/>
      <c r="BV2113" s="87"/>
      <c r="BW2113" s="87"/>
      <c r="BX2113" s="87"/>
      <c r="BY2113" s="87"/>
    </row>
    <row r="2114" spans="21:77" x14ac:dyDescent="0.3">
      <c r="U2114" s="19"/>
      <c r="V2114" s="87"/>
      <c r="W2114" s="87"/>
      <c r="X2114" s="87"/>
      <c r="Y2114" s="87"/>
      <c r="Z2114" s="87"/>
      <c r="AA2114" s="87"/>
      <c r="AB2114" s="87"/>
      <c r="AC2114" s="87"/>
      <c r="AD2114" s="87"/>
      <c r="AE2114" s="87"/>
      <c r="AF2114" s="87"/>
      <c r="AG2114" s="87"/>
      <c r="AH2114" s="87"/>
      <c r="AI2114" s="87"/>
      <c r="AJ2114" s="87"/>
      <c r="AK2114" s="87"/>
      <c r="AL2114" s="87"/>
      <c r="AM2114" s="87"/>
      <c r="AN2114" s="87"/>
      <c r="AO2114" s="87"/>
      <c r="AP2114" s="87"/>
      <c r="AQ2114" s="87"/>
      <c r="AR2114" s="87"/>
      <c r="AS2114" s="87"/>
      <c r="AT2114" s="87"/>
      <c r="AU2114" s="87"/>
      <c r="AV2114" s="87"/>
      <c r="AW2114" s="87"/>
      <c r="AX2114" s="87"/>
      <c r="AY2114" s="87"/>
      <c r="AZ2114" s="87"/>
      <c r="BA2114" s="87"/>
      <c r="BB2114" s="87"/>
      <c r="BC2114" s="87"/>
      <c r="BD2114" s="87"/>
      <c r="BE2114" s="87"/>
      <c r="BF2114" s="87"/>
      <c r="BG2114" s="87"/>
      <c r="BH2114" s="87"/>
      <c r="BI2114" s="87"/>
      <c r="BJ2114" s="87"/>
      <c r="BK2114" s="87"/>
      <c r="BL2114" s="87"/>
      <c r="BM2114" s="87"/>
      <c r="BN2114" s="87"/>
      <c r="BO2114" s="87"/>
      <c r="BP2114" s="87"/>
      <c r="BQ2114" s="87"/>
      <c r="BR2114" s="87"/>
      <c r="BS2114" s="87"/>
      <c r="BT2114" s="87"/>
      <c r="BU2114" s="87"/>
      <c r="BV2114" s="87"/>
      <c r="BW2114" s="87"/>
      <c r="BX2114" s="87"/>
      <c r="BY2114" s="87"/>
    </row>
    <row r="2115" spans="21:77" x14ac:dyDescent="0.3">
      <c r="U2115" s="19"/>
      <c r="V2115" s="87"/>
      <c r="W2115" s="87"/>
      <c r="X2115" s="87"/>
      <c r="Y2115" s="87"/>
      <c r="Z2115" s="87"/>
      <c r="AA2115" s="87"/>
      <c r="AB2115" s="87"/>
      <c r="AC2115" s="87"/>
      <c r="AD2115" s="87"/>
      <c r="AE2115" s="87"/>
      <c r="AF2115" s="87"/>
      <c r="AG2115" s="87"/>
      <c r="AH2115" s="87"/>
      <c r="AI2115" s="87"/>
      <c r="AJ2115" s="87"/>
      <c r="AK2115" s="87"/>
      <c r="AL2115" s="87"/>
      <c r="AM2115" s="87"/>
      <c r="AN2115" s="87"/>
      <c r="AO2115" s="87"/>
      <c r="AP2115" s="87"/>
      <c r="AQ2115" s="87"/>
      <c r="AR2115" s="87"/>
      <c r="AS2115" s="87"/>
      <c r="AT2115" s="87"/>
      <c r="AU2115" s="87"/>
      <c r="AV2115" s="87"/>
      <c r="AW2115" s="87"/>
      <c r="AX2115" s="87"/>
      <c r="AY2115" s="87"/>
      <c r="AZ2115" s="87"/>
      <c r="BA2115" s="87"/>
      <c r="BB2115" s="87"/>
      <c r="BC2115" s="87"/>
      <c r="BD2115" s="87"/>
      <c r="BE2115" s="87"/>
      <c r="BF2115" s="87"/>
      <c r="BG2115" s="87"/>
      <c r="BH2115" s="87"/>
      <c r="BI2115" s="87"/>
      <c r="BJ2115" s="87"/>
      <c r="BK2115" s="87"/>
      <c r="BL2115" s="87"/>
      <c r="BM2115" s="87"/>
      <c r="BN2115" s="87"/>
      <c r="BO2115" s="87"/>
      <c r="BP2115" s="87"/>
      <c r="BQ2115" s="87"/>
      <c r="BR2115" s="87"/>
      <c r="BS2115" s="87"/>
      <c r="BT2115" s="87"/>
      <c r="BU2115" s="87"/>
      <c r="BV2115" s="87"/>
      <c r="BW2115" s="87"/>
      <c r="BX2115" s="87"/>
      <c r="BY2115" s="87"/>
    </row>
    <row r="2116" spans="21:77" x14ac:dyDescent="0.3">
      <c r="U2116" s="19"/>
      <c r="V2116" s="87"/>
      <c r="W2116" s="87"/>
      <c r="X2116" s="87"/>
      <c r="Y2116" s="87"/>
      <c r="Z2116" s="87"/>
      <c r="AA2116" s="87"/>
      <c r="AB2116" s="87"/>
      <c r="AC2116" s="87"/>
      <c r="AD2116" s="87"/>
      <c r="AE2116" s="87"/>
      <c r="AF2116" s="87"/>
      <c r="AG2116" s="87"/>
      <c r="AH2116" s="87"/>
      <c r="AI2116" s="87"/>
      <c r="AJ2116" s="87"/>
      <c r="AK2116" s="87"/>
      <c r="AL2116" s="87"/>
      <c r="AM2116" s="87"/>
      <c r="AN2116" s="87"/>
      <c r="AO2116" s="87"/>
      <c r="AP2116" s="87"/>
      <c r="AQ2116" s="87"/>
      <c r="AR2116" s="87"/>
      <c r="AS2116" s="87"/>
      <c r="AT2116" s="87"/>
      <c r="AU2116" s="87"/>
      <c r="AV2116" s="87"/>
      <c r="AW2116" s="87"/>
      <c r="AX2116" s="87"/>
      <c r="AY2116" s="87"/>
      <c r="AZ2116" s="87"/>
      <c r="BA2116" s="87"/>
      <c r="BB2116" s="87"/>
      <c r="BC2116" s="87"/>
      <c r="BD2116" s="87"/>
      <c r="BE2116" s="87"/>
      <c r="BF2116" s="87"/>
      <c r="BG2116" s="87"/>
      <c r="BH2116" s="87"/>
      <c r="BI2116" s="87"/>
      <c r="BJ2116" s="87"/>
      <c r="BK2116" s="87"/>
      <c r="BL2116" s="87"/>
      <c r="BM2116" s="87"/>
      <c r="BN2116" s="87"/>
      <c r="BO2116" s="87"/>
      <c r="BP2116" s="87"/>
      <c r="BQ2116" s="87"/>
      <c r="BR2116" s="87"/>
      <c r="BS2116" s="87"/>
      <c r="BT2116" s="87"/>
      <c r="BU2116" s="87"/>
      <c r="BV2116" s="87"/>
      <c r="BW2116" s="87"/>
      <c r="BX2116" s="87"/>
      <c r="BY2116" s="87"/>
    </row>
    <row r="2117" spans="21:77" x14ac:dyDescent="0.3">
      <c r="U2117" s="19"/>
      <c r="V2117" s="87"/>
      <c r="W2117" s="87"/>
      <c r="X2117" s="87"/>
      <c r="Y2117" s="87"/>
      <c r="Z2117" s="87"/>
      <c r="AA2117" s="87"/>
      <c r="AB2117" s="87"/>
      <c r="AC2117" s="87"/>
      <c r="AD2117" s="87"/>
      <c r="AE2117" s="87"/>
      <c r="AF2117" s="87"/>
      <c r="AG2117" s="87"/>
      <c r="AH2117" s="87"/>
      <c r="AI2117" s="87"/>
      <c r="AJ2117" s="87"/>
      <c r="AK2117" s="87"/>
      <c r="AL2117" s="87"/>
      <c r="AM2117" s="87"/>
      <c r="AN2117" s="87"/>
      <c r="AO2117" s="87"/>
      <c r="AP2117" s="87"/>
      <c r="AQ2117" s="87"/>
      <c r="AR2117" s="87"/>
      <c r="AS2117" s="87"/>
      <c r="AT2117" s="87"/>
      <c r="AU2117" s="87"/>
      <c r="AV2117" s="87"/>
      <c r="AW2117" s="87"/>
      <c r="AX2117" s="87"/>
      <c r="AY2117" s="87"/>
      <c r="AZ2117" s="87"/>
      <c r="BA2117" s="87"/>
      <c r="BB2117" s="87"/>
      <c r="BC2117" s="87"/>
      <c r="BD2117" s="87"/>
      <c r="BE2117" s="87"/>
      <c r="BF2117" s="87"/>
      <c r="BG2117" s="87"/>
      <c r="BH2117" s="87"/>
      <c r="BI2117" s="87"/>
      <c r="BJ2117" s="87"/>
      <c r="BK2117" s="87"/>
      <c r="BL2117" s="87"/>
      <c r="BM2117" s="87"/>
      <c r="BN2117" s="87"/>
      <c r="BO2117" s="87"/>
      <c r="BP2117" s="87"/>
      <c r="BQ2117" s="87"/>
      <c r="BR2117" s="87"/>
      <c r="BS2117" s="87"/>
      <c r="BT2117" s="87"/>
      <c r="BU2117" s="87"/>
      <c r="BV2117" s="87"/>
      <c r="BW2117" s="87"/>
      <c r="BX2117" s="87"/>
      <c r="BY2117" s="87"/>
    </row>
    <row r="2118" spans="21:77" x14ac:dyDescent="0.3">
      <c r="U2118" s="19"/>
      <c r="V2118" s="87"/>
      <c r="W2118" s="87"/>
      <c r="X2118" s="87"/>
      <c r="Y2118" s="87"/>
      <c r="Z2118" s="87"/>
      <c r="AA2118" s="87"/>
      <c r="AB2118" s="87"/>
      <c r="AC2118" s="87"/>
      <c r="AD2118" s="87"/>
      <c r="AE2118" s="87"/>
      <c r="AF2118" s="87"/>
      <c r="AG2118" s="87"/>
      <c r="AH2118" s="87"/>
      <c r="AI2118" s="87"/>
      <c r="AJ2118" s="87"/>
      <c r="AK2118" s="87"/>
      <c r="AL2118" s="87"/>
      <c r="AM2118" s="87"/>
      <c r="AN2118" s="87"/>
      <c r="AO2118" s="87"/>
      <c r="AP2118" s="87"/>
      <c r="AQ2118" s="87"/>
      <c r="AR2118" s="87"/>
      <c r="AS2118" s="87"/>
      <c r="AT2118" s="87"/>
      <c r="AU2118" s="87"/>
      <c r="AV2118" s="87"/>
      <c r="AW2118" s="87"/>
      <c r="AX2118" s="87"/>
      <c r="AY2118" s="87"/>
      <c r="AZ2118" s="87"/>
      <c r="BA2118" s="87"/>
      <c r="BB2118" s="87"/>
      <c r="BC2118" s="87"/>
      <c r="BD2118" s="87"/>
      <c r="BE2118" s="87"/>
      <c r="BF2118" s="87"/>
      <c r="BG2118" s="87"/>
      <c r="BH2118" s="87"/>
      <c r="BI2118" s="87"/>
      <c r="BJ2118" s="87"/>
      <c r="BK2118" s="87"/>
      <c r="BL2118" s="87"/>
      <c r="BM2118" s="87"/>
      <c r="BN2118" s="87"/>
      <c r="BO2118" s="87"/>
      <c r="BP2118" s="87"/>
      <c r="BQ2118" s="87"/>
      <c r="BR2118" s="87"/>
      <c r="BS2118" s="87"/>
      <c r="BT2118" s="87"/>
      <c r="BU2118" s="87"/>
      <c r="BV2118" s="87"/>
      <c r="BW2118" s="87"/>
      <c r="BX2118" s="87"/>
      <c r="BY2118" s="87"/>
    </row>
    <row r="2119" spans="21:77" x14ac:dyDescent="0.3">
      <c r="U2119" s="19"/>
      <c r="V2119" s="87"/>
      <c r="W2119" s="87"/>
      <c r="X2119" s="87"/>
      <c r="Y2119" s="87"/>
      <c r="Z2119" s="87"/>
      <c r="AA2119" s="87"/>
      <c r="AB2119" s="87"/>
      <c r="AC2119" s="87"/>
      <c r="AD2119" s="87"/>
      <c r="AE2119" s="87"/>
      <c r="AF2119" s="87"/>
      <c r="AG2119" s="87"/>
      <c r="AH2119" s="87"/>
      <c r="AI2119" s="87"/>
      <c r="AJ2119" s="87"/>
      <c r="AK2119" s="87"/>
      <c r="AL2119" s="87"/>
      <c r="AM2119" s="87"/>
      <c r="AN2119" s="87"/>
      <c r="AO2119" s="87"/>
      <c r="AP2119" s="87"/>
      <c r="AQ2119" s="87"/>
      <c r="AR2119" s="87"/>
      <c r="AS2119" s="87"/>
      <c r="AT2119" s="87"/>
      <c r="AU2119" s="87"/>
      <c r="AV2119" s="87"/>
      <c r="AW2119" s="87"/>
      <c r="AX2119" s="87"/>
      <c r="AY2119" s="87"/>
      <c r="AZ2119" s="87"/>
      <c r="BA2119" s="87"/>
      <c r="BB2119" s="87"/>
      <c r="BC2119" s="87"/>
      <c r="BD2119" s="87"/>
      <c r="BE2119" s="87"/>
      <c r="BF2119" s="87"/>
      <c r="BG2119" s="87"/>
      <c r="BH2119" s="87"/>
      <c r="BI2119" s="87"/>
      <c r="BJ2119" s="87"/>
      <c r="BK2119" s="87"/>
      <c r="BL2119" s="87"/>
      <c r="BM2119" s="87"/>
      <c r="BN2119" s="87"/>
      <c r="BO2119" s="87"/>
      <c r="BP2119" s="87"/>
      <c r="BQ2119" s="87"/>
      <c r="BR2119" s="87"/>
      <c r="BS2119" s="87"/>
      <c r="BT2119" s="87"/>
      <c r="BU2119" s="87"/>
      <c r="BV2119" s="87"/>
      <c r="BW2119" s="87"/>
      <c r="BX2119" s="87"/>
      <c r="BY2119" s="87"/>
    </row>
    <row r="2120" spans="21:77" x14ac:dyDescent="0.3">
      <c r="U2120" s="19"/>
      <c r="V2120" s="87"/>
      <c r="W2120" s="87"/>
      <c r="X2120" s="87"/>
      <c r="Y2120" s="87"/>
      <c r="Z2120" s="87"/>
      <c r="AA2120" s="87"/>
      <c r="AB2120" s="87"/>
      <c r="AC2120" s="87"/>
      <c r="AD2120" s="87"/>
      <c r="AE2120" s="87"/>
      <c r="AF2120" s="87"/>
      <c r="AG2120" s="87"/>
      <c r="AH2120" s="87"/>
      <c r="AI2120" s="87"/>
      <c r="AJ2120" s="87"/>
      <c r="AK2120" s="87"/>
      <c r="AL2120" s="87"/>
      <c r="AM2120" s="87"/>
      <c r="AN2120" s="87"/>
      <c r="AO2120" s="87"/>
      <c r="AP2120" s="87"/>
      <c r="AQ2120" s="87"/>
      <c r="AR2120" s="87"/>
      <c r="AS2120" s="87"/>
      <c r="AT2120" s="87"/>
      <c r="AU2120" s="87"/>
      <c r="AV2120" s="87"/>
      <c r="AW2120" s="87"/>
      <c r="AX2120" s="87"/>
      <c r="AY2120" s="87"/>
      <c r="AZ2120" s="87"/>
      <c r="BA2120" s="87"/>
      <c r="BB2120" s="87"/>
      <c r="BC2120" s="87"/>
      <c r="BD2120" s="87"/>
      <c r="BE2120" s="87"/>
      <c r="BF2120" s="87"/>
      <c r="BG2120" s="87"/>
      <c r="BH2120" s="87"/>
      <c r="BI2120" s="87"/>
      <c r="BJ2120" s="87"/>
      <c r="BK2120" s="87"/>
      <c r="BL2120" s="87"/>
      <c r="BM2120" s="87"/>
      <c r="BN2120" s="87"/>
      <c r="BO2120" s="87"/>
      <c r="BP2120" s="87"/>
      <c r="BQ2120" s="87"/>
      <c r="BR2120" s="87"/>
      <c r="BS2120" s="87"/>
      <c r="BT2120" s="87"/>
      <c r="BU2120" s="87"/>
      <c r="BV2120" s="87"/>
      <c r="BW2120" s="87"/>
      <c r="BX2120" s="87"/>
      <c r="BY2120" s="87"/>
    </row>
    <row r="2121" spans="21:77" x14ac:dyDescent="0.3">
      <c r="U2121" s="19"/>
      <c r="V2121" s="87"/>
      <c r="W2121" s="87"/>
      <c r="X2121" s="87"/>
      <c r="Y2121" s="87"/>
      <c r="Z2121" s="87"/>
      <c r="AA2121" s="87"/>
      <c r="AB2121" s="87"/>
      <c r="AC2121" s="87"/>
      <c r="AD2121" s="87"/>
      <c r="AE2121" s="87"/>
      <c r="AF2121" s="87"/>
      <c r="AG2121" s="87"/>
      <c r="AH2121" s="87"/>
      <c r="AI2121" s="87"/>
      <c r="AJ2121" s="87"/>
      <c r="AK2121" s="87"/>
      <c r="AL2121" s="87"/>
      <c r="AM2121" s="87"/>
      <c r="AN2121" s="87"/>
      <c r="AO2121" s="87"/>
      <c r="AP2121" s="87"/>
      <c r="AQ2121" s="87"/>
      <c r="AR2121" s="87"/>
      <c r="AS2121" s="87"/>
      <c r="AT2121" s="87"/>
      <c r="AU2121" s="87"/>
      <c r="AV2121" s="87"/>
      <c r="AW2121" s="87"/>
      <c r="AX2121" s="87"/>
      <c r="AY2121" s="87"/>
      <c r="AZ2121" s="87"/>
      <c r="BA2121" s="87"/>
      <c r="BB2121" s="87"/>
      <c r="BC2121" s="87"/>
      <c r="BD2121" s="87"/>
      <c r="BE2121" s="87"/>
      <c r="BF2121" s="87"/>
      <c r="BG2121" s="87"/>
      <c r="BH2121" s="87"/>
      <c r="BI2121" s="87"/>
      <c r="BJ2121" s="87"/>
      <c r="BK2121" s="87"/>
      <c r="BL2121" s="87"/>
      <c r="BM2121" s="87"/>
      <c r="BN2121" s="87"/>
      <c r="BO2121" s="87"/>
      <c r="BP2121" s="87"/>
      <c r="BQ2121" s="87"/>
      <c r="BR2121" s="87"/>
      <c r="BS2121" s="87"/>
      <c r="BT2121" s="87"/>
      <c r="BU2121" s="87"/>
      <c r="BV2121" s="87"/>
      <c r="BW2121" s="87"/>
      <c r="BX2121" s="87"/>
      <c r="BY2121" s="87"/>
    </row>
    <row r="2122" spans="21:77" x14ac:dyDescent="0.3">
      <c r="U2122" s="19"/>
      <c r="V2122" s="87"/>
      <c r="W2122" s="87"/>
      <c r="X2122" s="87"/>
      <c r="Y2122" s="87"/>
      <c r="Z2122" s="87"/>
      <c r="AA2122" s="87"/>
      <c r="AB2122" s="87"/>
      <c r="AC2122" s="87"/>
      <c r="AD2122" s="87"/>
      <c r="AE2122" s="87"/>
      <c r="AF2122" s="87"/>
      <c r="AG2122" s="87"/>
      <c r="AH2122" s="87"/>
      <c r="AI2122" s="87"/>
      <c r="AJ2122" s="87"/>
      <c r="AK2122" s="87"/>
      <c r="AL2122" s="87"/>
      <c r="AM2122" s="87"/>
      <c r="AN2122" s="87"/>
      <c r="AO2122" s="87"/>
      <c r="AP2122" s="87"/>
      <c r="AQ2122" s="87"/>
      <c r="AR2122" s="87"/>
      <c r="AS2122" s="87"/>
      <c r="AT2122" s="87"/>
      <c r="AU2122" s="87"/>
      <c r="AV2122" s="87"/>
      <c r="AW2122" s="87"/>
      <c r="AX2122" s="87"/>
      <c r="AY2122" s="87"/>
      <c r="AZ2122" s="87"/>
      <c r="BA2122" s="87"/>
      <c r="BB2122" s="87"/>
      <c r="BC2122" s="87"/>
      <c r="BD2122" s="87"/>
      <c r="BE2122" s="87"/>
      <c r="BF2122" s="87"/>
      <c r="BG2122" s="87"/>
      <c r="BH2122" s="87"/>
      <c r="BI2122" s="87"/>
      <c r="BJ2122" s="87"/>
      <c r="BK2122" s="87"/>
      <c r="BL2122" s="87"/>
      <c r="BM2122" s="87"/>
      <c r="BN2122" s="87"/>
      <c r="BO2122" s="87"/>
      <c r="BP2122" s="87"/>
      <c r="BQ2122" s="87"/>
      <c r="BR2122" s="87"/>
      <c r="BS2122" s="87"/>
      <c r="BT2122" s="87"/>
      <c r="BU2122" s="87"/>
      <c r="BV2122" s="87"/>
      <c r="BW2122" s="87"/>
      <c r="BX2122" s="87"/>
      <c r="BY2122" s="87"/>
    </row>
    <row r="2123" spans="21:77" x14ac:dyDescent="0.3">
      <c r="U2123" s="19"/>
      <c r="V2123" s="87"/>
      <c r="W2123" s="87"/>
      <c r="X2123" s="87"/>
      <c r="Y2123" s="87"/>
      <c r="Z2123" s="87"/>
      <c r="AA2123" s="87"/>
      <c r="AB2123" s="87"/>
      <c r="AC2123" s="87"/>
      <c r="AD2123" s="87"/>
      <c r="AE2123" s="87"/>
      <c r="AF2123" s="87"/>
      <c r="AG2123" s="87"/>
      <c r="AH2123" s="87"/>
      <c r="AI2123" s="87"/>
      <c r="AJ2123" s="87"/>
      <c r="AK2123" s="87"/>
      <c r="AL2123" s="87"/>
      <c r="AM2123" s="87"/>
      <c r="AN2123" s="87"/>
      <c r="AO2123" s="87"/>
      <c r="AP2123" s="87"/>
      <c r="AQ2123" s="87"/>
      <c r="AR2123" s="87"/>
      <c r="AS2123" s="87"/>
      <c r="AT2123" s="87"/>
      <c r="AU2123" s="87"/>
      <c r="AV2123" s="87"/>
      <c r="AW2123" s="87"/>
      <c r="AX2123" s="87"/>
      <c r="AY2123" s="87"/>
      <c r="AZ2123" s="87"/>
      <c r="BA2123" s="87"/>
      <c r="BB2123" s="87"/>
      <c r="BC2123" s="87"/>
      <c r="BD2123" s="87"/>
      <c r="BE2123" s="87"/>
      <c r="BF2123" s="87"/>
      <c r="BG2123" s="87"/>
      <c r="BH2123" s="87"/>
      <c r="BI2123" s="87"/>
      <c r="BJ2123" s="87"/>
      <c r="BK2123" s="87"/>
      <c r="BL2123" s="87"/>
      <c r="BM2123" s="87"/>
      <c r="BN2123" s="87"/>
      <c r="BO2123" s="87"/>
      <c r="BP2123" s="87"/>
      <c r="BQ2123" s="87"/>
      <c r="BR2123" s="87"/>
      <c r="BS2123" s="87"/>
      <c r="BT2123" s="87"/>
      <c r="BU2123" s="87"/>
      <c r="BV2123" s="87"/>
      <c r="BW2123" s="87"/>
      <c r="BX2123" s="87"/>
      <c r="BY2123" s="87"/>
    </row>
    <row r="2124" spans="21:77" x14ac:dyDescent="0.3">
      <c r="U2124" s="19"/>
      <c r="V2124" s="87"/>
      <c r="W2124" s="87"/>
      <c r="X2124" s="87"/>
      <c r="Y2124" s="87"/>
      <c r="Z2124" s="87"/>
      <c r="AA2124" s="87"/>
      <c r="AB2124" s="87"/>
      <c r="AC2124" s="87"/>
      <c r="AD2124" s="87"/>
      <c r="AE2124" s="87"/>
      <c r="AF2124" s="87"/>
      <c r="AG2124" s="87"/>
      <c r="AH2124" s="87"/>
      <c r="AI2124" s="87"/>
      <c r="AJ2124" s="87"/>
      <c r="AK2124" s="87"/>
      <c r="AL2124" s="87"/>
      <c r="AM2124" s="87"/>
      <c r="AN2124" s="87"/>
      <c r="AO2124" s="87"/>
      <c r="AP2124" s="87"/>
      <c r="AQ2124" s="87"/>
      <c r="AR2124" s="87"/>
      <c r="AS2124" s="87"/>
      <c r="AT2124" s="87"/>
      <c r="AU2124" s="87"/>
      <c r="AV2124" s="87"/>
      <c r="AW2124" s="87"/>
      <c r="AX2124" s="87"/>
      <c r="AY2124" s="87"/>
      <c r="AZ2124" s="87"/>
      <c r="BA2124" s="87"/>
      <c r="BB2124" s="87"/>
      <c r="BC2124" s="87"/>
      <c r="BD2124" s="87"/>
      <c r="BE2124" s="87"/>
      <c r="BF2124" s="87"/>
      <c r="BG2124" s="87"/>
      <c r="BH2124" s="87"/>
      <c r="BI2124" s="87"/>
      <c r="BJ2124" s="87"/>
      <c r="BK2124" s="87"/>
      <c r="BL2124" s="87"/>
      <c r="BM2124" s="87"/>
      <c r="BN2124" s="87"/>
      <c r="BO2124" s="87"/>
      <c r="BP2124" s="87"/>
      <c r="BQ2124" s="87"/>
      <c r="BR2124" s="87"/>
      <c r="BS2124" s="87"/>
      <c r="BT2124" s="87"/>
      <c r="BU2124" s="87"/>
      <c r="BV2124" s="87"/>
      <c r="BW2124" s="87"/>
      <c r="BX2124" s="87"/>
      <c r="BY2124" s="87"/>
    </row>
    <row r="2125" spans="21:77" x14ac:dyDescent="0.3">
      <c r="U2125" s="19"/>
      <c r="V2125" s="87"/>
      <c r="W2125" s="87"/>
      <c r="X2125" s="87"/>
      <c r="Y2125" s="87"/>
      <c r="Z2125" s="87"/>
      <c r="AA2125" s="87"/>
      <c r="AB2125" s="87"/>
      <c r="AC2125" s="87"/>
      <c r="AD2125" s="87"/>
      <c r="AE2125" s="87"/>
      <c r="AF2125" s="87"/>
      <c r="AG2125" s="87"/>
      <c r="AH2125" s="87"/>
      <c r="AI2125" s="87"/>
      <c r="AJ2125" s="87"/>
      <c r="AK2125" s="87"/>
      <c r="AL2125" s="87"/>
      <c r="AM2125" s="87"/>
      <c r="AN2125" s="87"/>
      <c r="AO2125" s="87"/>
      <c r="AP2125" s="87"/>
      <c r="AQ2125" s="87"/>
      <c r="AR2125" s="87"/>
      <c r="AS2125" s="87"/>
      <c r="AT2125" s="87"/>
      <c r="AU2125" s="87"/>
      <c r="AV2125" s="87"/>
      <c r="AW2125" s="87"/>
      <c r="AX2125" s="87"/>
      <c r="AY2125" s="87"/>
      <c r="AZ2125" s="87"/>
      <c r="BA2125" s="87"/>
      <c r="BB2125" s="87"/>
      <c r="BC2125" s="87"/>
      <c r="BD2125" s="87"/>
      <c r="BE2125" s="87"/>
      <c r="BF2125" s="87"/>
      <c r="BG2125" s="87"/>
      <c r="BH2125" s="87"/>
      <c r="BI2125" s="87"/>
      <c r="BJ2125" s="87"/>
      <c r="BK2125" s="87"/>
      <c r="BL2125" s="87"/>
      <c r="BM2125" s="87"/>
      <c r="BN2125" s="87"/>
      <c r="BO2125" s="87"/>
      <c r="BP2125" s="87"/>
      <c r="BQ2125" s="87"/>
      <c r="BR2125" s="87"/>
      <c r="BS2125" s="87"/>
      <c r="BT2125" s="87"/>
      <c r="BU2125" s="87"/>
      <c r="BV2125" s="87"/>
      <c r="BW2125" s="87"/>
      <c r="BX2125" s="87"/>
      <c r="BY2125" s="87"/>
    </row>
    <row r="2126" spans="21:77" x14ac:dyDescent="0.3">
      <c r="U2126" s="19"/>
      <c r="V2126" s="87"/>
      <c r="W2126" s="87"/>
      <c r="X2126" s="87"/>
      <c r="Y2126" s="87"/>
      <c r="Z2126" s="87"/>
      <c r="AA2126" s="87"/>
      <c r="AB2126" s="87"/>
      <c r="AC2126" s="87"/>
      <c r="AD2126" s="87"/>
      <c r="AE2126" s="87"/>
      <c r="AF2126" s="87"/>
      <c r="AG2126" s="87"/>
      <c r="AH2126" s="87"/>
      <c r="AI2126" s="87"/>
      <c r="AJ2126" s="87"/>
      <c r="AK2126" s="87"/>
      <c r="AL2126" s="87"/>
      <c r="AM2126" s="87"/>
      <c r="AN2126" s="87"/>
      <c r="AO2126" s="87"/>
      <c r="AP2126" s="87"/>
      <c r="AQ2126" s="87"/>
      <c r="AR2126" s="87"/>
      <c r="AS2126" s="87"/>
      <c r="AT2126" s="87"/>
      <c r="AU2126" s="87"/>
      <c r="AV2126" s="87"/>
      <c r="AW2126" s="87"/>
      <c r="AX2126" s="87"/>
      <c r="AY2126" s="87"/>
      <c r="AZ2126" s="87"/>
      <c r="BA2126" s="87"/>
      <c r="BB2126" s="87"/>
      <c r="BC2126" s="87"/>
      <c r="BD2126" s="87"/>
      <c r="BE2126" s="87"/>
      <c r="BF2126" s="87"/>
      <c r="BG2126" s="87"/>
      <c r="BH2126" s="87"/>
      <c r="BI2126" s="87"/>
      <c r="BJ2126" s="87"/>
      <c r="BK2126" s="87"/>
      <c r="BL2126" s="87"/>
      <c r="BM2126" s="87"/>
      <c r="BN2126" s="87"/>
      <c r="BO2126" s="87"/>
      <c r="BP2126" s="87"/>
      <c r="BQ2126" s="87"/>
      <c r="BR2126" s="87"/>
      <c r="BS2126" s="87"/>
      <c r="BT2126" s="87"/>
      <c r="BU2126" s="87"/>
      <c r="BV2126" s="87"/>
      <c r="BW2126" s="87"/>
      <c r="BX2126" s="87"/>
      <c r="BY2126" s="87"/>
    </row>
    <row r="2127" spans="21:77" x14ac:dyDescent="0.3">
      <c r="U2127" s="19"/>
      <c r="V2127" s="87"/>
      <c r="W2127" s="87"/>
      <c r="X2127" s="87"/>
      <c r="Y2127" s="87"/>
      <c r="Z2127" s="87"/>
      <c r="AA2127" s="87"/>
      <c r="AB2127" s="87"/>
      <c r="AC2127" s="87"/>
      <c r="AD2127" s="87"/>
      <c r="AE2127" s="87"/>
      <c r="AF2127" s="87"/>
      <c r="AG2127" s="87"/>
      <c r="AH2127" s="87"/>
      <c r="AI2127" s="87"/>
      <c r="AJ2127" s="87"/>
      <c r="AK2127" s="87"/>
      <c r="AL2127" s="87"/>
      <c r="AM2127" s="87"/>
      <c r="AN2127" s="87"/>
      <c r="AO2127" s="87"/>
      <c r="AP2127" s="87"/>
      <c r="AQ2127" s="87"/>
      <c r="AR2127" s="87"/>
      <c r="AS2127" s="87"/>
      <c r="AT2127" s="87"/>
      <c r="AU2127" s="87"/>
      <c r="AV2127" s="87"/>
      <c r="AW2127" s="87"/>
      <c r="AX2127" s="87"/>
      <c r="AY2127" s="87"/>
      <c r="AZ2127" s="87"/>
      <c r="BA2127" s="87"/>
      <c r="BB2127" s="87"/>
      <c r="BC2127" s="87"/>
      <c r="BD2127" s="87"/>
      <c r="BE2127" s="87"/>
      <c r="BF2127" s="87"/>
      <c r="BG2127" s="87"/>
      <c r="BH2127" s="87"/>
      <c r="BI2127" s="87"/>
      <c r="BJ2127" s="87"/>
      <c r="BK2127" s="87"/>
      <c r="BL2127" s="87"/>
      <c r="BM2127" s="87"/>
      <c r="BN2127" s="87"/>
      <c r="BO2127" s="87"/>
      <c r="BP2127" s="87"/>
      <c r="BQ2127" s="87"/>
      <c r="BR2127" s="87"/>
      <c r="BS2127" s="87"/>
      <c r="BT2127" s="87"/>
      <c r="BU2127" s="87"/>
      <c r="BV2127" s="87"/>
      <c r="BW2127" s="87"/>
      <c r="BX2127" s="87"/>
      <c r="BY2127" s="87"/>
    </row>
    <row r="2128" spans="21:77" x14ac:dyDescent="0.3">
      <c r="U2128" s="19"/>
      <c r="V2128" s="87"/>
      <c r="W2128" s="87"/>
      <c r="X2128" s="87"/>
      <c r="Y2128" s="87"/>
      <c r="Z2128" s="87"/>
      <c r="AA2128" s="87"/>
      <c r="AB2128" s="87"/>
      <c r="AC2128" s="87"/>
      <c r="AD2128" s="87"/>
      <c r="AE2128" s="87"/>
      <c r="AF2128" s="87"/>
      <c r="AG2128" s="87"/>
      <c r="AH2128" s="87"/>
      <c r="AI2128" s="87"/>
      <c r="AJ2128" s="87"/>
      <c r="AK2128" s="87"/>
      <c r="AL2128" s="87"/>
      <c r="AM2128" s="87"/>
      <c r="AN2128" s="87"/>
      <c r="AO2128" s="87"/>
      <c r="AP2128" s="87"/>
      <c r="AQ2128" s="87"/>
      <c r="AR2128" s="87"/>
      <c r="AS2128" s="87"/>
      <c r="AT2128" s="87"/>
      <c r="AU2128" s="87"/>
      <c r="AV2128" s="87"/>
      <c r="AW2128" s="87"/>
      <c r="AX2128" s="87"/>
      <c r="AY2128" s="87"/>
      <c r="AZ2128" s="87"/>
      <c r="BA2128" s="87"/>
      <c r="BB2128" s="87"/>
      <c r="BC2128" s="87"/>
      <c r="BD2128" s="87"/>
      <c r="BE2128" s="87"/>
      <c r="BF2128" s="87"/>
      <c r="BG2128" s="87"/>
      <c r="BH2128" s="87"/>
      <c r="BI2128" s="87"/>
      <c r="BJ2128" s="87"/>
      <c r="BK2128" s="87"/>
      <c r="BL2128" s="87"/>
      <c r="BM2128" s="87"/>
      <c r="BN2128" s="87"/>
      <c r="BO2128" s="87"/>
      <c r="BP2128" s="87"/>
      <c r="BQ2128" s="87"/>
      <c r="BR2128" s="87"/>
      <c r="BS2128" s="87"/>
      <c r="BT2128" s="87"/>
      <c r="BU2128" s="87"/>
      <c r="BV2128" s="87"/>
      <c r="BW2128" s="87"/>
      <c r="BX2128" s="87"/>
      <c r="BY2128" s="87"/>
    </row>
    <row r="2129" spans="21:77" x14ac:dyDescent="0.3">
      <c r="U2129" s="19"/>
      <c r="V2129" s="87"/>
      <c r="W2129" s="87"/>
      <c r="X2129" s="87"/>
      <c r="Y2129" s="87"/>
      <c r="Z2129" s="87"/>
      <c r="AA2129" s="87"/>
      <c r="AB2129" s="87"/>
      <c r="AC2129" s="87"/>
      <c r="AD2129" s="87"/>
      <c r="AE2129" s="87"/>
      <c r="AF2129" s="87"/>
      <c r="AG2129" s="87"/>
      <c r="AH2129" s="87"/>
      <c r="AI2129" s="87"/>
      <c r="AJ2129" s="87"/>
      <c r="AK2129" s="87"/>
      <c r="AL2129" s="87"/>
      <c r="AM2129" s="87"/>
      <c r="AN2129" s="87"/>
      <c r="AO2129" s="87"/>
      <c r="AP2129" s="87"/>
      <c r="AQ2129" s="87"/>
      <c r="AR2129" s="87"/>
      <c r="AS2129" s="87"/>
      <c r="AT2129" s="87"/>
      <c r="AU2129" s="87"/>
      <c r="AV2129" s="87"/>
      <c r="AW2129" s="87"/>
      <c r="AX2129" s="87"/>
      <c r="AY2129" s="87"/>
      <c r="AZ2129" s="87"/>
      <c r="BA2129" s="87"/>
      <c r="BB2129" s="87"/>
      <c r="BC2129" s="87"/>
      <c r="BD2129" s="87"/>
      <c r="BE2129" s="87"/>
      <c r="BF2129" s="87"/>
      <c r="BG2129" s="87"/>
      <c r="BH2129" s="87"/>
      <c r="BI2129" s="87"/>
      <c r="BJ2129" s="87"/>
      <c r="BK2129" s="87"/>
      <c r="BL2129" s="87"/>
      <c r="BM2129" s="87"/>
      <c r="BN2129" s="87"/>
      <c r="BO2129" s="87"/>
      <c r="BP2129" s="87"/>
      <c r="BQ2129" s="87"/>
      <c r="BR2129" s="87"/>
      <c r="BS2129" s="87"/>
      <c r="BT2129" s="87"/>
      <c r="BU2129" s="87"/>
      <c r="BV2129" s="87"/>
      <c r="BW2129" s="87"/>
      <c r="BX2129" s="87"/>
      <c r="BY2129" s="87"/>
    </row>
    <row r="2130" spans="21:77" x14ac:dyDescent="0.3">
      <c r="U2130" s="19"/>
      <c r="V2130" s="87"/>
      <c r="W2130" s="87"/>
      <c r="X2130" s="87"/>
      <c r="Y2130" s="87"/>
      <c r="Z2130" s="87"/>
      <c r="AA2130" s="87"/>
      <c r="AB2130" s="87"/>
      <c r="AC2130" s="87"/>
      <c r="AD2130" s="87"/>
      <c r="AE2130" s="87"/>
      <c r="AF2130" s="87"/>
      <c r="AG2130" s="87"/>
      <c r="AH2130" s="87"/>
      <c r="AI2130" s="87"/>
      <c r="AJ2130" s="87"/>
      <c r="AK2130" s="87"/>
      <c r="AL2130" s="87"/>
      <c r="AM2130" s="87"/>
      <c r="AN2130" s="87"/>
      <c r="AO2130" s="87"/>
      <c r="AP2130" s="87"/>
      <c r="AQ2130" s="87"/>
      <c r="AR2130" s="87"/>
      <c r="AS2130" s="87"/>
      <c r="AT2130" s="87"/>
      <c r="AU2130" s="87"/>
      <c r="AV2130" s="87"/>
      <c r="AW2130" s="87"/>
      <c r="AX2130" s="87"/>
      <c r="AY2130" s="87"/>
      <c r="AZ2130" s="87"/>
      <c r="BA2130" s="87"/>
      <c r="BB2130" s="87"/>
      <c r="BC2130" s="87"/>
      <c r="BD2130" s="87"/>
      <c r="BE2130" s="87"/>
      <c r="BF2130" s="87"/>
      <c r="BG2130" s="87"/>
      <c r="BH2130" s="87"/>
      <c r="BI2130" s="87"/>
      <c r="BJ2130" s="87"/>
      <c r="BK2130" s="87"/>
      <c r="BL2130" s="87"/>
      <c r="BM2130" s="87"/>
      <c r="BN2130" s="87"/>
      <c r="BO2130" s="87"/>
      <c r="BP2130" s="87"/>
      <c r="BQ2130" s="87"/>
      <c r="BR2130" s="87"/>
      <c r="BS2130" s="87"/>
      <c r="BT2130" s="87"/>
      <c r="BU2130" s="87"/>
      <c r="BV2130" s="87"/>
      <c r="BW2130" s="87"/>
      <c r="BX2130" s="87"/>
      <c r="BY2130" s="87"/>
    </row>
    <row r="2131" spans="21:77" x14ac:dyDescent="0.3">
      <c r="U2131" s="19"/>
      <c r="V2131" s="87"/>
      <c r="W2131" s="87"/>
      <c r="X2131" s="87"/>
      <c r="Y2131" s="87"/>
      <c r="Z2131" s="87"/>
      <c r="AA2131" s="87"/>
      <c r="AB2131" s="87"/>
      <c r="AC2131" s="87"/>
      <c r="AD2131" s="87"/>
      <c r="AE2131" s="87"/>
      <c r="AF2131" s="87"/>
      <c r="AG2131" s="87"/>
      <c r="AH2131" s="87"/>
      <c r="AI2131" s="87"/>
      <c r="AJ2131" s="87"/>
      <c r="AK2131" s="87"/>
      <c r="AL2131" s="87"/>
      <c r="AM2131" s="87"/>
      <c r="AN2131" s="87"/>
      <c r="AO2131" s="87"/>
      <c r="AP2131" s="87"/>
      <c r="AQ2131" s="87"/>
      <c r="AR2131" s="87"/>
      <c r="AS2131" s="87"/>
      <c r="AT2131" s="87"/>
      <c r="AU2131" s="87"/>
      <c r="AV2131" s="87"/>
      <c r="AW2131" s="87"/>
      <c r="AX2131" s="87"/>
      <c r="AY2131" s="87"/>
      <c r="AZ2131" s="87"/>
      <c r="BA2131" s="87"/>
      <c r="BB2131" s="87"/>
      <c r="BC2131" s="87"/>
      <c r="BD2131" s="87"/>
      <c r="BE2131" s="87"/>
      <c r="BF2131" s="87"/>
      <c r="BG2131" s="87"/>
      <c r="BH2131" s="87"/>
      <c r="BI2131" s="87"/>
      <c r="BJ2131" s="87"/>
      <c r="BK2131" s="87"/>
      <c r="BL2131" s="87"/>
      <c r="BM2131" s="87"/>
      <c r="BN2131" s="87"/>
      <c r="BO2131" s="87"/>
      <c r="BP2131" s="87"/>
      <c r="BQ2131" s="87"/>
      <c r="BR2131" s="87"/>
      <c r="BS2131" s="87"/>
      <c r="BT2131" s="87"/>
      <c r="BU2131" s="87"/>
      <c r="BV2131" s="87"/>
      <c r="BW2131" s="87"/>
      <c r="BX2131" s="87"/>
      <c r="BY2131" s="87"/>
    </row>
    <row r="2132" spans="21:77" x14ac:dyDescent="0.3">
      <c r="U2132" s="19"/>
      <c r="V2132" s="87"/>
      <c r="W2132" s="87"/>
      <c r="X2132" s="87"/>
      <c r="Y2132" s="87"/>
      <c r="Z2132" s="87"/>
      <c r="AA2132" s="87"/>
      <c r="AB2132" s="87"/>
      <c r="AC2132" s="87"/>
      <c r="AD2132" s="87"/>
      <c r="AE2132" s="87"/>
      <c r="AF2132" s="87"/>
      <c r="AG2132" s="87"/>
      <c r="AH2132" s="87"/>
      <c r="AI2132" s="87"/>
      <c r="AJ2132" s="87"/>
      <c r="AK2132" s="87"/>
      <c r="AL2132" s="87"/>
      <c r="AM2132" s="87"/>
      <c r="AN2132" s="87"/>
      <c r="AO2132" s="87"/>
      <c r="AP2132" s="87"/>
      <c r="AQ2132" s="87"/>
      <c r="AR2132" s="87"/>
      <c r="AS2132" s="87"/>
      <c r="AT2132" s="87"/>
      <c r="AU2132" s="87"/>
      <c r="AV2132" s="87"/>
      <c r="AW2132" s="87"/>
      <c r="AX2132" s="87"/>
      <c r="AY2132" s="87"/>
      <c r="AZ2132" s="87"/>
      <c r="BA2132" s="87"/>
      <c r="BB2132" s="87"/>
      <c r="BC2132" s="87"/>
      <c r="BD2132" s="87"/>
      <c r="BE2132" s="87"/>
      <c r="BF2132" s="87"/>
      <c r="BG2132" s="87"/>
      <c r="BH2132" s="87"/>
      <c r="BI2132" s="87"/>
      <c r="BJ2132" s="87"/>
      <c r="BK2132" s="87"/>
      <c r="BL2132" s="87"/>
      <c r="BM2132" s="87"/>
      <c r="BN2132" s="87"/>
      <c r="BO2132" s="87"/>
      <c r="BP2132" s="87"/>
      <c r="BQ2132" s="87"/>
      <c r="BR2132" s="87"/>
      <c r="BS2132" s="87"/>
      <c r="BT2132" s="87"/>
      <c r="BU2132" s="87"/>
      <c r="BV2132" s="87"/>
      <c r="BW2132" s="87"/>
      <c r="BX2132" s="87"/>
      <c r="BY2132" s="87"/>
    </row>
    <row r="2133" spans="21:77" x14ac:dyDescent="0.3">
      <c r="U2133" s="19"/>
      <c r="V2133" s="87"/>
      <c r="W2133" s="87"/>
      <c r="X2133" s="87"/>
      <c r="Y2133" s="87"/>
      <c r="Z2133" s="87"/>
      <c r="AA2133" s="87"/>
      <c r="AB2133" s="87"/>
      <c r="AC2133" s="87"/>
      <c r="AD2133" s="87"/>
      <c r="AE2133" s="87"/>
      <c r="AF2133" s="87"/>
      <c r="AG2133" s="87"/>
      <c r="AH2133" s="87"/>
      <c r="AI2133" s="87"/>
      <c r="AJ2133" s="87"/>
      <c r="AK2133" s="87"/>
      <c r="AL2133" s="87"/>
      <c r="AM2133" s="87"/>
      <c r="AN2133" s="87"/>
      <c r="AO2133" s="87"/>
      <c r="AP2133" s="87"/>
      <c r="AQ2133" s="87"/>
      <c r="AR2133" s="87"/>
      <c r="AS2133" s="87"/>
      <c r="AT2133" s="87"/>
      <c r="AU2133" s="87"/>
      <c r="AV2133" s="87"/>
      <c r="AW2133" s="87"/>
      <c r="AX2133" s="87"/>
      <c r="AY2133" s="87"/>
      <c r="AZ2133" s="87"/>
      <c r="BA2133" s="87"/>
      <c r="BB2133" s="87"/>
      <c r="BC2133" s="87"/>
      <c r="BD2133" s="87"/>
      <c r="BE2133" s="87"/>
      <c r="BF2133" s="87"/>
      <c r="BG2133" s="87"/>
      <c r="BH2133" s="87"/>
      <c r="BI2133" s="87"/>
      <c r="BJ2133" s="87"/>
      <c r="BK2133" s="87"/>
      <c r="BL2133" s="87"/>
      <c r="BM2133" s="87"/>
      <c r="BN2133" s="87"/>
      <c r="BO2133" s="87"/>
      <c r="BP2133" s="87"/>
      <c r="BQ2133" s="87"/>
      <c r="BR2133" s="87"/>
      <c r="BS2133" s="87"/>
      <c r="BT2133" s="87"/>
      <c r="BU2133" s="87"/>
      <c r="BV2133" s="87"/>
      <c r="BW2133" s="87"/>
      <c r="BX2133" s="87"/>
      <c r="BY2133" s="87"/>
    </row>
    <row r="2134" spans="21:77" x14ac:dyDescent="0.3">
      <c r="U2134" s="19"/>
      <c r="V2134" s="87"/>
      <c r="W2134" s="87"/>
      <c r="X2134" s="87"/>
      <c r="Y2134" s="87"/>
      <c r="Z2134" s="87"/>
      <c r="AA2134" s="87"/>
      <c r="AB2134" s="87"/>
      <c r="AC2134" s="87"/>
      <c r="AD2134" s="87"/>
      <c r="AE2134" s="87"/>
      <c r="AF2134" s="87"/>
      <c r="AG2134" s="87"/>
      <c r="AH2134" s="87"/>
      <c r="AI2134" s="87"/>
      <c r="AJ2134" s="87"/>
      <c r="AK2134" s="87"/>
      <c r="AL2134" s="87"/>
      <c r="AM2134" s="87"/>
      <c r="AN2134" s="87"/>
      <c r="AO2134" s="87"/>
      <c r="AP2134" s="87"/>
      <c r="AQ2134" s="87"/>
      <c r="AR2134" s="87"/>
      <c r="AS2134" s="87"/>
      <c r="AT2134" s="87"/>
      <c r="AU2134" s="87"/>
      <c r="AV2134" s="87"/>
      <c r="AW2134" s="87"/>
      <c r="AX2134" s="87"/>
      <c r="AY2134" s="87"/>
      <c r="AZ2134" s="87"/>
      <c r="BA2134" s="87"/>
      <c r="BB2134" s="87"/>
      <c r="BC2134" s="87"/>
      <c r="BD2134" s="87"/>
      <c r="BE2134" s="87"/>
      <c r="BF2134" s="87"/>
      <c r="BG2134" s="87"/>
      <c r="BH2134" s="87"/>
      <c r="BI2134" s="87"/>
      <c r="BJ2134" s="87"/>
      <c r="BK2134" s="87"/>
      <c r="BL2134" s="87"/>
      <c r="BM2134" s="87"/>
      <c r="BN2134" s="87"/>
      <c r="BO2134" s="87"/>
      <c r="BP2134" s="87"/>
      <c r="BQ2134" s="87"/>
      <c r="BR2134" s="87"/>
      <c r="BS2134" s="87"/>
      <c r="BT2134" s="87"/>
      <c r="BU2134" s="87"/>
      <c r="BV2134" s="87"/>
      <c r="BW2134" s="87"/>
      <c r="BX2134" s="87"/>
      <c r="BY2134" s="87"/>
    </row>
    <row r="2135" spans="21:77" x14ac:dyDescent="0.3">
      <c r="U2135" s="19"/>
      <c r="V2135" s="87"/>
      <c r="W2135" s="87"/>
      <c r="X2135" s="87"/>
      <c r="Y2135" s="87"/>
      <c r="Z2135" s="87"/>
      <c r="AA2135" s="87"/>
      <c r="AB2135" s="87"/>
      <c r="AC2135" s="87"/>
      <c r="AD2135" s="87"/>
      <c r="AE2135" s="87"/>
      <c r="AF2135" s="87"/>
      <c r="AG2135" s="87"/>
      <c r="AH2135" s="87"/>
      <c r="AI2135" s="87"/>
      <c r="AJ2135" s="87"/>
      <c r="AK2135" s="87"/>
      <c r="AL2135" s="87"/>
      <c r="AM2135" s="87"/>
      <c r="AN2135" s="87"/>
      <c r="AO2135" s="87"/>
      <c r="AP2135" s="87"/>
      <c r="AQ2135" s="87"/>
      <c r="AR2135" s="87"/>
      <c r="AS2135" s="87"/>
      <c r="AT2135" s="87"/>
      <c r="AU2135" s="87"/>
      <c r="AV2135" s="87"/>
      <c r="AW2135" s="87"/>
      <c r="AX2135" s="87"/>
      <c r="AY2135" s="87"/>
      <c r="AZ2135" s="87"/>
      <c r="BA2135" s="87"/>
      <c r="BB2135" s="87"/>
      <c r="BC2135" s="87"/>
      <c r="BD2135" s="87"/>
      <c r="BE2135" s="87"/>
      <c r="BF2135" s="87"/>
      <c r="BG2135" s="87"/>
      <c r="BH2135" s="87"/>
      <c r="BI2135" s="87"/>
      <c r="BJ2135" s="87"/>
      <c r="BK2135" s="87"/>
      <c r="BL2135" s="87"/>
      <c r="BM2135" s="87"/>
      <c r="BN2135" s="87"/>
      <c r="BO2135" s="87"/>
      <c r="BP2135" s="87"/>
      <c r="BQ2135" s="87"/>
      <c r="BR2135" s="87"/>
      <c r="BS2135" s="87"/>
      <c r="BT2135" s="87"/>
      <c r="BU2135" s="87"/>
      <c r="BV2135" s="87"/>
      <c r="BW2135" s="87"/>
      <c r="BX2135" s="87"/>
      <c r="BY2135" s="87"/>
    </row>
    <row r="2136" spans="21:77" x14ac:dyDescent="0.3">
      <c r="U2136" s="19"/>
      <c r="V2136" s="87"/>
      <c r="W2136" s="87"/>
      <c r="X2136" s="87"/>
      <c r="Y2136" s="87"/>
      <c r="Z2136" s="87"/>
      <c r="AA2136" s="87"/>
      <c r="AB2136" s="87"/>
      <c r="AC2136" s="87"/>
      <c r="AD2136" s="87"/>
      <c r="AE2136" s="87"/>
      <c r="AF2136" s="87"/>
      <c r="AG2136" s="87"/>
      <c r="AH2136" s="87"/>
      <c r="AI2136" s="87"/>
      <c r="AJ2136" s="87"/>
      <c r="AK2136" s="87"/>
      <c r="AL2136" s="87"/>
      <c r="AM2136" s="87"/>
      <c r="AN2136" s="87"/>
      <c r="AO2136" s="87"/>
      <c r="AP2136" s="87"/>
      <c r="AQ2136" s="87"/>
      <c r="AR2136" s="87"/>
      <c r="AS2136" s="87"/>
      <c r="AT2136" s="87"/>
      <c r="AU2136" s="87"/>
      <c r="AV2136" s="87"/>
      <c r="AW2136" s="87"/>
      <c r="AX2136" s="87"/>
      <c r="AY2136" s="87"/>
      <c r="AZ2136" s="87"/>
      <c r="BA2136" s="87"/>
      <c r="BB2136" s="87"/>
      <c r="BC2136" s="87"/>
      <c r="BD2136" s="87"/>
      <c r="BE2136" s="87"/>
      <c r="BF2136" s="87"/>
      <c r="BG2136" s="87"/>
      <c r="BH2136" s="87"/>
      <c r="BI2136" s="87"/>
      <c r="BJ2136" s="87"/>
      <c r="BK2136" s="87"/>
      <c r="BL2136" s="87"/>
      <c r="BM2136" s="87"/>
      <c r="BN2136" s="87"/>
      <c r="BO2136" s="87"/>
      <c r="BP2136" s="87"/>
      <c r="BQ2136" s="87"/>
      <c r="BR2136" s="87"/>
      <c r="BS2136" s="87"/>
      <c r="BT2136" s="87"/>
      <c r="BU2136" s="87"/>
      <c r="BV2136" s="87"/>
      <c r="BW2136" s="87"/>
      <c r="BX2136" s="87"/>
      <c r="BY2136" s="87"/>
    </row>
    <row r="2137" spans="21:77" x14ac:dyDescent="0.3">
      <c r="U2137" s="19"/>
      <c r="V2137" s="87"/>
      <c r="W2137" s="87"/>
      <c r="X2137" s="87"/>
      <c r="Y2137" s="87"/>
      <c r="Z2137" s="87"/>
      <c r="AA2137" s="87"/>
      <c r="AB2137" s="87"/>
      <c r="AC2137" s="87"/>
      <c r="AD2137" s="87"/>
      <c r="AE2137" s="87"/>
      <c r="AF2137" s="87"/>
      <c r="AG2137" s="87"/>
      <c r="AH2137" s="87"/>
      <c r="AI2137" s="87"/>
      <c r="AJ2137" s="87"/>
      <c r="AK2137" s="87"/>
      <c r="AL2137" s="87"/>
      <c r="AM2137" s="87"/>
      <c r="AN2137" s="87"/>
      <c r="AO2137" s="87"/>
      <c r="AP2137" s="87"/>
      <c r="AQ2137" s="87"/>
      <c r="AR2137" s="87"/>
      <c r="AS2137" s="87"/>
      <c r="AT2137" s="87"/>
      <c r="AU2137" s="87"/>
      <c r="AV2137" s="87"/>
      <c r="AW2137" s="87"/>
      <c r="AX2137" s="87"/>
      <c r="AY2137" s="87"/>
      <c r="AZ2137" s="87"/>
      <c r="BA2137" s="87"/>
      <c r="BB2137" s="87"/>
      <c r="BC2137" s="87"/>
      <c r="BD2137" s="87"/>
      <c r="BE2137" s="87"/>
      <c r="BF2137" s="87"/>
      <c r="BG2137" s="87"/>
      <c r="BH2137" s="87"/>
      <c r="BI2137" s="87"/>
      <c r="BJ2137" s="87"/>
      <c r="BK2137" s="87"/>
      <c r="BL2137" s="87"/>
      <c r="BM2137" s="87"/>
      <c r="BN2137" s="87"/>
      <c r="BO2137" s="87"/>
      <c r="BP2137" s="87"/>
      <c r="BQ2137" s="87"/>
      <c r="BR2137" s="87"/>
      <c r="BS2137" s="87"/>
      <c r="BT2137" s="87"/>
      <c r="BU2137" s="87"/>
      <c r="BV2137" s="87"/>
      <c r="BW2137" s="87"/>
      <c r="BX2137" s="87"/>
      <c r="BY2137" s="87"/>
    </row>
    <row r="2138" spans="21:77" x14ac:dyDescent="0.3">
      <c r="U2138" s="19"/>
      <c r="V2138" s="87"/>
      <c r="W2138" s="87"/>
      <c r="X2138" s="87"/>
      <c r="Y2138" s="87"/>
      <c r="Z2138" s="87"/>
      <c r="AA2138" s="87"/>
      <c r="AB2138" s="87"/>
      <c r="AC2138" s="87"/>
      <c r="AD2138" s="87"/>
      <c r="AE2138" s="87"/>
      <c r="AF2138" s="87"/>
      <c r="AG2138" s="87"/>
      <c r="AH2138" s="87"/>
      <c r="AI2138" s="87"/>
      <c r="AJ2138" s="87"/>
      <c r="AK2138" s="87"/>
      <c r="AL2138" s="87"/>
      <c r="AM2138" s="87"/>
      <c r="AN2138" s="87"/>
      <c r="AO2138" s="87"/>
      <c r="AP2138" s="87"/>
      <c r="AQ2138" s="87"/>
      <c r="AR2138" s="87"/>
      <c r="AS2138" s="87"/>
      <c r="AT2138" s="87"/>
      <c r="AU2138" s="87"/>
      <c r="AV2138" s="87"/>
      <c r="AW2138" s="87"/>
      <c r="AX2138" s="87"/>
      <c r="AY2138" s="87"/>
      <c r="AZ2138" s="87"/>
      <c r="BA2138" s="87"/>
      <c r="BB2138" s="87"/>
      <c r="BC2138" s="87"/>
      <c r="BD2138" s="87"/>
      <c r="BE2138" s="87"/>
      <c r="BF2138" s="87"/>
      <c r="BG2138" s="87"/>
      <c r="BH2138" s="87"/>
      <c r="BI2138" s="87"/>
      <c r="BJ2138" s="87"/>
      <c r="BK2138" s="87"/>
      <c r="BL2138" s="87"/>
      <c r="BM2138" s="87"/>
      <c r="BN2138" s="87"/>
      <c r="BO2138" s="87"/>
      <c r="BP2138" s="87"/>
      <c r="BQ2138" s="87"/>
      <c r="BR2138" s="87"/>
      <c r="BS2138" s="87"/>
      <c r="BT2138" s="87"/>
      <c r="BU2138" s="87"/>
      <c r="BV2138" s="87"/>
      <c r="BW2138" s="87"/>
      <c r="BX2138" s="87"/>
      <c r="BY2138" s="87"/>
    </row>
    <row r="2139" spans="21:77" x14ac:dyDescent="0.3">
      <c r="U2139" s="19"/>
      <c r="V2139" s="87"/>
      <c r="W2139" s="87"/>
      <c r="X2139" s="87"/>
      <c r="Y2139" s="87"/>
      <c r="Z2139" s="87"/>
      <c r="AA2139" s="87"/>
      <c r="AB2139" s="87"/>
      <c r="AC2139" s="87"/>
      <c r="AD2139" s="87"/>
      <c r="AE2139" s="87"/>
      <c r="AF2139" s="87"/>
      <c r="AG2139" s="87"/>
      <c r="AH2139" s="87"/>
      <c r="AI2139" s="87"/>
      <c r="AJ2139" s="87"/>
      <c r="AK2139" s="87"/>
      <c r="AL2139" s="87"/>
      <c r="AM2139" s="87"/>
      <c r="AN2139" s="87"/>
      <c r="AO2139" s="87"/>
      <c r="AP2139" s="87"/>
      <c r="AQ2139" s="87"/>
      <c r="AR2139" s="87"/>
      <c r="AS2139" s="87"/>
      <c r="AT2139" s="87"/>
      <c r="AU2139" s="87"/>
      <c r="AV2139" s="87"/>
      <c r="AW2139" s="87"/>
      <c r="AX2139" s="87"/>
      <c r="AY2139" s="87"/>
      <c r="AZ2139" s="87"/>
      <c r="BA2139" s="87"/>
      <c r="BB2139" s="87"/>
      <c r="BC2139" s="87"/>
      <c r="BD2139" s="87"/>
      <c r="BE2139" s="87"/>
      <c r="BF2139" s="87"/>
      <c r="BG2139" s="87"/>
      <c r="BH2139" s="87"/>
      <c r="BI2139" s="87"/>
      <c r="BJ2139" s="87"/>
      <c r="BK2139" s="87"/>
      <c r="BL2139" s="87"/>
      <c r="BM2139" s="87"/>
      <c r="BN2139" s="87"/>
      <c r="BO2139" s="87"/>
      <c r="BP2139" s="87"/>
      <c r="BQ2139" s="87"/>
      <c r="BR2139" s="87"/>
      <c r="BS2139" s="87"/>
      <c r="BT2139" s="87"/>
      <c r="BU2139" s="87"/>
      <c r="BV2139" s="87"/>
      <c r="BW2139" s="87"/>
      <c r="BX2139" s="87"/>
      <c r="BY2139" s="87"/>
    </row>
    <row r="2140" spans="21:77" x14ac:dyDescent="0.3">
      <c r="U2140" s="19"/>
      <c r="V2140" s="87"/>
      <c r="W2140" s="87"/>
      <c r="X2140" s="87"/>
      <c r="Y2140" s="87"/>
      <c r="Z2140" s="87"/>
      <c r="AA2140" s="87"/>
      <c r="AB2140" s="87"/>
      <c r="AC2140" s="87"/>
      <c r="AD2140" s="87"/>
      <c r="AE2140" s="87"/>
      <c r="AF2140" s="87"/>
      <c r="AG2140" s="87"/>
      <c r="AH2140" s="87"/>
      <c r="AI2140" s="87"/>
      <c r="AJ2140" s="87"/>
      <c r="AK2140" s="87"/>
      <c r="AL2140" s="87"/>
      <c r="AM2140" s="87"/>
      <c r="AN2140" s="87"/>
      <c r="AO2140" s="87"/>
      <c r="AP2140" s="87"/>
      <c r="AQ2140" s="87"/>
      <c r="AR2140" s="87"/>
      <c r="AS2140" s="87"/>
      <c r="AT2140" s="87"/>
      <c r="AU2140" s="87"/>
      <c r="AV2140" s="87"/>
      <c r="AW2140" s="87"/>
      <c r="AX2140" s="87"/>
      <c r="AY2140" s="87"/>
      <c r="AZ2140" s="87"/>
      <c r="BA2140" s="87"/>
      <c r="BB2140" s="87"/>
      <c r="BC2140" s="87"/>
      <c r="BD2140" s="87"/>
      <c r="BE2140" s="87"/>
      <c r="BF2140" s="87"/>
      <c r="BG2140" s="87"/>
      <c r="BH2140" s="87"/>
      <c r="BI2140" s="87"/>
      <c r="BJ2140" s="87"/>
      <c r="BK2140" s="87"/>
      <c r="BL2140" s="87"/>
      <c r="BM2140" s="87"/>
      <c r="BN2140" s="87"/>
      <c r="BO2140" s="87"/>
      <c r="BP2140" s="87"/>
      <c r="BQ2140" s="87"/>
      <c r="BR2140" s="87"/>
      <c r="BS2140" s="87"/>
      <c r="BT2140" s="87"/>
      <c r="BU2140" s="87"/>
      <c r="BV2140" s="87"/>
      <c r="BW2140" s="87"/>
      <c r="BX2140" s="87"/>
      <c r="BY2140" s="87"/>
    </row>
    <row r="2141" spans="21:77" x14ac:dyDescent="0.3">
      <c r="U2141" s="19"/>
      <c r="V2141" s="87"/>
      <c r="W2141" s="87"/>
      <c r="X2141" s="87"/>
      <c r="Y2141" s="87"/>
      <c r="Z2141" s="87"/>
      <c r="AA2141" s="87"/>
      <c r="AB2141" s="87"/>
      <c r="AC2141" s="87"/>
      <c r="AD2141" s="87"/>
      <c r="AE2141" s="87"/>
      <c r="AF2141" s="87"/>
      <c r="AG2141" s="87"/>
      <c r="AH2141" s="87"/>
      <c r="AI2141" s="87"/>
      <c r="AJ2141" s="87"/>
      <c r="AK2141" s="87"/>
      <c r="AL2141" s="87"/>
      <c r="AM2141" s="87"/>
      <c r="AN2141" s="87"/>
      <c r="AO2141" s="87"/>
      <c r="AP2141" s="87"/>
      <c r="AQ2141" s="87"/>
      <c r="AR2141" s="87"/>
      <c r="AS2141" s="87"/>
      <c r="AT2141" s="87"/>
      <c r="AU2141" s="87"/>
      <c r="AV2141" s="87"/>
      <c r="AW2141" s="87"/>
      <c r="AX2141" s="87"/>
      <c r="AY2141" s="87"/>
      <c r="AZ2141" s="87"/>
      <c r="BA2141" s="87"/>
      <c r="BB2141" s="87"/>
      <c r="BC2141" s="87"/>
      <c r="BD2141" s="87"/>
      <c r="BE2141" s="87"/>
      <c r="BF2141" s="87"/>
      <c r="BG2141" s="87"/>
      <c r="BH2141" s="87"/>
      <c r="BI2141" s="87"/>
      <c r="BJ2141" s="87"/>
      <c r="BK2141" s="87"/>
      <c r="BL2141" s="87"/>
      <c r="BM2141" s="87"/>
      <c r="BN2141" s="87"/>
      <c r="BO2141" s="87"/>
      <c r="BP2141" s="87"/>
      <c r="BQ2141" s="87"/>
      <c r="BR2141" s="87"/>
      <c r="BS2141" s="87"/>
      <c r="BT2141" s="87"/>
      <c r="BU2141" s="87"/>
      <c r="BV2141" s="87"/>
      <c r="BW2141" s="87"/>
      <c r="BX2141" s="87"/>
      <c r="BY2141" s="87"/>
    </row>
    <row r="2142" spans="21:77" x14ac:dyDescent="0.3">
      <c r="U2142" s="19"/>
      <c r="V2142" s="87"/>
      <c r="W2142" s="87"/>
      <c r="X2142" s="87"/>
      <c r="Y2142" s="87"/>
      <c r="Z2142" s="87"/>
      <c r="AA2142" s="87"/>
      <c r="AB2142" s="87"/>
      <c r="AC2142" s="87"/>
      <c r="AD2142" s="87"/>
      <c r="AE2142" s="87"/>
      <c r="AF2142" s="87"/>
      <c r="AG2142" s="87"/>
      <c r="AH2142" s="87"/>
      <c r="AI2142" s="87"/>
      <c r="AJ2142" s="87"/>
      <c r="AK2142" s="87"/>
      <c r="AL2142" s="87"/>
      <c r="AM2142" s="87"/>
      <c r="AN2142" s="87"/>
      <c r="AO2142" s="87"/>
      <c r="AP2142" s="87"/>
      <c r="AQ2142" s="87"/>
      <c r="AR2142" s="87"/>
      <c r="AS2142" s="87"/>
      <c r="AT2142" s="87"/>
      <c r="AU2142" s="87"/>
      <c r="AV2142" s="87"/>
      <c r="AW2142" s="87"/>
      <c r="AX2142" s="87"/>
      <c r="AY2142" s="87"/>
      <c r="AZ2142" s="87"/>
      <c r="BA2142" s="87"/>
      <c r="BB2142" s="87"/>
      <c r="BC2142" s="87"/>
      <c r="BD2142" s="87"/>
      <c r="BE2142" s="87"/>
      <c r="BF2142" s="87"/>
      <c r="BG2142" s="87"/>
      <c r="BH2142" s="87"/>
      <c r="BI2142" s="87"/>
      <c r="BJ2142" s="87"/>
      <c r="BK2142" s="87"/>
      <c r="BL2142" s="87"/>
      <c r="BM2142" s="87"/>
      <c r="BN2142" s="87"/>
      <c r="BO2142" s="87"/>
      <c r="BP2142" s="87"/>
      <c r="BQ2142" s="87"/>
      <c r="BR2142" s="87"/>
      <c r="BS2142" s="87"/>
      <c r="BT2142" s="87"/>
      <c r="BU2142" s="87"/>
      <c r="BV2142" s="87"/>
      <c r="BW2142" s="87"/>
      <c r="BX2142" s="87"/>
      <c r="BY2142" s="87"/>
    </row>
    <row r="2143" spans="21:77" x14ac:dyDescent="0.3">
      <c r="U2143" s="19"/>
      <c r="V2143" s="87"/>
      <c r="W2143" s="87"/>
      <c r="X2143" s="87"/>
      <c r="Y2143" s="87"/>
      <c r="Z2143" s="87"/>
      <c r="AA2143" s="87"/>
      <c r="AB2143" s="87"/>
      <c r="AC2143" s="87"/>
      <c r="AD2143" s="87"/>
      <c r="AE2143" s="87"/>
      <c r="AF2143" s="87"/>
      <c r="AG2143" s="87"/>
      <c r="AH2143" s="87"/>
      <c r="AI2143" s="87"/>
      <c r="AJ2143" s="87"/>
      <c r="AK2143" s="87"/>
      <c r="AL2143" s="87"/>
      <c r="AM2143" s="87"/>
      <c r="AN2143" s="87"/>
      <c r="AO2143" s="87"/>
      <c r="AP2143" s="87"/>
      <c r="AQ2143" s="87"/>
      <c r="AR2143" s="87"/>
      <c r="AS2143" s="87"/>
      <c r="AT2143" s="87"/>
      <c r="AU2143" s="87"/>
      <c r="AV2143" s="87"/>
      <c r="AW2143" s="87"/>
      <c r="AX2143" s="87"/>
      <c r="AY2143" s="87"/>
      <c r="AZ2143" s="87"/>
      <c r="BA2143" s="87"/>
      <c r="BB2143" s="87"/>
      <c r="BC2143" s="87"/>
      <c r="BD2143" s="87"/>
      <c r="BE2143" s="87"/>
      <c r="BF2143" s="87"/>
      <c r="BG2143" s="87"/>
      <c r="BH2143" s="87"/>
      <c r="BI2143" s="87"/>
      <c r="BJ2143" s="87"/>
      <c r="BK2143" s="87"/>
      <c r="BL2143" s="87"/>
      <c r="BM2143" s="87"/>
      <c r="BN2143" s="87"/>
      <c r="BO2143" s="87"/>
      <c r="BP2143" s="87"/>
      <c r="BQ2143" s="87"/>
      <c r="BR2143" s="87"/>
      <c r="BS2143" s="87"/>
      <c r="BT2143" s="87"/>
      <c r="BU2143" s="87"/>
      <c r="BV2143" s="87"/>
      <c r="BW2143" s="87"/>
      <c r="BX2143" s="87"/>
      <c r="BY2143" s="87"/>
    </row>
    <row r="2144" spans="21:77" x14ac:dyDescent="0.3">
      <c r="U2144" s="19"/>
      <c r="V2144" s="87"/>
      <c r="W2144" s="87"/>
      <c r="X2144" s="87"/>
      <c r="Y2144" s="87"/>
      <c r="Z2144" s="87"/>
      <c r="AA2144" s="87"/>
      <c r="AB2144" s="87"/>
      <c r="AC2144" s="87"/>
      <c r="AD2144" s="87"/>
      <c r="AE2144" s="87"/>
      <c r="AF2144" s="87"/>
      <c r="AG2144" s="87"/>
      <c r="AH2144" s="87"/>
      <c r="AI2144" s="87"/>
      <c r="AJ2144" s="87"/>
      <c r="AK2144" s="87"/>
      <c r="AL2144" s="87"/>
      <c r="AM2144" s="87"/>
      <c r="AN2144" s="87"/>
      <c r="AO2144" s="87"/>
      <c r="AP2144" s="87"/>
      <c r="AQ2144" s="87"/>
      <c r="AR2144" s="87"/>
      <c r="AS2144" s="87"/>
      <c r="AT2144" s="87"/>
      <c r="AU2144" s="87"/>
      <c r="AV2144" s="87"/>
      <c r="AW2144" s="87"/>
      <c r="AX2144" s="87"/>
      <c r="AY2144" s="87"/>
      <c r="AZ2144" s="87"/>
      <c r="BA2144" s="87"/>
      <c r="BB2144" s="87"/>
      <c r="BC2144" s="87"/>
      <c r="BD2144" s="87"/>
      <c r="BE2144" s="87"/>
      <c r="BF2144" s="87"/>
      <c r="BG2144" s="87"/>
      <c r="BH2144" s="87"/>
      <c r="BI2144" s="87"/>
      <c r="BJ2144" s="87"/>
      <c r="BK2144" s="87"/>
      <c r="BL2144" s="87"/>
      <c r="BM2144" s="87"/>
      <c r="BN2144" s="87"/>
      <c r="BO2144" s="87"/>
      <c r="BP2144" s="87"/>
      <c r="BQ2144" s="87"/>
      <c r="BR2144" s="87"/>
      <c r="BS2144" s="87"/>
      <c r="BT2144" s="87"/>
      <c r="BU2144" s="87"/>
      <c r="BV2144" s="87"/>
      <c r="BW2144" s="87"/>
      <c r="BX2144" s="87"/>
      <c r="BY2144" s="87"/>
    </row>
    <row r="2145" spans="21:77" x14ac:dyDescent="0.3">
      <c r="U2145" s="19"/>
      <c r="V2145" s="87"/>
      <c r="W2145" s="87"/>
      <c r="X2145" s="87"/>
      <c r="Y2145" s="87"/>
      <c r="Z2145" s="87"/>
      <c r="AA2145" s="87"/>
      <c r="AB2145" s="87"/>
      <c r="AC2145" s="87"/>
      <c r="AD2145" s="87"/>
      <c r="AE2145" s="87"/>
      <c r="AF2145" s="87"/>
      <c r="AG2145" s="87"/>
      <c r="AH2145" s="87"/>
      <c r="AI2145" s="87"/>
      <c r="AJ2145" s="87"/>
      <c r="AK2145" s="87"/>
      <c r="AL2145" s="87"/>
      <c r="AM2145" s="87"/>
      <c r="AN2145" s="87"/>
      <c r="AO2145" s="87"/>
      <c r="AP2145" s="87"/>
      <c r="AQ2145" s="87"/>
      <c r="AR2145" s="87"/>
      <c r="AS2145" s="87"/>
      <c r="AT2145" s="87"/>
      <c r="AU2145" s="87"/>
      <c r="AV2145" s="87"/>
      <c r="AW2145" s="87"/>
      <c r="AX2145" s="87"/>
      <c r="AY2145" s="87"/>
      <c r="AZ2145" s="87"/>
      <c r="BA2145" s="87"/>
      <c r="BB2145" s="87"/>
      <c r="BC2145" s="87"/>
      <c r="BD2145" s="87"/>
      <c r="BE2145" s="87"/>
      <c r="BF2145" s="87"/>
      <c r="BG2145" s="87"/>
      <c r="BH2145" s="87"/>
      <c r="BI2145" s="87"/>
      <c r="BJ2145" s="87"/>
      <c r="BK2145" s="87"/>
      <c r="BL2145" s="87"/>
      <c r="BM2145" s="87"/>
      <c r="BN2145" s="87"/>
      <c r="BO2145" s="87"/>
      <c r="BP2145" s="87"/>
      <c r="BQ2145" s="87"/>
      <c r="BR2145" s="87"/>
      <c r="BS2145" s="87"/>
      <c r="BT2145" s="87"/>
      <c r="BU2145" s="87"/>
      <c r="BV2145" s="87"/>
      <c r="BW2145" s="87"/>
      <c r="BX2145" s="87"/>
      <c r="BY2145" s="87"/>
    </row>
    <row r="2146" spans="21:77" x14ac:dyDescent="0.3">
      <c r="U2146" s="19"/>
      <c r="V2146" s="87"/>
      <c r="W2146" s="87"/>
      <c r="X2146" s="87"/>
      <c r="Y2146" s="87"/>
      <c r="Z2146" s="87"/>
      <c r="AA2146" s="87"/>
      <c r="AB2146" s="87"/>
      <c r="AC2146" s="87"/>
      <c r="AD2146" s="87"/>
      <c r="AE2146" s="87"/>
      <c r="AF2146" s="87"/>
      <c r="AG2146" s="87"/>
      <c r="AH2146" s="87"/>
      <c r="AI2146" s="87"/>
      <c r="AJ2146" s="87"/>
      <c r="AK2146" s="87"/>
      <c r="AL2146" s="87"/>
      <c r="AM2146" s="87"/>
      <c r="AN2146" s="87"/>
      <c r="AO2146" s="87"/>
      <c r="AP2146" s="87"/>
      <c r="AQ2146" s="87"/>
      <c r="AR2146" s="87"/>
      <c r="AS2146" s="87"/>
      <c r="AT2146" s="87"/>
      <c r="AU2146" s="87"/>
      <c r="AV2146" s="87"/>
      <c r="AW2146" s="87"/>
      <c r="AX2146" s="87"/>
      <c r="AY2146" s="87"/>
      <c r="AZ2146" s="87"/>
      <c r="BA2146" s="87"/>
      <c r="BB2146" s="87"/>
      <c r="BC2146" s="87"/>
      <c r="BD2146" s="87"/>
      <c r="BE2146" s="87"/>
      <c r="BF2146" s="87"/>
      <c r="BG2146" s="87"/>
      <c r="BH2146" s="87"/>
      <c r="BI2146" s="87"/>
      <c r="BJ2146" s="87"/>
      <c r="BK2146" s="87"/>
      <c r="BL2146" s="87"/>
      <c r="BM2146" s="87"/>
      <c r="BN2146" s="87"/>
      <c r="BO2146" s="87"/>
      <c r="BP2146" s="87"/>
      <c r="BQ2146" s="87"/>
      <c r="BR2146" s="87"/>
      <c r="BS2146" s="87"/>
      <c r="BT2146" s="87"/>
      <c r="BU2146" s="87"/>
      <c r="BV2146" s="87"/>
      <c r="BW2146" s="87"/>
      <c r="BX2146" s="87"/>
      <c r="BY2146" s="87"/>
    </row>
    <row r="2147" spans="21:77" x14ac:dyDescent="0.3">
      <c r="U2147" s="19"/>
      <c r="V2147" s="87"/>
      <c r="W2147" s="87"/>
      <c r="X2147" s="87"/>
      <c r="Y2147" s="87"/>
      <c r="Z2147" s="87"/>
      <c r="AA2147" s="87"/>
      <c r="AB2147" s="87"/>
      <c r="AC2147" s="87"/>
      <c r="AD2147" s="87"/>
      <c r="AE2147" s="87"/>
      <c r="AF2147" s="87"/>
      <c r="AG2147" s="87"/>
      <c r="AH2147" s="87"/>
      <c r="AI2147" s="87"/>
      <c r="AJ2147" s="87"/>
      <c r="AK2147" s="87"/>
      <c r="AL2147" s="87"/>
      <c r="AM2147" s="87"/>
      <c r="AN2147" s="87"/>
      <c r="AO2147" s="87"/>
      <c r="AP2147" s="87"/>
      <c r="AQ2147" s="87"/>
      <c r="AR2147" s="87"/>
      <c r="AS2147" s="87"/>
      <c r="AT2147" s="87"/>
      <c r="AU2147" s="87"/>
      <c r="AV2147" s="87"/>
      <c r="AW2147" s="87"/>
      <c r="AX2147" s="87"/>
      <c r="AY2147" s="87"/>
      <c r="AZ2147" s="87"/>
      <c r="BA2147" s="87"/>
      <c r="BB2147" s="87"/>
      <c r="BC2147" s="87"/>
      <c r="BD2147" s="87"/>
      <c r="BE2147" s="87"/>
      <c r="BF2147" s="87"/>
      <c r="BG2147" s="87"/>
      <c r="BH2147" s="87"/>
      <c r="BI2147" s="87"/>
      <c r="BJ2147" s="87"/>
      <c r="BK2147" s="87"/>
      <c r="BL2147" s="87"/>
      <c r="BM2147" s="87"/>
      <c r="BN2147" s="87"/>
      <c r="BO2147" s="87"/>
      <c r="BP2147" s="87"/>
      <c r="BQ2147" s="87"/>
      <c r="BR2147" s="87"/>
      <c r="BS2147" s="87"/>
      <c r="BT2147" s="87"/>
      <c r="BU2147" s="87"/>
      <c r="BV2147" s="87"/>
      <c r="BW2147" s="87"/>
      <c r="BX2147" s="87"/>
      <c r="BY2147" s="87"/>
    </row>
    <row r="2148" spans="21:77" x14ac:dyDescent="0.3">
      <c r="U2148" s="19"/>
      <c r="V2148" s="87"/>
      <c r="W2148" s="87"/>
      <c r="X2148" s="87"/>
      <c r="Y2148" s="87"/>
      <c r="Z2148" s="87"/>
      <c r="AA2148" s="87"/>
      <c r="AB2148" s="87"/>
      <c r="AC2148" s="87"/>
      <c r="AD2148" s="87"/>
      <c r="AE2148" s="87"/>
      <c r="AF2148" s="87"/>
      <c r="AG2148" s="87"/>
      <c r="AH2148" s="87"/>
      <c r="AI2148" s="87"/>
      <c r="AJ2148" s="87"/>
      <c r="AK2148" s="87"/>
      <c r="AL2148" s="87"/>
      <c r="AM2148" s="87"/>
      <c r="AN2148" s="87"/>
      <c r="AO2148" s="87"/>
      <c r="AP2148" s="87"/>
      <c r="AQ2148" s="87"/>
      <c r="AR2148" s="87"/>
      <c r="AS2148" s="87"/>
      <c r="AT2148" s="87"/>
      <c r="AU2148" s="87"/>
      <c r="AV2148" s="87"/>
      <c r="AW2148" s="87"/>
      <c r="AX2148" s="87"/>
      <c r="AY2148" s="87"/>
      <c r="AZ2148" s="87"/>
      <c r="BA2148" s="87"/>
      <c r="BB2148" s="87"/>
      <c r="BC2148" s="87"/>
      <c r="BD2148" s="87"/>
      <c r="BE2148" s="87"/>
      <c r="BF2148" s="87"/>
      <c r="BG2148" s="87"/>
      <c r="BH2148" s="87"/>
      <c r="BI2148" s="87"/>
      <c r="BJ2148" s="87"/>
      <c r="BK2148" s="87"/>
      <c r="BL2148" s="87"/>
      <c r="BM2148" s="87"/>
      <c r="BN2148" s="87"/>
      <c r="BO2148" s="87"/>
      <c r="BP2148" s="87"/>
      <c r="BQ2148" s="87"/>
      <c r="BR2148" s="87"/>
      <c r="BS2148" s="87"/>
      <c r="BT2148" s="87"/>
      <c r="BU2148" s="87"/>
      <c r="BV2148" s="87"/>
      <c r="BW2148" s="87"/>
      <c r="BX2148" s="87"/>
      <c r="BY2148" s="87"/>
    </row>
    <row r="2149" spans="21:77" x14ac:dyDescent="0.3">
      <c r="U2149" s="19"/>
      <c r="V2149" s="87"/>
      <c r="W2149" s="87"/>
      <c r="X2149" s="87"/>
      <c r="Y2149" s="87"/>
      <c r="Z2149" s="87"/>
      <c r="AA2149" s="87"/>
      <c r="AB2149" s="87"/>
      <c r="AC2149" s="87"/>
      <c r="AD2149" s="87"/>
      <c r="AE2149" s="87"/>
      <c r="AF2149" s="87"/>
      <c r="AG2149" s="87"/>
      <c r="AH2149" s="87"/>
      <c r="AI2149" s="87"/>
      <c r="AJ2149" s="87"/>
      <c r="AK2149" s="87"/>
      <c r="AL2149" s="87"/>
      <c r="AM2149" s="87"/>
      <c r="AN2149" s="87"/>
      <c r="AO2149" s="87"/>
      <c r="AP2149" s="87"/>
      <c r="AQ2149" s="87"/>
      <c r="AR2149" s="87"/>
      <c r="AS2149" s="87"/>
      <c r="AT2149" s="87"/>
      <c r="AU2149" s="87"/>
      <c r="AV2149" s="87"/>
      <c r="AW2149" s="87"/>
      <c r="AX2149" s="87"/>
      <c r="AY2149" s="87"/>
      <c r="AZ2149" s="87"/>
      <c r="BA2149" s="87"/>
      <c r="BB2149" s="87"/>
      <c r="BC2149" s="87"/>
      <c r="BD2149" s="87"/>
      <c r="BE2149" s="87"/>
      <c r="BF2149" s="87"/>
      <c r="BG2149" s="87"/>
      <c r="BH2149" s="87"/>
      <c r="BI2149" s="87"/>
      <c r="BJ2149" s="87"/>
      <c r="BK2149" s="87"/>
      <c r="BL2149" s="87"/>
      <c r="BM2149" s="87"/>
      <c r="BN2149" s="87"/>
      <c r="BO2149" s="87"/>
      <c r="BP2149" s="87"/>
      <c r="BQ2149" s="87"/>
      <c r="BR2149" s="87"/>
      <c r="BS2149" s="87"/>
      <c r="BT2149" s="87"/>
      <c r="BU2149" s="87"/>
      <c r="BV2149" s="87"/>
      <c r="BW2149" s="87"/>
      <c r="BX2149" s="87"/>
      <c r="BY2149" s="87"/>
    </row>
    <row r="2150" spans="21:77" x14ac:dyDescent="0.3">
      <c r="U2150" s="19"/>
      <c r="V2150" s="87"/>
      <c r="W2150" s="87"/>
      <c r="X2150" s="87"/>
      <c r="Y2150" s="87"/>
      <c r="Z2150" s="87"/>
      <c r="AA2150" s="87"/>
      <c r="AB2150" s="87"/>
      <c r="AC2150" s="87"/>
      <c r="AD2150" s="87"/>
      <c r="AE2150" s="87"/>
      <c r="AF2150" s="87"/>
      <c r="AG2150" s="87"/>
      <c r="AH2150" s="87"/>
      <c r="AI2150" s="87"/>
      <c r="AJ2150" s="87"/>
      <c r="AK2150" s="87"/>
      <c r="AL2150" s="87"/>
      <c r="AM2150" s="87"/>
      <c r="AN2150" s="87"/>
      <c r="AO2150" s="87"/>
      <c r="AP2150" s="87"/>
      <c r="AQ2150" s="87"/>
      <c r="AR2150" s="87"/>
      <c r="AS2150" s="87"/>
      <c r="AT2150" s="87"/>
      <c r="AU2150" s="87"/>
      <c r="AV2150" s="87"/>
      <c r="AW2150" s="87"/>
      <c r="AX2150" s="87"/>
      <c r="AY2150" s="87"/>
      <c r="AZ2150" s="87"/>
      <c r="BA2150" s="87"/>
      <c r="BB2150" s="87"/>
      <c r="BC2150" s="87"/>
      <c r="BD2150" s="87"/>
      <c r="BE2150" s="87"/>
      <c r="BF2150" s="87"/>
      <c r="BG2150" s="87"/>
      <c r="BH2150" s="87"/>
      <c r="BI2150" s="87"/>
      <c r="BJ2150" s="87"/>
      <c r="BK2150" s="87"/>
      <c r="BL2150" s="87"/>
      <c r="BM2150" s="87"/>
      <c r="BN2150" s="87"/>
      <c r="BO2150" s="87"/>
      <c r="BP2150" s="87"/>
      <c r="BQ2150" s="87"/>
      <c r="BR2150" s="87"/>
      <c r="BS2150" s="87"/>
      <c r="BT2150" s="87"/>
      <c r="BU2150" s="87"/>
      <c r="BV2150" s="87"/>
      <c r="BW2150" s="87"/>
      <c r="BX2150" s="87"/>
      <c r="BY2150" s="87"/>
    </row>
    <row r="2151" spans="21:77" x14ac:dyDescent="0.3">
      <c r="U2151" s="19"/>
      <c r="V2151" s="87"/>
      <c r="W2151" s="87"/>
      <c r="X2151" s="87"/>
      <c r="Y2151" s="87"/>
      <c r="Z2151" s="87"/>
      <c r="AA2151" s="87"/>
      <c r="AB2151" s="87"/>
      <c r="AC2151" s="87"/>
      <c r="AD2151" s="87"/>
      <c r="AE2151" s="87"/>
      <c r="AF2151" s="87"/>
      <c r="AG2151" s="87"/>
      <c r="AH2151" s="87"/>
      <c r="AI2151" s="87"/>
      <c r="AJ2151" s="87"/>
      <c r="AK2151" s="87"/>
      <c r="AL2151" s="87"/>
      <c r="AM2151" s="87"/>
      <c r="AN2151" s="87"/>
      <c r="AO2151" s="87"/>
      <c r="AP2151" s="87"/>
      <c r="AQ2151" s="87"/>
      <c r="AR2151" s="87"/>
      <c r="AS2151" s="87"/>
      <c r="AT2151" s="87"/>
      <c r="AU2151" s="87"/>
      <c r="AV2151" s="87"/>
      <c r="AW2151" s="87"/>
      <c r="AX2151" s="87"/>
      <c r="AY2151" s="87"/>
      <c r="AZ2151" s="87"/>
      <c r="BA2151" s="87"/>
      <c r="BB2151" s="87"/>
      <c r="BC2151" s="87"/>
      <c r="BD2151" s="87"/>
      <c r="BE2151" s="87"/>
      <c r="BF2151" s="87"/>
      <c r="BG2151" s="87"/>
      <c r="BH2151" s="87"/>
      <c r="BI2151" s="87"/>
      <c r="BJ2151" s="87"/>
      <c r="BK2151" s="87"/>
      <c r="BL2151" s="87"/>
      <c r="BM2151" s="87"/>
      <c r="BN2151" s="87"/>
      <c r="BO2151" s="87"/>
      <c r="BP2151" s="87"/>
      <c r="BQ2151" s="87"/>
      <c r="BR2151" s="87"/>
      <c r="BS2151" s="87"/>
      <c r="BT2151" s="87"/>
      <c r="BU2151" s="87"/>
      <c r="BV2151" s="87"/>
      <c r="BW2151" s="87"/>
      <c r="BX2151" s="87"/>
      <c r="BY2151" s="87"/>
    </row>
    <row r="2152" spans="21:77" x14ac:dyDescent="0.3">
      <c r="U2152" s="19"/>
      <c r="V2152" s="87"/>
      <c r="W2152" s="87"/>
      <c r="X2152" s="87"/>
      <c r="Y2152" s="87"/>
      <c r="Z2152" s="87"/>
      <c r="AA2152" s="87"/>
      <c r="AB2152" s="87"/>
      <c r="AC2152" s="87"/>
      <c r="AD2152" s="87"/>
      <c r="AE2152" s="87"/>
      <c r="AF2152" s="87"/>
      <c r="AG2152" s="87"/>
      <c r="AH2152" s="87"/>
      <c r="AI2152" s="87"/>
      <c r="AJ2152" s="87"/>
      <c r="AK2152" s="87"/>
      <c r="AL2152" s="87"/>
      <c r="AM2152" s="87"/>
      <c r="AN2152" s="87"/>
      <c r="AO2152" s="87"/>
      <c r="AP2152" s="87"/>
      <c r="AQ2152" s="87"/>
      <c r="AR2152" s="87"/>
      <c r="AS2152" s="87"/>
      <c r="AT2152" s="87"/>
      <c r="AU2152" s="87"/>
      <c r="AV2152" s="87"/>
      <c r="AW2152" s="87"/>
      <c r="AX2152" s="87"/>
      <c r="AY2152" s="87"/>
      <c r="AZ2152" s="87"/>
      <c r="BA2152" s="87"/>
      <c r="BB2152" s="87"/>
      <c r="BC2152" s="87"/>
      <c r="BD2152" s="87"/>
      <c r="BE2152" s="87"/>
      <c r="BF2152" s="87"/>
      <c r="BG2152" s="87"/>
      <c r="BH2152" s="87"/>
      <c r="BI2152" s="87"/>
      <c r="BJ2152" s="87"/>
      <c r="BK2152" s="87"/>
      <c r="BL2152" s="87"/>
      <c r="BM2152" s="87"/>
      <c r="BN2152" s="87"/>
      <c r="BO2152" s="87"/>
      <c r="BP2152" s="87"/>
      <c r="BQ2152" s="87"/>
      <c r="BR2152" s="87"/>
      <c r="BS2152" s="87"/>
      <c r="BT2152" s="87"/>
      <c r="BU2152" s="87"/>
      <c r="BV2152" s="87"/>
      <c r="BW2152" s="87"/>
      <c r="BX2152" s="87"/>
      <c r="BY2152" s="87"/>
    </row>
    <row r="2153" spans="21:77" x14ac:dyDescent="0.3">
      <c r="U2153" s="19"/>
      <c r="V2153" s="87"/>
      <c r="W2153" s="87"/>
      <c r="X2153" s="87"/>
      <c r="Y2153" s="87"/>
      <c r="Z2153" s="87"/>
      <c r="AA2153" s="87"/>
      <c r="AB2153" s="87"/>
      <c r="AC2153" s="87"/>
      <c r="AD2153" s="87"/>
      <c r="AE2153" s="87"/>
      <c r="AF2153" s="87"/>
      <c r="AG2153" s="87"/>
      <c r="AH2153" s="87"/>
      <c r="AI2153" s="87"/>
      <c r="AJ2153" s="87"/>
      <c r="AK2153" s="87"/>
      <c r="AL2153" s="87"/>
      <c r="AM2153" s="87"/>
      <c r="AN2153" s="87"/>
      <c r="AO2153" s="87"/>
      <c r="AP2153" s="87"/>
      <c r="AQ2153" s="87"/>
      <c r="AR2153" s="87"/>
      <c r="AS2153" s="87"/>
      <c r="AT2153" s="87"/>
      <c r="AU2153" s="87"/>
      <c r="AV2153" s="87"/>
      <c r="AW2153" s="87"/>
      <c r="AX2153" s="87"/>
      <c r="AY2153" s="87"/>
      <c r="AZ2153" s="87"/>
      <c r="BA2153" s="87"/>
      <c r="BB2153" s="87"/>
      <c r="BC2153" s="87"/>
      <c r="BD2153" s="87"/>
      <c r="BE2153" s="87"/>
      <c r="BF2153" s="87"/>
      <c r="BG2153" s="87"/>
      <c r="BH2153" s="87"/>
      <c r="BI2153" s="87"/>
      <c r="BJ2153" s="87"/>
      <c r="BK2153" s="87"/>
      <c r="BL2153" s="87"/>
      <c r="BM2153" s="87"/>
      <c r="BN2153" s="87"/>
      <c r="BO2153" s="87"/>
      <c r="BP2153" s="87"/>
      <c r="BQ2153" s="87"/>
      <c r="BR2153" s="87"/>
      <c r="BS2153" s="87"/>
      <c r="BT2153" s="87"/>
      <c r="BU2153" s="87"/>
      <c r="BV2153" s="87"/>
      <c r="BW2153" s="87"/>
      <c r="BX2153" s="87"/>
      <c r="BY2153" s="87"/>
    </row>
    <row r="2154" spans="21:77" x14ac:dyDescent="0.3">
      <c r="U2154" s="19"/>
      <c r="V2154" s="87"/>
      <c r="W2154" s="87"/>
      <c r="X2154" s="87"/>
      <c r="Y2154" s="87"/>
      <c r="Z2154" s="87"/>
      <c r="AA2154" s="87"/>
      <c r="AB2154" s="87"/>
      <c r="AC2154" s="87"/>
      <c r="AD2154" s="87"/>
      <c r="AE2154" s="87"/>
      <c r="AF2154" s="87"/>
      <c r="AG2154" s="87"/>
      <c r="AH2154" s="87"/>
      <c r="AI2154" s="87"/>
      <c r="AJ2154" s="87"/>
      <c r="AK2154" s="87"/>
      <c r="AL2154" s="87"/>
      <c r="AM2154" s="87"/>
      <c r="AN2154" s="87"/>
      <c r="AO2154" s="87"/>
      <c r="AP2154" s="87"/>
      <c r="AQ2154" s="87"/>
      <c r="AR2154" s="87"/>
      <c r="AS2154" s="87"/>
      <c r="AT2154" s="87"/>
      <c r="AU2154" s="87"/>
      <c r="AV2154" s="87"/>
      <c r="AW2154" s="87"/>
      <c r="AX2154" s="87"/>
      <c r="AY2154" s="87"/>
      <c r="AZ2154" s="87"/>
      <c r="BA2154" s="87"/>
      <c r="BB2154" s="87"/>
      <c r="BC2154" s="87"/>
      <c r="BD2154" s="87"/>
      <c r="BE2154" s="87"/>
      <c r="BF2154" s="87"/>
      <c r="BG2154" s="87"/>
      <c r="BH2154" s="87"/>
      <c r="BI2154" s="87"/>
      <c r="BJ2154" s="87"/>
      <c r="BK2154" s="87"/>
      <c r="BL2154" s="87"/>
      <c r="BM2154" s="87"/>
      <c r="BN2154" s="87"/>
      <c r="BO2154" s="87"/>
      <c r="BP2154" s="87"/>
      <c r="BQ2154" s="87"/>
      <c r="BR2154" s="87"/>
      <c r="BS2154" s="87"/>
      <c r="BT2154" s="87"/>
      <c r="BU2154" s="87"/>
      <c r="BV2154" s="87"/>
      <c r="BW2154" s="87"/>
      <c r="BX2154" s="87"/>
      <c r="BY2154" s="87"/>
    </row>
    <row r="2155" spans="21:77" x14ac:dyDescent="0.3">
      <c r="U2155" s="19"/>
      <c r="V2155" s="87"/>
      <c r="W2155" s="87"/>
      <c r="X2155" s="87"/>
      <c r="Y2155" s="87"/>
      <c r="Z2155" s="87"/>
      <c r="AA2155" s="87"/>
      <c r="AB2155" s="87"/>
      <c r="AC2155" s="87"/>
      <c r="AD2155" s="87"/>
      <c r="AE2155" s="87"/>
      <c r="AF2155" s="87"/>
      <c r="AG2155" s="87"/>
      <c r="AH2155" s="87"/>
      <c r="AI2155" s="87"/>
      <c r="AJ2155" s="87"/>
      <c r="AK2155" s="87"/>
      <c r="AL2155" s="87"/>
      <c r="AM2155" s="87"/>
      <c r="AN2155" s="87"/>
      <c r="AO2155" s="87"/>
      <c r="AP2155" s="87"/>
      <c r="AQ2155" s="87"/>
      <c r="AR2155" s="87"/>
      <c r="AS2155" s="87"/>
      <c r="AT2155" s="87"/>
      <c r="AU2155" s="87"/>
      <c r="AV2155" s="87"/>
      <c r="AW2155" s="87"/>
      <c r="AX2155" s="87"/>
      <c r="AY2155" s="87"/>
      <c r="AZ2155" s="87"/>
      <c r="BA2155" s="87"/>
      <c r="BB2155" s="87"/>
      <c r="BC2155" s="87"/>
      <c r="BD2155" s="87"/>
      <c r="BE2155" s="87"/>
      <c r="BF2155" s="87"/>
      <c r="BG2155" s="87"/>
      <c r="BH2155" s="87"/>
      <c r="BI2155" s="87"/>
      <c r="BJ2155" s="87"/>
      <c r="BK2155" s="87"/>
      <c r="BL2155" s="87"/>
      <c r="BM2155" s="87"/>
      <c r="BN2155" s="87"/>
      <c r="BO2155" s="87"/>
      <c r="BP2155" s="87"/>
      <c r="BQ2155" s="87"/>
      <c r="BR2155" s="87"/>
      <c r="BS2155" s="87"/>
      <c r="BT2155" s="87"/>
      <c r="BU2155" s="87"/>
      <c r="BV2155" s="87"/>
      <c r="BW2155" s="87"/>
      <c r="BX2155" s="87"/>
      <c r="BY2155" s="87"/>
    </row>
    <row r="2156" spans="21:77" x14ac:dyDescent="0.3">
      <c r="U2156" s="19"/>
      <c r="V2156" s="87"/>
      <c r="W2156" s="87"/>
      <c r="X2156" s="87"/>
      <c r="Y2156" s="87"/>
      <c r="Z2156" s="87"/>
      <c r="AA2156" s="87"/>
      <c r="AB2156" s="87"/>
      <c r="AC2156" s="87"/>
      <c r="AD2156" s="87"/>
      <c r="AE2156" s="87"/>
      <c r="AF2156" s="87"/>
      <c r="AG2156" s="87"/>
      <c r="AH2156" s="87"/>
      <c r="AI2156" s="87"/>
      <c r="AJ2156" s="87"/>
      <c r="AK2156" s="87"/>
      <c r="AL2156" s="87"/>
      <c r="AM2156" s="87"/>
      <c r="AN2156" s="87"/>
      <c r="AO2156" s="87"/>
      <c r="AP2156" s="87"/>
      <c r="AQ2156" s="87"/>
      <c r="AR2156" s="87"/>
      <c r="AS2156" s="87"/>
      <c r="AT2156" s="87"/>
      <c r="AU2156" s="87"/>
      <c r="AV2156" s="87"/>
      <c r="AW2156" s="87"/>
      <c r="AX2156" s="87"/>
      <c r="AY2156" s="87"/>
      <c r="AZ2156" s="87"/>
      <c r="BA2156" s="87"/>
      <c r="BB2156" s="87"/>
      <c r="BC2156" s="87"/>
      <c r="BD2156" s="87"/>
      <c r="BE2156" s="87"/>
      <c r="BF2156" s="87"/>
      <c r="BG2156" s="87"/>
      <c r="BH2156" s="87"/>
      <c r="BI2156" s="87"/>
      <c r="BJ2156" s="87"/>
      <c r="BK2156" s="87"/>
      <c r="BL2156" s="87"/>
      <c r="BM2156" s="87"/>
      <c r="BN2156" s="87"/>
      <c r="BO2156" s="87"/>
      <c r="BP2156" s="87"/>
      <c r="BQ2156" s="87"/>
      <c r="BR2156" s="87"/>
      <c r="BS2156" s="87"/>
      <c r="BT2156" s="87"/>
      <c r="BU2156" s="87"/>
      <c r="BV2156" s="87"/>
      <c r="BW2156" s="87"/>
      <c r="BX2156" s="87"/>
      <c r="BY2156" s="87"/>
    </row>
    <row r="2157" spans="21:77" x14ac:dyDescent="0.3">
      <c r="U2157" s="19"/>
      <c r="V2157" s="87"/>
      <c r="W2157" s="87"/>
      <c r="X2157" s="87"/>
      <c r="Y2157" s="87"/>
      <c r="Z2157" s="87"/>
      <c r="AA2157" s="87"/>
      <c r="AB2157" s="87"/>
      <c r="AC2157" s="87"/>
      <c r="AD2157" s="87"/>
      <c r="AE2157" s="87"/>
      <c r="AF2157" s="87"/>
      <c r="AG2157" s="87"/>
      <c r="AH2157" s="87"/>
      <c r="AI2157" s="87"/>
      <c r="AJ2157" s="87"/>
      <c r="AK2157" s="87"/>
      <c r="AL2157" s="87"/>
      <c r="AM2157" s="87"/>
      <c r="AN2157" s="87"/>
      <c r="AO2157" s="87"/>
      <c r="AP2157" s="87"/>
      <c r="AQ2157" s="87"/>
      <c r="AR2157" s="87"/>
      <c r="AS2157" s="87"/>
      <c r="AT2157" s="87"/>
      <c r="AU2157" s="87"/>
      <c r="AV2157" s="87"/>
      <c r="AW2157" s="87"/>
      <c r="AX2157" s="87"/>
      <c r="AY2157" s="87"/>
      <c r="AZ2157" s="87"/>
      <c r="BA2157" s="87"/>
      <c r="BB2157" s="87"/>
      <c r="BC2157" s="87"/>
      <c r="BD2157" s="87"/>
      <c r="BE2157" s="87"/>
      <c r="BF2157" s="87"/>
      <c r="BG2157" s="87"/>
      <c r="BH2157" s="87"/>
      <c r="BI2157" s="87"/>
      <c r="BJ2157" s="87"/>
      <c r="BK2157" s="87"/>
      <c r="BL2157" s="87"/>
      <c r="BM2157" s="87"/>
      <c r="BN2157" s="87"/>
      <c r="BO2157" s="87"/>
      <c r="BP2157" s="87"/>
      <c r="BQ2157" s="87"/>
      <c r="BR2157" s="87"/>
      <c r="BS2157" s="87"/>
      <c r="BT2157" s="87"/>
      <c r="BU2157" s="87"/>
      <c r="BV2157" s="87"/>
      <c r="BW2157" s="87"/>
      <c r="BX2157" s="87"/>
      <c r="BY2157" s="87"/>
    </row>
    <row r="2158" spans="21:77" x14ac:dyDescent="0.3">
      <c r="U2158" s="19"/>
      <c r="V2158" s="87"/>
      <c r="W2158" s="87"/>
      <c r="X2158" s="87"/>
      <c r="Y2158" s="87"/>
      <c r="Z2158" s="87"/>
      <c r="AA2158" s="87"/>
      <c r="AB2158" s="87"/>
      <c r="AC2158" s="87"/>
      <c r="AD2158" s="87"/>
      <c r="AE2158" s="87"/>
      <c r="AF2158" s="87"/>
      <c r="AG2158" s="87"/>
      <c r="AH2158" s="87"/>
      <c r="AI2158" s="87"/>
      <c r="AJ2158" s="87"/>
      <c r="AK2158" s="87"/>
      <c r="AL2158" s="87"/>
      <c r="AM2158" s="87"/>
      <c r="AN2158" s="87"/>
      <c r="AO2158" s="87"/>
      <c r="AP2158" s="87"/>
      <c r="AQ2158" s="87"/>
      <c r="AR2158" s="87"/>
      <c r="AS2158" s="87"/>
      <c r="AT2158" s="87"/>
      <c r="AU2158" s="87"/>
      <c r="AV2158" s="87"/>
      <c r="AW2158" s="87"/>
      <c r="AX2158" s="87"/>
      <c r="AY2158" s="87"/>
      <c r="AZ2158" s="87"/>
      <c r="BA2158" s="87"/>
      <c r="BB2158" s="87"/>
      <c r="BC2158" s="87"/>
      <c r="BD2158" s="87"/>
      <c r="BE2158" s="87"/>
      <c r="BF2158" s="87"/>
      <c r="BG2158" s="87"/>
      <c r="BH2158" s="87"/>
      <c r="BI2158" s="87"/>
      <c r="BJ2158" s="87"/>
      <c r="BK2158" s="87"/>
      <c r="BL2158" s="87"/>
      <c r="BM2158" s="87"/>
      <c r="BN2158" s="87"/>
      <c r="BO2158" s="87"/>
      <c r="BP2158" s="87"/>
      <c r="BQ2158" s="87"/>
      <c r="BR2158" s="87"/>
      <c r="BS2158" s="87"/>
      <c r="BT2158" s="87"/>
      <c r="BU2158" s="87"/>
      <c r="BV2158" s="87"/>
      <c r="BW2158" s="87"/>
      <c r="BX2158" s="87"/>
      <c r="BY2158" s="87"/>
    </row>
    <row r="2159" spans="21:77" x14ac:dyDescent="0.3">
      <c r="U2159" s="19"/>
      <c r="V2159" s="87"/>
      <c r="W2159" s="87"/>
      <c r="X2159" s="87"/>
      <c r="Y2159" s="87"/>
      <c r="Z2159" s="87"/>
      <c r="AA2159" s="87"/>
      <c r="AB2159" s="87"/>
      <c r="AC2159" s="87"/>
      <c r="AD2159" s="87"/>
      <c r="AE2159" s="87"/>
      <c r="AF2159" s="87"/>
      <c r="AG2159" s="87"/>
      <c r="AH2159" s="87"/>
      <c r="AI2159" s="87"/>
      <c r="AJ2159" s="87"/>
      <c r="AK2159" s="87"/>
      <c r="AL2159" s="87"/>
      <c r="AM2159" s="87"/>
      <c r="AN2159" s="87"/>
      <c r="AO2159" s="87"/>
      <c r="AP2159" s="87"/>
      <c r="AQ2159" s="87"/>
      <c r="AR2159" s="87"/>
      <c r="AS2159" s="87"/>
      <c r="AT2159" s="87"/>
      <c r="AU2159" s="87"/>
      <c r="AV2159" s="87"/>
      <c r="AW2159" s="87"/>
      <c r="AX2159" s="87"/>
      <c r="AY2159" s="87"/>
      <c r="AZ2159" s="87"/>
      <c r="BA2159" s="87"/>
      <c r="BB2159" s="87"/>
      <c r="BC2159" s="87"/>
      <c r="BD2159" s="87"/>
      <c r="BE2159" s="87"/>
      <c r="BF2159" s="87"/>
      <c r="BG2159" s="87"/>
      <c r="BH2159" s="87"/>
      <c r="BI2159" s="87"/>
      <c r="BJ2159" s="87"/>
      <c r="BK2159" s="87"/>
      <c r="BL2159" s="87"/>
      <c r="BM2159" s="87"/>
      <c r="BN2159" s="87"/>
      <c r="BO2159" s="87"/>
      <c r="BP2159" s="87"/>
      <c r="BQ2159" s="87"/>
      <c r="BR2159" s="87"/>
      <c r="BS2159" s="87"/>
      <c r="BT2159" s="87"/>
      <c r="BU2159" s="87"/>
      <c r="BV2159" s="87"/>
      <c r="BW2159" s="87"/>
      <c r="BX2159" s="87"/>
      <c r="BY2159" s="87"/>
    </row>
    <row r="2160" spans="21:77" x14ac:dyDescent="0.3">
      <c r="U2160" s="19"/>
      <c r="V2160" s="87"/>
      <c r="W2160" s="87"/>
      <c r="X2160" s="87"/>
      <c r="Y2160" s="87"/>
      <c r="Z2160" s="87"/>
      <c r="AA2160" s="87"/>
      <c r="AB2160" s="87"/>
      <c r="AC2160" s="87"/>
      <c r="AD2160" s="87"/>
      <c r="AE2160" s="87"/>
      <c r="AF2160" s="87"/>
      <c r="AG2160" s="87"/>
      <c r="AH2160" s="87"/>
      <c r="AI2160" s="87"/>
      <c r="AJ2160" s="87"/>
      <c r="AK2160" s="87"/>
      <c r="AL2160" s="87"/>
      <c r="AM2160" s="87"/>
      <c r="AN2160" s="87"/>
      <c r="AO2160" s="87"/>
      <c r="AP2160" s="87"/>
      <c r="AQ2160" s="87"/>
      <c r="AR2160" s="87"/>
      <c r="AS2160" s="87"/>
      <c r="AT2160" s="87"/>
      <c r="AU2160" s="87"/>
      <c r="AV2160" s="87"/>
      <c r="AW2160" s="87"/>
      <c r="AX2160" s="87"/>
      <c r="AY2160" s="87"/>
      <c r="AZ2160" s="87"/>
      <c r="BA2160" s="87"/>
      <c r="BB2160" s="87"/>
      <c r="BC2160" s="87"/>
      <c r="BD2160" s="87"/>
      <c r="BE2160" s="87"/>
      <c r="BF2160" s="87"/>
      <c r="BG2160" s="87"/>
      <c r="BH2160" s="87"/>
      <c r="BI2160" s="87"/>
      <c r="BJ2160" s="87"/>
      <c r="BK2160" s="87"/>
      <c r="BL2160" s="87"/>
      <c r="BM2160" s="87"/>
      <c r="BN2160" s="87"/>
      <c r="BO2160" s="87"/>
      <c r="BP2160" s="87"/>
      <c r="BQ2160" s="87"/>
      <c r="BR2160" s="87"/>
      <c r="BS2160" s="87"/>
      <c r="BT2160" s="87"/>
      <c r="BU2160" s="87"/>
      <c r="BV2160" s="87"/>
      <c r="BW2160" s="87"/>
      <c r="BX2160" s="87"/>
      <c r="BY2160" s="87"/>
    </row>
    <row r="2161" spans="21:77" x14ac:dyDescent="0.3">
      <c r="U2161" s="19"/>
      <c r="V2161" s="87"/>
      <c r="W2161" s="87"/>
      <c r="X2161" s="87"/>
      <c r="Y2161" s="87"/>
      <c r="Z2161" s="87"/>
      <c r="AA2161" s="87"/>
      <c r="AB2161" s="87"/>
      <c r="AC2161" s="87"/>
      <c r="AD2161" s="87"/>
      <c r="AE2161" s="87"/>
      <c r="AF2161" s="87"/>
      <c r="AG2161" s="87"/>
      <c r="AH2161" s="87"/>
      <c r="AI2161" s="87"/>
      <c r="AJ2161" s="87"/>
      <c r="AK2161" s="87"/>
      <c r="AL2161" s="87"/>
      <c r="AM2161" s="87"/>
      <c r="AN2161" s="87"/>
      <c r="AO2161" s="87"/>
      <c r="AP2161" s="87"/>
      <c r="AQ2161" s="87"/>
      <c r="AR2161" s="87"/>
      <c r="AS2161" s="87"/>
      <c r="AT2161" s="87"/>
      <c r="AU2161" s="87"/>
      <c r="AV2161" s="87"/>
      <c r="AW2161" s="87"/>
      <c r="AX2161" s="87"/>
      <c r="AY2161" s="87"/>
      <c r="AZ2161" s="87"/>
      <c r="BA2161" s="87"/>
      <c r="BB2161" s="87"/>
      <c r="BC2161" s="87"/>
      <c r="BD2161" s="87"/>
      <c r="BE2161" s="87"/>
      <c r="BF2161" s="87"/>
      <c r="BG2161" s="87"/>
      <c r="BH2161" s="87"/>
      <c r="BI2161" s="87"/>
      <c r="BJ2161" s="87"/>
      <c r="BK2161" s="87"/>
      <c r="BL2161" s="87"/>
      <c r="BM2161" s="87"/>
      <c r="BN2161" s="87"/>
      <c r="BO2161" s="87"/>
      <c r="BP2161" s="87"/>
      <c r="BQ2161" s="87"/>
      <c r="BR2161" s="87"/>
      <c r="BS2161" s="87"/>
      <c r="BT2161" s="87"/>
      <c r="BU2161" s="87"/>
      <c r="BV2161" s="87"/>
      <c r="BW2161" s="87"/>
      <c r="BX2161" s="87"/>
      <c r="BY2161" s="87"/>
    </row>
    <row r="2162" spans="21:77" x14ac:dyDescent="0.3">
      <c r="U2162" s="19"/>
      <c r="V2162" s="87"/>
      <c r="W2162" s="87"/>
      <c r="X2162" s="87"/>
      <c r="Y2162" s="87"/>
      <c r="Z2162" s="87"/>
      <c r="AA2162" s="87"/>
      <c r="AB2162" s="87"/>
      <c r="AC2162" s="87"/>
      <c r="AD2162" s="87"/>
      <c r="AE2162" s="87"/>
      <c r="AF2162" s="87"/>
      <c r="AG2162" s="87"/>
      <c r="AH2162" s="87"/>
      <c r="AI2162" s="87"/>
      <c r="AJ2162" s="87"/>
      <c r="AK2162" s="87"/>
      <c r="AL2162" s="87"/>
      <c r="AM2162" s="87"/>
      <c r="AN2162" s="87"/>
      <c r="AO2162" s="87"/>
      <c r="AP2162" s="87"/>
      <c r="AQ2162" s="87"/>
      <c r="AR2162" s="87"/>
      <c r="AS2162" s="87"/>
      <c r="AT2162" s="87"/>
      <c r="AU2162" s="87"/>
      <c r="AV2162" s="87"/>
      <c r="AW2162" s="87"/>
      <c r="AX2162" s="87"/>
      <c r="AY2162" s="87"/>
      <c r="AZ2162" s="87"/>
      <c r="BA2162" s="87"/>
      <c r="BB2162" s="87"/>
      <c r="BC2162" s="87"/>
      <c r="BD2162" s="87"/>
      <c r="BE2162" s="87"/>
      <c r="BF2162" s="87"/>
      <c r="BG2162" s="87"/>
      <c r="BH2162" s="87"/>
      <c r="BI2162" s="87"/>
      <c r="BJ2162" s="87"/>
      <c r="BK2162" s="87"/>
      <c r="BL2162" s="87"/>
      <c r="BM2162" s="87"/>
      <c r="BN2162" s="87"/>
      <c r="BO2162" s="87"/>
      <c r="BP2162" s="87"/>
      <c r="BQ2162" s="87"/>
      <c r="BR2162" s="87"/>
      <c r="BS2162" s="87"/>
      <c r="BT2162" s="87"/>
      <c r="BU2162" s="87"/>
      <c r="BV2162" s="87"/>
      <c r="BW2162" s="87"/>
      <c r="BX2162" s="87"/>
      <c r="BY2162" s="87"/>
    </row>
    <row r="2163" spans="21:77" x14ac:dyDescent="0.3">
      <c r="U2163" s="19"/>
      <c r="V2163" s="87"/>
      <c r="W2163" s="87"/>
      <c r="X2163" s="87"/>
      <c r="Y2163" s="87"/>
      <c r="Z2163" s="87"/>
      <c r="AA2163" s="87"/>
      <c r="AB2163" s="87"/>
      <c r="AC2163" s="87"/>
      <c r="AD2163" s="87"/>
      <c r="AE2163" s="87"/>
      <c r="AF2163" s="87"/>
      <c r="AG2163" s="87"/>
      <c r="AH2163" s="87"/>
      <c r="AI2163" s="87"/>
      <c r="AJ2163" s="87"/>
      <c r="AK2163" s="87"/>
      <c r="AL2163" s="87"/>
      <c r="AM2163" s="87"/>
      <c r="AN2163" s="87"/>
      <c r="AO2163" s="87"/>
      <c r="AP2163" s="87"/>
      <c r="AQ2163" s="87"/>
      <c r="AR2163" s="87"/>
      <c r="AS2163" s="87"/>
      <c r="AT2163" s="87"/>
      <c r="AU2163" s="87"/>
      <c r="AV2163" s="87"/>
      <c r="AW2163" s="87"/>
      <c r="AX2163" s="87"/>
      <c r="AY2163" s="87"/>
      <c r="AZ2163" s="87"/>
      <c r="BA2163" s="87"/>
      <c r="BB2163" s="87"/>
      <c r="BC2163" s="87"/>
      <c r="BD2163" s="87"/>
      <c r="BE2163" s="87"/>
      <c r="BF2163" s="87"/>
      <c r="BG2163" s="87"/>
      <c r="BH2163" s="87"/>
      <c r="BI2163" s="87"/>
      <c r="BJ2163" s="87"/>
      <c r="BK2163" s="87"/>
      <c r="BL2163" s="87"/>
      <c r="BM2163" s="87"/>
      <c r="BN2163" s="87"/>
      <c r="BO2163" s="87"/>
      <c r="BP2163" s="87"/>
      <c r="BQ2163" s="87"/>
      <c r="BR2163" s="87"/>
      <c r="BS2163" s="87"/>
      <c r="BT2163" s="87"/>
      <c r="BU2163" s="87"/>
      <c r="BV2163" s="87"/>
      <c r="BW2163" s="87"/>
      <c r="BX2163" s="87"/>
      <c r="BY2163" s="87"/>
    </row>
    <row r="2164" spans="21:77" x14ac:dyDescent="0.3">
      <c r="U2164" s="19"/>
      <c r="V2164" s="87"/>
      <c r="W2164" s="87"/>
      <c r="X2164" s="87"/>
      <c r="Y2164" s="87"/>
      <c r="Z2164" s="87"/>
      <c r="AA2164" s="87"/>
      <c r="AB2164" s="87"/>
      <c r="AC2164" s="87"/>
      <c r="AD2164" s="87"/>
      <c r="AE2164" s="87"/>
      <c r="AF2164" s="87"/>
      <c r="AG2164" s="87"/>
      <c r="AH2164" s="87"/>
      <c r="AI2164" s="87"/>
      <c r="AJ2164" s="87"/>
      <c r="AK2164" s="87"/>
      <c r="AL2164" s="87"/>
      <c r="AM2164" s="87"/>
      <c r="AN2164" s="87"/>
      <c r="AO2164" s="87"/>
      <c r="AP2164" s="87"/>
      <c r="AQ2164" s="87"/>
      <c r="AR2164" s="87"/>
      <c r="AS2164" s="87"/>
      <c r="AT2164" s="87"/>
      <c r="AU2164" s="87"/>
      <c r="AV2164" s="87"/>
      <c r="AW2164" s="87"/>
      <c r="AX2164" s="87"/>
      <c r="AY2164" s="87"/>
      <c r="AZ2164" s="87"/>
      <c r="BA2164" s="87"/>
      <c r="BB2164" s="87"/>
      <c r="BC2164" s="87"/>
      <c r="BD2164" s="87"/>
      <c r="BE2164" s="87"/>
      <c r="BF2164" s="87"/>
      <c r="BG2164" s="87"/>
      <c r="BH2164" s="87"/>
      <c r="BI2164" s="87"/>
      <c r="BJ2164" s="87"/>
      <c r="BK2164" s="87"/>
      <c r="BL2164" s="87"/>
      <c r="BM2164" s="87"/>
      <c r="BN2164" s="87"/>
      <c r="BO2164" s="87"/>
      <c r="BP2164" s="87"/>
      <c r="BQ2164" s="87"/>
      <c r="BR2164" s="87"/>
      <c r="BS2164" s="87"/>
      <c r="BT2164" s="87"/>
      <c r="BU2164" s="87"/>
      <c r="BV2164" s="87"/>
      <c r="BW2164" s="87"/>
      <c r="BX2164" s="87"/>
      <c r="BY2164" s="87"/>
    </row>
    <row r="2165" spans="21:77" x14ac:dyDescent="0.3">
      <c r="U2165" s="19"/>
      <c r="V2165" s="87"/>
      <c r="W2165" s="87"/>
      <c r="X2165" s="87"/>
      <c r="Y2165" s="87"/>
      <c r="Z2165" s="87"/>
      <c r="AA2165" s="87"/>
      <c r="AB2165" s="87"/>
      <c r="AC2165" s="87"/>
      <c r="AD2165" s="87"/>
      <c r="AE2165" s="87"/>
      <c r="AF2165" s="87"/>
      <c r="AG2165" s="87"/>
      <c r="AH2165" s="87"/>
      <c r="AI2165" s="87"/>
      <c r="AJ2165" s="87"/>
      <c r="AK2165" s="87"/>
      <c r="AL2165" s="87"/>
      <c r="AM2165" s="87"/>
      <c r="AN2165" s="87"/>
      <c r="AO2165" s="87"/>
      <c r="AP2165" s="87"/>
      <c r="AQ2165" s="87"/>
      <c r="AR2165" s="87"/>
      <c r="AS2165" s="87"/>
      <c r="AT2165" s="87"/>
      <c r="AU2165" s="87"/>
      <c r="AV2165" s="87"/>
      <c r="AW2165" s="87"/>
      <c r="AX2165" s="87"/>
      <c r="AY2165" s="87"/>
      <c r="AZ2165" s="87"/>
      <c r="BA2165" s="87"/>
      <c r="BB2165" s="87"/>
      <c r="BC2165" s="87"/>
      <c r="BD2165" s="87"/>
      <c r="BE2165" s="87"/>
      <c r="BF2165" s="87"/>
      <c r="BG2165" s="87"/>
      <c r="BH2165" s="87"/>
      <c r="BI2165" s="87"/>
      <c r="BJ2165" s="87"/>
      <c r="BK2165" s="87"/>
      <c r="BL2165" s="87"/>
      <c r="BM2165" s="87"/>
      <c r="BN2165" s="87"/>
      <c r="BO2165" s="87"/>
      <c r="BP2165" s="87"/>
      <c r="BQ2165" s="87"/>
      <c r="BR2165" s="87"/>
      <c r="BS2165" s="87"/>
      <c r="BT2165" s="87"/>
      <c r="BU2165" s="87"/>
      <c r="BV2165" s="87"/>
      <c r="BW2165" s="87"/>
      <c r="BX2165" s="87"/>
      <c r="BY2165" s="87"/>
    </row>
    <row r="2166" spans="21:77" x14ac:dyDescent="0.3">
      <c r="U2166" s="19"/>
      <c r="V2166" s="87"/>
      <c r="W2166" s="87"/>
      <c r="X2166" s="87"/>
      <c r="Y2166" s="87"/>
      <c r="Z2166" s="87"/>
      <c r="AA2166" s="87"/>
      <c r="AB2166" s="87"/>
      <c r="AC2166" s="87"/>
      <c r="AD2166" s="87"/>
      <c r="AE2166" s="87"/>
      <c r="AF2166" s="87"/>
      <c r="AG2166" s="87"/>
      <c r="AH2166" s="87"/>
      <c r="AI2166" s="87"/>
      <c r="AJ2166" s="87"/>
      <c r="AK2166" s="87"/>
      <c r="AL2166" s="87"/>
      <c r="AM2166" s="87"/>
      <c r="AN2166" s="87"/>
      <c r="AO2166" s="87"/>
      <c r="AP2166" s="87"/>
      <c r="AQ2166" s="87"/>
      <c r="AR2166" s="87"/>
      <c r="AS2166" s="87"/>
      <c r="AT2166" s="87"/>
      <c r="AU2166" s="87"/>
      <c r="AV2166" s="87"/>
      <c r="AW2166" s="87"/>
      <c r="AX2166" s="87"/>
      <c r="AY2166" s="87"/>
      <c r="AZ2166" s="87"/>
      <c r="BA2166" s="87"/>
      <c r="BB2166" s="87"/>
      <c r="BC2166" s="87"/>
      <c r="BD2166" s="87"/>
      <c r="BE2166" s="87"/>
      <c r="BF2166" s="87"/>
      <c r="BG2166" s="87"/>
      <c r="BH2166" s="87"/>
      <c r="BI2166" s="87"/>
      <c r="BJ2166" s="87"/>
      <c r="BK2166" s="87"/>
      <c r="BL2166" s="87"/>
      <c r="BM2166" s="87"/>
      <c r="BN2166" s="87"/>
      <c r="BO2166" s="87"/>
      <c r="BP2166" s="87"/>
      <c r="BQ2166" s="87"/>
      <c r="BR2166" s="87"/>
      <c r="BS2166" s="87"/>
      <c r="BT2166" s="87"/>
      <c r="BU2166" s="87"/>
      <c r="BV2166" s="87"/>
      <c r="BW2166" s="87"/>
      <c r="BX2166" s="87"/>
      <c r="BY2166" s="87"/>
    </row>
    <row r="2167" spans="21:77" x14ac:dyDescent="0.3">
      <c r="U2167" s="19"/>
      <c r="V2167" s="87"/>
      <c r="W2167" s="87"/>
      <c r="X2167" s="87"/>
      <c r="Y2167" s="87"/>
      <c r="Z2167" s="87"/>
      <c r="AA2167" s="87"/>
      <c r="AB2167" s="87"/>
      <c r="AC2167" s="87"/>
      <c r="AD2167" s="87"/>
      <c r="AE2167" s="87"/>
      <c r="AF2167" s="87"/>
      <c r="AG2167" s="87"/>
      <c r="AH2167" s="87"/>
      <c r="AI2167" s="87"/>
      <c r="AJ2167" s="87"/>
      <c r="AK2167" s="87"/>
      <c r="AL2167" s="87"/>
      <c r="AM2167" s="87"/>
      <c r="AN2167" s="87"/>
      <c r="AO2167" s="87"/>
      <c r="AP2167" s="87"/>
      <c r="AQ2167" s="87"/>
      <c r="AR2167" s="87"/>
      <c r="AS2167" s="87"/>
      <c r="AT2167" s="87"/>
      <c r="AU2167" s="87"/>
      <c r="AV2167" s="87"/>
      <c r="AW2167" s="87"/>
      <c r="AX2167" s="87"/>
      <c r="AY2167" s="87"/>
      <c r="AZ2167" s="87"/>
      <c r="BA2167" s="87"/>
      <c r="BB2167" s="87"/>
      <c r="BC2167" s="87"/>
      <c r="BD2167" s="87"/>
      <c r="BE2167" s="87"/>
      <c r="BF2167" s="87"/>
      <c r="BG2167" s="87"/>
      <c r="BH2167" s="87"/>
      <c r="BI2167" s="87"/>
      <c r="BJ2167" s="87"/>
      <c r="BK2167" s="87"/>
      <c r="BL2167" s="87"/>
      <c r="BM2167" s="87"/>
      <c r="BN2167" s="87"/>
      <c r="BO2167" s="87"/>
      <c r="BP2167" s="87"/>
      <c r="BQ2167" s="87"/>
      <c r="BR2167" s="87"/>
      <c r="BS2167" s="87"/>
      <c r="BT2167" s="87"/>
      <c r="BU2167" s="87"/>
      <c r="BV2167" s="87"/>
      <c r="BW2167" s="87"/>
      <c r="BX2167" s="87"/>
      <c r="BY2167" s="87"/>
    </row>
    <row r="2168" spans="21:77" x14ac:dyDescent="0.3">
      <c r="U2168" s="19"/>
      <c r="V2168" s="87"/>
      <c r="W2168" s="87"/>
      <c r="X2168" s="87"/>
      <c r="Y2168" s="87"/>
      <c r="Z2168" s="87"/>
      <c r="AA2168" s="87"/>
      <c r="AB2168" s="87"/>
      <c r="AC2168" s="87"/>
      <c r="AD2168" s="87"/>
      <c r="AE2168" s="87"/>
      <c r="AF2168" s="87"/>
      <c r="AG2168" s="87"/>
      <c r="AH2168" s="87"/>
      <c r="AI2168" s="87"/>
      <c r="AJ2168" s="87"/>
      <c r="AK2168" s="87"/>
      <c r="AL2168" s="87"/>
      <c r="AM2168" s="87"/>
      <c r="AN2168" s="87"/>
      <c r="AO2168" s="87"/>
      <c r="AP2168" s="87"/>
      <c r="AQ2168" s="87"/>
      <c r="AR2168" s="87"/>
      <c r="AS2168" s="87"/>
      <c r="AT2168" s="87"/>
      <c r="AU2168" s="87"/>
      <c r="AV2168" s="87"/>
      <c r="AW2168" s="87"/>
      <c r="AX2168" s="87"/>
      <c r="AY2168" s="87"/>
      <c r="AZ2168" s="87"/>
      <c r="BA2168" s="87"/>
      <c r="BB2168" s="87"/>
      <c r="BC2168" s="87"/>
      <c r="BD2168" s="87"/>
      <c r="BE2168" s="87"/>
      <c r="BF2168" s="87"/>
      <c r="BG2168" s="87"/>
      <c r="BH2168" s="87"/>
      <c r="BI2168" s="87"/>
      <c r="BJ2168" s="87"/>
      <c r="BK2168" s="87"/>
      <c r="BL2168" s="87"/>
      <c r="BM2168" s="87"/>
      <c r="BN2168" s="87"/>
      <c r="BO2168" s="87"/>
      <c r="BP2168" s="87"/>
      <c r="BQ2168" s="87"/>
      <c r="BR2168" s="87"/>
      <c r="BS2168" s="87"/>
      <c r="BT2168" s="87"/>
      <c r="BU2168" s="87"/>
      <c r="BV2168" s="87"/>
      <c r="BW2168" s="87"/>
      <c r="BX2168" s="87"/>
      <c r="BY2168" s="87"/>
    </row>
    <row r="2169" spans="21:77" x14ac:dyDescent="0.3">
      <c r="U2169" s="19"/>
      <c r="V2169" s="87"/>
      <c r="W2169" s="87"/>
      <c r="X2169" s="87"/>
      <c r="Y2169" s="87"/>
      <c r="Z2169" s="87"/>
      <c r="AA2169" s="87"/>
      <c r="AB2169" s="87"/>
      <c r="AC2169" s="87"/>
      <c r="AD2169" s="87"/>
      <c r="AE2169" s="87"/>
      <c r="AF2169" s="87"/>
      <c r="AG2169" s="87"/>
      <c r="AH2169" s="87"/>
      <c r="AI2169" s="87"/>
      <c r="AJ2169" s="87"/>
      <c r="AK2169" s="87"/>
      <c r="AL2169" s="87"/>
      <c r="AM2169" s="87"/>
      <c r="AN2169" s="87"/>
      <c r="AO2169" s="87"/>
      <c r="AP2169" s="87"/>
      <c r="AQ2169" s="87"/>
      <c r="AR2169" s="87"/>
      <c r="AS2169" s="87"/>
      <c r="AT2169" s="87"/>
      <c r="AU2169" s="87"/>
      <c r="AV2169" s="87"/>
      <c r="AW2169" s="87"/>
      <c r="AX2169" s="87"/>
      <c r="AY2169" s="87"/>
      <c r="AZ2169" s="87"/>
      <c r="BA2169" s="87"/>
      <c r="BB2169" s="87"/>
      <c r="BC2169" s="87"/>
      <c r="BD2169" s="87"/>
      <c r="BE2169" s="87"/>
      <c r="BF2169" s="87"/>
      <c r="BG2169" s="87"/>
      <c r="BH2169" s="87"/>
      <c r="BI2169" s="87"/>
      <c r="BJ2169" s="87"/>
      <c r="BK2169" s="87"/>
      <c r="BL2169" s="87"/>
      <c r="BM2169" s="87"/>
      <c r="BN2169" s="87"/>
      <c r="BO2169" s="87"/>
      <c r="BP2169" s="87"/>
      <c r="BQ2169" s="87"/>
      <c r="BR2169" s="87"/>
      <c r="BS2169" s="87"/>
      <c r="BT2169" s="87"/>
      <c r="BU2169" s="87"/>
      <c r="BV2169" s="87"/>
      <c r="BW2169" s="87"/>
      <c r="BX2169" s="87"/>
      <c r="BY2169" s="87"/>
    </row>
    <row r="2170" spans="21:77" x14ac:dyDescent="0.3">
      <c r="U2170" s="19"/>
      <c r="V2170" s="87"/>
      <c r="W2170" s="87"/>
      <c r="X2170" s="87"/>
      <c r="Y2170" s="87"/>
      <c r="Z2170" s="87"/>
      <c r="AA2170" s="87"/>
      <c r="AB2170" s="87"/>
      <c r="AC2170" s="87"/>
      <c r="AD2170" s="87"/>
      <c r="AE2170" s="87"/>
      <c r="AF2170" s="87"/>
      <c r="AG2170" s="87"/>
      <c r="AH2170" s="87"/>
      <c r="AI2170" s="87"/>
      <c r="AJ2170" s="87"/>
      <c r="AK2170" s="87"/>
      <c r="AL2170" s="87"/>
      <c r="AM2170" s="87"/>
      <c r="AN2170" s="87"/>
      <c r="AO2170" s="87"/>
      <c r="AP2170" s="87"/>
      <c r="AQ2170" s="87"/>
      <c r="AR2170" s="87"/>
      <c r="AS2170" s="87"/>
      <c r="AT2170" s="87"/>
      <c r="AU2170" s="87"/>
      <c r="AV2170" s="87"/>
      <c r="AW2170" s="87"/>
      <c r="AX2170" s="87"/>
      <c r="AY2170" s="87"/>
      <c r="AZ2170" s="87"/>
      <c r="BA2170" s="87"/>
      <c r="BB2170" s="87"/>
      <c r="BC2170" s="87"/>
      <c r="BD2170" s="87"/>
      <c r="BE2170" s="87"/>
      <c r="BF2170" s="87"/>
      <c r="BG2170" s="87"/>
      <c r="BH2170" s="87"/>
      <c r="BI2170" s="87"/>
      <c r="BJ2170" s="87"/>
      <c r="BK2170" s="87"/>
      <c r="BL2170" s="87"/>
      <c r="BM2170" s="87"/>
      <c r="BN2170" s="87"/>
      <c r="BO2170" s="87"/>
      <c r="BP2170" s="87"/>
      <c r="BQ2170" s="87"/>
      <c r="BR2170" s="87"/>
      <c r="BS2170" s="87"/>
      <c r="BT2170" s="87"/>
      <c r="BU2170" s="87"/>
      <c r="BV2170" s="87"/>
      <c r="BW2170" s="87"/>
      <c r="BX2170" s="87"/>
      <c r="BY2170" s="87"/>
    </row>
    <row r="2171" spans="21:77" x14ac:dyDescent="0.3">
      <c r="U2171" s="19"/>
      <c r="V2171" s="87"/>
      <c r="W2171" s="87"/>
      <c r="X2171" s="87"/>
      <c r="Y2171" s="87"/>
      <c r="Z2171" s="87"/>
      <c r="AA2171" s="87"/>
      <c r="AB2171" s="87"/>
      <c r="AC2171" s="87"/>
      <c r="AD2171" s="87"/>
      <c r="AE2171" s="87"/>
      <c r="AF2171" s="87"/>
      <c r="AG2171" s="87"/>
      <c r="AH2171" s="87"/>
      <c r="AI2171" s="87"/>
      <c r="AJ2171" s="87"/>
      <c r="AK2171" s="87"/>
      <c r="AL2171" s="87"/>
      <c r="AM2171" s="87"/>
      <c r="AN2171" s="87"/>
      <c r="AO2171" s="87"/>
      <c r="AP2171" s="87"/>
      <c r="AQ2171" s="87"/>
      <c r="AR2171" s="87"/>
      <c r="AS2171" s="87"/>
      <c r="AT2171" s="87"/>
      <c r="AU2171" s="87"/>
      <c r="AV2171" s="87"/>
      <c r="AW2171" s="87"/>
      <c r="AX2171" s="87"/>
      <c r="AY2171" s="87"/>
      <c r="AZ2171" s="87"/>
      <c r="BA2171" s="87"/>
      <c r="BB2171" s="87"/>
      <c r="BC2171" s="87"/>
      <c r="BD2171" s="87"/>
      <c r="BE2171" s="87"/>
      <c r="BF2171" s="87"/>
      <c r="BG2171" s="87"/>
      <c r="BH2171" s="87"/>
      <c r="BI2171" s="87"/>
      <c r="BJ2171" s="87"/>
      <c r="BK2171" s="87"/>
      <c r="BL2171" s="87"/>
      <c r="BM2171" s="87"/>
      <c r="BN2171" s="87"/>
      <c r="BO2171" s="87"/>
      <c r="BP2171" s="87"/>
      <c r="BQ2171" s="87"/>
      <c r="BR2171" s="87"/>
      <c r="BS2171" s="87"/>
      <c r="BT2171" s="87"/>
      <c r="BU2171" s="87"/>
      <c r="BV2171" s="87"/>
      <c r="BW2171" s="87"/>
      <c r="BX2171" s="87"/>
      <c r="BY2171" s="87"/>
    </row>
    <row r="2172" spans="21:77" x14ac:dyDescent="0.3">
      <c r="U2172" s="19"/>
      <c r="V2172" s="87"/>
      <c r="W2172" s="87"/>
      <c r="X2172" s="87"/>
      <c r="Y2172" s="87"/>
      <c r="Z2172" s="87"/>
      <c r="AA2172" s="87"/>
      <c r="AB2172" s="87"/>
      <c r="AC2172" s="87"/>
      <c r="AD2172" s="87"/>
      <c r="AE2172" s="87"/>
      <c r="AF2172" s="87"/>
      <c r="AG2172" s="87"/>
      <c r="AH2172" s="87"/>
      <c r="AI2172" s="87"/>
      <c r="AJ2172" s="87"/>
      <c r="AK2172" s="87"/>
      <c r="AL2172" s="87"/>
      <c r="AM2172" s="87"/>
      <c r="AN2172" s="87"/>
      <c r="AO2172" s="87"/>
      <c r="AP2172" s="87"/>
      <c r="AQ2172" s="87"/>
      <c r="AR2172" s="87"/>
      <c r="AS2172" s="87"/>
      <c r="AT2172" s="87"/>
      <c r="AU2172" s="87"/>
      <c r="AV2172" s="87"/>
      <c r="AW2172" s="87"/>
      <c r="AX2172" s="87"/>
      <c r="AY2172" s="87"/>
      <c r="AZ2172" s="87"/>
      <c r="BA2172" s="87"/>
      <c r="BB2172" s="87"/>
      <c r="BC2172" s="87"/>
      <c r="BD2172" s="87"/>
      <c r="BE2172" s="87"/>
      <c r="BF2172" s="87"/>
      <c r="BG2172" s="87"/>
      <c r="BH2172" s="87"/>
      <c r="BI2172" s="87"/>
      <c r="BJ2172" s="87"/>
      <c r="BK2172" s="87"/>
      <c r="BL2172" s="87"/>
      <c r="BM2172" s="87"/>
      <c r="BN2172" s="87"/>
      <c r="BO2172" s="87"/>
      <c r="BP2172" s="87"/>
      <c r="BQ2172" s="87"/>
      <c r="BR2172" s="87"/>
      <c r="BS2172" s="87"/>
      <c r="BT2172" s="87"/>
      <c r="BU2172" s="87"/>
      <c r="BV2172" s="87"/>
      <c r="BW2172" s="87"/>
      <c r="BX2172" s="87"/>
      <c r="BY2172" s="87"/>
    </row>
    <row r="2173" spans="21:77" x14ac:dyDescent="0.3">
      <c r="U2173" s="19"/>
      <c r="V2173" s="87"/>
      <c r="W2173" s="87"/>
      <c r="X2173" s="87"/>
      <c r="Y2173" s="87"/>
      <c r="Z2173" s="87"/>
      <c r="AA2173" s="87"/>
      <c r="AB2173" s="87"/>
      <c r="AC2173" s="87"/>
      <c r="AD2173" s="87"/>
      <c r="AE2173" s="87"/>
      <c r="AF2173" s="87"/>
      <c r="AG2173" s="87"/>
      <c r="AH2173" s="87"/>
      <c r="AI2173" s="87"/>
      <c r="AJ2173" s="87"/>
      <c r="AK2173" s="87"/>
      <c r="AL2173" s="87"/>
      <c r="AM2173" s="87"/>
      <c r="AN2173" s="87"/>
      <c r="AO2173" s="87"/>
      <c r="AP2173" s="87"/>
      <c r="AQ2173" s="87"/>
      <c r="AR2173" s="87"/>
      <c r="AS2173" s="87"/>
      <c r="AT2173" s="87"/>
      <c r="AU2173" s="87"/>
      <c r="AV2173" s="87"/>
      <c r="AW2173" s="87"/>
      <c r="AX2173" s="87"/>
      <c r="AY2173" s="87"/>
      <c r="AZ2173" s="87"/>
      <c r="BA2173" s="87"/>
      <c r="BB2173" s="87"/>
      <c r="BC2173" s="87"/>
      <c r="BD2173" s="87"/>
      <c r="BE2173" s="87"/>
      <c r="BF2173" s="87"/>
      <c r="BG2173" s="87"/>
      <c r="BH2173" s="87"/>
      <c r="BI2173" s="87"/>
      <c r="BJ2173" s="87"/>
      <c r="BK2173" s="87"/>
      <c r="BL2173" s="87"/>
      <c r="BM2173" s="87"/>
      <c r="BN2173" s="87"/>
      <c r="BO2173" s="87"/>
      <c r="BP2173" s="87"/>
      <c r="BQ2173" s="87"/>
      <c r="BR2173" s="87"/>
      <c r="BS2173" s="87"/>
      <c r="BT2173" s="87"/>
      <c r="BU2173" s="87"/>
      <c r="BV2173" s="87"/>
      <c r="BW2173" s="87"/>
      <c r="BX2173" s="87"/>
      <c r="BY2173" s="87"/>
    </row>
    <row r="2174" spans="21:77" x14ac:dyDescent="0.3">
      <c r="U2174" s="19"/>
      <c r="V2174" s="87"/>
      <c r="W2174" s="87"/>
      <c r="X2174" s="87"/>
      <c r="Y2174" s="87"/>
      <c r="Z2174" s="87"/>
      <c r="AA2174" s="87"/>
      <c r="AB2174" s="87"/>
      <c r="AC2174" s="87"/>
      <c r="AD2174" s="87"/>
      <c r="AE2174" s="87"/>
      <c r="AF2174" s="87"/>
      <c r="AG2174" s="87"/>
      <c r="AH2174" s="87"/>
      <c r="AI2174" s="87"/>
      <c r="AJ2174" s="87"/>
      <c r="AK2174" s="87"/>
      <c r="AL2174" s="87"/>
      <c r="AM2174" s="87"/>
      <c r="AN2174" s="87"/>
      <c r="AO2174" s="87"/>
      <c r="AP2174" s="87"/>
      <c r="AQ2174" s="87"/>
      <c r="AR2174" s="87"/>
      <c r="AS2174" s="87"/>
      <c r="AT2174" s="87"/>
      <c r="AU2174" s="87"/>
      <c r="AV2174" s="87"/>
      <c r="AW2174" s="87"/>
      <c r="AX2174" s="87"/>
      <c r="AY2174" s="87"/>
      <c r="AZ2174" s="87"/>
      <c r="BA2174" s="87"/>
      <c r="BB2174" s="87"/>
      <c r="BC2174" s="87"/>
      <c r="BD2174" s="87"/>
      <c r="BE2174" s="87"/>
      <c r="BF2174" s="87"/>
      <c r="BG2174" s="87"/>
      <c r="BH2174" s="87"/>
      <c r="BI2174" s="87"/>
      <c r="BJ2174" s="87"/>
      <c r="BK2174" s="87"/>
      <c r="BL2174" s="87"/>
      <c r="BM2174" s="87"/>
      <c r="BN2174" s="87"/>
      <c r="BO2174" s="87"/>
      <c r="BP2174" s="87"/>
      <c r="BQ2174" s="87"/>
      <c r="BR2174" s="87"/>
      <c r="BS2174" s="87"/>
      <c r="BT2174" s="87"/>
      <c r="BU2174" s="87"/>
      <c r="BV2174" s="87"/>
      <c r="BW2174" s="87"/>
      <c r="BX2174" s="87"/>
      <c r="BY2174" s="87"/>
    </row>
    <row r="2175" spans="21:77" x14ac:dyDescent="0.3">
      <c r="U2175" s="19"/>
      <c r="V2175" s="87"/>
      <c r="W2175" s="87"/>
      <c r="X2175" s="87"/>
      <c r="Y2175" s="87"/>
      <c r="Z2175" s="87"/>
      <c r="AA2175" s="87"/>
      <c r="AB2175" s="87"/>
      <c r="AC2175" s="87"/>
      <c r="AD2175" s="87"/>
      <c r="AE2175" s="87"/>
      <c r="AF2175" s="87"/>
      <c r="AG2175" s="87"/>
      <c r="AH2175" s="87"/>
      <c r="AI2175" s="87"/>
      <c r="AJ2175" s="87"/>
      <c r="AK2175" s="87"/>
      <c r="AL2175" s="87"/>
      <c r="AM2175" s="87"/>
      <c r="AN2175" s="87"/>
      <c r="AO2175" s="87"/>
      <c r="AP2175" s="87"/>
      <c r="AQ2175" s="87"/>
      <c r="AR2175" s="87"/>
      <c r="AS2175" s="87"/>
      <c r="AT2175" s="87"/>
      <c r="AU2175" s="87"/>
      <c r="AV2175" s="87"/>
      <c r="AW2175" s="87"/>
      <c r="AX2175" s="87"/>
      <c r="AY2175" s="87"/>
      <c r="AZ2175" s="87"/>
      <c r="BA2175" s="87"/>
      <c r="BB2175" s="87"/>
      <c r="BC2175" s="87"/>
      <c r="BD2175" s="87"/>
      <c r="BE2175" s="87"/>
      <c r="BF2175" s="87"/>
      <c r="BG2175" s="87"/>
      <c r="BH2175" s="87"/>
      <c r="BI2175" s="87"/>
      <c r="BJ2175" s="87"/>
      <c r="BK2175" s="87"/>
      <c r="BL2175" s="87"/>
      <c r="BM2175" s="87"/>
      <c r="BN2175" s="87"/>
      <c r="BO2175" s="87"/>
      <c r="BP2175" s="87"/>
      <c r="BQ2175" s="87"/>
      <c r="BR2175" s="87"/>
      <c r="BS2175" s="87"/>
      <c r="BT2175" s="87"/>
      <c r="BU2175" s="87"/>
      <c r="BV2175" s="87"/>
      <c r="BW2175" s="87"/>
      <c r="BX2175" s="87"/>
      <c r="BY2175" s="87"/>
    </row>
    <row r="2176" spans="21:77" x14ac:dyDescent="0.3">
      <c r="U2176" s="19"/>
      <c r="V2176" s="87"/>
      <c r="W2176" s="87"/>
      <c r="X2176" s="87"/>
      <c r="Y2176" s="87"/>
      <c r="Z2176" s="87"/>
      <c r="AA2176" s="87"/>
      <c r="AB2176" s="87"/>
      <c r="AC2176" s="87"/>
      <c r="AD2176" s="87"/>
      <c r="AE2176" s="87"/>
      <c r="AF2176" s="87"/>
      <c r="AG2176" s="87"/>
      <c r="AH2176" s="87"/>
      <c r="AI2176" s="87"/>
      <c r="AJ2176" s="87"/>
      <c r="AK2176" s="87"/>
      <c r="AL2176" s="87"/>
      <c r="AM2176" s="87"/>
      <c r="AN2176" s="87"/>
      <c r="AO2176" s="87"/>
      <c r="AP2176" s="87"/>
      <c r="AQ2176" s="87"/>
      <c r="AR2176" s="87"/>
      <c r="AS2176" s="87"/>
      <c r="AT2176" s="87"/>
      <c r="AU2176" s="87"/>
      <c r="AV2176" s="87"/>
      <c r="AW2176" s="87"/>
      <c r="AX2176" s="87"/>
      <c r="AY2176" s="87"/>
      <c r="AZ2176" s="87"/>
      <c r="BA2176" s="87"/>
      <c r="BB2176" s="87"/>
      <c r="BC2176" s="87"/>
      <c r="BD2176" s="87"/>
      <c r="BE2176" s="87"/>
      <c r="BF2176" s="87"/>
      <c r="BG2176" s="87"/>
      <c r="BH2176" s="87"/>
      <c r="BI2176" s="87"/>
      <c r="BJ2176" s="87"/>
      <c r="BK2176" s="87"/>
      <c r="BL2176" s="87"/>
      <c r="BM2176" s="87"/>
      <c r="BN2176" s="87"/>
      <c r="BO2176" s="87"/>
      <c r="BP2176" s="87"/>
      <c r="BQ2176" s="87"/>
      <c r="BR2176" s="87"/>
      <c r="BS2176" s="87"/>
      <c r="BT2176" s="87"/>
      <c r="BU2176" s="87"/>
      <c r="BV2176" s="87"/>
      <c r="BW2176" s="87"/>
      <c r="BX2176" s="87"/>
      <c r="BY2176" s="87"/>
    </row>
    <row r="2177" spans="21:77" x14ac:dyDescent="0.3">
      <c r="U2177" s="19"/>
      <c r="V2177" s="87"/>
      <c r="W2177" s="87"/>
      <c r="X2177" s="87"/>
      <c r="Y2177" s="87"/>
      <c r="Z2177" s="87"/>
      <c r="AA2177" s="87"/>
      <c r="AB2177" s="87"/>
      <c r="AC2177" s="87"/>
      <c r="AD2177" s="87"/>
      <c r="AE2177" s="87"/>
      <c r="AF2177" s="87"/>
      <c r="AG2177" s="87"/>
      <c r="AH2177" s="87"/>
      <c r="AI2177" s="87"/>
      <c r="AJ2177" s="87"/>
      <c r="AK2177" s="87"/>
      <c r="AL2177" s="87"/>
      <c r="AM2177" s="87"/>
      <c r="AN2177" s="87"/>
      <c r="AO2177" s="87"/>
      <c r="AP2177" s="87"/>
      <c r="AQ2177" s="87"/>
      <c r="AR2177" s="87"/>
      <c r="AS2177" s="87"/>
      <c r="AT2177" s="87"/>
      <c r="AU2177" s="87"/>
      <c r="AV2177" s="87"/>
      <c r="AW2177" s="87"/>
      <c r="AX2177" s="87"/>
      <c r="AY2177" s="87"/>
      <c r="AZ2177" s="87"/>
      <c r="BA2177" s="87"/>
      <c r="BB2177" s="87"/>
      <c r="BC2177" s="87"/>
      <c r="BD2177" s="87"/>
      <c r="BE2177" s="87"/>
      <c r="BF2177" s="87"/>
      <c r="BG2177" s="87"/>
      <c r="BH2177" s="87"/>
      <c r="BI2177" s="87"/>
      <c r="BJ2177" s="87"/>
      <c r="BK2177" s="87"/>
      <c r="BL2177" s="87"/>
      <c r="BM2177" s="87"/>
      <c r="BN2177" s="87"/>
      <c r="BO2177" s="87"/>
      <c r="BP2177" s="87"/>
      <c r="BQ2177" s="87"/>
      <c r="BR2177" s="87"/>
      <c r="BS2177" s="87"/>
      <c r="BT2177" s="87"/>
      <c r="BU2177" s="87"/>
      <c r="BV2177" s="87"/>
      <c r="BW2177" s="87"/>
      <c r="BX2177" s="87"/>
      <c r="BY2177" s="87"/>
    </row>
    <row r="2178" spans="21:77" x14ac:dyDescent="0.3">
      <c r="U2178" s="19"/>
      <c r="V2178" s="87"/>
      <c r="W2178" s="87"/>
      <c r="X2178" s="87"/>
      <c r="Y2178" s="87"/>
      <c r="Z2178" s="87"/>
      <c r="AA2178" s="87"/>
      <c r="AB2178" s="87"/>
      <c r="AC2178" s="87"/>
      <c r="AD2178" s="87"/>
      <c r="AE2178" s="87"/>
      <c r="AF2178" s="87"/>
      <c r="AG2178" s="87"/>
      <c r="AH2178" s="87"/>
      <c r="AI2178" s="87"/>
      <c r="AJ2178" s="87"/>
      <c r="AK2178" s="87"/>
      <c r="AL2178" s="87"/>
      <c r="AM2178" s="87"/>
      <c r="AN2178" s="87"/>
      <c r="AO2178" s="87"/>
      <c r="AP2178" s="87"/>
      <c r="AQ2178" s="87"/>
      <c r="AR2178" s="87"/>
      <c r="AS2178" s="87"/>
      <c r="AT2178" s="87"/>
      <c r="AU2178" s="87"/>
      <c r="AV2178" s="87"/>
      <c r="AW2178" s="87"/>
      <c r="AX2178" s="87"/>
      <c r="AY2178" s="87"/>
      <c r="AZ2178" s="87"/>
      <c r="BA2178" s="87"/>
      <c r="BB2178" s="87"/>
      <c r="BC2178" s="87"/>
      <c r="BD2178" s="87"/>
      <c r="BE2178" s="87"/>
      <c r="BF2178" s="87"/>
      <c r="BG2178" s="87"/>
      <c r="BH2178" s="87"/>
      <c r="BI2178" s="87"/>
      <c r="BJ2178" s="87"/>
      <c r="BK2178" s="87"/>
      <c r="BL2178" s="87"/>
      <c r="BM2178" s="87"/>
      <c r="BN2178" s="87"/>
      <c r="BO2178" s="87"/>
      <c r="BP2178" s="87"/>
      <c r="BQ2178" s="87"/>
      <c r="BR2178" s="87"/>
      <c r="BS2178" s="87"/>
      <c r="BT2178" s="87"/>
      <c r="BU2178" s="87"/>
      <c r="BV2178" s="87"/>
      <c r="BW2178" s="87"/>
      <c r="BX2178" s="87"/>
      <c r="BY2178" s="87"/>
    </row>
    <row r="2179" spans="21:77" x14ac:dyDescent="0.3">
      <c r="U2179" s="19"/>
      <c r="V2179" s="87"/>
      <c r="W2179" s="87"/>
      <c r="X2179" s="87"/>
      <c r="Y2179" s="87"/>
      <c r="Z2179" s="87"/>
      <c r="AA2179" s="87"/>
      <c r="AB2179" s="87"/>
      <c r="AC2179" s="87"/>
      <c r="AD2179" s="87"/>
      <c r="AE2179" s="87"/>
      <c r="AF2179" s="87"/>
      <c r="AG2179" s="87"/>
      <c r="AH2179" s="87"/>
      <c r="AI2179" s="87"/>
      <c r="AJ2179" s="87"/>
      <c r="AK2179" s="87"/>
      <c r="AL2179" s="87"/>
      <c r="AM2179" s="87"/>
      <c r="AN2179" s="87"/>
      <c r="AO2179" s="87"/>
      <c r="AP2179" s="87"/>
      <c r="AQ2179" s="87"/>
      <c r="AR2179" s="87"/>
      <c r="AS2179" s="87"/>
      <c r="AT2179" s="87"/>
      <c r="AU2179" s="87"/>
      <c r="AV2179" s="87"/>
      <c r="AW2179" s="87"/>
      <c r="AX2179" s="87"/>
      <c r="AY2179" s="87"/>
      <c r="AZ2179" s="87"/>
      <c r="BA2179" s="87"/>
      <c r="BB2179" s="87"/>
      <c r="BC2179" s="87"/>
      <c r="BD2179" s="87"/>
      <c r="BE2179" s="87"/>
      <c r="BF2179" s="87"/>
      <c r="BG2179" s="87"/>
      <c r="BH2179" s="87"/>
      <c r="BI2179" s="87"/>
      <c r="BJ2179" s="87"/>
      <c r="BK2179" s="87"/>
      <c r="BL2179" s="87"/>
      <c r="BM2179" s="87"/>
      <c r="BN2179" s="87"/>
      <c r="BO2179" s="87"/>
      <c r="BP2179" s="87"/>
      <c r="BQ2179" s="87"/>
      <c r="BR2179" s="87"/>
      <c r="BS2179" s="87"/>
      <c r="BT2179" s="87"/>
      <c r="BU2179" s="87"/>
      <c r="BV2179" s="87"/>
      <c r="BW2179" s="87"/>
      <c r="BX2179" s="87"/>
      <c r="BY2179" s="87"/>
    </row>
    <row r="2180" spans="21:77" x14ac:dyDescent="0.3">
      <c r="U2180" s="19"/>
      <c r="V2180" s="87"/>
      <c r="W2180" s="87"/>
      <c r="X2180" s="87"/>
      <c r="Y2180" s="87"/>
      <c r="Z2180" s="87"/>
      <c r="AA2180" s="87"/>
      <c r="AB2180" s="87"/>
      <c r="AC2180" s="87"/>
      <c r="AD2180" s="87"/>
      <c r="AE2180" s="87"/>
      <c r="AF2180" s="87"/>
      <c r="AG2180" s="87"/>
      <c r="AH2180" s="87"/>
      <c r="AI2180" s="87"/>
      <c r="AJ2180" s="87"/>
      <c r="AK2180" s="87"/>
      <c r="AL2180" s="87"/>
      <c r="AM2180" s="87"/>
      <c r="AN2180" s="87"/>
      <c r="AO2180" s="87"/>
      <c r="AP2180" s="87"/>
      <c r="AQ2180" s="87"/>
      <c r="AR2180" s="87"/>
      <c r="AS2180" s="87"/>
      <c r="AT2180" s="87"/>
      <c r="AU2180" s="87"/>
      <c r="AV2180" s="87"/>
      <c r="AW2180" s="87"/>
      <c r="AX2180" s="87"/>
      <c r="AY2180" s="87"/>
      <c r="AZ2180" s="87"/>
      <c r="BA2180" s="87"/>
      <c r="BB2180" s="87"/>
      <c r="BC2180" s="87"/>
      <c r="BD2180" s="87"/>
      <c r="BE2180" s="87"/>
      <c r="BF2180" s="87"/>
      <c r="BG2180" s="87"/>
      <c r="BH2180" s="87"/>
      <c r="BI2180" s="87"/>
      <c r="BJ2180" s="87"/>
      <c r="BK2180" s="87"/>
      <c r="BL2180" s="87"/>
      <c r="BM2180" s="87"/>
      <c r="BN2180" s="87"/>
      <c r="BO2180" s="87"/>
      <c r="BP2180" s="87"/>
      <c r="BQ2180" s="87"/>
      <c r="BR2180" s="87"/>
      <c r="BS2180" s="87"/>
      <c r="BT2180" s="87"/>
      <c r="BU2180" s="87"/>
      <c r="BV2180" s="87"/>
      <c r="BW2180" s="87"/>
      <c r="BX2180" s="87"/>
      <c r="BY2180" s="87"/>
    </row>
    <row r="2181" spans="21:77" x14ac:dyDescent="0.3">
      <c r="U2181" s="19"/>
      <c r="V2181" s="87"/>
      <c r="W2181" s="87"/>
      <c r="X2181" s="87"/>
      <c r="Y2181" s="87"/>
      <c r="Z2181" s="87"/>
      <c r="AA2181" s="87"/>
      <c r="AB2181" s="87"/>
      <c r="AC2181" s="87"/>
      <c r="AD2181" s="87"/>
      <c r="AE2181" s="87"/>
      <c r="AF2181" s="87"/>
      <c r="AG2181" s="87"/>
      <c r="AH2181" s="87"/>
      <c r="AI2181" s="87"/>
      <c r="AJ2181" s="87"/>
      <c r="AK2181" s="87"/>
      <c r="AL2181" s="87"/>
      <c r="AM2181" s="87"/>
      <c r="AN2181" s="87"/>
      <c r="AO2181" s="87"/>
      <c r="AP2181" s="87"/>
      <c r="AQ2181" s="87"/>
      <c r="AR2181" s="87"/>
      <c r="AS2181" s="87"/>
      <c r="AT2181" s="87"/>
      <c r="AU2181" s="87"/>
      <c r="AV2181" s="87"/>
      <c r="AW2181" s="87"/>
      <c r="AX2181" s="87"/>
      <c r="AY2181" s="87"/>
      <c r="AZ2181" s="87"/>
      <c r="BA2181" s="87"/>
      <c r="BB2181" s="87"/>
      <c r="BC2181" s="87"/>
      <c r="BD2181" s="87"/>
      <c r="BE2181" s="87"/>
      <c r="BF2181" s="87"/>
      <c r="BG2181" s="87"/>
      <c r="BH2181" s="87"/>
      <c r="BI2181" s="87"/>
      <c r="BJ2181" s="87"/>
      <c r="BK2181" s="87"/>
      <c r="BL2181" s="87"/>
      <c r="BM2181" s="87"/>
      <c r="BN2181" s="87"/>
      <c r="BO2181" s="87"/>
      <c r="BP2181" s="87"/>
      <c r="BQ2181" s="87"/>
      <c r="BR2181" s="87"/>
      <c r="BS2181" s="87"/>
      <c r="BT2181" s="87"/>
      <c r="BU2181" s="87"/>
      <c r="BV2181" s="87"/>
      <c r="BW2181" s="87"/>
      <c r="BX2181" s="87"/>
      <c r="BY2181" s="87"/>
    </row>
    <row r="2182" spans="21:77" x14ac:dyDescent="0.3">
      <c r="U2182" s="19"/>
      <c r="V2182" s="87"/>
      <c r="W2182" s="87"/>
      <c r="X2182" s="87"/>
      <c r="Y2182" s="87"/>
      <c r="Z2182" s="87"/>
      <c r="AA2182" s="87"/>
      <c r="AB2182" s="87"/>
      <c r="AC2182" s="87"/>
      <c r="AD2182" s="87"/>
      <c r="AE2182" s="87"/>
      <c r="AF2182" s="87"/>
      <c r="AG2182" s="87"/>
      <c r="AH2182" s="87"/>
      <c r="AI2182" s="87"/>
      <c r="AJ2182" s="87"/>
      <c r="AK2182" s="87"/>
      <c r="AL2182" s="87"/>
      <c r="AM2182" s="87"/>
      <c r="AN2182" s="87"/>
      <c r="AO2182" s="87"/>
      <c r="AP2182" s="87"/>
      <c r="AQ2182" s="87"/>
      <c r="AR2182" s="87"/>
      <c r="AS2182" s="87"/>
      <c r="AT2182" s="87"/>
      <c r="AU2182" s="87"/>
      <c r="AV2182" s="87"/>
      <c r="AW2182" s="87"/>
      <c r="AX2182" s="87"/>
      <c r="AY2182" s="87"/>
      <c r="AZ2182" s="87"/>
      <c r="BA2182" s="87"/>
      <c r="BB2182" s="87"/>
      <c r="BC2182" s="87"/>
      <c r="BD2182" s="87"/>
      <c r="BE2182" s="87"/>
      <c r="BF2182" s="87"/>
      <c r="BG2182" s="87"/>
      <c r="BH2182" s="87"/>
      <c r="BI2182" s="87"/>
      <c r="BJ2182" s="87"/>
      <c r="BK2182" s="87"/>
      <c r="BL2182" s="87"/>
      <c r="BM2182" s="87"/>
      <c r="BN2182" s="87"/>
      <c r="BO2182" s="87"/>
      <c r="BP2182" s="87"/>
      <c r="BQ2182" s="87"/>
      <c r="BR2182" s="87"/>
      <c r="BS2182" s="87"/>
      <c r="BT2182" s="87"/>
      <c r="BU2182" s="87"/>
      <c r="BV2182" s="87"/>
      <c r="BW2182" s="87"/>
      <c r="BX2182" s="87"/>
      <c r="BY2182" s="87"/>
    </row>
    <row r="2183" spans="21:77" x14ac:dyDescent="0.3">
      <c r="U2183" s="19"/>
      <c r="V2183" s="87"/>
      <c r="W2183" s="87"/>
      <c r="X2183" s="87"/>
      <c r="Y2183" s="87"/>
      <c r="Z2183" s="87"/>
      <c r="AA2183" s="87"/>
      <c r="AB2183" s="87"/>
      <c r="AC2183" s="87"/>
      <c r="AD2183" s="87"/>
      <c r="AE2183" s="87"/>
      <c r="AF2183" s="87"/>
      <c r="AG2183" s="87"/>
      <c r="AH2183" s="87"/>
      <c r="AI2183" s="87"/>
      <c r="AJ2183" s="87"/>
      <c r="AK2183" s="87"/>
      <c r="AL2183" s="87"/>
      <c r="AM2183" s="87"/>
      <c r="AN2183" s="87"/>
      <c r="AO2183" s="87"/>
      <c r="AP2183" s="87"/>
      <c r="AQ2183" s="87"/>
      <c r="AR2183" s="87"/>
      <c r="AS2183" s="87"/>
      <c r="AT2183" s="87"/>
      <c r="AU2183" s="87"/>
      <c r="AV2183" s="87"/>
      <c r="AW2183" s="87"/>
      <c r="AX2183" s="87"/>
      <c r="AY2183" s="87"/>
      <c r="AZ2183" s="87"/>
      <c r="BA2183" s="87"/>
      <c r="BB2183" s="87"/>
      <c r="BC2183" s="87"/>
      <c r="BD2183" s="87"/>
      <c r="BE2183" s="87"/>
      <c r="BF2183" s="87"/>
      <c r="BG2183" s="87"/>
      <c r="BH2183" s="87"/>
      <c r="BI2183" s="87"/>
      <c r="BJ2183" s="87"/>
      <c r="BK2183" s="87"/>
      <c r="BL2183" s="87"/>
      <c r="BM2183" s="87"/>
      <c r="BN2183" s="87"/>
      <c r="BO2183" s="87"/>
      <c r="BP2183" s="87"/>
      <c r="BQ2183" s="87"/>
      <c r="BR2183" s="87"/>
      <c r="BS2183" s="87"/>
      <c r="BT2183" s="87"/>
      <c r="BU2183" s="87"/>
      <c r="BV2183" s="87"/>
      <c r="BW2183" s="87"/>
      <c r="BX2183" s="87"/>
      <c r="BY2183" s="87"/>
    </row>
    <row r="2184" spans="21:77" x14ac:dyDescent="0.3">
      <c r="U2184" s="19"/>
      <c r="V2184" s="87"/>
      <c r="W2184" s="87"/>
      <c r="X2184" s="87"/>
      <c r="Y2184" s="87"/>
      <c r="Z2184" s="87"/>
      <c r="AA2184" s="87"/>
      <c r="AB2184" s="87"/>
      <c r="AC2184" s="87"/>
      <c r="AD2184" s="87"/>
      <c r="AE2184" s="87"/>
      <c r="AF2184" s="87"/>
      <c r="AG2184" s="87"/>
      <c r="AH2184" s="87"/>
      <c r="AI2184" s="87"/>
      <c r="AJ2184" s="87"/>
      <c r="AK2184" s="87"/>
      <c r="AL2184" s="87"/>
      <c r="AM2184" s="87"/>
      <c r="AN2184" s="87"/>
      <c r="AO2184" s="87"/>
      <c r="AP2184" s="87"/>
      <c r="AQ2184" s="87"/>
      <c r="AR2184" s="87"/>
      <c r="AS2184" s="87"/>
      <c r="AT2184" s="87"/>
      <c r="AU2184" s="87"/>
      <c r="AV2184" s="87"/>
      <c r="AW2184" s="87"/>
      <c r="AX2184" s="87"/>
      <c r="AY2184" s="87"/>
      <c r="AZ2184" s="87"/>
      <c r="BA2184" s="87"/>
      <c r="BB2184" s="87"/>
      <c r="BC2184" s="87"/>
      <c r="BD2184" s="87"/>
      <c r="BE2184" s="87"/>
      <c r="BF2184" s="87"/>
      <c r="BG2184" s="87"/>
      <c r="BH2184" s="87"/>
      <c r="BI2184" s="87"/>
      <c r="BJ2184" s="87"/>
      <c r="BK2184" s="87"/>
      <c r="BL2184" s="87"/>
      <c r="BM2184" s="87"/>
      <c r="BN2184" s="87"/>
      <c r="BO2184" s="87"/>
      <c r="BP2184" s="87"/>
      <c r="BQ2184" s="87"/>
      <c r="BR2184" s="87"/>
      <c r="BS2184" s="87"/>
      <c r="BT2184" s="87"/>
      <c r="BU2184" s="87"/>
      <c r="BV2184" s="87"/>
      <c r="BW2184" s="87"/>
      <c r="BX2184" s="87"/>
      <c r="BY2184" s="87"/>
    </row>
    <row r="2185" spans="21:77" x14ac:dyDescent="0.3">
      <c r="U2185" s="19"/>
      <c r="V2185" s="87"/>
      <c r="W2185" s="87"/>
      <c r="X2185" s="87"/>
      <c r="Y2185" s="87"/>
      <c r="Z2185" s="87"/>
      <c r="AA2185" s="87"/>
      <c r="AB2185" s="87"/>
      <c r="AC2185" s="87"/>
      <c r="AD2185" s="87"/>
      <c r="AE2185" s="87"/>
      <c r="AF2185" s="87"/>
      <c r="AG2185" s="87"/>
      <c r="AH2185" s="87"/>
      <c r="AI2185" s="87"/>
      <c r="AJ2185" s="87"/>
      <c r="AK2185" s="87"/>
      <c r="AL2185" s="87"/>
      <c r="AM2185" s="87"/>
      <c r="AN2185" s="87"/>
      <c r="AO2185" s="87"/>
      <c r="AP2185" s="87"/>
      <c r="AQ2185" s="87"/>
      <c r="AR2185" s="87"/>
      <c r="AS2185" s="87"/>
      <c r="AT2185" s="87"/>
      <c r="AU2185" s="87"/>
      <c r="AV2185" s="87"/>
      <c r="AW2185" s="87"/>
      <c r="AX2185" s="87"/>
      <c r="AY2185" s="87"/>
      <c r="AZ2185" s="87"/>
      <c r="BA2185" s="87"/>
      <c r="BB2185" s="87"/>
      <c r="BC2185" s="87"/>
      <c r="BD2185" s="87"/>
      <c r="BE2185" s="87"/>
      <c r="BF2185" s="87"/>
      <c r="BG2185" s="87"/>
      <c r="BH2185" s="87"/>
      <c r="BI2185" s="87"/>
      <c r="BJ2185" s="87"/>
      <c r="BK2185" s="87"/>
      <c r="BL2185" s="87"/>
      <c r="BM2185" s="87"/>
      <c r="BN2185" s="87"/>
      <c r="BO2185" s="87"/>
      <c r="BP2185" s="87"/>
      <c r="BQ2185" s="87"/>
      <c r="BR2185" s="87"/>
      <c r="BS2185" s="87"/>
      <c r="BT2185" s="87"/>
      <c r="BU2185" s="87"/>
      <c r="BV2185" s="87"/>
      <c r="BW2185" s="87"/>
      <c r="BX2185" s="87"/>
      <c r="BY2185" s="87"/>
    </row>
    <row r="2186" spans="21:77" x14ac:dyDescent="0.3">
      <c r="U2186" s="19"/>
      <c r="V2186" s="87"/>
      <c r="W2186" s="87"/>
      <c r="X2186" s="87"/>
      <c r="Y2186" s="87"/>
      <c r="Z2186" s="87"/>
      <c r="AA2186" s="87"/>
      <c r="AB2186" s="87"/>
      <c r="AC2186" s="87"/>
      <c r="AD2186" s="87"/>
      <c r="AE2186" s="87"/>
      <c r="AF2186" s="87"/>
      <c r="AG2186" s="87"/>
      <c r="AH2186" s="87"/>
      <c r="AI2186" s="87"/>
      <c r="AJ2186" s="87"/>
      <c r="AK2186" s="87"/>
      <c r="AL2186" s="87"/>
      <c r="AM2186" s="87"/>
      <c r="AN2186" s="87"/>
      <c r="AO2186" s="87"/>
      <c r="AP2186" s="87"/>
      <c r="AQ2186" s="87"/>
      <c r="AR2186" s="87"/>
      <c r="AS2186" s="87"/>
      <c r="AT2186" s="87"/>
      <c r="AU2186" s="87"/>
      <c r="AV2186" s="87"/>
      <c r="AW2186" s="87"/>
      <c r="AX2186" s="87"/>
      <c r="AY2186" s="87"/>
      <c r="AZ2186" s="87"/>
      <c r="BA2186" s="87"/>
      <c r="BB2186" s="87"/>
      <c r="BC2186" s="87"/>
      <c r="BD2186" s="87"/>
      <c r="BE2186" s="87"/>
      <c r="BF2186" s="87"/>
      <c r="BG2186" s="87"/>
      <c r="BH2186" s="87"/>
      <c r="BI2186" s="87"/>
      <c r="BJ2186" s="87"/>
      <c r="BK2186" s="87"/>
      <c r="BL2186" s="87"/>
      <c r="BM2186" s="87"/>
      <c r="BN2186" s="87"/>
      <c r="BO2186" s="87"/>
      <c r="BP2186" s="87"/>
      <c r="BQ2186" s="87"/>
      <c r="BR2186" s="87"/>
      <c r="BS2186" s="87"/>
      <c r="BT2186" s="87"/>
      <c r="BU2186" s="87"/>
      <c r="BV2186" s="87"/>
      <c r="BW2186" s="87"/>
      <c r="BX2186" s="87"/>
      <c r="BY2186" s="87"/>
    </row>
    <row r="2187" spans="21:77" x14ac:dyDescent="0.3">
      <c r="U2187" s="19"/>
      <c r="V2187" s="87"/>
      <c r="W2187" s="87"/>
      <c r="X2187" s="87"/>
      <c r="Y2187" s="87"/>
      <c r="Z2187" s="87"/>
      <c r="AA2187" s="87"/>
      <c r="AB2187" s="87"/>
      <c r="AC2187" s="87"/>
      <c r="AD2187" s="87"/>
      <c r="AE2187" s="87"/>
      <c r="AF2187" s="87"/>
      <c r="AG2187" s="87"/>
      <c r="AH2187" s="87"/>
      <c r="AI2187" s="87"/>
      <c r="AJ2187" s="87"/>
      <c r="AK2187" s="87"/>
      <c r="AL2187" s="87"/>
      <c r="AM2187" s="87"/>
      <c r="AN2187" s="87"/>
      <c r="AO2187" s="87"/>
      <c r="AP2187" s="87"/>
      <c r="AQ2187" s="87"/>
      <c r="AR2187" s="87"/>
      <c r="AS2187" s="87"/>
      <c r="AT2187" s="87"/>
      <c r="AU2187" s="87"/>
      <c r="AV2187" s="87"/>
      <c r="AW2187" s="87"/>
      <c r="AX2187" s="87"/>
      <c r="AY2187" s="87"/>
      <c r="AZ2187" s="87"/>
      <c r="BA2187" s="87"/>
      <c r="BB2187" s="87"/>
      <c r="BC2187" s="87"/>
      <c r="BD2187" s="87"/>
      <c r="BE2187" s="87"/>
      <c r="BF2187" s="87"/>
      <c r="BG2187" s="87"/>
      <c r="BH2187" s="87"/>
      <c r="BI2187" s="87"/>
      <c r="BJ2187" s="87"/>
      <c r="BK2187" s="87"/>
      <c r="BL2187" s="87"/>
      <c r="BM2187" s="87"/>
      <c r="BN2187" s="87"/>
      <c r="BO2187" s="87"/>
      <c r="BP2187" s="87"/>
      <c r="BQ2187" s="87"/>
      <c r="BR2187" s="87"/>
      <c r="BS2187" s="87"/>
      <c r="BT2187" s="87"/>
      <c r="BU2187" s="87"/>
      <c r="BV2187" s="87"/>
      <c r="BW2187" s="87"/>
      <c r="BX2187" s="87"/>
      <c r="BY2187" s="87"/>
    </row>
    <row r="2188" spans="21:77" x14ac:dyDescent="0.3">
      <c r="U2188" s="19"/>
      <c r="V2188" s="87"/>
      <c r="W2188" s="87"/>
      <c r="X2188" s="87"/>
      <c r="Y2188" s="87"/>
      <c r="Z2188" s="87"/>
      <c r="AA2188" s="87"/>
      <c r="AB2188" s="87"/>
      <c r="AC2188" s="87"/>
      <c r="AD2188" s="87"/>
      <c r="AE2188" s="87"/>
      <c r="AF2188" s="87"/>
      <c r="AG2188" s="87"/>
      <c r="AH2188" s="87"/>
      <c r="AI2188" s="87"/>
      <c r="AJ2188" s="87"/>
      <c r="AK2188" s="87"/>
      <c r="AL2188" s="87"/>
      <c r="AM2188" s="87"/>
      <c r="AN2188" s="87"/>
      <c r="AO2188" s="87"/>
      <c r="AP2188" s="87"/>
      <c r="AQ2188" s="87"/>
      <c r="AR2188" s="87"/>
      <c r="AS2188" s="87"/>
      <c r="AT2188" s="87"/>
      <c r="AU2188" s="87"/>
      <c r="AV2188" s="87"/>
      <c r="AW2188" s="87"/>
      <c r="AX2188" s="87"/>
      <c r="AY2188" s="87"/>
      <c r="AZ2188" s="87"/>
      <c r="BA2188" s="87"/>
      <c r="BB2188" s="87"/>
      <c r="BC2188" s="87"/>
      <c r="BD2188" s="87"/>
      <c r="BE2188" s="87"/>
      <c r="BF2188" s="87"/>
      <c r="BG2188" s="87"/>
      <c r="BH2188" s="87"/>
      <c r="BI2188" s="87"/>
      <c r="BJ2188" s="87"/>
      <c r="BK2188" s="87"/>
      <c r="BL2188" s="87"/>
      <c r="BM2188" s="87"/>
      <c r="BN2188" s="87"/>
      <c r="BO2188" s="87"/>
      <c r="BP2188" s="87"/>
      <c r="BQ2188" s="87"/>
      <c r="BR2188" s="87"/>
      <c r="BS2188" s="87"/>
      <c r="BT2188" s="87"/>
      <c r="BU2188" s="87"/>
      <c r="BV2188" s="87"/>
      <c r="BW2188" s="87"/>
      <c r="BX2188" s="87"/>
      <c r="BY2188" s="87"/>
    </row>
    <row r="2189" spans="21:77" x14ac:dyDescent="0.3">
      <c r="U2189" s="19"/>
      <c r="V2189" s="87"/>
      <c r="W2189" s="87"/>
      <c r="X2189" s="87"/>
      <c r="Y2189" s="87"/>
      <c r="Z2189" s="87"/>
      <c r="AA2189" s="87"/>
      <c r="AB2189" s="87"/>
      <c r="AC2189" s="87"/>
      <c r="AD2189" s="87"/>
      <c r="AE2189" s="87"/>
      <c r="AF2189" s="87"/>
      <c r="AG2189" s="87"/>
      <c r="AH2189" s="87"/>
      <c r="AI2189" s="87"/>
      <c r="AJ2189" s="87"/>
      <c r="AK2189" s="87"/>
      <c r="AL2189" s="87"/>
      <c r="AM2189" s="87"/>
      <c r="AN2189" s="87"/>
      <c r="AO2189" s="87"/>
      <c r="AP2189" s="87"/>
      <c r="AQ2189" s="87"/>
      <c r="AR2189" s="87"/>
      <c r="AS2189" s="87"/>
      <c r="AT2189" s="87"/>
      <c r="AU2189" s="87"/>
      <c r="AV2189" s="87"/>
      <c r="AW2189" s="87"/>
      <c r="AX2189" s="87"/>
      <c r="AY2189" s="87"/>
      <c r="AZ2189" s="87"/>
      <c r="BA2189" s="87"/>
      <c r="BB2189" s="87"/>
      <c r="BC2189" s="87"/>
      <c r="BD2189" s="87"/>
      <c r="BE2189" s="87"/>
      <c r="BF2189" s="87"/>
      <c r="BG2189" s="87"/>
      <c r="BH2189" s="87"/>
      <c r="BI2189" s="87"/>
      <c r="BJ2189" s="87"/>
      <c r="BK2189" s="87"/>
      <c r="BL2189" s="87"/>
      <c r="BM2189" s="87"/>
      <c r="BN2189" s="87"/>
      <c r="BO2189" s="87"/>
      <c r="BP2189" s="87"/>
      <c r="BQ2189" s="87"/>
      <c r="BR2189" s="87"/>
      <c r="BS2189" s="87"/>
      <c r="BT2189" s="87"/>
      <c r="BU2189" s="87"/>
      <c r="BV2189" s="87"/>
      <c r="BW2189" s="87"/>
      <c r="BX2189" s="87"/>
      <c r="BY2189" s="87"/>
    </row>
    <row r="2190" spans="21:77" x14ac:dyDescent="0.3">
      <c r="U2190" s="19"/>
      <c r="V2190" s="87"/>
      <c r="W2190" s="87"/>
      <c r="X2190" s="87"/>
      <c r="Y2190" s="87"/>
      <c r="Z2190" s="87"/>
      <c r="AA2190" s="87"/>
      <c r="AB2190" s="87"/>
      <c r="AC2190" s="87"/>
      <c r="AD2190" s="87"/>
      <c r="AE2190" s="87"/>
      <c r="AF2190" s="87"/>
      <c r="AG2190" s="87"/>
      <c r="AH2190" s="87"/>
      <c r="AI2190" s="87"/>
      <c r="AJ2190" s="87"/>
      <c r="AK2190" s="87"/>
      <c r="AL2190" s="87"/>
      <c r="AM2190" s="87"/>
      <c r="AN2190" s="87"/>
      <c r="AO2190" s="87"/>
      <c r="AP2190" s="87"/>
      <c r="AQ2190" s="87"/>
      <c r="AR2190" s="87"/>
      <c r="AS2190" s="87"/>
      <c r="AT2190" s="87"/>
      <c r="AU2190" s="87"/>
      <c r="AV2190" s="87"/>
      <c r="AW2190" s="87"/>
      <c r="AX2190" s="87"/>
      <c r="AY2190" s="87"/>
      <c r="AZ2190" s="87"/>
      <c r="BA2190" s="87"/>
      <c r="BB2190" s="87"/>
      <c r="BC2190" s="87"/>
      <c r="BD2190" s="87"/>
      <c r="BE2190" s="87"/>
      <c r="BF2190" s="87"/>
      <c r="BG2190" s="87"/>
      <c r="BH2190" s="87"/>
      <c r="BI2190" s="87"/>
      <c r="BJ2190" s="87"/>
      <c r="BK2190" s="87"/>
      <c r="BL2190" s="87"/>
      <c r="BM2190" s="87"/>
      <c r="BN2190" s="87"/>
      <c r="BO2190" s="87"/>
      <c r="BP2190" s="87"/>
      <c r="BQ2190" s="87"/>
      <c r="BR2190" s="87"/>
      <c r="BS2190" s="87"/>
      <c r="BT2190" s="87"/>
      <c r="BU2190" s="87"/>
      <c r="BV2190" s="87"/>
      <c r="BW2190" s="87"/>
      <c r="BX2190" s="87"/>
      <c r="BY2190" s="87"/>
    </row>
    <row r="2191" spans="21:77" x14ac:dyDescent="0.3">
      <c r="U2191" s="19"/>
      <c r="V2191" s="87"/>
      <c r="W2191" s="87"/>
      <c r="X2191" s="87"/>
      <c r="Y2191" s="87"/>
      <c r="Z2191" s="87"/>
      <c r="AA2191" s="87"/>
      <c r="AB2191" s="87"/>
      <c r="AC2191" s="87"/>
      <c r="AD2191" s="87"/>
      <c r="AE2191" s="87"/>
      <c r="AF2191" s="87"/>
      <c r="AG2191" s="87"/>
      <c r="AH2191" s="87"/>
      <c r="AI2191" s="87"/>
      <c r="AJ2191" s="87"/>
      <c r="AK2191" s="87"/>
      <c r="AL2191" s="87"/>
      <c r="AM2191" s="87"/>
      <c r="AN2191" s="87"/>
      <c r="AO2191" s="87"/>
      <c r="AP2191" s="87"/>
      <c r="AQ2191" s="87"/>
      <c r="AR2191" s="87"/>
      <c r="AS2191" s="87"/>
      <c r="AT2191" s="87"/>
      <c r="AU2191" s="87"/>
      <c r="AV2191" s="87"/>
      <c r="AW2191" s="87"/>
      <c r="AX2191" s="87"/>
      <c r="AY2191" s="87"/>
      <c r="AZ2191" s="87"/>
      <c r="BA2191" s="87"/>
      <c r="BB2191" s="87"/>
      <c r="BC2191" s="87"/>
      <c r="BD2191" s="87"/>
      <c r="BE2191" s="87"/>
      <c r="BF2191" s="87"/>
      <c r="BG2191" s="87"/>
      <c r="BH2191" s="87"/>
      <c r="BI2191" s="87"/>
      <c r="BJ2191" s="87"/>
      <c r="BK2191" s="87"/>
      <c r="BL2191" s="87"/>
      <c r="BM2191" s="87"/>
      <c r="BN2191" s="87"/>
      <c r="BO2191" s="87"/>
      <c r="BP2191" s="87"/>
      <c r="BQ2191" s="87"/>
      <c r="BR2191" s="87"/>
      <c r="BS2191" s="87"/>
      <c r="BT2191" s="87"/>
      <c r="BU2191" s="87"/>
      <c r="BV2191" s="87"/>
      <c r="BW2191" s="87"/>
      <c r="BX2191" s="87"/>
      <c r="BY2191" s="87"/>
    </row>
    <row r="2192" spans="21:77" x14ac:dyDescent="0.3">
      <c r="U2192" s="19"/>
      <c r="V2192" s="87"/>
      <c r="W2192" s="87"/>
      <c r="X2192" s="87"/>
      <c r="Y2192" s="87"/>
      <c r="Z2192" s="87"/>
      <c r="AA2192" s="87"/>
      <c r="AB2192" s="87"/>
      <c r="AC2192" s="87"/>
      <c r="AD2192" s="87"/>
      <c r="AE2192" s="87"/>
      <c r="AF2192" s="87"/>
      <c r="AG2192" s="87"/>
      <c r="AH2192" s="87"/>
      <c r="AI2192" s="87"/>
      <c r="AJ2192" s="87"/>
      <c r="AK2192" s="87"/>
      <c r="AL2192" s="87"/>
      <c r="AM2192" s="87"/>
      <c r="AN2192" s="87"/>
      <c r="AO2192" s="87"/>
      <c r="AP2192" s="87"/>
      <c r="AQ2192" s="87"/>
      <c r="AR2192" s="87"/>
      <c r="AS2192" s="87"/>
      <c r="AT2192" s="87"/>
      <c r="AU2192" s="87"/>
      <c r="AV2192" s="87"/>
      <c r="AW2192" s="87"/>
      <c r="AX2192" s="87"/>
      <c r="AY2192" s="87"/>
      <c r="AZ2192" s="87"/>
      <c r="BA2192" s="87"/>
      <c r="BB2192" s="87"/>
      <c r="BC2192" s="87"/>
      <c r="BD2192" s="87"/>
      <c r="BE2192" s="87"/>
      <c r="BF2192" s="87"/>
      <c r="BG2192" s="87"/>
      <c r="BH2192" s="87"/>
      <c r="BI2192" s="87"/>
      <c r="BJ2192" s="87"/>
      <c r="BK2192" s="87"/>
      <c r="BL2192" s="87"/>
      <c r="BM2192" s="87"/>
      <c r="BN2192" s="87"/>
      <c r="BO2192" s="87"/>
      <c r="BP2192" s="87"/>
      <c r="BQ2192" s="87"/>
      <c r="BR2192" s="87"/>
      <c r="BS2192" s="87"/>
      <c r="BT2192" s="87"/>
      <c r="BU2192" s="87"/>
      <c r="BV2192" s="87"/>
      <c r="BW2192" s="87"/>
      <c r="BX2192" s="87"/>
      <c r="BY2192" s="87"/>
    </row>
    <row r="2193" spans="21:77" x14ac:dyDescent="0.3">
      <c r="U2193" s="19"/>
      <c r="V2193" s="87"/>
      <c r="W2193" s="87"/>
      <c r="X2193" s="87"/>
      <c r="Y2193" s="87"/>
      <c r="Z2193" s="87"/>
      <c r="AA2193" s="87"/>
      <c r="AB2193" s="87"/>
      <c r="AC2193" s="87"/>
      <c r="AD2193" s="87"/>
      <c r="AE2193" s="87"/>
      <c r="AF2193" s="87"/>
      <c r="AG2193" s="87"/>
      <c r="AH2193" s="87"/>
      <c r="AI2193" s="87"/>
      <c r="AJ2193" s="87"/>
      <c r="AK2193" s="87"/>
      <c r="AL2193" s="87"/>
      <c r="AM2193" s="87"/>
      <c r="AN2193" s="87"/>
      <c r="AO2193" s="87"/>
      <c r="AP2193" s="87"/>
      <c r="AQ2193" s="87"/>
      <c r="AR2193" s="87"/>
      <c r="AS2193" s="87"/>
      <c r="AT2193" s="87"/>
      <c r="AU2193" s="87"/>
      <c r="AV2193" s="87"/>
      <c r="AW2193" s="87"/>
      <c r="AX2193" s="87"/>
      <c r="AY2193" s="87"/>
      <c r="AZ2193" s="87"/>
      <c r="BA2193" s="87"/>
      <c r="BB2193" s="87"/>
      <c r="BC2193" s="87"/>
      <c r="BD2193" s="87"/>
      <c r="BE2193" s="87"/>
      <c r="BF2193" s="87"/>
      <c r="BG2193" s="87"/>
      <c r="BH2193" s="87"/>
      <c r="BI2193" s="87"/>
      <c r="BJ2193" s="87"/>
      <c r="BK2193" s="87"/>
      <c r="BL2193" s="87"/>
      <c r="BM2193" s="87"/>
      <c r="BN2193" s="87"/>
      <c r="BO2193" s="87"/>
      <c r="BP2193" s="87"/>
      <c r="BQ2193" s="87"/>
      <c r="BR2193" s="87"/>
      <c r="BS2193" s="87"/>
      <c r="BT2193" s="87"/>
      <c r="BU2193" s="87"/>
      <c r="BV2193" s="87"/>
      <c r="BW2193" s="87"/>
      <c r="BX2193" s="87"/>
      <c r="BY2193" s="87"/>
    </row>
    <row r="2194" spans="21:77" x14ac:dyDescent="0.3">
      <c r="U2194" s="19"/>
      <c r="V2194" s="87"/>
      <c r="W2194" s="87"/>
      <c r="X2194" s="87"/>
      <c r="Y2194" s="87"/>
      <c r="Z2194" s="87"/>
      <c r="AA2194" s="87"/>
      <c r="AB2194" s="87"/>
      <c r="AC2194" s="87"/>
      <c r="AD2194" s="87"/>
      <c r="AE2194" s="87"/>
      <c r="AF2194" s="87"/>
      <c r="AG2194" s="87"/>
      <c r="AH2194" s="87"/>
      <c r="AI2194" s="87"/>
      <c r="AJ2194" s="87"/>
      <c r="AK2194" s="87"/>
      <c r="AL2194" s="87"/>
      <c r="AM2194" s="87"/>
      <c r="AN2194" s="87"/>
      <c r="AO2194" s="87"/>
      <c r="AP2194" s="87"/>
      <c r="AQ2194" s="87"/>
      <c r="AR2194" s="87"/>
      <c r="AS2194" s="87"/>
      <c r="AT2194" s="87"/>
      <c r="AU2194" s="87"/>
      <c r="AV2194" s="87"/>
      <c r="AW2194" s="87"/>
      <c r="AX2194" s="87"/>
      <c r="AY2194" s="87"/>
      <c r="AZ2194" s="87"/>
      <c r="BA2194" s="87"/>
      <c r="BB2194" s="87"/>
      <c r="BC2194" s="87"/>
      <c r="BD2194" s="87"/>
      <c r="BE2194" s="87"/>
      <c r="BF2194" s="87"/>
      <c r="BG2194" s="87"/>
      <c r="BH2194" s="87"/>
      <c r="BI2194" s="87"/>
      <c r="BJ2194" s="87"/>
      <c r="BK2194" s="87"/>
      <c r="BL2194" s="87"/>
      <c r="BM2194" s="87"/>
      <c r="BN2194" s="87"/>
      <c r="BO2194" s="87"/>
      <c r="BP2194" s="87"/>
      <c r="BQ2194" s="87"/>
      <c r="BR2194" s="87"/>
      <c r="BS2194" s="87"/>
      <c r="BT2194" s="87"/>
      <c r="BU2194" s="87"/>
      <c r="BV2194" s="87"/>
      <c r="BW2194" s="87"/>
      <c r="BX2194" s="87"/>
      <c r="BY2194" s="87"/>
    </row>
    <row r="2195" spans="21:77" x14ac:dyDescent="0.3">
      <c r="U2195" s="19"/>
      <c r="V2195" s="87"/>
      <c r="W2195" s="87"/>
      <c r="X2195" s="87"/>
      <c r="Y2195" s="87"/>
      <c r="Z2195" s="87"/>
      <c r="AA2195" s="87"/>
      <c r="AB2195" s="87"/>
      <c r="AC2195" s="87"/>
      <c r="AD2195" s="87"/>
      <c r="AE2195" s="87"/>
      <c r="AF2195" s="87"/>
      <c r="AG2195" s="87"/>
      <c r="AH2195" s="87"/>
      <c r="AI2195" s="87"/>
      <c r="AJ2195" s="87"/>
      <c r="AK2195" s="87"/>
      <c r="AL2195" s="87"/>
      <c r="AM2195" s="87"/>
      <c r="AN2195" s="87"/>
      <c r="AO2195" s="87"/>
      <c r="AP2195" s="87"/>
      <c r="AQ2195" s="87"/>
      <c r="AR2195" s="87"/>
      <c r="AS2195" s="87"/>
      <c r="AT2195" s="87"/>
      <c r="AU2195" s="87"/>
      <c r="AV2195" s="87"/>
      <c r="AW2195" s="87"/>
      <c r="AX2195" s="87"/>
      <c r="AY2195" s="87"/>
      <c r="AZ2195" s="87"/>
      <c r="BA2195" s="87"/>
      <c r="BB2195" s="87"/>
      <c r="BC2195" s="87"/>
      <c r="BD2195" s="87"/>
      <c r="BE2195" s="87"/>
      <c r="BF2195" s="87"/>
      <c r="BG2195" s="87"/>
      <c r="BH2195" s="87"/>
      <c r="BI2195" s="87"/>
      <c r="BJ2195" s="87"/>
      <c r="BK2195" s="87"/>
      <c r="BL2195" s="87"/>
      <c r="BM2195" s="87"/>
      <c r="BN2195" s="87"/>
      <c r="BO2195" s="87"/>
      <c r="BP2195" s="87"/>
      <c r="BQ2195" s="87"/>
      <c r="BR2195" s="87"/>
      <c r="BS2195" s="87"/>
      <c r="BT2195" s="87"/>
      <c r="BU2195" s="87"/>
      <c r="BV2195" s="87"/>
      <c r="BW2195" s="87"/>
      <c r="BX2195" s="87"/>
      <c r="BY2195" s="87"/>
    </row>
    <row r="2196" spans="21:77" x14ac:dyDescent="0.3">
      <c r="U2196" s="19"/>
      <c r="V2196" s="87"/>
      <c r="W2196" s="87"/>
      <c r="X2196" s="87"/>
      <c r="Y2196" s="87"/>
      <c r="Z2196" s="87"/>
      <c r="AA2196" s="87"/>
      <c r="AB2196" s="87"/>
      <c r="AC2196" s="87"/>
      <c r="AD2196" s="87"/>
      <c r="AE2196" s="87"/>
      <c r="AF2196" s="87"/>
      <c r="AG2196" s="87"/>
      <c r="AH2196" s="87"/>
      <c r="AI2196" s="87"/>
      <c r="AJ2196" s="87"/>
      <c r="AK2196" s="87"/>
      <c r="AL2196" s="87"/>
      <c r="AM2196" s="87"/>
      <c r="AN2196" s="87"/>
      <c r="AO2196" s="87"/>
      <c r="AP2196" s="87"/>
      <c r="AQ2196" s="87"/>
      <c r="AR2196" s="87"/>
      <c r="AS2196" s="87"/>
      <c r="AT2196" s="87"/>
      <c r="AU2196" s="87"/>
      <c r="AV2196" s="87"/>
      <c r="AW2196" s="87"/>
      <c r="AX2196" s="87"/>
      <c r="AY2196" s="87"/>
      <c r="AZ2196" s="87"/>
      <c r="BA2196" s="87"/>
      <c r="BB2196" s="87"/>
      <c r="BC2196" s="87"/>
      <c r="BD2196" s="87"/>
      <c r="BE2196" s="87"/>
      <c r="BF2196" s="87"/>
      <c r="BG2196" s="87"/>
      <c r="BH2196" s="87"/>
      <c r="BI2196" s="87"/>
      <c r="BJ2196" s="87"/>
      <c r="BK2196" s="87"/>
      <c r="BL2196" s="87"/>
      <c r="BM2196" s="87"/>
      <c r="BN2196" s="87"/>
      <c r="BO2196" s="87"/>
      <c r="BP2196" s="87"/>
      <c r="BQ2196" s="87"/>
      <c r="BR2196" s="87"/>
      <c r="BS2196" s="87"/>
      <c r="BT2196" s="87"/>
      <c r="BU2196" s="87"/>
      <c r="BV2196" s="87"/>
      <c r="BW2196" s="87"/>
      <c r="BX2196" s="87"/>
      <c r="BY2196" s="87"/>
    </row>
    <row r="2197" spans="21:77" x14ac:dyDescent="0.3">
      <c r="U2197" s="19"/>
      <c r="V2197" s="87"/>
      <c r="W2197" s="87"/>
      <c r="X2197" s="87"/>
      <c r="Y2197" s="87"/>
      <c r="Z2197" s="87"/>
      <c r="AA2197" s="87"/>
      <c r="AB2197" s="87"/>
      <c r="AC2197" s="87"/>
      <c r="AD2197" s="87"/>
      <c r="AE2197" s="87"/>
      <c r="AF2197" s="87"/>
      <c r="AG2197" s="87"/>
      <c r="AH2197" s="87"/>
      <c r="AI2197" s="87"/>
      <c r="AJ2197" s="87"/>
      <c r="AK2197" s="87"/>
      <c r="AL2197" s="87"/>
      <c r="AM2197" s="87"/>
      <c r="AN2197" s="87"/>
      <c r="AO2197" s="87"/>
      <c r="AP2197" s="87"/>
      <c r="AQ2197" s="87"/>
      <c r="AR2197" s="87"/>
      <c r="AS2197" s="87"/>
      <c r="AT2197" s="87"/>
      <c r="AU2197" s="87"/>
      <c r="AV2197" s="87"/>
      <c r="AW2197" s="87"/>
      <c r="AX2197" s="87"/>
      <c r="AY2197" s="87"/>
      <c r="AZ2197" s="87"/>
      <c r="BA2197" s="87"/>
      <c r="BB2197" s="87"/>
      <c r="BC2197" s="87"/>
      <c r="BD2197" s="87"/>
      <c r="BE2197" s="87"/>
      <c r="BF2197" s="87"/>
      <c r="BG2197" s="87"/>
      <c r="BH2197" s="87"/>
      <c r="BI2197" s="87"/>
      <c r="BJ2197" s="87"/>
      <c r="BK2197" s="87"/>
      <c r="BL2197" s="87"/>
      <c r="BM2197" s="87"/>
      <c r="BN2197" s="87"/>
      <c r="BO2197" s="87"/>
      <c r="BP2197" s="87"/>
      <c r="BQ2197" s="87"/>
      <c r="BR2197" s="87"/>
      <c r="BS2197" s="87"/>
      <c r="BT2197" s="87"/>
      <c r="BU2197" s="87"/>
      <c r="BV2197" s="87"/>
      <c r="BW2197" s="87"/>
      <c r="BX2197" s="87"/>
      <c r="BY2197" s="87"/>
    </row>
    <row r="2198" spans="21:77" x14ac:dyDescent="0.3">
      <c r="U2198" s="19"/>
      <c r="V2198" s="87"/>
      <c r="W2198" s="87"/>
      <c r="X2198" s="87"/>
      <c r="Y2198" s="87"/>
      <c r="Z2198" s="87"/>
      <c r="AA2198" s="87"/>
      <c r="AB2198" s="87"/>
      <c r="AC2198" s="87"/>
      <c r="AD2198" s="87"/>
      <c r="AE2198" s="87"/>
      <c r="AF2198" s="87"/>
      <c r="AG2198" s="87"/>
      <c r="AH2198" s="87"/>
      <c r="AI2198" s="87"/>
      <c r="AJ2198" s="87"/>
      <c r="AK2198" s="87"/>
      <c r="AL2198" s="87"/>
      <c r="AM2198" s="87"/>
      <c r="AN2198" s="87"/>
      <c r="AO2198" s="87"/>
      <c r="AP2198" s="87"/>
      <c r="AQ2198" s="87"/>
      <c r="AR2198" s="87"/>
      <c r="AS2198" s="87"/>
      <c r="AT2198" s="87"/>
      <c r="AU2198" s="87"/>
      <c r="AV2198" s="87"/>
      <c r="AW2198" s="87"/>
      <c r="AX2198" s="87"/>
      <c r="AY2198" s="87"/>
      <c r="AZ2198" s="87"/>
      <c r="BA2198" s="87"/>
      <c r="BB2198" s="87"/>
      <c r="BC2198" s="87"/>
      <c r="BD2198" s="87"/>
      <c r="BE2198" s="87"/>
      <c r="BF2198" s="87"/>
      <c r="BG2198" s="87"/>
      <c r="BH2198" s="87"/>
      <c r="BI2198" s="87"/>
      <c r="BJ2198" s="87"/>
      <c r="BK2198" s="87"/>
      <c r="BL2198" s="87"/>
      <c r="BM2198" s="87"/>
      <c r="BN2198" s="87"/>
      <c r="BO2198" s="87"/>
      <c r="BP2198" s="87"/>
      <c r="BQ2198" s="87"/>
      <c r="BR2198" s="87"/>
      <c r="BS2198" s="87"/>
      <c r="BT2198" s="87"/>
      <c r="BU2198" s="87"/>
      <c r="BV2198" s="87"/>
      <c r="BW2198" s="87"/>
      <c r="BX2198" s="87"/>
      <c r="BY2198" s="87"/>
    </row>
    <row r="2199" spans="21:77" x14ac:dyDescent="0.3">
      <c r="U2199" s="19"/>
      <c r="V2199" s="87"/>
      <c r="W2199" s="87"/>
      <c r="X2199" s="87"/>
      <c r="Y2199" s="87"/>
      <c r="Z2199" s="87"/>
      <c r="AA2199" s="87"/>
      <c r="AB2199" s="87"/>
      <c r="AC2199" s="87"/>
      <c r="AD2199" s="87"/>
      <c r="AE2199" s="87"/>
      <c r="AF2199" s="87"/>
      <c r="AG2199" s="87"/>
      <c r="AH2199" s="87"/>
      <c r="AI2199" s="87"/>
      <c r="AJ2199" s="87"/>
      <c r="AK2199" s="87"/>
      <c r="AL2199" s="87"/>
      <c r="AM2199" s="87"/>
      <c r="AN2199" s="87"/>
      <c r="AO2199" s="87"/>
      <c r="AP2199" s="87"/>
      <c r="AQ2199" s="87"/>
      <c r="AR2199" s="87"/>
      <c r="AS2199" s="87"/>
      <c r="AT2199" s="87"/>
      <c r="AU2199" s="87"/>
      <c r="AV2199" s="87"/>
      <c r="AW2199" s="87"/>
      <c r="AX2199" s="87"/>
      <c r="AY2199" s="87"/>
      <c r="AZ2199" s="87"/>
      <c r="BA2199" s="87"/>
      <c r="BB2199" s="87"/>
      <c r="BC2199" s="87"/>
      <c r="BD2199" s="87"/>
      <c r="BE2199" s="87"/>
      <c r="BF2199" s="87"/>
      <c r="BG2199" s="87"/>
      <c r="BH2199" s="87"/>
      <c r="BI2199" s="87"/>
      <c r="BJ2199" s="87"/>
      <c r="BK2199" s="87"/>
      <c r="BL2199" s="87"/>
      <c r="BM2199" s="87"/>
      <c r="BN2199" s="87"/>
      <c r="BO2199" s="87"/>
      <c r="BP2199" s="87"/>
      <c r="BQ2199" s="87"/>
      <c r="BR2199" s="87"/>
      <c r="BS2199" s="87"/>
      <c r="BT2199" s="87"/>
      <c r="BU2199" s="87"/>
      <c r="BV2199" s="87"/>
      <c r="BW2199" s="87"/>
      <c r="BX2199" s="87"/>
      <c r="BY2199" s="87"/>
    </row>
    <row r="2200" spans="21:77" x14ac:dyDescent="0.3">
      <c r="U2200" s="19"/>
      <c r="V2200" s="87"/>
      <c r="W2200" s="87"/>
      <c r="X2200" s="87"/>
      <c r="Y2200" s="87"/>
      <c r="Z2200" s="87"/>
      <c r="AA2200" s="87"/>
      <c r="AB2200" s="87"/>
      <c r="AC2200" s="87"/>
      <c r="AD2200" s="87"/>
      <c r="AE2200" s="87"/>
      <c r="AF2200" s="87"/>
      <c r="AG2200" s="87"/>
      <c r="AH2200" s="87"/>
      <c r="AI2200" s="87"/>
      <c r="AJ2200" s="87"/>
      <c r="AK2200" s="87"/>
      <c r="AL2200" s="87"/>
      <c r="AM2200" s="87"/>
      <c r="AN2200" s="87"/>
      <c r="AO2200" s="87"/>
      <c r="AP2200" s="87"/>
      <c r="AQ2200" s="87"/>
      <c r="AR2200" s="87"/>
      <c r="AS2200" s="87"/>
      <c r="AT2200" s="87"/>
      <c r="AU2200" s="87"/>
      <c r="AV2200" s="87"/>
      <c r="AW2200" s="87"/>
      <c r="AX2200" s="87"/>
      <c r="AY2200" s="87"/>
      <c r="AZ2200" s="87"/>
      <c r="BA2200" s="87"/>
      <c r="BB2200" s="87"/>
      <c r="BC2200" s="87"/>
      <c r="BD2200" s="87"/>
      <c r="BE2200" s="87"/>
      <c r="BF2200" s="87"/>
      <c r="BG2200" s="87"/>
      <c r="BH2200" s="87"/>
      <c r="BI2200" s="87"/>
      <c r="BJ2200" s="87"/>
      <c r="BK2200" s="87"/>
      <c r="BL2200" s="87"/>
      <c r="BM2200" s="87"/>
      <c r="BN2200" s="87"/>
      <c r="BO2200" s="87"/>
      <c r="BP2200" s="87"/>
      <c r="BQ2200" s="87"/>
      <c r="BR2200" s="87"/>
      <c r="BS2200" s="87"/>
      <c r="BT2200" s="87"/>
      <c r="BU2200" s="87"/>
      <c r="BV2200" s="87"/>
      <c r="BW2200" s="87"/>
      <c r="BX2200" s="87"/>
      <c r="BY2200" s="87"/>
    </row>
    <row r="2201" spans="21:77" x14ac:dyDescent="0.3">
      <c r="U2201" s="19"/>
      <c r="V2201" s="87"/>
      <c r="W2201" s="87"/>
      <c r="X2201" s="87"/>
      <c r="Y2201" s="87"/>
      <c r="Z2201" s="87"/>
      <c r="AA2201" s="87"/>
      <c r="AB2201" s="87"/>
      <c r="AC2201" s="87"/>
      <c r="AD2201" s="87"/>
      <c r="AE2201" s="87"/>
      <c r="AF2201" s="87"/>
      <c r="AG2201" s="87"/>
      <c r="AH2201" s="87"/>
      <c r="AI2201" s="87"/>
      <c r="AJ2201" s="87"/>
      <c r="AK2201" s="87"/>
      <c r="AL2201" s="87"/>
      <c r="AM2201" s="87"/>
      <c r="AN2201" s="87"/>
      <c r="AO2201" s="87"/>
      <c r="AP2201" s="87"/>
      <c r="AQ2201" s="87"/>
      <c r="AR2201" s="87"/>
      <c r="AS2201" s="87"/>
      <c r="AT2201" s="87"/>
      <c r="AU2201" s="87"/>
      <c r="AV2201" s="87"/>
      <c r="AW2201" s="87"/>
      <c r="AX2201" s="87"/>
      <c r="AY2201" s="87"/>
      <c r="AZ2201" s="87"/>
      <c r="BA2201" s="87"/>
      <c r="BB2201" s="87"/>
      <c r="BC2201" s="87"/>
      <c r="BD2201" s="87"/>
      <c r="BE2201" s="87"/>
      <c r="BF2201" s="87"/>
      <c r="BG2201" s="87"/>
      <c r="BH2201" s="87"/>
      <c r="BI2201" s="87"/>
      <c r="BJ2201" s="87"/>
      <c r="BK2201" s="87"/>
      <c r="BL2201" s="87"/>
      <c r="BM2201" s="87"/>
      <c r="BN2201" s="87"/>
      <c r="BO2201" s="87"/>
      <c r="BP2201" s="87"/>
      <c r="BQ2201" s="87"/>
      <c r="BR2201" s="87"/>
      <c r="BS2201" s="87"/>
      <c r="BT2201" s="87"/>
      <c r="BU2201" s="87"/>
      <c r="BV2201" s="87"/>
      <c r="BW2201" s="87"/>
      <c r="BX2201" s="87"/>
      <c r="BY2201" s="87"/>
    </row>
    <row r="2202" spans="21:77" x14ac:dyDescent="0.3">
      <c r="U2202" s="19"/>
      <c r="V2202" s="87"/>
      <c r="W2202" s="87"/>
      <c r="X2202" s="87"/>
      <c r="Y2202" s="87"/>
      <c r="Z2202" s="87"/>
      <c r="AA2202" s="87"/>
      <c r="AB2202" s="87"/>
      <c r="AC2202" s="87"/>
      <c r="AD2202" s="87"/>
      <c r="AE2202" s="87"/>
      <c r="AF2202" s="87"/>
      <c r="AG2202" s="87"/>
      <c r="AH2202" s="87"/>
      <c r="AI2202" s="87"/>
      <c r="AJ2202" s="87"/>
      <c r="AK2202" s="87"/>
      <c r="AL2202" s="87"/>
      <c r="AM2202" s="87"/>
      <c r="AN2202" s="87"/>
      <c r="AO2202" s="87"/>
      <c r="AP2202" s="87"/>
      <c r="AQ2202" s="87"/>
      <c r="AR2202" s="87"/>
      <c r="AS2202" s="87"/>
      <c r="AT2202" s="87"/>
      <c r="AU2202" s="87"/>
      <c r="AV2202" s="87"/>
      <c r="AW2202" s="87"/>
      <c r="AX2202" s="87"/>
      <c r="AY2202" s="87"/>
      <c r="AZ2202" s="87"/>
      <c r="BA2202" s="87"/>
      <c r="BB2202" s="87"/>
      <c r="BC2202" s="87"/>
      <c r="BD2202" s="87"/>
      <c r="BE2202" s="87"/>
      <c r="BF2202" s="87"/>
      <c r="BG2202" s="87"/>
      <c r="BH2202" s="87"/>
      <c r="BI2202" s="87"/>
      <c r="BJ2202" s="87"/>
      <c r="BK2202" s="87"/>
      <c r="BL2202" s="87"/>
      <c r="BM2202" s="87"/>
      <c r="BN2202" s="87"/>
      <c r="BO2202" s="87"/>
      <c r="BP2202" s="87"/>
      <c r="BQ2202" s="87"/>
      <c r="BR2202" s="87"/>
      <c r="BS2202" s="87"/>
      <c r="BT2202" s="87"/>
      <c r="BU2202" s="87"/>
      <c r="BV2202" s="87"/>
      <c r="BW2202" s="87"/>
      <c r="BX2202" s="87"/>
      <c r="BY2202" s="87"/>
    </row>
    <row r="2203" spans="21:77" x14ac:dyDescent="0.3">
      <c r="U2203" s="19"/>
      <c r="V2203" s="87"/>
      <c r="W2203" s="87"/>
      <c r="X2203" s="87"/>
      <c r="Y2203" s="87"/>
      <c r="Z2203" s="87"/>
      <c r="AA2203" s="87"/>
      <c r="AB2203" s="87"/>
      <c r="AC2203" s="87"/>
      <c r="AD2203" s="87"/>
      <c r="AE2203" s="87"/>
      <c r="AF2203" s="87"/>
      <c r="AG2203" s="87"/>
      <c r="AH2203" s="87"/>
      <c r="AI2203" s="87"/>
      <c r="AJ2203" s="87"/>
      <c r="AK2203" s="87"/>
      <c r="AL2203" s="87"/>
      <c r="AM2203" s="87"/>
      <c r="AN2203" s="87"/>
      <c r="AO2203" s="87"/>
      <c r="AP2203" s="87"/>
      <c r="AQ2203" s="87"/>
      <c r="AR2203" s="87"/>
      <c r="AS2203" s="87"/>
      <c r="AT2203" s="87"/>
      <c r="AU2203" s="87"/>
      <c r="AV2203" s="87"/>
      <c r="AW2203" s="87"/>
      <c r="AX2203" s="87"/>
      <c r="AY2203" s="87"/>
      <c r="AZ2203" s="87"/>
      <c r="BA2203" s="87"/>
      <c r="BB2203" s="87"/>
      <c r="BC2203" s="87"/>
      <c r="BD2203" s="87"/>
      <c r="BE2203" s="87"/>
      <c r="BF2203" s="87"/>
      <c r="BG2203" s="87"/>
      <c r="BH2203" s="87"/>
      <c r="BI2203" s="87"/>
      <c r="BJ2203" s="87"/>
      <c r="BK2203" s="87"/>
      <c r="BL2203" s="87"/>
      <c r="BM2203" s="87"/>
      <c r="BN2203" s="87"/>
      <c r="BO2203" s="87"/>
      <c r="BP2203" s="87"/>
      <c r="BQ2203" s="87"/>
      <c r="BR2203" s="87"/>
      <c r="BS2203" s="87"/>
      <c r="BT2203" s="87"/>
      <c r="BU2203" s="87"/>
      <c r="BV2203" s="87"/>
      <c r="BW2203" s="87"/>
      <c r="BX2203" s="87"/>
      <c r="BY2203" s="87"/>
    </row>
    <row r="2204" spans="21:77" x14ac:dyDescent="0.3">
      <c r="U2204" s="19"/>
      <c r="V2204" s="87"/>
      <c r="W2204" s="87"/>
      <c r="X2204" s="87"/>
      <c r="Y2204" s="87"/>
      <c r="Z2204" s="87"/>
      <c r="AA2204" s="87"/>
      <c r="AB2204" s="87"/>
      <c r="AC2204" s="87"/>
      <c r="AD2204" s="87"/>
      <c r="AE2204" s="87"/>
      <c r="AF2204" s="87"/>
      <c r="AG2204" s="87"/>
      <c r="AH2204" s="87"/>
      <c r="AI2204" s="87"/>
      <c r="AJ2204" s="87"/>
      <c r="AK2204" s="87"/>
      <c r="AL2204" s="87"/>
      <c r="AM2204" s="87"/>
      <c r="AN2204" s="87"/>
      <c r="AO2204" s="87"/>
      <c r="AP2204" s="87"/>
      <c r="AQ2204" s="87"/>
      <c r="AR2204" s="87"/>
      <c r="AS2204" s="87"/>
      <c r="AT2204" s="87"/>
      <c r="AU2204" s="87"/>
      <c r="AV2204" s="87"/>
      <c r="AW2204" s="87"/>
      <c r="AX2204" s="87"/>
      <c r="AY2204" s="87"/>
      <c r="AZ2204" s="87"/>
      <c r="BA2204" s="87"/>
      <c r="BB2204" s="87"/>
      <c r="BC2204" s="87"/>
      <c r="BD2204" s="87"/>
      <c r="BE2204" s="87"/>
      <c r="BF2204" s="87"/>
      <c r="BG2204" s="87"/>
      <c r="BH2204" s="87"/>
      <c r="BI2204" s="87"/>
      <c r="BJ2204" s="87"/>
      <c r="BK2204" s="87"/>
      <c r="BL2204" s="87"/>
      <c r="BM2204" s="87"/>
      <c r="BN2204" s="87"/>
      <c r="BO2204" s="87"/>
      <c r="BP2204" s="87"/>
      <c r="BQ2204" s="87"/>
      <c r="BR2204" s="87"/>
      <c r="BS2204" s="87"/>
      <c r="BT2204" s="87"/>
      <c r="BU2204" s="87"/>
      <c r="BV2204" s="87"/>
      <c r="BW2204" s="87"/>
      <c r="BX2204" s="87"/>
      <c r="BY2204" s="87"/>
    </row>
    <row r="2205" spans="21:77" x14ac:dyDescent="0.3">
      <c r="U2205" s="19"/>
      <c r="V2205" s="87"/>
      <c r="W2205" s="87"/>
      <c r="X2205" s="87"/>
      <c r="Y2205" s="87"/>
      <c r="Z2205" s="87"/>
      <c r="AA2205" s="87"/>
      <c r="AB2205" s="87"/>
      <c r="AC2205" s="87"/>
      <c r="AD2205" s="87"/>
      <c r="AE2205" s="87"/>
      <c r="AF2205" s="87"/>
      <c r="AG2205" s="87"/>
      <c r="AH2205" s="87"/>
      <c r="AI2205" s="87"/>
      <c r="AJ2205" s="87"/>
      <c r="AK2205" s="87"/>
      <c r="AL2205" s="87"/>
      <c r="AM2205" s="87"/>
      <c r="AN2205" s="87"/>
      <c r="AO2205" s="87"/>
      <c r="AP2205" s="87"/>
      <c r="AQ2205" s="87"/>
      <c r="AR2205" s="87"/>
      <c r="AS2205" s="87"/>
      <c r="AT2205" s="87"/>
      <c r="AU2205" s="87"/>
      <c r="AV2205" s="87"/>
      <c r="AW2205" s="87"/>
      <c r="AX2205" s="87"/>
      <c r="AY2205" s="87"/>
      <c r="AZ2205" s="87"/>
      <c r="BA2205" s="87"/>
      <c r="BB2205" s="87"/>
      <c r="BC2205" s="87"/>
      <c r="BD2205" s="87"/>
      <c r="BE2205" s="87"/>
      <c r="BF2205" s="87"/>
      <c r="BG2205" s="87"/>
      <c r="BH2205" s="87"/>
      <c r="BI2205" s="87"/>
      <c r="BJ2205" s="87"/>
      <c r="BK2205" s="87"/>
      <c r="BL2205" s="87"/>
      <c r="BM2205" s="87"/>
      <c r="BN2205" s="87"/>
      <c r="BO2205" s="87"/>
      <c r="BP2205" s="87"/>
      <c r="BQ2205" s="87"/>
      <c r="BR2205" s="87"/>
      <c r="BS2205" s="87"/>
      <c r="BT2205" s="87"/>
      <c r="BU2205" s="87"/>
      <c r="BV2205" s="87"/>
      <c r="BW2205" s="87"/>
      <c r="BX2205" s="87"/>
      <c r="BY2205" s="87"/>
    </row>
    <row r="2206" spans="21:77" x14ac:dyDescent="0.3">
      <c r="U2206" s="19"/>
      <c r="V2206" s="87"/>
      <c r="W2206" s="87"/>
      <c r="X2206" s="87"/>
      <c r="Y2206" s="87"/>
      <c r="Z2206" s="87"/>
      <c r="AA2206" s="87"/>
      <c r="AB2206" s="87"/>
      <c r="AC2206" s="87"/>
      <c r="AD2206" s="87"/>
      <c r="AE2206" s="87"/>
      <c r="AF2206" s="87"/>
      <c r="AG2206" s="87"/>
      <c r="AH2206" s="87"/>
      <c r="AI2206" s="87"/>
      <c r="AJ2206" s="87"/>
      <c r="AK2206" s="87"/>
      <c r="AL2206" s="87"/>
      <c r="AM2206" s="87"/>
      <c r="AN2206" s="87"/>
      <c r="AO2206" s="87"/>
      <c r="AP2206" s="87"/>
      <c r="AQ2206" s="87"/>
      <c r="AR2206" s="87"/>
      <c r="AS2206" s="87"/>
      <c r="AT2206" s="87"/>
      <c r="AU2206" s="87"/>
      <c r="AV2206" s="87"/>
      <c r="AW2206" s="87"/>
      <c r="AX2206" s="87"/>
      <c r="AY2206" s="87"/>
      <c r="AZ2206" s="87"/>
      <c r="BA2206" s="87"/>
      <c r="BB2206" s="87"/>
      <c r="BC2206" s="87"/>
      <c r="BD2206" s="87"/>
      <c r="BE2206" s="87"/>
      <c r="BF2206" s="87"/>
      <c r="BG2206" s="87"/>
      <c r="BH2206" s="87"/>
      <c r="BI2206" s="87"/>
      <c r="BJ2206" s="87"/>
      <c r="BK2206" s="87"/>
      <c r="BL2206" s="87"/>
      <c r="BM2206" s="87"/>
      <c r="BN2206" s="87"/>
      <c r="BO2206" s="87"/>
      <c r="BP2206" s="87"/>
      <c r="BQ2206" s="87"/>
      <c r="BR2206" s="87"/>
      <c r="BS2206" s="87"/>
      <c r="BT2206" s="87"/>
      <c r="BU2206" s="87"/>
      <c r="BV2206" s="87"/>
      <c r="BW2206" s="87"/>
      <c r="BX2206" s="87"/>
      <c r="BY2206" s="87"/>
    </row>
    <row r="2207" spans="21:77" x14ac:dyDescent="0.3">
      <c r="U2207" s="19"/>
      <c r="V2207" s="87"/>
      <c r="W2207" s="87"/>
      <c r="X2207" s="87"/>
      <c r="Y2207" s="87"/>
      <c r="Z2207" s="87"/>
      <c r="AA2207" s="87"/>
      <c r="AB2207" s="87"/>
      <c r="AC2207" s="87"/>
      <c r="AD2207" s="87"/>
      <c r="AE2207" s="87"/>
      <c r="AF2207" s="87"/>
      <c r="AG2207" s="87"/>
      <c r="AH2207" s="87"/>
      <c r="AI2207" s="87"/>
      <c r="AJ2207" s="87"/>
      <c r="AK2207" s="87"/>
      <c r="AL2207" s="87"/>
      <c r="AM2207" s="87"/>
      <c r="AN2207" s="87"/>
      <c r="AO2207" s="87"/>
      <c r="AP2207" s="87"/>
      <c r="AQ2207" s="87"/>
      <c r="AR2207" s="87"/>
      <c r="AS2207" s="87"/>
      <c r="AT2207" s="87"/>
      <c r="AU2207" s="87"/>
      <c r="AV2207" s="87"/>
      <c r="AW2207" s="87"/>
      <c r="AX2207" s="87"/>
      <c r="AY2207" s="87"/>
      <c r="AZ2207" s="87"/>
      <c r="BA2207" s="87"/>
      <c r="BB2207" s="87"/>
      <c r="BC2207" s="87"/>
      <c r="BD2207" s="87"/>
      <c r="BE2207" s="87"/>
      <c r="BF2207" s="87"/>
      <c r="BG2207" s="87"/>
      <c r="BH2207" s="87"/>
      <c r="BI2207" s="87"/>
      <c r="BJ2207" s="87"/>
      <c r="BK2207" s="87"/>
      <c r="BL2207" s="87"/>
      <c r="BM2207" s="87"/>
      <c r="BN2207" s="87"/>
      <c r="BO2207" s="87"/>
      <c r="BP2207" s="87"/>
      <c r="BQ2207" s="87"/>
      <c r="BR2207" s="87"/>
      <c r="BS2207" s="87"/>
      <c r="BT2207" s="87"/>
      <c r="BU2207" s="87"/>
      <c r="BV2207" s="87"/>
      <c r="BW2207" s="87"/>
      <c r="BX2207" s="87"/>
      <c r="BY2207" s="87"/>
    </row>
    <row r="2208" spans="21:77" x14ac:dyDescent="0.3">
      <c r="U2208" s="19"/>
      <c r="V2208" s="87"/>
      <c r="W2208" s="87"/>
      <c r="X2208" s="87"/>
      <c r="Y2208" s="87"/>
      <c r="Z2208" s="87"/>
      <c r="AA2208" s="87"/>
      <c r="AB2208" s="87"/>
      <c r="AC2208" s="87"/>
      <c r="AD2208" s="87"/>
      <c r="AE2208" s="87"/>
      <c r="AF2208" s="87"/>
      <c r="AG2208" s="87"/>
      <c r="AH2208" s="87"/>
      <c r="AI2208" s="87"/>
      <c r="AJ2208" s="87"/>
      <c r="AK2208" s="87"/>
      <c r="AL2208" s="87"/>
      <c r="AM2208" s="87"/>
      <c r="AN2208" s="87"/>
      <c r="AO2208" s="87"/>
      <c r="AP2208" s="87"/>
      <c r="AQ2208" s="87"/>
      <c r="AR2208" s="87"/>
      <c r="AS2208" s="87"/>
      <c r="AT2208" s="87"/>
      <c r="AU2208" s="87"/>
      <c r="AV2208" s="87"/>
      <c r="AW2208" s="87"/>
      <c r="AX2208" s="87"/>
      <c r="AY2208" s="87"/>
      <c r="AZ2208" s="87"/>
      <c r="BA2208" s="87"/>
      <c r="BB2208" s="87"/>
      <c r="BC2208" s="87"/>
      <c r="BD2208" s="87"/>
      <c r="BE2208" s="87"/>
      <c r="BF2208" s="87"/>
      <c r="BG2208" s="87"/>
      <c r="BH2208" s="87"/>
      <c r="BI2208" s="87"/>
      <c r="BJ2208" s="87"/>
      <c r="BK2208" s="87"/>
      <c r="BL2208" s="87"/>
      <c r="BM2208" s="87"/>
      <c r="BN2208" s="87"/>
      <c r="BO2208" s="87"/>
      <c r="BP2208" s="87"/>
      <c r="BQ2208" s="87"/>
      <c r="BR2208" s="87"/>
      <c r="BS2208" s="87"/>
      <c r="BT2208" s="87"/>
      <c r="BU2208" s="87"/>
      <c r="BV2208" s="87"/>
      <c r="BW2208" s="87"/>
      <c r="BX2208" s="87"/>
      <c r="BY2208" s="87"/>
    </row>
    <row r="2209" spans="21:77" x14ac:dyDescent="0.3">
      <c r="U2209" s="19"/>
      <c r="V2209" s="87"/>
      <c r="W2209" s="87"/>
      <c r="X2209" s="87"/>
      <c r="Y2209" s="87"/>
      <c r="Z2209" s="87"/>
      <c r="AA2209" s="87"/>
      <c r="AB2209" s="87"/>
      <c r="AC2209" s="87"/>
      <c r="AD2209" s="87"/>
      <c r="AE2209" s="87"/>
      <c r="AF2209" s="87"/>
      <c r="AG2209" s="87"/>
      <c r="AH2209" s="87"/>
      <c r="AI2209" s="87"/>
      <c r="AJ2209" s="87"/>
      <c r="AK2209" s="87"/>
      <c r="AL2209" s="87"/>
      <c r="AM2209" s="87"/>
      <c r="AN2209" s="87"/>
      <c r="AO2209" s="87"/>
      <c r="AP2209" s="87"/>
      <c r="AQ2209" s="87"/>
      <c r="AR2209" s="87"/>
      <c r="AS2209" s="87"/>
      <c r="AT2209" s="87"/>
      <c r="AU2209" s="87"/>
      <c r="AV2209" s="87"/>
      <c r="AW2209" s="87"/>
      <c r="AX2209" s="87"/>
      <c r="AY2209" s="87"/>
      <c r="AZ2209" s="87"/>
      <c r="BA2209" s="87"/>
      <c r="BB2209" s="87"/>
      <c r="BC2209" s="87"/>
      <c r="BD2209" s="87"/>
      <c r="BE2209" s="87"/>
      <c r="BF2209" s="87"/>
      <c r="BG2209" s="87"/>
      <c r="BH2209" s="87"/>
      <c r="BI2209" s="87"/>
      <c r="BJ2209" s="87"/>
      <c r="BK2209" s="87"/>
      <c r="BL2209" s="87"/>
      <c r="BM2209" s="87"/>
      <c r="BN2209" s="87"/>
      <c r="BO2209" s="87"/>
      <c r="BP2209" s="87"/>
      <c r="BQ2209" s="87"/>
      <c r="BR2209" s="87"/>
      <c r="BS2209" s="87"/>
      <c r="BT2209" s="87"/>
      <c r="BU2209" s="87"/>
      <c r="BV2209" s="87"/>
      <c r="BW2209" s="87"/>
      <c r="BX2209" s="87"/>
      <c r="BY2209" s="87"/>
    </row>
    <row r="2210" spans="21:77" x14ac:dyDescent="0.3">
      <c r="U2210" s="19"/>
      <c r="V2210" s="87"/>
      <c r="W2210" s="87"/>
      <c r="X2210" s="87"/>
      <c r="Y2210" s="87"/>
      <c r="Z2210" s="87"/>
      <c r="AA2210" s="87"/>
      <c r="AB2210" s="87"/>
      <c r="AC2210" s="87"/>
      <c r="AD2210" s="87"/>
      <c r="AE2210" s="87"/>
      <c r="AF2210" s="87"/>
      <c r="AG2210" s="87"/>
      <c r="AH2210" s="87"/>
      <c r="AI2210" s="87"/>
      <c r="AJ2210" s="87"/>
      <c r="AK2210" s="87"/>
      <c r="AL2210" s="87"/>
      <c r="AM2210" s="87"/>
      <c r="AN2210" s="87"/>
      <c r="AO2210" s="87"/>
      <c r="AP2210" s="87"/>
      <c r="AQ2210" s="87"/>
      <c r="AR2210" s="87"/>
      <c r="AS2210" s="87"/>
      <c r="AT2210" s="87"/>
      <c r="AU2210" s="87"/>
      <c r="AV2210" s="87"/>
      <c r="AW2210" s="87"/>
      <c r="AX2210" s="87"/>
      <c r="AY2210" s="87"/>
      <c r="AZ2210" s="87"/>
      <c r="BA2210" s="87"/>
      <c r="BB2210" s="87"/>
      <c r="BC2210" s="87"/>
      <c r="BD2210" s="87"/>
      <c r="BE2210" s="87"/>
      <c r="BF2210" s="87"/>
      <c r="BG2210" s="87"/>
      <c r="BH2210" s="87"/>
      <c r="BI2210" s="87"/>
      <c r="BJ2210" s="87"/>
      <c r="BK2210" s="87"/>
      <c r="BL2210" s="87"/>
      <c r="BM2210" s="87"/>
      <c r="BN2210" s="87"/>
      <c r="BO2210" s="87"/>
      <c r="BP2210" s="87"/>
      <c r="BQ2210" s="87"/>
      <c r="BR2210" s="87"/>
      <c r="BS2210" s="87"/>
      <c r="BT2210" s="87"/>
      <c r="BU2210" s="87"/>
      <c r="BV2210" s="87"/>
      <c r="BW2210" s="87"/>
      <c r="BX2210" s="87"/>
      <c r="BY2210" s="87"/>
    </row>
    <row r="2211" spans="21:77" x14ac:dyDescent="0.3">
      <c r="U2211" s="19"/>
      <c r="V2211" s="87"/>
      <c r="W2211" s="87"/>
      <c r="X2211" s="87"/>
      <c r="Y2211" s="87"/>
      <c r="Z2211" s="87"/>
      <c r="AA2211" s="87"/>
      <c r="AB2211" s="87"/>
      <c r="AC2211" s="87"/>
      <c r="AD2211" s="87"/>
      <c r="AE2211" s="87"/>
      <c r="AF2211" s="87"/>
      <c r="AG2211" s="87"/>
      <c r="AH2211" s="87"/>
      <c r="AI2211" s="87"/>
      <c r="AJ2211" s="87"/>
      <c r="AK2211" s="87"/>
      <c r="AL2211" s="87"/>
      <c r="AM2211" s="87"/>
      <c r="AN2211" s="87"/>
      <c r="AO2211" s="87"/>
      <c r="AP2211" s="87"/>
      <c r="AQ2211" s="87"/>
      <c r="AR2211" s="87"/>
      <c r="AS2211" s="87"/>
      <c r="AT2211" s="87"/>
      <c r="AU2211" s="87"/>
      <c r="AV2211" s="87"/>
      <c r="AW2211" s="87"/>
      <c r="AX2211" s="87"/>
      <c r="AY2211" s="87"/>
      <c r="AZ2211" s="87"/>
      <c r="BA2211" s="87"/>
      <c r="BB2211" s="87"/>
      <c r="BC2211" s="87"/>
      <c r="BD2211" s="87"/>
      <c r="BE2211" s="87"/>
      <c r="BF2211" s="87"/>
      <c r="BG2211" s="87"/>
      <c r="BH2211" s="87"/>
      <c r="BI2211" s="87"/>
      <c r="BJ2211" s="87"/>
      <c r="BK2211" s="87"/>
      <c r="BL2211" s="87"/>
      <c r="BM2211" s="87"/>
      <c r="BN2211" s="87"/>
      <c r="BO2211" s="87"/>
      <c r="BP2211" s="87"/>
      <c r="BQ2211" s="87"/>
      <c r="BR2211" s="87"/>
      <c r="BS2211" s="87"/>
      <c r="BT2211" s="87"/>
      <c r="BU2211" s="87"/>
      <c r="BV2211" s="87"/>
      <c r="BW2211" s="87"/>
      <c r="BX2211" s="87"/>
      <c r="BY2211" s="87"/>
    </row>
    <row r="2212" spans="21:77" x14ac:dyDescent="0.3">
      <c r="U2212" s="19"/>
      <c r="V2212" s="87"/>
      <c r="W2212" s="87"/>
      <c r="X2212" s="87"/>
      <c r="Y2212" s="87"/>
      <c r="Z2212" s="87"/>
      <c r="AA2212" s="87"/>
      <c r="AB2212" s="87"/>
      <c r="AC2212" s="87"/>
      <c r="AD2212" s="87"/>
      <c r="AE2212" s="87"/>
      <c r="AF2212" s="87"/>
      <c r="AG2212" s="87"/>
      <c r="AH2212" s="87"/>
      <c r="AI2212" s="87"/>
      <c r="AJ2212" s="87"/>
      <c r="AK2212" s="87"/>
      <c r="AL2212" s="87"/>
      <c r="AM2212" s="87"/>
      <c r="AN2212" s="87"/>
      <c r="AO2212" s="87"/>
      <c r="AP2212" s="87"/>
      <c r="AQ2212" s="87"/>
      <c r="AR2212" s="87"/>
      <c r="AS2212" s="87"/>
      <c r="AT2212" s="87"/>
      <c r="AU2212" s="87"/>
      <c r="AV2212" s="87"/>
      <c r="AW2212" s="87"/>
      <c r="AX2212" s="87"/>
      <c r="AY2212" s="87"/>
      <c r="AZ2212" s="87"/>
      <c r="BA2212" s="87"/>
      <c r="BB2212" s="87"/>
      <c r="BC2212" s="87"/>
      <c r="BD2212" s="87"/>
      <c r="BE2212" s="87"/>
      <c r="BF2212" s="87"/>
      <c r="BG2212" s="87"/>
      <c r="BH2212" s="87"/>
      <c r="BI2212" s="87"/>
      <c r="BJ2212" s="87"/>
      <c r="BK2212" s="87"/>
      <c r="BL2212" s="87"/>
      <c r="BM2212" s="87"/>
      <c r="BN2212" s="87"/>
      <c r="BO2212" s="87"/>
      <c r="BP2212" s="87"/>
      <c r="BQ2212" s="87"/>
      <c r="BR2212" s="87"/>
      <c r="BS2212" s="87"/>
      <c r="BT2212" s="87"/>
      <c r="BU2212" s="87"/>
      <c r="BV2212" s="87"/>
      <c r="BW2212" s="87"/>
      <c r="BX2212" s="87"/>
      <c r="BY2212" s="87"/>
    </row>
    <row r="2213" spans="21:77" x14ac:dyDescent="0.3">
      <c r="U2213" s="19"/>
      <c r="V2213" s="87"/>
      <c r="W2213" s="87"/>
      <c r="X2213" s="87"/>
      <c r="Y2213" s="87"/>
      <c r="Z2213" s="87"/>
      <c r="AA2213" s="87"/>
      <c r="AB2213" s="87"/>
      <c r="AC2213" s="87"/>
      <c r="AD2213" s="87"/>
      <c r="AE2213" s="87"/>
      <c r="AF2213" s="87"/>
      <c r="AG2213" s="87"/>
      <c r="AH2213" s="87"/>
      <c r="AI2213" s="87"/>
      <c r="AJ2213" s="87"/>
      <c r="AK2213" s="87"/>
      <c r="AL2213" s="87"/>
      <c r="AM2213" s="87"/>
      <c r="AN2213" s="87"/>
      <c r="AO2213" s="87"/>
      <c r="AP2213" s="87"/>
      <c r="AQ2213" s="87"/>
      <c r="AR2213" s="87"/>
      <c r="AS2213" s="87"/>
      <c r="AT2213" s="87"/>
      <c r="AU2213" s="87"/>
      <c r="AV2213" s="87"/>
      <c r="AW2213" s="87"/>
      <c r="AX2213" s="87"/>
      <c r="AY2213" s="87"/>
      <c r="AZ2213" s="87"/>
      <c r="BA2213" s="87"/>
      <c r="BB2213" s="87"/>
      <c r="BC2213" s="87"/>
      <c r="BD2213" s="87"/>
      <c r="BE2213" s="87"/>
      <c r="BF2213" s="87"/>
      <c r="BG2213" s="87"/>
      <c r="BH2213" s="87"/>
      <c r="BI2213" s="87"/>
      <c r="BJ2213" s="87"/>
      <c r="BK2213" s="87"/>
      <c r="BL2213" s="87"/>
      <c r="BM2213" s="87"/>
      <c r="BN2213" s="87"/>
      <c r="BO2213" s="87"/>
      <c r="BP2213" s="87"/>
      <c r="BQ2213" s="87"/>
      <c r="BR2213" s="87"/>
      <c r="BS2213" s="87"/>
      <c r="BT2213" s="87"/>
      <c r="BU2213" s="87"/>
      <c r="BV2213" s="87"/>
      <c r="BW2213" s="87"/>
      <c r="BX2213" s="87"/>
      <c r="BY2213" s="87"/>
    </row>
    <row r="2214" spans="21:77" x14ac:dyDescent="0.3">
      <c r="U2214" s="19"/>
      <c r="V2214" s="87"/>
      <c r="W2214" s="87"/>
      <c r="X2214" s="87"/>
      <c r="Y2214" s="87"/>
      <c r="Z2214" s="87"/>
      <c r="AA2214" s="87"/>
      <c r="AB2214" s="87"/>
      <c r="AC2214" s="87"/>
      <c r="AD2214" s="87"/>
      <c r="AE2214" s="87"/>
      <c r="AF2214" s="87"/>
      <c r="AG2214" s="87"/>
      <c r="AH2214" s="87"/>
      <c r="AI2214" s="87"/>
      <c r="AJ2214" s="87"/>
      <c r="AK2214" s="87"/>
      <c r="AL2214" s="87"/>
      <c r="AM2214" s="87"/>
      <c r="AN2214" s="87"/>
      <c r="AO2214" s="87"/>
      <c r="AP2214" s="87"/>
      <c r="AQ2214" s="87"/>
      <c r="AR2214" s="87"/>
      <c r="AS2214" s="87"/>
      <c r="AT2214" s="87"/>
      <c r="AU2214" s="87"/>
      <c r="AV2214" s="87"/>
      <c r="AW2214" s="87"/>
      <c r="AX2214" s="87"/>
      <c r="AY2214" s="87"/>
      <c r="AZ2214" s="87"/>
      <c r="BA2214" s="87"/>
      <c r="BB2214" s="87"/>
      <c r="BC2214" s="87"/>
      <c r="BD2214" s="87"/>
      <c r="BE2214" s="87"/>
      <c r="BF2214" s="87"/>
      <c r="BG2214" s="87"/>
      <c r="BH2214" s="87"/>
      <c r="BI2214" s="87"/>
      <c r="BJ2214" s="87"/>
      <c r="BK2214" s="87"/>
      <c r="BL2214" s="87"/>
      <c r="BM2214" s="87"/>
      <c r="BN2214" s="87"/>
      <c r="BO2214" s="87"/>
      <c r="BP2214" s="87"/>
      <c r="BQ2214" s="87"/>
      <c r="BR2214" s="87"/>
      <c r="BS2214" s="87"/>
      <c r="BT2214" s="87"/>
      <c r="BU2214" s="87"/>
      <c r="BV2214" s="87"/>
      <c r="BW2214" s="87"/>
      <c r="BX2214" s="87"/>
      <c r="BY2214" s="87"/>
    </row>
    <row r="2215" spans="21:77" x14ac:dyDescent="0.3">
      <c r="U2215" s="19"/>
      <c r="V2215" s="87"/>
      <c r="W2215" s="87"/>
      <c r="X2215" s="87"/>
      <c r="Y2215" s="87"/>
      <c r="Z2215" s="87"/>
      <c r="AA2215" s="87"/>
      <c r="AB2215" s="87"/>
      <c r="AC2215" s="87"/>
      <c r="AD2215" s="87"/>
      <c r="AE2215" s="87"/>
      <c r="AF2215" s="87"/>
      <c r="AG2215" s="87"/>
      <c r="AH2215" s="87"/>
      <c r="AI2215" s="87"/>
      <c r="AJ2215" s="87"/>
      <c r="AK2215" s="87"/>
      <c r="AL2215" s="87"/>
      <c r="AM2215" s="87"/>
      <c r="AN2215" s="87"/>
      <c r="AO2215" s="87"/>
      <c r="AP2215" s="87"/>
      <c r="AQ2215" s="87"/>
      <c r="AR2215" s="87"/>
      <c r="AS2215" s="87"/>
      <c r="AT2215" s="87"/>
      <c r="AU2215" s="87"/>
      <c r="AV2215" s="87"/>
      <c r="AW2215" s="87"/>
      <c r="AX2215" s="87"/>
      <c r="AY2215" s="87"/>
      <c r="AZ2215" s="87"/>
      <c r="BA2215" s="87"/>
      <c r="BB2215" s="87"/>
      <c r="BC2215" s="87"/>
      <c r="BD2215" s="87"/>
      <c r="BE2215" s="87"/>
      <c r="BF2215" s="87"/>
      <c r="BG2215" s="87"/>
      <c r="BH2215" s="87"/>
      <c r="BI2215" s="87"/>
      <c r="BJ2215" s="87"/>
      <c r="BK2215" s="87"/>
      <c r="BL2215" s="87"/>
      <c r="BM2215" s="87"/>
      <c r="BN2215" s="87"/>
      <c r="BO2215" s="87"/>
      <c r="BP2215" s="87"/>
      <c r="BQ2215" s="87"/>
      <c r="BR2215" s="87"/>
      <c r="BS2215" s="87"/>
      <c r="BT2215" s="87"/>
      <c r="BU2215" s="87"/>
      <c r="BV2215" s="87"/>
      <c r="BW2215" s="87"/>
      <c r="BX2215" s="87"/>
      <c r="BY2215" s="87"/>
    </row>
    <row r="2216" spans="21:77" x14ac:dyDescent="0.3">
      <c r="U2216" s="19"/>
      <c r="V2216" s="87"/>
      <c r="W2216" s="87"/>
      <c r="X2216" s="87"/>
      <c r="Y2216" s="87"/>
      <c r="Z2216" s="87"/>
      <c r="AA2216" s="87"/>
      <c r="AB2216" s="87"/>
      <c r="AC2216" s="87"/>
      <c r="AD2216" s="87"/>
      <c r="AE2216" s="87"/>
      <c r="AF2216" s="87"/>
      <c r="AG2216" s="87"/>
      <c r="AH2216" s="87"/>
      <c r="AI2216" s="87"/>
      <c r="AJ2216" s="87"/>
      <c r="AK2216" s="87"/>
      <c r="AL2216" s="87"/>
      <c r="AM2216" s="87"/>
      <c r="AN2216" s="87"/>
      <c r="AO2216" s="87"/>
      <c r="AP2216" s="87"/>
      <c r="AQ2216" s="87"/>
      <c r="AR2216" s="87"/>
      <c r="AS2216" s="87"/>
      <c r="AT2216" s="87"/>
      <c r="AU2216" s="87"/>
      <c r="AV2216" s="87"/>
      <c r="AW2216" s="87"/>
      <c r="AX2216" s="87"/>
      <c r="AY2216" s="87"/>
      <c r="AZ2216" s="87"/>
      <c r="BA2216" s="87"/>
      <c r="BB2216" s="87"/>
      <c r="BC2216" s="87"/>
      <c r="BD2216" s="87"/>
      <c r="BE2216" s="87"/>
      <c r="BF2216" s="87"/>
      <c r="BG2216" s="87"/>
      <c r="BH2216" s="87"/>
      <c r="BI2216" s="87"/>
      <c r="BJ2216" s="87"/>
      <c r="BK2216" s="87"/>
      <c r="BL2216" s="87"/>
      <c r="BM2216" s="87"/>
      <c r="BN2216" s="87"/>
      <c r="BO2216" s="87"/>
      <c r="BP2216" s="87"/>
      <c r="BQ2216" s="87"/>
      <c r="BR2216" s="87"/>
      <c r="BS2216" s="87"/>
      <c r="BT2216" s="87"/>
      <c r="BU2216" s="87"/>
      <c r="BV2216" s="87"/>
      <c r="BW2216" s="87"/>
      <c r="BX2216" s="87"/>
      <c r="BY2216" s="87"/>
    </row>
    <row r="2217" spans="21:77" x14ac:dyDescent="0.3">
      <c r="U2217" s="19"/>
      <c r="V2217" s="87"/>
      <c r="W2217" s="87"/>
      <c r="X2217" s="87"/>
      <c r="Y2217" s="87"/>
      <c r="Z2217" s="87"/>
      <c r="AA2217" s="87"/>
      <c r="AB2217" s="87"/>
      <c r="AC2217" s="87"/>
      <c r="AD2217" s="87"/>
      <c r="AE2217" s="87"/>
      <c r="AF2217" s="87"/>
      <c r="AG2217" s="87"/>
      <c r="AH2217" s="87"/>
      <c r="AI2217" s="87"/>
      <c r="AJ2217" s="87"/>
      <c r="AK2217" s="87"/>
      <c r="AL2217" s="87"/>
      <c r="AM2217" s="87"/>
      <c r="AN2217" s="87"/>
      <c r="AO2217" s="87"/>
      <c r="AP2217" s="87"/>
      <c r="AQ2217" s="87"/>
      <c r="AR2217" s="87"/>
      <c r="AS2217" s="87"/>
      <c r="AT2217" s="87"/>
      <c r="AU2217" s="87"/>
      <c r="AV2217" s="87"/>
      <c r="AW2217" s="87"/>
      <c r="AX2217" s="87"/>
      <c r="AY2217" s="87"/>
      <c r="AZ2217" s="87"/>
      <c r="BA2217" s="87"/>
      <c r="BB2217" s="87"/>
      <c r="BC2217" s="87"/>
      <c r="BD2217" s="87"/>
      <c r="BE2217" s="87"/>
      <c r="BF2217" s="87"/>
      <c r="BG2217" s="87"/>
      <c r="BH2217" s="87"/>
      <c r="BI2217" s="87"/>
      <c r="BJ2217" s="87"/>
      <c r="BK2217" s="87"/>
      <c r="BL2217" s="87"/>
      <c r="BM2217" s="87"/>
      <c r="BN2217" s="87"/>
      <c r="BO2217" s="87"/>
      <c r="BP2217" s="87"/>
      <c r="BQ2217" s="87"/>
      <c r="BR2217" s="87"/>
      <c r="BS2217" s="87"/>
      <c r="BT2217" s="87"/>
      <c r="BU2217" s="87"/>
      <c r="BV2217" s="87"/>
      <c r="BW2217" s="87"/>
      <c r="BX2217" s="87"/>
      <c r="BY2217" s="87"/>
    </row>
    <row r="2218" spans="21:77" x14ac:dyDescent="0.3">
      <c r="U2218" s="19"/>
      <c r="V2218" s="87"/>
      <c r="W2218" s="87"/>
      <c r="X2218" s="87"/>
      <c r="Y2218" s="87"/>
      <c r="Z2218" s="87"/>
      <c r="AA2218" s="87"/>
      <c r="AB2218" s="87"/>
      <c r="AC2218" s="87"/>
      <c r="AD2218" s="87"/>
      <c r="AE2218" s="87"/>
      <c r="AF2218" s="87"/>
      <c r="AG2218" s="87"/>
      <c r="AH2218" s="87"/>
      <c r="AI2218" s="87"/>
      <c r="AJ2218" s="87"/>
      <c r="AK2218" s="87"/>
      <c r="AL2218" s="87"/>
      <c r="AM2218" s="87"/>
      <c r="AN2218" s="87"/>
      <c r="AO2218" s="87"/>
      <c r="AP2218" s="87"/>
      <c r="AQ2218" s="87"/>
      <c r="AR2218" s="87"/>
      <c r="AS2218" s="87"/>
      <c r="AT2218" s="87"/>
      <c r="AU2218" s="87"/>
      <c r="AV2218" s="87"/>
      <c r="AW2218" s="87"/>
      <c r="AX2218" s="87"/>
      <c r="AY2218" s="87"/>
      <c r="AZ2218" s="87"/>
      <c r="BA2218" s="87"/>
      <c r="BB2218" s="87"/>
      <c r="BC2218" s="87"/>
      <c r="BD2218" s="87"/>
      <c r="BE2218" s="87"/>
      <c r="BF2218" s="87"/>
      <c r="BG2218" s="87"/>
      <c r="BH2218" s="87"/>
      <c r="BI2218" s="87"/>
      <c r="BJ2218" s="87"/>
      <c r="BK2218" s="87"/>
      <c r="BL2218" s="87"/>
      <c r="BM2218" s="87"/>
      <c r="BN2218" s="87"/>
      <c r="BO2218" s="87"/>
      <c r="BP2218" s="87"/>
      <c r="BQ2218" s="87"/>
      <c r="BR2218" s="87"/>
      <c r="BS2218" s="87"/>
      <c r="BT2218" s="87"/>
      <c r="BU2218" s="87"/>
      <c r="BV2218" s="87"/>
      <c r="BW2218" s="87"/>
      <c r="BX2218" s="87"/>
      <c r="BY2218" s="87"/>
    </row>
    <row r="2219" spans="21:77" x14ac:dyDescent="0.3">
      <c r="U2219" s="19"/>
      <c r="V2219" s="87"/>
      <c r="W2219" s="87"/>
      <c r="X2219" s="87"/>
      <c r="Y2219" s="87"/>
      <c r="Z2219" s="87"/>
      <c r="AA2219" s="87"/>
      <c r="AB2219" s="87"/>
      <c r="AC2219" s="87"/>
      <c r="AD2219" s="87"/>
      <c r="AE2219" s="87"/>
      <c r="AF2219" s="87"/>
      <c r="AG2219" s="87"/>
      <c r="AH2219" s="87"/>
      <c r="AI2219" s="87"/>
      <c r="AJ2219" s="87"/>
      <c r="AK2219" s="87"/>
      <c r="AL2219" s="87"/>
      <c r="AM2219" s="87"/>
      <c r="AN2219" s="87"/>
      <c r="AO2219" s="87"/>
      <c r="AP2219" s="87"/>
      <c r="AQ2219" s="87"/>
      <c r="AR2219" s="87"/>
      <c r="AS2219" s="87"/>
      <c r="AT2219" s="87"/>
      <c r="AU2219" s="87"/>
      <c r="AV2219" s="87"/>
      <c r="AW2219" s="87"/>
      <c r="AX2219" s="87"/>
      <c r="AY2219" s="87"/>
      <c r="AZ2219" s="87"/>
      <c r="BA2219" s="87"/>
      <c r="BB2219" s="87"/>
      <c r="BC2219" s="87"/>
      <c r="BD2219" s="87"/>
      <c r="BE2219" s="87"/>
      <c r="BF2219" s="87"/>
      <c r="BG2219" s="87"/>
      <c r="BH2219" s="87"/>
      <c r="BI2219" s="87"/>
      <c r="BJ2219" s="87"/>
      <c r="BK2219" s="87"/>
      <c r="BL2219" s="87"/>
      <c r="BM2219" s="87"/>
      <c r="BN2219" s="87"/>
      <c r="BO2219" s="87"/>
      <c r="BP2219" s="87"/>
      <c r="BQ2219" s="87"/>
      <c r="BR2219" s="87"/>
      <c r="BS2219" s="87"/>
      <c r="BT2219" s="87"/>
      <c r="BU2219" s="87"/>
      <c r="BV2219" s="87"/>
      <c r="BW2219" s="87"/>
      <c r="BX2219" s="87"/>
      <c r="BY2219" s="87"/>
    </row>
    <row r="2220" spans="21:77" x14ac:dyDescent="0.3">
      <c r="U2220" s="19"/>
      <c r="V2220" s="87"/>
      <c r="W2220" s="87"/>
      <c r="X2220" s="87"/>
      <c r="Y2220" s="87"/>
      <c r="Z2220" s="87"/>
      <c r="AA2220" s="87"/>
      <c r="AB2220" s="87"/>
      <c r="AC2220" s="87"/>
      <c r="AD2220" s="87"/>
      <c r="AE2220" s="87"/>
      <c r="AF2220" s="87"/>
      <c r="AG2220" s="87"/>
      <c r="AH2220" s="87"/>
      <c r="AI2220" s="87"/>
      <c r="AJ2220" s="87"/>
      <c r="AK2220" s="87"/>
      <c r="AL2220" s="87"/>
      <c r="AM2220" s="87"/>
      <c r="AN2220" s="87"/>
      <c r="AO2220" s="87"/>
      <c r="AP2220" s="87"/>
      <c r="AQ2220" s="87"/>
      <c r="AR2220" s="87"/>
      <c r="AS2220" s="87"/>
      <c r="AT2220" s="87"/>
      <c r="AU2220" s="87"/>
      <c r="AV2220" s="87"/>
      <c r="AW2220" s="87"/>
      <c r="AX2220" s="87"/>
      <c r="AY2220" s="87"/>
      <c r="AZ2220" s="87"/>
      <c r="BA2220" s="87"/>
      <c r="BB2220" s="87"/>
      <c r="BC2220" s="87"/>
      <c r="BD2220" s="87"/>
      <c r="BE2220" s="87"/>
      <c r="BF2220" s="87"/>
      <c r="BG2220" s="87"/>
      <c r="BH2220" s="87"/>
      <c r="BI2220" s="87"/>
      <c r="BJ2220" s="87"/>
      <c r="BK2220" s="87"/>
      <c r="BL2220" s="87"/>
      <c r="BM2220" s="87"/>
      <c r="BN2220" s="87"/>
      <c r="BO2220" s="87"/>
      <c r="BP2220" s="87"/>
      <c r="BQ2220" s="87"/>
      <c r="BR2220" s="87"/>
      <c r="BS2220" s="87"/>
      <c r="BT2220" s="87"/>
      <c r="BU2220" s="87"/>
      <c r="BV2220" s="87"/>
      <c r="BW2220" s="87"/>
      <c r="BX2220" s="87"/>
      <c r="BY2220" s="87"/>
    </row>
    <row r="2221" spans="21:77" x14ac:dyDescent="0.3">
      <c r="U2221" s="19"/>
      <c r="V2221" s="87"/>
      <c r="W2221" s="87"/>
      <c r="X2221" s="87"/>
      <c r="Y2221" s="87"/>
      <c r="Z2221" s="87"/>
      <c r="AA2221" s="87"/>
      <c r="AB2221" s="87"/>
      <c r="AC2221" s="87"/>
      <c r="AD2221" s="87"/>
      <c r="AE2221" s="87"/>
      <c r="AF2221" s="87"/>
      <c r="AG2221" s="87"/>
      <c r="AH2221" s="87"/>
      <c r="AI2221" s="87"/>
      <c r="AJ2221" s="87"/>
      <c r="AK2221" s="87"/>
      <c r="AL2221" s="87"/>
      <c r="AM2221" s="87"/>
      <c r="AN2221" s="87"/>
      <c r="AO2221" s="87"/>
      <c r="AP2221" s="87"/>
      <c r="AQ2221" s="87"/>
      <c r="AR2221" s="87"/>
      <c r="AS2221" s="87"/>
      <c r="AT2221" s="87"/>
      <c r="AU2221" s="87"/>
      <c r="AV2221" s="87"/>
      <c r="AW2221" s="87"/>
      <c r="AX2221" s="87"/>
      <c r="AY2221" s="87"/>
      <c r="AZ2221" s="87"/>
      <c r="BA2221" s="87"/>
      <c r="BB2221" s="87"/>
      <c r="BC2221" s="87"/>
      <c r="BD2221" s="87"/>
      <c r="BE2221" s="87"/>
      <c r="BF2221" s="87"/>
      <c r="BG2221" s="87"/>
      <c r="BH2221" s="87"/>
      <c r="BI2221" s="87"/>
      <c r="BJ2221" s="87"/>
      <c r="BK2221" s="87"/>
      <c r="BL2221" s="87"/>
      <c r="BM2221" s="87"/>
      <c r="BN2221" s="87"/>
      <c r="BO2221" s="87"/>
      <c r="BP2221" s="87"/>
      <c r="BQ2221" s="87"/>
      <c r="BR2221" s="87"/>
      <c r="BS2221" s="87"/>
      <c r="BT2221" s="87"/>
      <c r="BU2221" s="87"/>
      <c r="BV2221" s="87"/>
      <c r="BW2221" s="87"/>
      <c r="BX2221" s="87"/>
      <c r="BY2221" s="87"/>
    </row>
    <row r="2222" spans="21:77" x14ac:dyDescent="0.3">
      <c r="U2222" s="19"/>
      <c r="V2222" s="87"/>
      <c r="W2222" s="87"/>
      <c r="X2222" s="87"/>
      <c r="Y2222" s="87"/>
      <c r="Z2222" s="87"/>
      <c r="AA2222" s="87"/>
      <c r="AB2222" s="87"/>
      <c r="AC2222" s="87"/>
      <c r="AD2222" s="87"/>
      <c r="AE2222" s="87"/>
      <c r="AF2222" s="87"/>
      <c r="AG2222" s="87"/>
      <c r="AH2222" s="87"/>
      <c r="AI2222" s="87"/>
      <c r="AJ2222" s="87"/>
      <c r="AK2222" s="87"/>
      <c r="AL2222" s="87"/>
      <c r="AM2222" s="87"/>
      <c r="AN2222" s="87"/>
      <c r="AO2222" s="87"/>
      <c r="AP2222" s="87"/>
      <c r="AQ2222" s="87"/>
      <c r="AR2222" s="87"/>
      <c r="AS2222" s="87"/>
      <c r="AT2222" s="87"/>
      <c r="AU2222" s="87"/>
      <c r="AV2222" s="87"/>
      <c r="AW2222" s="87"/>
      <c r="AX2222" s="87"/>
      <c r="AY2222" s="87"/>
      <c r="AZ2222" s="87"/>
      <c r="BA2222" s="87"/>
      <c r="BB2222" s="87"/>
      <c r="BC2222" s="87"/>
      <c r="BD2222" s="87"/>
      <c r="BE2222" s="87"/>
      <c r="BF2222" s="87"/>
      <c r="BG2222" s="87"/>
      <c r="BH2222" s="87"/>
      <c r="BI2222" s="87"/>
      <c r="BJ2222" s="87"/>
      <c r="BK2222" s="87"/>
      <c r="BL2222" s="87"/>
      <c r="BM2222" s="87"/>
      <c r="BN2222" s="87"/>
      <c r="BO2222" s="87"/>
      <c r="BP2222" s="87"/>
      <c r="BQ2222" s="87"/>
      <c r="BR2222" s="87"/>
      <c r="BS2222" s="87"/>
      <c r="BT2222" s="87"/>
      <c r="BU2222" s="87"/>
      <c r="BV2222" s="87"/>
      <c r="BW2222" s="87"/>
      <c r="BX2222" s="87"/>
      <c r="BY2222" s="87"/>
    </row>
    <row r="2223" spans="21:77" x14ac:dyDescent="0.3">
      <c r="U2223" s="19"/>
      <c r="V2223" s="87"/>
      <c r="W2223" s="87"/>
      <c r="X2223" s="87"/>
      <c r="Y2223" s="87"/>
      <c r="Z2223" s="87"/>
      <c r="AA2223" s="87"/>
      <c r="AB2223" s="87"/>
      <c r="AC2223" s="87"/>
      <c r="AD2223" s="87"/>
      <c r="AE2223" s="87"/>
      <c r="AF2223" s="87"/>
      <c r="AG2223" s="87"/>
      <c r="AH2223" s="87"/>
      <c r="AI2223" s="87"/>
      <c r="AJ2223" s="87"/>
      <c r="AK2223" s="87"/>
      <c r="AL2223" s="87"/>
      <c r="AM2223" s="87"/>
      <c r="AN2223" s="87"/>
      <c r="AO2223" s="87"/>
      <c r="AP2223" s="87"/>
      <c r="AQ2223" s="87"/>
      <c r="AR2223" s="87"/>
      <c r="AS2223" s="87"/>
      <c r="AT2223" s="87"/>
      <c r="AU2223" s="87"/>
      <c r="AV2223" s="87"/>
      <c r="AW2223" s="87"/>
      <c r="AX2223" s="87"/>
      <c r="AY2223" s="87"/>
      <c r="AZ2223" s="87"/>
      <c r="BA2223" s="87"/>
      <c r="BB2223" s="87"/>
      <c r="BC2223" s="87"/>
      <c r="BD2223" s="87"/>
      <c r="BE2223" s="87"/>
      <c r="BF2223" s="87"/>
      <c r="BG2223" s="87"/>
      <c r="BH2223" s="87"/>
      <c r="BI2223" s="87"/>
      <c r="BJ2223" s="87"/>
      <c r="BK2223" s="87"/>
      <c r="BL2223" s="87"/>
      <c r="BM2223" s="87"/>
      <c r="BN2223" s="87"/>
      <c r="BO2223" s="87"/>
      <c r="BP2223" s="87"/>
      <c r="BQ2223" s="87"/>
      <c r="BR2223" s="87"/>
      <c r="BS2223" s="87"/>
      <c r="BT2223" s="87"/>
      <c r="BU2223" s="87"/>
      <c r="BV2223" s="87"/>
      <c r="BW2223" s="87"/>
      <c r="BX2223" s="87"/>
      <c r="BY2223" s="87"/>
    </row>
    <row r="2224" spans="21:77" x14ac:dyDescent="0.3">
      <c r="U2224" s="19"/>
      <c r="V2224" s="87"/>
      <c r="W2224" s="87"/>
      <c r="X2224" s="87"/>
      <c r="Y2224" s="87"/>
      <c r="Z2224" s="87"/>
      <c r="AA2224" s="87"/>
      <c r="AB2224" s="87"/>
      <c r="AC2224" s="87"/>
      <c r="AD2224" s="87"/>
      <c r="AE2224" s="87"/>
      <c r="AF2224" s="87"/>
      <c r="AG2224" s="87"/>
      <c r="AH2224" s="87"/>
      <c r="AI2224" s="87"/>
      <c r="AJ2224" s="87"/>
      <c r="AK2224" s="87"/>
      <c r="AL2224" s="87"/>
      <c r="AM2224" s="87"/>
      <c r="AN2224" s="87"/>
      <c r="AO2224" s="87"/>
      <c r="AP2224" s="87"/>
      <c r="AQ2224" s="87"/>
      <c r="AR2224" s="87"/>
      <c r="AS2224" s="87"/>
      <c r="AT2224" s="87"/>
      <c r="AU2224" s="87"/>
      <c r="AV2224" s="87"/>
      <c r="AW2224" s="87"/>
      <c r="AX2224" s="87"/>
      <c r="AY2224" s="87"/>
      <c r="AZ2224" s="87"/>
      <c r="BA2224" s="87"/>
      <c r="BB2224" s="87"/>
      <c r="BC2224" s="87"/>
      <c r="BD2224" s="87"/>
      <c r="BE2224" s="87"/>
      <c r="BF2224" s="87"/>
      <c r="BG2224" s="87"/>
      <c r="BH2224" s="87"/>
      <c r="BI2224" s="87"/>
      <c r="BJ2224" s="87"/>
      <c r="BK2224" s="87"/>
      <c r="BL2224" s="87"/>
      <c r="BM2224" s="87"/>
      <c r="BN2224" s="87"/>
      <c r="BO2224" s="87"/>
      <c r="BP2224" s="87"/>
      <c r="BQ2224" s="87"/>
      <c r="BR2224" s="87"/>
      <c r="BS2224" s="87"/>
      <c r="BT2224" s="87"/>
      <c r="BU2224" s="87"/>
      <c r="BV2224" s="87"/>
      <c r="BW2224" s="87"/>
      <c r="BX2224" s="87"/>
      <c r="BY2224" s="87"/>
    </row>
    <row r="2225" spans="21:77" x14ac:dyDescent="0.3">
      <c r="U2225" s="19"/>
      <c r="V2225" s="87"/>
      <c r="W2225" s="87"/>
      <c r="X2225" s="87"/>
      <c r="Y2225" s="87"/>
      <c r="Z2225" s="87"/>
      <c r="AA2225" s="87"/>
      <c r="AB2225" s="87"/>
      <c r="AC2225" s="87"/>
      <c r="AD2225" s="87"/>
      <c r="AE2225" s="87"/>
      <c r="AF2225" s="87"/>
      <c r="AG2225" s="87"/>
      <c r="AH2225" s="87"/>
      <c r="AI2225" s="87"/>
      <c r="AJ2225" s="87"/>
      <c r="AK2225" s="87"/>
      <c r="AL2225" s="87"/>
      <c r="AM2225" s="87"/>
      <c r="AN2225" s="87"/>
      <c r="AO2225" s="87"/>
      <c r="AP2225" s="87"/>
      <c r="AQ2225" s="87"/>
      <c r="AR2225" s="87"/>
      <c r="AS2225" s="87"/>
      <c r="AT2225" s="87"/>
      <c r="AU2225" s="87"/>
      <c r="AV2225" s="87"/>
      <c r="AW2225" s="87"/>
      <c r="AX2225" s="87"/>
      <c r="AY2225" s="87"/>
      <c r="AZ2225" s="87"/>
      <c r="BA2225" s="87"/>
      <c r="BB2225" s="87"/>
      <c r="BC2225" s="87"/>
      <c r="BD2225" s="87"/>
      <c r="BE2225" s="87"/>
      <c r="BF2225" s="87"/>
      <c r="BG2225" s="87"/>
      <c r="BH2225" s="87"/>
      <c r="BI2225" s="87"/>
      <c r="BJ2225" s="87"/>
      <c r="BK2225" s="87"/>
      <c r="BL2225" s="87"/>
      <c r="BM2225" s="87"/>
      <c r="BN2225" s="87"/>
      <c r="BO2225" s="87"/>
      <c r="BP2225" s="87"/>
      <c r="BQ2225" s="87"/>
      <c r="BR2225" s="87"/>
      <c r="BS2225" s="87"/>
      <c r="BT2225" s="87"/>
      <c r="BU2225" s="87"/>
      <c r="BV2225" s="87"/>
      <c r="BW2225" s="87"/>
      <c r="BX2225" s="87"/>
      <c r="BY2225" s="87"/>
    </row>
    <row r="2226" spans="21:77" x14ac:dyDescent="0.3">
      <c r="U2226" s="19"/>
      <c r="V2226" s="87"/>
      <c r="W2226" s="87"/>
      <c r="X2226" s="87"/>
      <c r="Y2226" s="87"/>
      <c r="Z2226" s="87"/>
      <c r="AA2226" s="87"/>
      <c r="AB2226" s="87"/>
      <c r="AC2226" s="87"/>
      <c r="AD2226" s="87"/>
      <c r="AE2226" s="87"/>
      <c r="AF2226" s="87"/>
      <c r="AG2226" s="87"/>
      <c r="AH2226" s="87"/>
      <c r="AI2226" s="87"/>
      <c r="AJ2226" s="87"/>
      <c r="AK2226" s="87"/>
      <c r="AL2226" s="87"/>
      <c r="AM2226" s="87"/>
      <c r="AN2226" s="87"/>
      <c r="AO2226" s="87"/>
      <c r="AP2226" s="87"/>
      <c r="AQ2226" s="87"/>
      <c r="AR2226" s="87"/>
      <c r="AS2226" s="87"/>
      <c r="AT2226" s="87"/>
      <c r="AU2226" s="87"/>
      <c r="AV2226" s="87"/>
      <c r="AW2226" s="87"/>
      <c r="AX2226" s="87"/>
      <c r="AY2226" s="87"/>
      <c r="AZ2226" s="87"/>
      <c r="BA2226" s="87"/>
      <c r="BB2226" s="87"/>
      <c r="BC2226" s="87"/>
      <c r="BD2226" s="87"/>
      <c r="BE2226" s="87"/>
      <c r="BF2226" s="87"/>
      <c r="BG2226" s="87"/>
      <c r="BH2226" s="87"/>
      <c r="BI2226" s="87"/>
      <c r="BJ2226" s="87"/>
      <c r="BK2226" s="87"/>
      <c r="BL2226" s="87"/>
      <c r="BM2226" s="87"/>
      <c r="BN2226" s="87"/>
      <c r="BO2226" s="87"/>
      <c r="BP2226" s="87"/>
      <c r="BQ2226" s="87"/>
      <c r="BR2226" s="87"/>
      <c r="BS2226" s="87"/>
      <c r="BT2226" s="87"/>
      <c r="BU2226" s="87"/>
      <c r="BV2226" s="87"/>
      <c r="BW2226" s="87"/>
      <c r="BX2226" s="87"/>
      <c r="BY2226" s="87"/>
    </row>
    <row r="2227" spans="21:77" x14ac:dyDescent="0.3">
      <c r="U2227" s="19"/>
      <c r="V2227" s="87"/>
      <c r="W2227" s="87"/>
      <c r="X2227" s="87"/>
      <c r="Y2227" s="87"/>
      <c r="Z2227" s="87"/>
      <c r="AA2227" s="87"/>
      <c r="AB2227" s="87"/>
      <c r="AC2227" s="87"/>
      <c r="AD2227" s="87"/>
      <c r="AE2227" s="87"/>
      <c r="AF2227" s="87"/>
      <c r="AG2227" s="87"/>
      <c r="AH2227" s="87"/>
      <c r="AI2227" s="87"/>
      <c r="AJ2227" s="87"/>
      <c r="AK2227" s="87"/>
      <c r="AL2227" s="87"/>
      <c r="AM2227" s="87"/>
      <c r="AN2227" s="87"/>
      <c r="AO2227" s="87"/>
      <c r="AP2227" s="87"/>
      <c r="AQ2227" s="87"/>
      <c r="AR2227" s="87"/>
      <c r="AS2227" s="87"/>
      <c r="AT2227" s="87"/>
      <c r="AU2227" s="87"/>
      <c r="AV2227" s="87"/>
      <c r="AW2227" s="87"/>
      <c r="AX2227" s="87"/>
      <c r="AY2227" s="87"/>
      <c r="AZ2227" s="87"/>
      <c r="BA2227" s="87"/>
      <c r="BB2227" s="87"/>
      <c r="BC2227" s="87"/>
      <c r="BD2227" s="87"/>
      <c r="BE2227" s="87"/>
      <c r="BF2227" s="87"/>
      <c r="BG2227" s="87"/>
      <c r="BH2227" s="87"/>
      <c r="BI2227" s="87"/>
      <c r="BJ2227" s="87"/>
      <c r="BK2227" s="87"/>
      <c r="BL2227" s="87"/>
      <c r="BM2227" s="87"/>
      <c r="BN2227" s="87"/>
      <c r="BO2227" s="87"/>
      <c r="BP2227" s="87"/>
      <c r="BQ2227" s="87"/>
      <c r="BR2227" s="87"/>
      <c r="BS2227" s="87"/>
      <c r="BT2227" s="87"/>
      <c r="BU2227" s="87"/>
      <c r="BV2227" s="87"/>
      <c r="BW2227" s="87"/>
      <c r="BX2227" s="87"/>
      <c r="BY2227" s="87"/>
    </row>
    <row r="2228" spans="21:77" x14ac:dyDescent="0.3">
      <c r="U2228" s="19"/>
      <c r="V2228" s="87"/>
      <c r="W2228" s="87"/>
      <c r="X2228" s="87"/>
      <c r="Y2228" s="87"/>
      <c r="Z2228" s="87"/>
      <c r="AA2228" s="87"/>
      <c r="AB2228" s="87"/>
      <c r="AC2228" s="87"/>
      <c r="AD2228" s="87"/>
      <c r="AE2228" s="87"/>
      <c r="AF2228" s="87"/>
      <c r="AG2228" s="87"/>
      <c r="AH2228" s="87"/>
      <c r="AI2228" s="87"/>
      <c r="AJ2228" s="87"/>
      <c r="AK2228" s="87"/>
      <c r="AL2228" s="87"/>
      <c r="AM2228" s="87"/>
      <c r="AN2228" s="87"/>
      <c r="AO2228" s="87"/>
      <c r="AP2228" s="87"/>
      <c r="AQ2228" s="87"/>
      <c r="AR2228" s="87"/>
      <c r="AS2228" s="87"/>
      <c r="AT2228" s="87"/>
      <c r="AU2228" s="87"/>
      <c r="AV2228" s="87"/>
      <c r="AW2228" s="87"/>
      <c r="AX2228" s="87"/>
      <c r="AY2228" s="87"/>
      <c r="AZ2228" s="87"/>
      <c r="BA2228" s="87"/>
      <c r="BB2228" s="87"/>
      <c r="BC2228" s="87"/>
      <c r="BD2228" s="87"/>
      <c r="BE2228" s="87"/>
      <c r="BF2228" s="87"/>
      <c r="BG2228" s="87"/>
      <c r="BH2228" s="87"/>
      <c r="BI2228" s="87"/>
      <c r="BJ2228" s="87"/>
      <c r="BK2228" s="87"/>
      <c r="BL2228" s="87"/>
      <c r="BM2228" s="87"/>
      <c r="BN2228" s="87"/>
      <c r="BO2228" s="87"/>
      <c r="BP2228" s="87"/>
      <c r="BQ2228" s="87"/>
      <c r="BR2228" s="87"/>
      <c r="BS2228" s="87"/>
      <c r="BT2228" s="87"/>
      <c r="BU2228" s="87"/>
      <c r="BV2228" s="87"/>
      <c r="BW2228" s="87"/>
      <c r="BX2228" s="87"/>
      <c r="BY2228" s="87"/>
    </row>
    <row r="2229" spans="21:77" x14ac:dyDescent="0.3">
      <c r="U2229" s="19"/>
      <c r="V2229" s="87"/>
      <c r="W2229" s="87"/>
      <c r="X2229" s="87"/>
      <c r="Y2229" s="87"/>
      <c r="Z2229" s="87"/>
      <c r="AA2229" s="87"/>
      <c r="AB2229" s="87"/>
      <c r="AC2229" s="87"/>
      <c r="AD2229" s="87"/>
      <c r="AE2229" s="87"/>
      <c r="AF2229" s="87"/>
      <c r="AG2229" s="87"/>
      <c r="AH2229" s="87"/>
      <c r="AI2229" s="87"/>
      <c r="AJ2229" s="87"/>
      <c r="AK2229" s="87"/>
      <c r="AL2229" s="87"/>
      <c r="AM2229" s="87"/>
      <c r="AN2229" s="87"/>
      <c r="AO2229" s="87"/>
      <c r="AP2229" s="87"/>
      <c r="AQ2229" s="87"/>
      <c r="AR2229" s="87"/>
      <c r="AS2229" s="87"/>
      <c r="AT2229" s="87"/>
      <c r="AU2229" s="87"/>
      <c r="AV2229" s="87"/>
      <c r="AW2229" s="87"/>
      <c r="AX2229" s="87"/>
      <c r="AY2229" s="87"/>
      <c r="AZ2229" s="87"/>
      <c r="BA2229" s="87"/>
      <c r="BB2229" s="87"/>
      <c r="BC2229" s="87"/>
      <c r="BD2229" s="87"/>
      <c r="BE2229" s="87"/>
      <c r="BF2229" s="87"/>
      <c r="BG2229" s="87"/>
      <c r="BH2229" s="87"/>
      <c r="BI2229" s="87"/>
      <c r="BJ2229" s="87"/>
      <c r="BK2229" s="87"/>
      <c r="BL2229" s="87"/>
      <c r="BM2229" s="87"/>
      <c r="BN2229" s="87"/>
      <c r="BO2229" s="87"/>
      <c r="BP2229" s="87"/>
      <c r="BQ2229" s="87"/>
      <c r="BR2229" s="87"/>
      <c r="BS2229" s="87"/>
      <c r="BT2229" s="87"/>
      <c r="BU2229" s="87"/>
      <c r="BV2229" s="87"/>
      <c r="BW2229" s="87"/>
      <c r="BX2229" s="87"/>
      <c r="BY2229" s="87"/>
    </row>
    <row r="2230" spans="21:77" x14ac:dyDescent="0.3">
      <c r="U2230" s="19"/>
      <c r="V2230" s="87"/>
      <c r="W2230" s="87"/>
      <c r="X2230" s="87"/>
      <c r="Y2230" s="87"/>
      <c r="Z2230" s="87"/>
      <c r="AA2230" s="87"/>
      <c r="AB2230" s="87"/>
      <c r="AC2230" s="87"/>
      <c r="AD2230" s="87"/>
      <c r="AE2230" s="87"/>
      <c r="AF2230" s="87"/>
      <c r="AG2230" s="87"/>
      <c r="AH2230" s="87"/>
      <c r="AI2230" s="87"/>
      <c r="AJ2230" s="87"/>
      <c r="AK2230" s="87"/>
      <c r="AL2230" s="87"/>
      <c r="AM2230" s="87"/>
      <c r="AN2230" s="87"/>
      <c r="AO2230" s="87"/>
      <c r="AP2230" s="87"/>
      <c r="AQ2230" s="87"/>
      <c r="AR2230" s="87"/>
      <c r="AS2230" s="87"/>
      <c r="AT2230" s="87"/>
      <c r="AU2230" s="87"/>
      <c r="AV2230" s="87"/>
      <c r="AW2230" s="87"/>
      <c r="AX2230" s="87"/>
      <c r="AY2230" s="87"/>
      <c r="AZ2230" s="87"/>
      <c r="BA2230" s="87"/>
      <c r="BB2230" s="87"/>
      <c r="BC2230" s="87"/>
      <c r="BD2230" s="87"/>
      <c r="BE2230" s="87"/>
      <c r="BF2230" s="87"/>
      <c r="BG2230" s="87"/>
      <c r="BH2230" s="87"/>
      <c r="BI2230" s="87"/>
      <c r="BJ2230" s="87"/>
      <c r="BK2230" s="87"/>
      <c r="BL2230" s="87"/>
      <c r="BM2230" s="87"/>
      <c r="BN2230" s="87"/>
      <c r="BO2230" s="87"/>
      <c r="BP2230" s="87"/>
      <c r="BQ2230" s="87"/>
      <c r="BR2230" s="87"/>
      <c r="BS2230" s="87"/>
      <c r="BT2230" s="87"/>
      <c r="BU2230" s="87"/>
      <c r="BV2230" s="87"/>
      <c r="BW2230" s="87"/>
      <c r="BX2230" s="87"/>
      <c r="BY2230" s="87"/>
    </row>
    <row r="2231" spans="21:77" x14ac:dyDescent="0.3">
      <c r="U2231" s="19"/>
      <c r="V2231" s="87"/>
      <c r="W2231" s="87"/>
      <c r="X2231" s="87"/>
      <c r="Y2231" s="87"/>
      <c r="Z2231" s="87"/>
      <c r="AA2231" s="87"/>
      <c r="AB2231" s="87"/>
      <c r="AC2231" s="87"/>
      <c r="AD2231" s="87"/>
      <c r="AE2231" s="87"/>
      <c r="AF2231" s="87"/>
      <c r="AG2231" s="87"/>
      <c r="AH2231" s="87"/>
      <c r="AI2231" s="87"/>
      <c r="AJ2231" s="87"/>
      <c r="AK2231" s="87"/>
      <c r="AL2231" s="87"/>
      <c r="AM2231" s="87"/>
      <c r="AN2231" s="87"/>
      <c r="AO2231" s="87"/>
      <c r="AP2231" s="87"/>
      <c r="AQ2231" s="87"/>
      <c r="AR2231" s="87"/>
      <c r="AS2231" s="87"/>
      <c r="AT2231" s="87"/>
      <c r="AU2231" s="87"/>
      <c r="AV2231" s="87"/>
      <c r="AW2231" s="87"/>
      <c r="AX2231" s="87"/>
      <c r="AY2231" s="87"/>
      <c r="AZ2231" s="87"/>
      <c r="BA2231" s="87"/>
      <c r="BB2231" s="87"/>
      <c r="BC2231" s="87"/>
      <c r="BD2231" s="87"/>
      <c r="BE2231" s="87"/>
      <c r="BF2231" s="87"/>
      <c r="BG2231" s="87"/>
      <c r="BH2231" s="87"/>
      <c r="BI2231" s="87"/>
      <c r="BJ2231" s="87"/>
      <c r="BK2231" s="87"/>
      <c r="BL2231" s="87"/>
      <c r="BM2231" s="87"/>
      <c r="BN2231" s="87"/>
      <c r="BO2231" s="87"/>
      <c r="BP2231" s="87"/>
      <c r="BQ2231" s="87"/>
      <c r="BR2231" s="87"/>
      <c r="BS2231" s="87"/>
      <c r="BT2231" s="87"/>
      <c r="BU2231" s="87"/>
      <c r="BV2231" s="87"/>
      <c r="BW2231" s="87"/>
      <c r="BX2231" s="87"/>
      <c r="BY2231" s="87"/>
    </row>
    <row r="2232" spans="21:77" x14ac:dyDescent="0.3">
      <c r="U2232" s="19"/>
      <c r="V2232" s="87"/>
      <c r="W2232" s="87"/>
      <c r="X2232" s="87"/>
      <c r="Y2232" s="87"/>
      <c r="Z2232" s="87"/>
      <c r="AA2232" s="87"/>
      <c r="AB2232" s="87"/>
      <c r="AC2232" s="87"/>
      <c r="AD2232" s="87"/>
      <c r="AE2232" s="87"/>
      <c r="AF2232" s="87"/>
      <c r="AG2232" s="87"/>
      <c r="AH2232" s="87"/>
      <c r="AI2232" s="87"/>
      <c r="AJ2232" s="87"/>
      <c r="AK2232" s="87"/>
      <c r="AL2232" s="87"/>
      <c r="AM2232" s="87"/>
      <c r="AN2232" s="87"/>
      <c r="AO2232" s="87"/>
      <c r="AP2232" s="87"/>
      <c r="AQ2232" s="87"/>
      <c r="AR2232" s="87"/>
      <c r="AS2232" s="87"/>
      <c r="AT2232" s="87"/>
      <c r="AU2232" s="87"/>
      <c r="AV2232" s="87"/>
      <c r="AW2232" s="87"/>
      <c r="AX2232" s="87"/>
      <c r="AY2232" s="87"/>
      <c r="AZ2232" s="87"/>
      <c r="BA2232" s="87"/>
      <c r="BB2232" s="87"/>
      <c r="BC2232" s="87"/>
      <c r="BD2232" s="87"/>
      <c r="BE2232" s="87"/>
      <c r="BF2232" s="87"/>
      <c r="BG2232" s="87"/>
      <c r="BH2232" s="87"/>
      <c r="BI2232" s="87"/>
      <c r="BJ2232" s="87"/>
      <c r="BK2232" s="87"/>
      <c r="BL2232" s="87"/>
      <c r="BM2232" s="87"/>
      <c r="BN2232" s="87"/>
      <c r="BO2232" s="87"/>
      <c r="BP2232" s="87"/>
      <c r="BQ2232" s="87"/>
      <c r="BR2232" s="87"/>
      <c r="BS2232" s="87"/>
      <c r="BT2232" s="87"/>
      <c r="BU2232" s="87"/>
      <c r="BV2232" s="87"/>
      <c r="BW2232" s="87"/>
      <c r="BX2232" s="87"/>
      <c r="BY2232" s="87"/>
    </row>
    <row r="2233" spans="21:77" x14ac:dyDescent="0.3">
      <c r="U2233" s="19"/>
      <c r="V2233" s="87"/>
      <c r="W2233" s="87"/>
      <c r="X2233" s="87"/>
      <c r="Y2233" s="87"/>
      <c r="Z2233" s="87"/>
      <c r="AA2233" s="87"/>
      <c r="AB2233" s="87"/>
      <c r="AC2233" s="87"/>
      <c r="AD2233" s="87"/>
      <c r="AE2233" s="87"/>
      <c r="AF2233" s="87"/>
      <c r="AG2233" s="87"/>
      <c r="AH2233" s="87"/>
      <c r="AI2233" s="87"/>
      <c r="AJ2233" s="87"/>
      <c r="AK2233" s="87"/>
      <c r="AL2233" s="87"/>
      <c r="AM2233" s="87"/>
      <c r="AN2233" s="87"/>
      <c r="AO2233" s="87"/>
      <c r="AP2233" s="87"/>
      <c r="AQ2233" s="87"/>
      <c r="AR2233" s="87"/>
      <c r="AS2233" s="87"/>
      <c r="AT2233" s="87"/>
      <c r="AU2233" s="87"/>
      <c r="AV2233" s="87"/>
      <c r="AW2233" s="87"/>
      <c r="AX2233" s="87"/>
      <c r="AY2233" s="87"/>
      <c r="AZ2233" s="87"/>
      <c r="BA2233" s="87"/>
      <c r="BB2233" s="87"/>
      <c r="BC2233" s="87"/>
      <c r="BD2233" s="87"/>
      <c r="BE2233" s="87"/>
      <c r="BF2233" s="87"/>
      <c r="BG2233" s="87"/>
      <c r="BH2233" s="87"/>
      <c r="BI2233" s="87"/>
      <c r="BJ2233" s="87"/>
      <c r="BK2233" s="87"/>
      <c r="BL2233" s="87"/>
      <c r="BM2233" s="87"/>
      <c r="BN2233" s="87"/>
      <c r="BO2233" s="87"/>
      <c r="BP2233" s="87"/>
      <c r="BQ2233" s="87"/>
      <c r="BR2233" s="87"/>
      <c r="BS2233" s="87"/>
      <c r="BT2233" s="87"/>
      <c r="BU2233" s="87"/>
      <c r="BV2233" s="87"/>
      <c r="BW2233" s="87"/>
      <c r="BX2233" s="87"/>
      <c r="BY2233" s="87"/>
    </row>
    <row r="2234" spans="21:77" x14ac:dyDescent="0.3">
      <c r="U2234" s="19"/>
      <c r="V2234" s="87"/>
      <c r="W2234" s="87"/>
      <c r="X2234" s="87"/>
      <c r="Y2234" s="87"/>
      <c r="Z2234" s="87"/>
      <c r="AA2234" s="87"/>
      <c r="AB2234" s="87"/>
      <c r="AC2234" s="87"/>
      <c r="AD2234" s="87"/>
      <c r="AE2234" s="87"/>
      <c r="AF2234" s="87"/>
      <c r="AG2234" s="87"/>
      <c r="AH2234" s="87"/>
      <c r="AI2234" s="87"/>
      <c r="AJ2234" s="87"/>
      <c r="AK2234" s="87"/>
      <c r="AL2234" s="87"/>
      <c r="AM2234" s="87"/>
      <c r="AN2234" s="87"/>
      <c r="AO2234" s="87"/>
      <c r="AP2234" s="87"/>
      <c r="AQ2234" s="87"/>
      <c r="AR2234" s="87"/>
      <c r="AS2234" s="87"/>
      <c r="AT2234" s="87"/>
      <c r="AU2234" s="87"/>
      <c r="AV2234" s="87"/>
      <c r="AW2234" s="87"/>
      <c r="AX2234" s="87"/>
      <c r="AY2234" s="87"/>
      <c r="AZ2234" s="87"/>
      <c r="BA2234" s="87"/>
      <c r="BB2234" s="87"/>
      <c r="BC2234" s="87"/>
      <c r="BD2234" s="87"/>
      <c r="BE2234" s="87"/>
      <c r="BF2234" s="87"/>
      <c r="BG2234" s="87"/>
      <c r="BH2234" s="87"/>
      <c r="BI2234" s="87"/>
      <c r="BJ2234" s="87"/>
      <c r="BK2234" s="87"/>
      <c r="BL2234" s="87"/>
      <c r="BM2234" s="87"/>
      <c r="BN2234" s="87"/>
      <c r="BO2234" s="87"/>
      <c r="BP2234" s="87"/>
      <c r="BQ2234" s="87"/>
      <c r="BR2234" s="87"/>
      <c r="BS2234" s="87"/>
      <c r="BT2234" s="87"/>
      <c r="BU2234" s="87"/>
      <c r="BV2234" s="87"/>
      <c r="BW2234" s="87"/>
      <c r="BX2234" s="87"/>
      <c r="BY2234" s="87"/>
    </row>
    <row r="2235" spans="21:77" x14ac:dyDescent="0.3">
      <c r="U2235" s="19"/>
      <c r="V2235" s="87"/>
      <c r="W2235" s="87"/>
      <c r="X2235" s="87"/>
      <c r="Y2235" s="87"/>
      <c r="Z2235" s="87"/>
      <c r="AA2235" s="87"/>
      <c r="AB2235" s="87"/>
      <c r="AC2235" s="87"/>
      <c r="AD2235" s="87"/>
      <c r="AE2235" s="87"/>
      <c r="AF2235" s="87"/>
      <c r="AG2235" s="87"/>
      <c r="AH2235" s="87"/>
      <c r="AI2235" s="87"/>
      <c r="AJ2235" s="87"/>
      <c r="AK2235" s="87"/>
      <c r="AL2235" s="87"/>
      <c r="AM2235" s="87"/>
      <c r="AN2235" s="87"/>
      <c r="AO2235" s="87"/>
      <c r="AP2235" s="87"/>
      <c r="AQ2235" s="87"/>
      <c r="AR2235" s="87"/>
      <c r="AS2235" s="87"/>
      <c r="AT2235" s="87"/>
      <c r="AU2235" s="87"/>
      <c r="AV2235" s="87"/>
      <c r="AW2235" s="87"/>
      <c r="AX2235" s="87"/>
      <c r="AY2235" s="87"/>
      <c r="AZ2235" s="87"/>
      <c r="BA2235" s="87"/>
      <c r="BB2235" s="87"/>
      <c r="BC2235" s="87"/>
      <c r="BD2235" s="87"/>
      <c r="BE2235" s="87"/>
      <c r="BF2235" s="87"/>
      <c r="BG2235" s="87"/>
      <c r="BH2235" s="87"/>
      <c r="BI2235" s="87"/>
      <c r="BJ2235" s="87"/>
      <c r="BK2235" s="87"/>
      <c r="BL2235" s="87"/>
      <c r="BM2235" s="87"/>
      <c r="BN2235" s="87"/>
      <c r="BO2235" s="87"/>
      <c r="BP2235" s="87"/>
      <c r="BQ2235" s="87"/>
      <c r="BR2235" s="87"/>
      <c r="BS2235" s="87"/>
      <c r="BT2235" s="87"/>
      <c r="BU2235" s="87"/>
      <c r="BV2235" s="87"/>
      <c r="BW2235" s="87"/>
      <c r="BX2235" s="87"/>
      <c r="BY2235" s="87"/>
    </row>
    <row r="2236" spans="21:77" x14ac:dyDescent="0.3">
      <c r="U2236" s="19"/>
      <c r="V2236" s="87"/>
      <c r="W2236" s="87"/>
      <c r="X2236" s="87"/>
      <c r="Y2236" s="87"/>
      <c r="Z2236" s="87"/>
      <c r="AA2236" s="87"/>
      <c r="AB2236" s="87"/>
      <c r="AC2236" s="87"/>
      <c r="AD2236" s="87"/>
      <c r="AE2236" s="87"/>
      <c r="AF2236" s="87"/>
      <c r="AG2236" s="87"/>
      <c r="AH2236" s="87"/>
      <c r="AI2236" s="87"/>
      <c r="AJ2236" s="87"/>
      <c r="AK2236" s="87"/>
      <c r="AL2236" s="87"/>
      <c r="AM2236" s="87"/>
      <c r="AN2236" s="87"/>
      <c r="AO2236" s="87"/>
      <c r="AP2236" s="87"/>
      <c r="AQ2236" s="87"/>
      <c r="AR2236" s="87"/>
      <c r="AS2236" s="87"/>
      <c r="AT2236" s="87"/>
      <c r="AU2236" s="87"/>
      <c r="AV2236" s="87"/>
      <c r="AW2236" s="87"/>
      <c r="AX2236" s="87"/>
      <c r="AY2236" s="87"/>
      <c r="AZ2236" s="87"/>
      <c r="BA2236" s="87"/>
      <c r="BB2236" s="87"/>
      <c r="BC2236" s="87"/>
      <c r="BD2236" s="87"/>
      <c r="BE2236" s="87"/>
      <c r="BF2236" s="87"/>
      <c r="BG2236" s="87"/>
      <c r="BH2236" s="87"/>
      <c r="BI2236" s="87"/>
      <c r="BJ2236" s="87"/>
      <c r="BK2236" s="87"/>
      <c r="BL2236" s="87"/>
      <c r="BM2236" s="87"/>
      <c r="BN2236" s="87"/>
      <c r="BO2236" s="87"/>
      <c r="BP2236" s="87"/>
      <c r="BQ2236" s="87"/>
      <c r="BR2236" s="87"/>
      <c r="BS2236" s="87"/>
      <c r="BT2236" s="87"/>
      <c r="BU2236" s="87"/>
      <c r="BV2236" s="87"/>
      <c r="BW2236" s="87"/>
      <c r="BX2236" s="87"/>
      <c r="BY2236" s="87"/>
    </row>
    <row r="2237" spans="21:77" x14ac:dyDescent="0.3">
      <c r="U2237" s="19"/>
      <c r="V2237" s="87"/>
      <c r="W2237" s="87"/>
      <c r="X2237" s="87"/>
      <c r="Y2237" s="87"/>
      <c r="Z2237" s="87"/>
      <c r="AA2237" s="87"/>
      <c r="AB2237" s="87"/>
      <c r="AC2237" s="87"/>
      <c r="AD2237" s="87"/>
      <c r="AE2237" s="87"/>
      <c r="AF2237" s="87"/>
      <c r="AG2237" s="87"/>
      <c r="AH2237" s="87"/>
      <c r="AI2237" s="87"/>
      <c r="AJ2237" s="87"/>
      <c r="AK2237" s="87"/>
      <c r="AL2237" s="87"/>
      <c r="AM2237" s="87"/>
      <c r="AN2237" s="87"/>
      <c r="AO2237" s="87"/>
      <c r="AP2237" s="87"/>
      <c r="AQ2237" s="87"/>
      <c r="AR2237" s="87"/>
      <c r="AS2237" s="87"/>
      <c r="AT2237" s="87"/>
      <c r="AU2237" s="87"/>
      <c r="AV2237" s="87"/>
      <c r="AW2237" s="87"/>
      <c r="AX2237" s="87"/>
      <c r="AY2237" s="87"/>
      <c r="AZ2237" s="87"/>
      <c r="BA2237" s="87"/>
      <c r="BB2237" s="87"/>
      <c r="BC2237" s="87"/>
      <c r="BD2237" s="87"/>
      <c r="BE2237" s="87"/>
      <c r="BF2237" s="87"/>
      <c r="BG2237" s="87"/>
      <c r="BH2237" s="87"/>
      <c r="BI2237" s="87"/>
      <c r="BJ2237" s="87"/>
      <c r="BK2237" s="87"/>
      <c r="BL2237" s="87"/>
      <c r="BM2237" s="87"/>
      <c r="BN2237" s="87"/>
      <c r="BO2237" s="87"/>
      <c r="BP2237" s="87"/>
      <c r="BQ2237" s="87"/>
      <c r="BR2237" s="87"/>
      <c r="BS2237" s="87"/>
      <c r="BT2237" s="87"/>
      <c r="BU2237" s="87"/>
      <c r="BV2237" s="87"/>
      <c r="BW2237" s="87"/>
      <c r="BX2237" s="87"/>
      <c r="BY2237" s="87"/>
    </row>
    <row r="2238" spans="21:77" x14ac:dyDescent="0.3">
      <c r="U2238" s="19"/>
      <c r="V2238" s="87"/>
      <c r="W2238" s="87"/>
      <c r="X2238" s="87"/>
      <c r="Y2238" s="87"/>
      <c r="Z2238" s="87"/>
      <c r="AA2238" s="87"/>
      <c r="AB2238" s="87"/>
      <c r="AC2238" s="87"/>
      <c r="AD2238" s="87"/>
      <c r="AE2238" s="87"/>
      <c r="AF2238" s="87"/>
      <c r="AG2238" s="87"/>
      <c r="AH2238" s="87"/>
      <c r="AI2238" s="87"/>
      <c r="AJ2238" s="87"/>
      <c r="AK2238" s="87"/>
      <c r="AL2238" s="87"/>
      <c r="AM2238" s="87"/>
      <c r="AN2238" s="87"/>
      <c r="AO2238" s="87"/>
      <c r="AP2238" s="87"/>
      <c r="AQ2238" s="87"/>
      <c r="AR2238" s="87"/>
      <c r="AS2238" s="87"/>
      <c r="AT2238" s="87"/>
      <c r="AU2238" s="87"/>
      <c r="AV2238" s="87"/>
      <c r="AW2238" s="87"/>
      <c r="AX2238" s="87"/>
      <c r="AY2238" s="87"/>
      <c r="AZ2238" s="87"/>
      <c r="BA2238" s="87"/>
      <c r="BB2238" s="87"/>
      <c r="BC2238" s="87"/>
      <c r="BD2238" s="87"/>
      <c r="BE2238" s="87"/>
      <c r="BF2238" s="87"/>
      <c r="BG2238" s="87"/>
      <c r="BH2238" s="87"/>
      <c r="BI2238" s="87"/>
      <c r="BJ2238" s="87"/>
      <c r="BK2238" s="87"/>
      <c r="BL2238" s="87"/>
      <c r="BM2238" s="87"/>
      <c r="BN2238" s="87"/>
      <c r="BO2238" s="87"/>
      <c r="BP2238" s="87"/>
      <c r="BQ2238" s="87"/>
      <c r="BR2238" s="87"/>
      <c r="BS2238" s="87"/>
      <c r="BT2238" s="87"/>
      <c r="BU2238" s="87"/>
      <c r="BV2238" s="87"/>
      <c r="BW2238" s="87"/>
      <c r="BX2238" s="87"/>
      <c r="BY2238" s="87"/>
    </row>
    <row r="2239" spans="21:77" x14ac:dyDescent="0.3">
      <c r="U2239" s="19"/>
      <c r="V2239" s="87"/>
      <c r="W2239" s="87"/>
      <c r="X2239" s="87"/>
      <c r="Y2239" s="87"/>
      <c r="Z2239" s="87"/>
      <c r="AA2239" s="87"/>
      <c r="AB2239" s="87"/>
      <c r="AC2239" s="87"/>
      <c r="AD2239" s="87"/>
      <c r="AE2239" s="87"/>
      <c r="AF2239" s="87"/>
      <c r="AG2239" s="87"/>
      <c r="AH2239" s="87"/>
      <c r="AI2239" s="87"/>
      <c r="AJ2239" s="87"/>
      <c r="AK2239" s="87"/>
      <c r="AL2239" s="87"/>
      <c r="AM2239" s="87"/>
      <c r="AN2239" s="87"/>
      <c r="AO2239" s="87"/>
      <c r="AP2239" s="87"/>
      <c r="AQ2239" s="87"/>
      <c r="AR2239" s="87"/>
      <c r="AS2239" s="87"/>
      <c r="AT2239" s="87"/>
      <c r="AU2239" s="87"/>
      <c r="AV2239" s="87"/>
      <c r="AW2239" s="87"/>
      <c r="AX2239" s="87"/>
      <c r="AY2239" s="87"/>
      <c r="AZ2239" s="87"/>
      <c r="BA2239" s="87"/>
      <c r="BB2239" s="87"/>
      <c r="BC2239" s="87"/>
      <c r="BD2239" s="87"/>
      <c r="BE2239" s="87"/>
      <c r="BF2239" s="87"/>
      <c r="BG2239" s="87"/>
      <c r="BH2239" s="87"/>
      <c r="BI2239" s="87"/>
      <c r="BJ2239" s="87"/>
      <c r="BK2239" s="87"/>
      <c r="BL2239" s="87"/>
      <c r="BM2239" s="87"/>
      <c r="BN2239" s="87"/>
      <c r="BO2239" s="87"/>
      <c r="BP2239" s="87"/>
      <c r="BQ2239" s="87"/>
      <c r="BR2239" s="87"/>
      <c r="BS2239" s="87"/>
      <c r="BT2239" s="87"/>
      <c r="BU2239" s="87"/>
      <c r="BV2239" s="87"/>
      <c r="BW2239" s="87"/>
      <c r="BX2239" s="87"/>
      <c r="BY2239" s="87"/>
    </row>
    <row r="2240" spans="21:77" x14ac:dyDescent="0.3">
      <c r="U2240" s="19"/>
      <c r="V2240" s="87"/>
      <c r="W2240" s="87"/>
      <c r="X2240" s="87"/>
      <c r="Y2240" s="87"/>
      <c r="Z2240" s="87"/>
      <c r="AA2240" s="87"/>
      <c r="AB2240" s="87"/>
      <c r="AC2240" s="87"/>
      <c r="AD2240" s="87"/>
      <c r="AE2240" s="87"/>
      <c r="AF2240" s="87"/>
      <c r="AG2240" s="87"/>
      <c r="AH2240" s="87"/>
      <c r="AI2240" s="87"/>
      <c r="AJ2240" s="87"/>
      <c r="AK2240" s="87"/>
      <c r="AL2240" s="87"/>
      <c r="AM2240" s="87"/>
      <c r="AN2240" s="87"/>
      <c r="AO2240" s="87"/>
      <c r="AP2240" s="87"/>
      <c r="AQ2240" s="87"/>
      <c r="AR2240" s="87"/>
      <c r="AS2240" s="87"/>
      <c r="AT2240" s="87"/>
      <c r="AU2240" s="87"/>
      <c r="AV2240" s="87"/>
      <c r="AW2240" s="87"/>
      <c r="AX2240" s="87"/>
      <c r="AY2240" s="87"/>
      <c r="AZ2240" s="87"/>
      <c r="BA2240" s="87"/>
      <c r="BB2240" s="87"/>
      <c r="BC2240" s="87"/>
      <c r="BD2240" s="87"/>
      <c r="BE2240" s="87"/>
      <c r="BF2240" s="87"/>
      <c r="BG2240" s="87"/>
      <c r="BH2240" s="87"/>
      <c r="BI2240" s="87"/>
      <c r="BJ2240" s="87"/>
      <c r="BK2240" s="87"/>
      <c r="BL2240" s="87"/>
      <c r="BM2240" s="87"/>
      <c r="BN2240" s="87"/>
      <c r="BO2240" s="87"/>
      <c r="BP2240" s="87"/>
      <c r="BQ2240" s="87"/>
      <c r="BR2240" s="87"/>
      <c r="BS2240" s="87"/>
      <c r="BT2240" s="87"/>
      <c r="BU2240" s="87"/>
      <c r="BV2240" s="87"/>
      <c r="BW2240" s="87"/>
      <c r="BX2240" s="87"/>
      <c r="BY2240" s="87"/>
    </row>
    <row r="2241" spans="21:77" x14ac:dyDescent="0.3">
      <c r="U2241" s="19"/>
      <c r="V2241" s="87"/>
      <c r="W2241" s="87"/>
      <c r="X2241" s="87"/>
      <c r="Y2241" s="87"/>
      <c r="Z2241" s="87"/>
      <c r="AA2241" s="87"/>
      <c r="AB2241" s="87"/>
      <c r="AC2241" s="87"/>
      <c r="AD2241" s="87"/>
      <c r="AE2241" s="87"/>
      <c r="AF2241" s="87"/>
      <c r="AG2241" s="87"/>
      <c r="AH2241" s="87"/>
      <c r="AI2241" s="87"/>
      <c r="AJ2241" s="87"/>
      <c r="AK2241" s="87"/>
      <c r="AL2241" s="87"/>
      <c r="AM2241" s="87"/>
      <c r="AN2241" s="87"/>
      <c r="AO2241" s="87"/>
      <c r="AP2241" s="87"/>
      <c r="AQ2241" s="87"/>
      <c r="AR2241" s="87"/>
      <c r="AS2241" s="87"/>
      <c r="AT2241" s="87"/>
      <c r="AU2241" s="87"/>
      <c r="AV2241" s="87"/>
      <c r="AW2241" s="87"/>
      <c r="AX2241" s="87"/>
      <c r="AY2241" s="87"/>
      <c r="AZ2241" s="87"/>
      <c r="BA2241" s="87"/>
      <c r="BB2241" s="87"/>
      <c r="BC2241" s="87"/>
      <c r="BD2241" s="87"/>
      <c r="BE2241" s="87"/>
      <c r="BF2241" s="87"/>
      <c r="BG2241" s="87"/>
      <c r="BH2241" s="87"/>
      <c r="BI2241" s="87"/>
      <c r="BJ2241" s="87"/>
      <c r="BK2241" s="87"/>
      <c r="BL2241" s="87"/>
      <c r="BM2241" s="87"/>
      <c r="BN2241" s="87"/>
      <c r="BO2241" s="87"/>
      <c r="BP2241" s="87"/>
      <c r="BQ2241" s="87"/>
      <c r="BR2241" s="87"/>
      <c r="BS2241" s="87"/>
      <c r="BT2241" s="87"/>
      <c r="BU2241" s="87"/>
      <c r="BV2241" s="87"/>
      <c r="BW2241" s="87"/>
      <c r="BX2241" s="87"/>
      <c r="BY2241" s="87"/>
    </row>
    <row r="2242" spans="21:77" x14ac:dyDescent="0.3">
      <c r="U2242" s="19"/>
      <c r="V2242" s="87"/>
      <c r="W2242" s="87"/>
      <c r="X2242" s="87"/>
      <c r="Y2242" s="87"/>
      <c r="Z2242" s="87"/>
      <c r="AA2242" s="87"/>
      <c r="AB2242" s="87"/>
      <c r="AC2242" s="87"/>
      <c r="AD2242" s="87"/>
      <c r="AE2242" s="87"/>
      <c r="AF2242" s="87"/>
      <c r="AG2242" s="87"/>
      <c r="AH2242" s="87"/>
      <c r="AI2242" s="87"/>
      <c r="AJ2242" s="87"/>
      <c r="AK2242" s="87"/>
      <c r="AL2242" s="87"/>
      <c r="AM2242" s="87"/>
      <c r="AN2242" s="87"/>
      <c r="AO2242" s="87"/>
      <c r="AP2242" s="87"/>
      <c r="AQ2242" s="87"/>
      <c r="AR2242" s="87"/>
      <c r="AS2242" s="87"/>
      <c r="AT2242" s="87"/>
      <c r="AU2242" s="87"/>
      <c r="AV2242" s="87"/>
      <c r="AW2242" s="87"/>
      <c r="AX2242" s="87"/>
      <c r="AY2242" s="87"/>
      <c r="AZ2242" s="87"/>
      <c r="BA2242" s="87"/>
      <c r="BB2242" s="87"/>
      <c r="BC2242" s="87"/>
      <c r="BD2242" s="87"/>
      <c r="BE2242" s="87"/>
      <c r="BF2242" s="87"/>
      <c r="BG2242" s="87"/>
      <c r="BH2242" s="87"/>
      <c r="BI2242" s="87"/>
      <c r="BJ2242" s="87"/>
      <c r="BK2242" s="87"/>
      <c r="BL2242" s="87"/>
      <c r="BM2242" s="87"/>
      <c r="BN2242" s="87"/>
      <c r="BO2242" s="87"/>
      <c r="BP2242" s="87"/>
      <c r="BQ2242" s="87"/>
      <c r="BR2242" s="87"/>
      <c r="BS2242" s="87"/>
      <c r="BT2242" s="87"/>
      <c r="BU2242" s="87"/>
      <c r="BV2242" s="87"/>
      <c r="BW2242" s="87"/>
      <c r="BX2242" s="87"/>
      <c r="BY2242" s="87"/>
    </row>
    <row r="2243" spans="21:77" x14ac:dyDescent="0.3">
      <c r="U2243" s="19"/>
      <c r="V2243" s="87"/>
      <c r="W2243" s="87"/>
      <c r="X2243" s="87"/>
      <c r="Y2243" s="87"/>
      <c r="Z2243" s="87"/>
      <c r="AA2243" s="87"/>
      <c r="AB2243" s="87"/>
      <c r="AC2243" s="87"/>
      <c r="AD2243" s="87"/>
      <c r="AE2243" s="87"/>
      <c r="AF2243" s="87"/>
      <c r="AG2243" s="87"/>
      <c r="AH2243" s="87"/>
      <c r="AI2243" s="87"/>
      <c r="AJ2243" s="87"/>
      <c r="AK2243" s="87"/>
      <c r="AL2243" s="87"/>
      <c r="AM2243" s="87"/>
      <c r="AN2243" s="87"/>
      <c r="AO2243" s="87"/>
      <c r="AP2243" s="87"/>
      <c r="AQ2243" s="87"/>
      <c r="AR2243" s="87"/>
      <c r="AS2243" s="87"/>
      <c r="AT2243" s="87"/>
      <c r="AU2243" s="87"/>
      <c r="AV2243" s="87"/>
      <c r="AW2243" s="87"/>
      <c r="AX2243" s="87"/>
      <c r="AY2243" s="87"/>
      <c r="AZ2243" s="87"/>
      <c r="BA2243" s="87"/>
      <c r="BB2243" s="87"/>
      <c r="BC2243" s="87"/>
      <c r="BD2243" s="87"/>
      <c r="BE2243" s="87"/>
      <c r="BF2243" s="87"/>
      <c r="BG2243" s="87"/>
      <c r="BH2243" s="87"/>
      <c r="BI2243" s="87"/>
      <c r="BJ2243" s="87"/>
      <c r="BK2243" s="87"/>
      <c r="BL2243" s="87"/>
      <c r="BM2243" s="87"/>
      <c r="BN2243" s="87"/>
      <c r="BO2243" s="87"/>
      <c r="BP2243" s="87"/>
      <c r="BQ2243" s="87"/>
      <c r="BR2243" s="87"/>
      <c r="BS2243" s="87"/>
      <c r="BT2243" s="87"/>
      <c r="BU2243" s="87"/>
      <c r="BV2243" s="87"/>
      <c r="BW2243" s="87"/>
      <c r="BX2243" s="87"/>
      <c r="BY2243" s="87"/>
    </row>
    <row r="2244" spans="21:77" x14ac:dyDescent="0.3">
      <c r="U2244" s="19"/>
      <c r="V2244" s="87"/>
      <c r="W2244" s="87"/>
      <c r="X2244" s="87"/>
      <c r="Y2244" s="87"/>
      <c r="Z2244" s="87"/>
      <c r="AA2244" s="87"/>
      <c r="AB2244" s="87"/>
      <c r="AC2244" s="87"/>
      <c r="AD2244" s="87"/>
      <c r="AE2244" s="87"/>
      <c r="AF2244" s="87"/>
      <c r="AG2244" s="87"/>
      <c r="AH2244" s="87"/>
      <c r="AI2244" s="87"/>
      <c r="AJ2244" s="87"/>
      <c r="AK2244" s="87"/>
      <c r="AL2244" s="87"/>
      <c r="AM2244" s="87"/>
      <c r="AN2244" s="87"/>
      <c r="AO2244" s="87"/>
      <c r="AP2244" s="87"/>
      <c r="AQ2244" s="87"/>
      <c r="AR2244" s="87"/>
      <c r="AS2244" s="87"/>
      <c r="AT2244" s="87"/>
      <c r="AU2244" s="87"/>
      <c r="AV2244" s="87"/>
      <c r="AW2244" s="87"/>
      <c r="AX2244" s="87"/>
      <c r="AY2244" s="87"/>
      <c r="AZ2244" s="87"/>
      <c r="BA2244" s="87"/>
      <c r="BB2244" s="87"/>
      <c r="BC2244" s="87"/>
      <c r="BD2244" s="87"/>
      <c r="BE2244" s="87"/>
      <c r="BF2244" s="87"/>
      <c r="BG2244" s="87"/>
      <c r="BH2244" s="87"/>
      <c r="BI2244" s="87"/>
      <c r="BJ2244" s="87"/>
      <c r="BK2244" s="87"/>
      <c r="BL2244" s="87"/>
      <c r="BM2244" s="87"/>
      <c r="BN2244" s="87"/>
      <c r="BO2244" s="87"/>
      <c r="BP2244" s="87"/>
      <c r="BQ2244" s="87"/>
      <c r="BR2244" s="87"/>
      <c r="BS2244" s="87"/>
      <c r="BT2244" s="87"/>
      <c r="BU2244" s="87"/>
      <c r="BV2244" s="87"/>
      <c r="BW2244" s="87"/>
      <c r="BX2244" s="87"/>
      <c r="BY2244" s="87"/>
    </row>
    <row r="2245" spans="21:77" x14ac:dyDescent="0.3">
      <c r="U2245" s="19"/>
      <c r="V2245" s="87"/>
      <c r="W2245" s="87"/>
      <c r="X2245" s="87"/>
      <c r="Y2245" s="87"/>
      <c r="Z2245" s="87"/>
      <c r="AA2245" s="87"/>
      <c r="AB2245" s="87"/>
      <c r="AC2245" s="87"/>
      <c r="AD2245" s="87"/>
      <c r="AE2245" s="87"/>
      <c r="AF2245" s="87"/>
      <c r="AG2245" s="87"/>
      <c r="AH2245" s="87"/>
      <c r="AI2245" s="87"/>
      <c r="AJ2245" s="87"/>
      <c r="AK2245" s="87"/>
      <c r="AL2245" s="87"/>
      <c r="AM2245" s="87"/>
      <c r="AN2245" s="87"/>
      <c r="AO2245" s="87"/>
      <c r="AP2245" s="87"/>
      <c r="AQ2245" s="87"/>
      <c r="AR2245" s="87"/>
      <c r="AS2245" s="87"/>
      <c r="AT2245" s="87"/>
      <c r="AU2245" s="87"/>
      <c r="AV2245" s="87"/>
      <c r="AW2245" s="87"/>
      <c r="AX2245" s="87"/>
      <c r="AY2245" s="87"/>
      <c r="AZ2245" s="87"/>
      <c r="BA2245" s="87"/>
      <c r="BB2245" s="87"/>
      <c r="BC2245" s="87"/>
      <c r="BD2245" s="87"/>
      <c r="BE2245" s="87"/>
      <c r="BF2245" s="87"/>
      <c r="BG2245" s="87"/>
      <c r="BH2245" s="87"/>
      <c r="BI2245" s="87"/>
      <c r="BJ2245" s="87"/>
      <c r="BK2245" s="87"/>
      <c r="BL2245" s="87"/>
      <c r="BM2245" s="87"/>
      <c r="BN2245" s="87"/>
      <c r="BO2245" s="87"/>
      <c r="BP2245" s="87"/>
      <c r="BQ2245" s="87"/>
      <c r="BR2245" s="87"/>
      <c r="BS2245" s="87"/>
      <c r="BT2245" s="87"/>
      <c r="BU2245" s="87"/>
      <c r="BV2245" s="87"/>
      <c r="BW2245" s="87"/>
      <c r="BX2245" s="87"/>
      <c r="BY2245" s="87"/>
    </row>
    <row r="2246" spans="21:77" x14ac:dyDescent="0.3">
      <c r="U2246" s="19"/>
      <c r="V2246" s="87"/>
      <c r="W2246" s="87"/>
      <c r="X2246" s="87"/>
      <c r="Y2246" s="87"/>
      <c r="Z2246" s="87"/>
      <c r="AA2246" s="87"/>
      <c r="AB2246" s="87"/>
      <c r="AC2246" s="87"/>
      <c r="AD2246" s="87"/>
      <c r="AE2246" s="87"/>
      <c r="AF2246" s="87"/>
      <c r="AG2246" s="87"/>
      <c r="AH2246" s="87"/>
      <c r="AI2246" s="87"/>
      <c r="AJ2246" s="87"/>
      <c r="AK2246" s="87"/>
      <c r="AL2246" s="87"/>
      <c r="AM2246" s="87"/>
      <c r="AN2246" s="87"/>
      <c r="AO2246" s="87"/>
      <c r="AP2246" s="87"/>
      <c r="AQ2246" s="87"/>
      <c r="AR2246" s="87"/>
      <c r="AS2246" s="87"/>
      <c r="AT2246" s="87"/>
      <c r="AU2246" s="87"/>
      <c r="AV2246" s="87"/>
      <c r="AW2246" s="87"/>
      <c r="AX2246" s="87"/>
      <c r="AY2246" s="87"/>
      <c r="AZ2246" s="87"/>
      <c r="BA2246" s="87"/>
      <c r="BB2246" s="87"/>
      <c r="BC2246" s="87"/>
      <c r="BD2246" s="87"/>
      <c r="BE2246" s="87"/>
      <c r="BF2246" s="87"/>
      <c r="BG2246" s="87"/>
      <c r="BH2246" s="87"/>
      <c r="BI2246" s="87"/>
      <c r="BJ2246" s="87"/>
      <c r="BK2246" s="87"/>
      <c r="BL2246" s="87"/>
      <c r="BM2246" s="87"/>
      <c r="BN2246" s="87"/>
      <c r="BO2246" s="87"/>
      <c r="BP2246" s="87"/>
      <c r="BQ2246" s="87"/>
      <c r="BR2246" s="87"/>
      <c r="BS2246" s="87"/>
      <c r="BT2246" s="87"/>
      <c r="BU2246" s="87"/>
      <c r="BV2246" s="87"/>
      <c r="BW2246" s="87"/>
      <c r="BX2246" s="87"/>
      <c r="BY2246" s="87"/>
    </row>
    <row r="2247" spans="21:77" x14ac:dyDescent="0.3">
      <c r="U2247" s="19"/>
      <c r="V2247" s="87"/>
      <c r="W2247" s="87"/>
      <c r="X2247" s="87"/>
      <c r="Y2247" s="87"/>
      <c r="Z2247" s="87"/>
      <c r="AA2247" s="87"/>
      <c r="AB2247" s="87"/>
      <c r="AC2247" s="87"/>
      <c r="AD2247" s="87"/>
      <c r="AE2247" s="87"/>
      <c r="AF2247" s="87"/>
      <c r="AG2247" s="87"/>
      <c r="AH2247" s="87"/>
      <c r="AI2247" s="87"/>
      <c r="AJ2247" s="87"/>
      <c r="AK2247" s="87"/>
      <c r="AL2247" s="87"/>
      <c r="AM2247" s="87"/>
      <c r="AN2247" s="87"/>
      <c r="AO2247" s="87"/>
      <c r="AP2247" s="87"/>
      <c r="AQ2247" s="87"/>
      <c r="AR2247" s="87"/>
      <c r="AS2247" s="87"/>
      <c r="AT2247" s="87"/>
      <c r="AU2247" s="87"/>
      <c r="AV2247" s="87"/>
      <c r="AW2247" s="87"/>
      <c r="AX2247" s="87"/>
      <c r="AY2247" s="87"/>
      <c r="AZ2247" s="87"/>
      <c r="BA2247" s="87"/>
      <c r="BB2247" s="87"/>
      <c r="BC2247" s="87"/>
      <c r="BD2247" s="87"/>
      <c r="BE2247" s="87"/>
      <c r="BF2247" s="87"/>
      <c r="BG2247" s="87"/>
      <c r="BH2247" s="87"/>
      <c r="BI2247" s="87"/>
      <c r="BJ2247" s="87"/>
      <c r="BK2247" s="87"/>
      <c r="BL2247" s="87"/>
      <c r="BM2247" s="87"/>
      <c r="BN2247" s="87"/>
      <c r="BO2247" s="87"/>
      <c r="BP2247" s="87"/>
      <c r="BQ2247" s="87"/>
      <c r="BR2247" s="87"/>
      <c r="BS2247" s="87"/>
      <c r="BT2247" s="87"/>
      <c r="BU2247" s="87"/>
      <c r="BV2247" s="87"/>
      <c r="BW2247" s="87"/>
      <c r="BX2247" s="87"/>
      <c r="BY2247" s="87"/>
    </row>
    <row r="2248" spans="21:77" x14ac:dyDescent="0.3">
      <c r="U2248" s="19"/>
      <c r="V2248" s="87"/>
      <c r="W2248" s="87"/>
      <c r="X2248" s="87"/>
      <c r="Y2248" s="87"/>
      <c r="Z2248" s="87"/>
      <c r="AA2248" s="87"/>
      <c r="AB2248" s="87"/>
      <c r="AC2248" s="87"/>
      <c r="AD2248" s="87"/>
      <c r="AE2248" s="87"/>
      <c r="AF2248" s="87"/>
      <c r="AG2248" s="87"/>
      <c r="AH2248" s="87"/>
      <c r="AI2248" s="87"/>
      <c r="AJ2248" s="87"/>
      <c r="AK2248" s="87"/>
      <c r="AL2248" s="87"/>
      <c r="AM2248" s="87"/>
      <c r="AN2248" s="87"/>
      <c r="AO2248" s="87"/>
      <c r="AP2248" s="87"/>
      <c r="AQ2248" s="87"/>
      <c r="AR2248" s="87"/>
      <c r="AS2248" s="87"/>
      <c r="AT2248" s="87"/>
      <c r="AU2248" s="87"/>
      <c r="AV2248" s="87"/>
      <c r="AW2248" s="87"/>
      <c r="AX2248" s="87"/>
      <c r="AY2248" s="87"/>
      <c r="AZ2248" s="87"/>
      <c r="BA2248" s="87"/>
      <c r="BB2248" s="87"/>
      <c r="BC2248" s="87"/>
      <c r="BD2248" s="87"/>
      <c r="BE2248" s="87"/>
      <c r="BF2248" s="87"/>
      <c r="BG2248" s="87"/>
      <c r="BH2248" s="87"/>
      <c r="BI2248" s="87"/>
      <c r="BJ2248" s="87"/>
      <c r="BK2248" s="87"/>
      <c r="BL2248" s="87"/>
      <c r="BM2248" s="87"/>
      <c r="BN2248" s="87"/>
      <c r="BO2248" s="87"/>
      <c r="BP2248" s="87"/>
      <c r="BQ2248" s="87"/>
      <c r="BR2248" s="87"/>
      <c r="BS2248" s="87"/>
      <c r="BT2248" s="87"/>
      <c r="BU2248" s="87"/>
      <c r="BV2248" s="87"/>
      <c r="BW2248" s="87"/>
      <c r="BX2248" s="87"/>
      <c r="BY2248" s="87"/>
    </row>
    <row r="2249" spans="21:77" x14ac:dyDescent="0.3">
      <c r="U2249" s="19"/>
      <c r="V2249" s="87"/>
      <c r="W2249" s="87"/>
      <c r="X2249" s="87"/>
      <c r="Y2249" s="87"/>
      <c r="Z2249" s="87"/>
      <c r="AA2249" s="87"/>
      <c r="AB2249" s="87"/>
      <c r="AC2249" s="87"/>
      <c r="AD2249" s="87"/>
      <c r="AE2249" s="87"/>
      <c r="AF2249" s="87"/>
      <c r="AG2249" s="87"/>
      <c r="AH2249" s="87"/>
      <c r="AI2249" s="87"/>
      <c r="AJ2249" s="87"/>
      <c r="AK2249" s="87"/>
      <c r="AL2249" s="87"/>
      <c r="AM2249" s="87"/>
      <c r="AN2249" s="87"/>
      <c r="AO2249" s="87"/>
      <c r="AP2249" s="87"/>
      <c r="AQ2249" s="87"/>
      <c r="AR2249" s="87"/>
      <c r="AS2249" s="87"/>
      <c r="AT2249" s="87"/>
      <c r="AU2249" s="87"/>
      <c r="AV2249" s="87"/>
      <c r="AW2249" s="87"/>
      <c r="AX2249" s="87"/>
      <c r="AY2249" s="87"/>
      <c r="AZ2249" s="87"/>
      <c r="BA2249" s="87"/>
      <c r="BB2249" s="87"/>
      <c r="BC2249" s="87"/>
      <c r="BD2249" s="87"/>
      <c r="BE2249" s="87"/>
      <c r="BF2249" s="87"/>
      <c r="BG2249" s="87"/>
      <c r="BH2249" s="87"/>
      <c r="BI2249" s="87"/>
      <c r="BJ2249" s="87"/>
      <c r="BK2249" s="87"/>
      <c r="BL2249" s="87"/>
      <c r="BM2249" s="87"/>
      <c r="BN2249" s="87"/>
      <c r="BO2249" s="87"/>
      <c r="BP2249" s="87"/>
      <c r="BQ2249" s="87"/>
      <c r="BR2249" s="87"/>
      <c r="BS2249" s="87"/>
      <c r="BT2249" s="87"/>
      <c r="BU2249" s="87"/>
      <c r="BV2249" s="87"/>
      <c r="BW2249" s="87"/>
      <c r="BX2249" s="87"/>
      <c r="BY2249" s="87"/>
    </row>
    <row r="2250" spans="21:77" x14ac:dyDescent="0.3">
      <c r="U2250" s="19"/>
      <c r="V2250" s="87"/>
      <c r="W2250" s="87"/>
      <c r="X2250" s="87"/>
      <c r="Y2250" s="87"/>
      <c r="Z2250" s="87"/>
      <c r="AA2250" s="87"/>
      <c r="AB2250" s="87"/>
      <c r="AC2250" s="87"/>
      <c r="AD2250" s="87"/>
      <c r="AE2250" s="87"/>
      <c r="AF2250" s="87"/>
      <c r="AG2250" s="87"/>
      <c r="AH2250" s="87"/>
      <c r="AI2250" s="87"/>
      <c r="AJ2250" s="87"/>
      <c r="AK2250" s="87"/>
      <c r="AL2250" s="87"/>
      <c r="AM2250" s="87"/>
      <c r="AN2250" s="87"/>
      <c r="AO2250" s="87"/>
      <c r="AP2250" s="87"/>
      <c r="AQ2250" s="87"/>
      <c r="AR2250" s="87"/>
      <c r="AS2250" s="87"/>
      <c r="AT2250" s="87"/>
      <c r="AU2250" s="87"/>
      <c r="AV2250" s="87"/>
      <c r="AW2250" s="87"/>
      <c r="AX2250" s="87"/>
      <c r="AY2250" s="87"/>
      <c r="AZ2250" s="87"/>
      <c r="BA2250" s="87"/>
      <c r="BB2250" s="87"/>
      <c r="BC2250" s="87"/>
      <c r="BD2250" s="87"/>
      <c r="BE2250" s="87"/>
      <c r="BF2250" s="87"/>
      <c r="BG2250" s="87"/>
      <c r="BH2250" s="87"/>
      <c r="BI2250" s="87"/>
      <c r="BJ2250" s="87"/>
      <c r="BK2250" s="87"/>
      <c r="BL2250" s="87"/>
      <c r="BM2250" s="87"/>
      <c r="BN2250" s="87"/>
      <c r="BO2250" s="87"/>
      <c r="BP2250" s="87"/>
      <c r="BQ2250" s="87"/>
      <c r="BR2250" s="87"/>
      <c r="BS2250" s="87"/>
      <c r="BT2250" s="87"/>
      <c r="BU2250" s="87"/>
      <c r="BV2250" s="87"/>
      <c r="BW2250" s="87"/>
      <c r="BX2250" s="87"/>
      <c r="BY2250" s="87"/>
    </row>
    <row r="2251" spans="21:77" x14ac:dyDescent="0.3">
      <c r="U2251" s="19"/>
      <c r="V2251" s="87"/>
      <c r="W2251" s="87"/>
      <c r="X2251" s="87"/>
      <c r="Y2251" s="87"/>
      <c r="Z2251" s="87"/>
      <c r="AA2251" s="87"/>
      <c r="AB2251" s="87"/>
      <c r="AC2251" s="87"/>
      <c r="AD2251" s="87"/>
      <c r="AE2251" s="87"/>
      <c r="AF2251" s="87"/>
      <c r="AG2251" s="87"/>
      <c r="AH2251" s="87"/>
      <c r="AI2251" s="87"/>
      <c r="AJ2251" s="87"/>
      <c r="AK2251" s="87"/>
      <c r="AL2251" s="87"/>
      <c r="AM2251" s="87"/>
      <c r="AN2251" s="87"/>
      <c r="AO2251" s="87"/>
      <c r="AP2251" s="87"/>
      <c r="AQ2251" s="87"/>
      <c r="AR2251" s="87"/>
      <c r="AS2251" s="87"/>
      <c r="AT2251" s="87"/>
      <c r="AU2251" s="87"/>
      <c r="AV2251" s="87"/>
      <c r="AW2251" s="87"/>
      <c r="AX2251" s="87"/>
      <c r="AY2251" s="87"/>
      <c r="AZ2251" s="87"/>
      <c r="BA2251" s="87"/>
      <c r="BB2251" s="87"/>
      <c r="BC2251" s="87"/>
      <c r="BD2251" s="87"/>
      <c r="BE2251" s="87"/>
      <c r="BF2251" s="87"/>
      <c r="BG2251" s="87"/>
      <c r="BH2251" s="87"/>
      <c r="BI2251" s="87"/>
      <c r="BJ2251" s="87"/>
      <c r="BK2251" s="87"/>
      <c r="BL2251" s="87"/>
      <c r="BM2251" s="87"/>
      <c r="BN2251" s="87"/>
      <c r="BO2251" s="87"/>
      <c r="BP2251" s="87"/>
      <c r="BQ2251" s="87"/>
      <c r="BR2251" s="87"/>
      <c r="BS2251" s="87"/>
      <c r="BT2251" s="87"/>
      <c r="BU2251" s="87"/>
      <c r="BV2251" s="87"/>
      <c r="BW2251" s="87"/>
      <c r="BX2251" s="87"/>
      <c r="BY2251" s="87"/>
    </row>
    <row r="2252" spans="21:77" x14ac:dyDescent="0.3">
      <c r="U2252" s="19"/>
      <c r="V2252" s="87"/>
      <c r="W2252" s="87"/>
      <c r="X2252" s="87"/>
      <c r="Y2252" s="87"/>
      <c r="Z2252" s="87"/>
      <c r="AA2252" s="87"/>
      <c r="AB2252" s="87"/>
      <c r="AC2252" s="87"/>
      <c r="AD2252" s="87"/>
      <c r="AE2252" s="87"/>
      <c r="AF2252" s="87"/>
      <c r="AG2252" s="87"/>
      <c r="AH2252" s="87"/>
      <c r="AI2252" s="87"/>
      <c r="AJ2252" s="87"/>
      <c r="AK2252" s="87"/>
      <c r="AL2252" s="87"/>
      <c r="AM2252" s="87"/>
      <c r="AN2252" s="87"/>
      <c r="AO2252" s="87"/>
      <c r="AP2252" s="87"/>
      <c r="AQ2252" s="87"/>
      <c r="AR2252" s="87"/>
      <c r="AS2252" s="87"/>
      <c r="AT2252" s="87"/>
      <c r="AU2252" s="87"/>
      <c r="AV2252" s="87"/>
      <c r="AW2252" s="87"/>
      <c r="AX2252" s="87"/>
      <c r="AY2252" s="87"/>
      <c r="AZ2252" s="87"/>
      <c r="BA2252" s="87"/>
      <c r="BB2252" s="87"/>
      <c r="BC2252" s="87"/>
      <c r="BD2252" s="87"/>
      <c r="BE2252" s="87"/>
      <c r="BF2252" s="87"/>
      <c r="BG2252" s="87"/>
      <c r="BH2252" s="87"/>
      <c r="BI2252" s="87"/>
      <c r="BJ2252" s="87"/>
      <c r="BK2252" s="87"/>
      <c r="BL2252" s="87"/>
      <c r="BM2252" s="87"/>
      <c r="BN2252" s="87"/>
      <c r="BO2252" s="87"/>
      <c r="BP2252" s="87"/>
      <c r="BQ2252" s="87"/>
      <c r="BR2252" s="87"/>
      <c r="BS2252" s="87"/>
      <c r="BT2252" s="87"/>
      <c r="BU2252" s="87"/>
      <c r="BV2252" s="87"/>
      <c r="BW2252" s="87"/>
      <c r="BX2252" s="87"/>
      <c r="BY2252" s="87"/>
    </row>
    <row r="2253" spans="21:77" x14ac:dyDescent="0.3">
      <c r="U2253" s="19"/>
      <c r="V2253" s="87"/>
      <c r="W2253" s="87"/>
      <c r="X2253" s="87"/>
      <c r="Y2253" s="87"/>
      <c r="Z2253" s="87"/>
      <c r="AA2253" s="87"/>
      <c r="AB2253" s="87"/>
      <c r="AC2253" s="87"/>
      <c r="AD2253" s="87"/>
      <c r="AE2253" s="87"/>
      <c r="AF2253" s="87"/>
      <c r="AG2253" s="87"/>
      <c r="AH2253" s="87"/>
      <c r="AI2253" s="87"/>
      <c r="AJ2253" s="87"/>
      <c r="AK2253" s="87"/>
      <c r="AL2253" s="87"/>
      <c r="AM2253" s="87"/>
      <c r="AN2253" s="87"/>
      <c r="AO2253" s="87"/>
      <c r="AP2253" s="87"/>
      <c r="AQ2253" s="87"/>
      <c r="AR2253" s="87"/>
      <c r="AS2253" s="87"/>
      <c r="AT2253" s="87"/>
      <c r="AU2253" s="87"/>
      <c r="AV2253" s="87"/>
      <c r="AW2253" s="87"/>
      <c r="AX2253" s="87"/>
      <c r="AY2253" s="87"/>
      <c r="AZ2253" s="87"/>
      <c r="BA2253" s="87"/>
      <c r="BB2253" s="87"/>
      <c r="BC2253" s="87"/>
      <c r="BD2253" s="87"/>
      <c r="BE2253" s="87"/>
      <c r="BF2253" s="87"/>
      <c r="BG2253" s="87"/>
      <c r="BH2253" s="87"/>
      <c r="BI2253" s="87"/>
      <c r="BJ2253" s="87"/>
      <c r="BK2253" s="87"/>
      <c r="BL2253" s="87"/>
      <c r="BM2253" s="87"/>
      <c r="BN2253" s="87"/>
      <c r="BO2253" s="87"/>
      <c r="BP2253" s="87"/>
      <c r="BQ2253" s="87"/>
      <c r="BR2253" s="87"/>
      <c r="BS2253" s="87"/>
      <c r="BT2253" s="87"/>
      <c r="BU2253" s="87"/>
      <c r="BV2253" s="87"/>
      <c r="BW2253" s="87"/>
      <c r="BX2253" s="87"/>
      <c r="BY2253" s="87"/>
    </row>
    <row r="2254" spans="21:77" x14ac:dyDescent="0.3">
      <c r="U2254" s="19"/>
      <c r="V2254" s="87"/>
      <c r="W2254" s="87"/>
      <c r="X2254" s="87"/>
      <c r="Y2254" s="87"/>
      <c r="Z2254" s="87"/>
      <c r="AA2254" s="87"/>
      <c r="AB2254" s="87"/>
      <c r="AC2254" s="87"/>
      <c r="AD2254" s="87"/>
      <c r="AE2254" s="87"/>
      <c r="AF2254" s="87"/>
      <c r="AG2254" s="87"/>
      <c r="AH2254" s="87"/>
      <c r="AI2254" s="87"/>
      <c r="AJ2254" s="87"/>
      <c r="AK2254" s="87"/>
      <c r="AL2254" s="87"/>
      <c r="AM2254" s="87"/>
      <c r="AN2254" s="87"/>
      <c r="AO2254" s="87"/>
      <c r="AP2254" s="87"/>
      <c r="AQ2254" s="87"/>
      <c r="AR2254" s="87"/>
      <c r="AS2254" s="87"/>
      <c r="AT2254" s="87"/>
      <c r="AU2254" s="87"/>
      <c r="AV2254" s="87"/>
      <c r="AW2254" s="87"/>
      <c r="AX2254" s="87"/>
      <c r="AY2254" s="87"/>
      <c r="AZ2254" s="87"/>
      <c r="BA2254" s="87"/>
      <c r="BB2254" s="87"/>
      <c r="BC2254" s="87"/>
      <c r="BD2254" s="87"/>
      <c r="BE2254" s="87"/>
      <c r="BF2254" s="87"/>
      <c r="BG2254" s="87"/>
      <c r="BH2254" s="87"/>
      <c r="BI2254" s="87"/>
      <c r="BJ2254" s="87"/>
      <c r="BK2254" s="87"/>
      <c r="BL2254" s="87"/>
      <c r="BM2254" s="87"/>
      <c r="BN2254" s="87"/>
      <c r="BO2254" s="87"/>
      <c r="BP2254" s="87"/>
      <c r="BQ2254" s="87"/>
      <c r="BR2254" s="87"/>
      <c r="BS2254" s="87"/>
      <c r="BT2254" s="87"/>
      <c r="BU2254" s="87"/>
      <c r="BV2254" s="87"/>
      <c r="BW2254" s="87"/>
      <c r="BX2254" s="87"/>
      <c r="BY2254" s="87"/>
    </row>
    <row r="2255" spans="21:77" x14ac:dyDescent="0.3">
      <c r="U2255" s="19"/>
      <c r="V2255" s="87"/>
      <c r="W2255" s="87"/>
      <c r="X2255" s="87"/>
      <c r="Y2255" s="87"/>
      <c r="Z2255" s="87"/>
      <c r="AA2255" s="87"/>
      <c r="AB2255" s="87"/>
      <c r="AC2255" s="87"/>
      <c r="AD2255" s="87"/>
      <c r="AE2255" s="87"/>
      <c r="AF2255" s="87"/>
      <c r="AG2255" s="87"/>
      <c r="AH2255" s="87"/>
      <c r="AI2255" s="87"/>
      <c r="AJ2255" s="87"/>
      <c r="AK2255" s="87"/>
      <c r="AL2255" s="87"/>
      <c r="AM2255" s="87"/>
      <c r="AN2255" s="87"/>
      <c r="AO2255" s="87"/>
      <c r="AP2255" s="87"/>
      <c r="AQ2255" s="87"/>
      <c r="AR2255" s="87"/>
      <c r="AS2255" s="87"/>
      <c r="AT2255" s="87"/>
      <c r="AU2255" s="87"/>
      <c r="AV2255" s="87"/>
      <c r="AW2255" s="87"/>
      <c r="AX2255" s="87"/>
      <c r="AY2255" s="87"/>
      <c r="AZ2255" s="87"/>
      <c r="BA2255" s="87"/>
      <c r="BB2255" s="87"/>
      <c r="BC2255" s="87"/>
      <c r="BD2255" s="87"/>
      <c r="BE2255" s="87"/>
      <c r="BF2255" s="87"/>
      <c r="BG2255" s="87"/>
      <c r="BH2255" s="87"/>
      <c r="BI2255" s="87"/>
      <c r="BJ2255" s="87"/>
      <c r="BK2255" s="87"/>
      <c r="BL2255" s="87"/>
      <c r="BM2255" s="87"/>
      <c r="BN2255" s="87"/>
      <c r="BO2255" s="87"/>
      <c r="BP2255" s="87"/>
      <c r="BQ2255" s="87"/>
      <c r="BR2255" s="87"/>
      <c r="BS2255" s="87"/>
      <c r="BT2255" s="87"/>
      <c r="BU2255" s="87"/>
      <c r="BV2255" s="87"/>
      <c r="BW2255" s="87"/>
      <c r="BX2255" s="87"/>
      <c r="BY2255" s="87"/>
    </row>
    <row r="2256" spans="21:77" x14ac:dyDescent="0.3">
      <c r="U2256" s="19"/>
      <c r="V2256" s="87"/>
      <c r="W2256" s="87"/>
      <c r="X2256" s="87"/>
      <c r="Y2256" s="87"/>
      <c r="Z2256" s="87"/>
      <c r="AA2256" s="87"/>
      <c r="AB2256" s="87"/>
      <c r="AC2256" s="87"/>
      <c r="AD2256" s="87"/>
      <c r="AE2256" s="87"/>
      <c r="AF2256" s="87"/>
      <c r="AG2256" s="87"/>
      <c r="AH2256" s="87"/>
      <c r="AI2256" s="87"/>
      <c r="AJ2256" s="87"/>
      <c r="AK2256" s="87"/>
      <c r="AL2256" s="87"/>
      <c r="AM2256" s="87"/>
      <c r="AN2256" s="87"/>
      <c r="AO2256" s="87"/>
      <c r="AP2256" s="87"/>
      <c r="AQ2256" s="87"/>
      <c r="AR2256" s="87"/>
      <c r="AS2256" s="87"/>
      <c r="AT2256" s="87"/>
      <c r="AU2256" s="87"/>
      <c r="AV2256" s="87"/>
      <c r="AW2256" s="87"/>
      <c r="AX2256" s="87"/>
      <c r="AY2256" s="87"/>
      <c r="AZ2256" s="87"/>
      <c r="BA2256" s="87"/>
      <c r="BB2256" s="87"/>
      <c r="BC2256" s="87"/>
      <c r="BD2256" s="87"/>
      <c r="BE2256" s="87"/>
      <c r="BF2256" s="87"/>
      <c r="BG2256" s="87"/>
      <c r="BH2256" s="87"/>
      <c r="BI2256" s="87"/>
      <c r="BJ2256" s="87"/>
      <c r="BK2256" s="87"/>
      <c r="BL2256" s="87"/>
      <c r="BM2256" s="87"/>
      <c r="BN2256" s="87"/>
      <c r="BO2256" s="87"/>
      <c r="BP2256" s="87"/>
      <c r="BQ2256" s="87"/>
      <c r="BR2256" s="87"/>
      <c r="BS2256" s="87"/>
      <c r="BT2256" s="87"/>
      <c r="BU2256" s="87"/>
      <c r="BV2256" s="87"/>
      <c r="BW2256" s="87"/>
      <c r="BX2256" s="87"/>
      <c r="BY2256" s="87"/>
    </row>
    <row r="2257" spans="18:77" x14ac:dyDescent="0.3">
      <c r="R2257" s="87"/>
      <c r="S2257" s="87"/>
      <c r="T2257" s="87"/>
      <c r="U2257" s="19"/>
      <c r="V2257" s="87"/>
      <c r="W2257" s="87"/>
      <c r="X2257" s="87"/>
      <c r="Y2257" s="87"/>
      <c r="Z2257" s="87"/>
      <c r="AA2257" s="87"/>
      <c r="AB2257" s="87"/>
      <c r="AC2257" s="87"/>
      <c r="AD2257" s="87"/>
      <c r="AE2257" s="87"/>
      <c r="AF2257" s="87"/>
      <c r="AG2257" s="87"/>
      <c r="AH2257" s="87"/>
      <c r="AI2257" s="87"/>
      <c r="AJ2257" s="87"/>
      <c r="AK2257" s="87"/>
      <c r="AL2257" s="87"/>
      <c r="AM2257" s="87"/>
      <c r="AN2257" s="87"/>
      <c r="AO2257" s="87"/>
      <c r="AP2257" s="87"/>
      <c r="AQ2257" s="87"/>
      <c r="AR2257" s="87"/>
      <c r="AS2257" s="87"/>
      <c r="AT2257" s="87"/>
      <c r="AU2257" s="87"/>
      <c r="AV2257" s="87"/>
      <c r="AW2257" s="87"/>
      <c r="AX2257" s="87"/>
      <c r="AY2257" s="87"/>
      <c r="AZ2257" s="87"/>
      <c r="BA2257" s="87"/>
      <c r="BB2257" s="87"/>
      <c r="BC2257" s="87"/>
      <c r="BD2257" s="87"/>
      <c r="BE2257" s="87"/>
      <c r="BF2257" s="87"/>
      <c r="BG2257" s="87"/>
      <c r="BH2257" s="87"/>
      <c r="BI2257" s="87"/>
      <c r="BJ2257" s="87"/>
      <c r="BK2257" s="87"/>
      <c r="BL2257" s="87"/>
      <c r="BM2257" s="87"/>
      <c r="BN2257" s="87"/>
      <c r="BO2257" s="87"/>
      <c r="BP2257" s="87"/>
      <c r="BQ2257" s="87"/>
      <c r="BR2257" s="87"/>
      <c r="BS2257" s="87"/>
      <c r="BT2257" s="87"/>
      <c r="BU2257" s="87"/>
      <c r="BV2257" s="87"/>
      <c r="BW2257" s="87"/>
      <c r="BX2257" s="87"/>
      <c r="BY2257" s="87"/>
    </row>
    <row r="2258" spans="18:77" x14ac:dyDescent="0.3">
      <c r="R2258" s="87"/>
      <c r="S2258" s="87"/>
      <c r="T2258" s="87"/>
      <c r="U2258" s="19"/>
      <c r="V2258" s="87"/>
      <c r="W2258" s="87"/>
      <c r="X2258" s="87"/>
      <c r="Y2258" s="87"/>
      <c r="Z2258" s="87"/>
      <c r="AA2258" s="87"/>
      <c r="AB2258" s="87"/>
      <c r="AC2258" s="87"/>
      <c r="AD2258" s="87"/>
      <c r="AE2258" s="87"/>
      <c r="AF2258" s="87"/>
      <c r="AG2258" s="87"/>
      <c r="AH2258" s="87"/>
      <c r="AI2258" s="87"/>
      <c r="AJ2258" s="87"/>
      <c r="AK2258" s="87"/>
      <c r="AL2258" s="87"/>
      <c r="AM2258" s="87"/>
      <c r="AN2258" s="87"/>
      <c r="AO2258" s="87"/>
      <c r="AP2258" s="87"/>
      <c r="AQ2258" s="87"/>
      <c r="AR2258" s="87"/>
      <c r="AS2258" s="87"/>
      <c r="AT2258" s="87"/>
      <c r="AU2258" s="87"/>
      <c r="AV2258" s="87"/>
      <c r="AW2258" s="87"/>
      <c r="AX2258" s="87"/>
      <c r="AY2258" s="87"/>
      <c r="AZ2258" s="87"/>
      <c r="BA2258" s="87"/>
      <c r="BB2258" s="87"/>
      <c r="BC2258" s="87"/>
      <c r="BD2258" s="87"/>
      <c r="BE2258" s="87"/>
      <c r="BF2258" s="87"/>
      <c r="BG2258" s="87"/>
      <c r="BH2258" s="87"/>
      <c r="BI2258" s="87"/>
      <c r="BJ2258" s="87"/>
      <c r="BK2258" s="87"/>
      <c r="BL2258" s="87"/>
      <c r="BM2258" s="87"/>
      <c r="BN2258" s="87"/>
      <c r="BO2258" s="87"/>
      <c r="BP2258" s="87"/>
      <c r="BQ2258" s="87"/>
      <c r="BR2258" s="87"/>
      <c r="BS2258" s="87"/>
      <c r="BT2258" s="87"/>
      <c r="BU2258" s="87"/>
      <c r="BV2258" s="87"/>
      <c r="BW2258" s="87"/>
      <c r="BX2258" s="87"/>
      <c r="BY2258" s="87"/>
    </row>
    <row r="2259" spans="18:77" x14ac:dyDescent="0.3">
      <c r="R2259" s="87"/>
      <c r="S2259" s="87"/>
      <c r="T2259" s="87"/>
      <c r="U2259" s="19"/>
      <c r="V2259" s="87"/>
      <c r="W2259" s="87"/>
      <c r="X2259" s="87"/>
      <c r="Y2259" s="87"/>
      <c r="Z2259" s="87"/>
      <c r="AA2259" s="87"/>
      <c r="AB2259" s="87"/>
      <c r="AC2259" s="87"/>
      <c r="AD2259" s="87"/>
      <c r="AE2259" s="87"/>
      <c r="AF2259" s="87"/>
      <c r="AG2259" s="87"/>
      <c r="AH2259" s="87"/>
      <c r="AI2259" s="87"/>
      <c r="AJ2259" s="87"/>
      <c r="AK2259" s="87"/>
      <c r="AL2259" s="87"/>
      <c r="AM2259" s="87"/>
      <c r="AN2259" s="87"/>
      <c r="AO2259" s="87"/>
      <c r="AP2259" s="87"/>
      <c r="AQ2259" s="87"/>
      <c r="AR2259" s="87"/>
      <c r="AS2259" s="87"/>
      <c r="AT2259" s="87"/>
      <c r="AU2259" s="87"/>
      <c r="AV2259" s="87"/>
      <c r="AW2259" s="87"/>
      <c r="AX2259" s="87"/>
      <c r="AY2259" s="87"/>
      <c r="AZ2259" s="87"/>
      <c r="BA2259" s="87"/>
      <c r="BB2259" s="87"/>
      <c r="BC2259" s="87"/>
      <c r="BD2259" s="87"/>
      <c r="BE2259" s="87"/>
      <c r="BF2259" s="87"/>
      <c r="BG2259" s="87"/>
      <c r="BH2259" s="87"/>
      <c r="BI2259" s="87"/>
      <c r="BJ2259" s="87"/>
      <c r="BK2259" s="87"/>
      <c r="BL2259" s="87"/>
      <c r="BM2259" s="87"/>
      <c r="BN2259" s="87"/>
      <c r="BO2259" s="87"/>
      <c r="BP2259" s="87"/>
      <c r="BQ2259" s="87"/>
      <c r="BR2259" s="87"/>
      <c r="BS2259" s="87"/>
      <c r="BT2259" s="87"/>
      <c r="BU2259" s="87"/>
      <c r="BV2259" s="87"/>
      <c r="BW2259" s="87"/>
      <c r="BX2259" s="87"/>
      <c r="BY2259" s="87"/>
    </row>
    <row r="2260" spans="18:77" x14ac:dyDescent="0.3">
      <c r="R2260" s="87"/>
      <c r="S2260" s="87"/>
      <c r="T2260" s="87"/>
      <c r="U2260" s="19"/>
      <c r="V2260" s="87"/>
      <c r="W2260" s="87"/>
      <c r="X2260" s="87"/>
      <c r="Y2260" s="87"/>
      <c r="Z2260" s="87"/>
      <c r="AA2260" s="87"/>
      <c r="AB2260" s="87"/>
      <c r="AC2260" s="87"/>
      <c r="AD2260" s="87"/>
      <c r="AE2260" s="87"/>
      <c r="AF2260" s="87"/>
      <c r="AG2260" s="87"/>
      <c r="AH2260" s="87"/>
      <c r="AI2260" s="87"/>
      <c r="AJ2260" s="87"/>
      <c r="AK2260" s="87"/>
      <c r="AL2260" s="87"/>
      <c r="AM2260" s="87"/>
      <c r="AN2260" s="87"/>
      <c r="AO2260" s="87"/>
      <c r="AP2260" s="87"/>
      <c r="AQ2260" s="87"/>
      <c r="AR2260" s="87"/>
      <c r="AS2260" s="87"/>
      <c r="AT2260" s="87"/>
      <c r="AU2260" s="87"/>
      <c r="AV2260" s="87"/>
      <c r="AW2260" s="87"/>
      <c r="AX2260" s="87"/>
      <c r="AY2260" s="87"/>
      <c r="AZ2260" s="87"/>
      <c r="BA2260" s="87"/>
      <c r="BB2260" s="87"/>
      <c r="BC2260" s="87"/>
      <c r="BD2260" s="87"/>
      <c r="BE2260" s="87"/>
      <c r="BF2260" s="87"/>
      <c r="BG2260" s="87"/>
      <c r="BH2260" s="87"/>
      <c r="BI2260" s="87"/>
      <c r="BJ2260" s="87"/>
      <c r="BK2260" s="87"/>
      <c r="BL2260" s="87"/>
      <c r="BM2260" s="87"/>
      <c r="BN2260" s="87"/>
      <c r="BO2260" s="87"/>
      <c r="BP2260" s="87"/>
      <c r="BQ2260" s="87"/>
      <c r="BR2260" s="87"/>
      <c r="BS2260" s="87"/>
      <c r="BT2260" s="87"/>
      <c r="BU2260" s="87"/>
      <c r="BV2260" s="87"/>
      <c r="BW2260" s="87"/>
      <c r="BX2260" s="87"/>
      <c r="BY2260" s="87"/>
    </row>
    <row r="2261" spans="18:77" x14ac:dyDescent="0.3">
      <c r="R2261" s="87"/>
      <c r="S2261" s="87"/>
      <c r="T2261" s="87"/>
      <c r="U2261" s="19"/>
      <c r="V2261" s="87"/>
      <c r="W2261" s="87"/>
      <c r="X2261" s="87"/>
      <c r="Y2261" s="87"/>
      <c r="Z2261" s="87"/>
      <c r="AA2261" s="87"/>
      <c r="AB2261" s="87"/>
      <c r="AC2261" s="87"/>
      <c r="AD2261" s="87"/>
      <c r="AE2261" s="87"/>
      <c r="AF2261" s="87"/>
      <c r="AG2261" s="87"/>
      <c r="AH2261" s="87"/>
      <c r="AI2261" s="87"/>
      <c r="AJ2261" s="87"/>
      <c r="AK2261" s="87"/>
      <c r="AL2261" s="87"/>
      <c r="AM2261" s="87"/>
      <c r="AN2261" s="87"/>
      <c r="AO2261" s="87"/>
      <c r="AP2261" s="87"/>
      <c r="AQ2261" s="87"/>
      <c r="AR2261" s="87"/>
      <c r="AS2261" s="87"/>
      <c r="AT2261" s="87"/>
      <c r="AU2261" s="87"/>
      <c r="AV2261" s="87"/>
      <c r="AW2261" s="87"/>
      <c r="AX2261" s="87"/>
      <c r="AY2261" s="87"/>
      <c r="AZ2261" s="87"/>
      <c r="BA2261" s="87"/>
      <c r="BB2261" s="87"/>
      <c r="BC2261" s="87"/>
      <c r="BD2261" s="87"/>
      <c r="BE2261" s="87"/>
      <c r="BF2261" s="87"/>
      <c r="BG2261" s="87"/>
      <c r="BH2261" s="87"/>
      <c r="BI2261" s="87"/>
      <c r="BJ2261" s="87"/>
      <c r="BK2261" s="87"/>
      <c r="BL2261" s="87"/>
      <c r="BM2261" s="87"/>
      <c r="BN2261" s="87"/>
      <c r="BO2261" s="87"/>
      <c r="BP2261" s="87"/>
      <c r="BQ2261" s="87"/>
      <c r="BR2261" s="87"/>
      <c r="BS2261" s="87"/>
      <c r="BT2261" s="87"/>
      <c r="BU2261" s="87"/>
      <c r="BV2261" s="87"/>
      <c r="BW2261" s="87"/>
      <c r="BX2261" s="87"/>
      <c r="BY2261" s="87"/>
    </row>
    <row r="2262" spans="18:77" x14ac:dyDescent="0.3">
      <c r="R2262" s="85"/>
      <c r="S2262" s="85"/>
      <c r="T2262" s="85"/>
      <c r="U2262" s="85"/>
      <c r="V2262" s="85"/>
      <c r="W2262" s="85"/>
      <c r="X2262" s="85"/>
      <c r="Y2262" s="85"/>
      <c r="Z2262" s="85"/>
      <c r="AA2262" s="85"/>
      <c r="AB2262" s="85"/>
      <c r="AC2262" s="85"/>
      <c r="AD2262" s="85"/>
      <c r="AE2262" s="85"/>
      <c r="AF2262" s="85"/>
      <c r="AG2262" s="85"/>
      <c r="AH2262" s="85"/>
      <c r="AI2262" s="85"/>
      <c r="AJ2262" s="85"/>
      <c r="AK2262" s="85"/>
      <c r="AL2262" s="85"/>
      <c r="AM2262" s="85"/>
      <c r="AN2262" s="85"/>
      <c r="AO2262" s="85"/>
      <c r="AP2262" s="85"/>
      <c r="AQ2262" s="85"/>
      <c r="AR2262" s="85"/>
      <c r="AS2262" s="85"/>
      <c r="AT2262" s="85"/>
      <c r="AU2262" s="85"/>
      <c r="AV2262" s="85"/>
      <c r="AW2262" s="85"/>
      <c r="AX2262" s="85"/>
      <c r="AY2262" s="85"/>
      <c r="AZ2262" s="85"/>
      <c r="BA2262" s="85"/>
      <c r="BB2262" s="85"/>
      <c r="BC2262" s="85"/>
      <c r="BD2262" s="85"/>
      <c r="BE2262" s="85"/>
      <c r="BF2262" s="85"/>
      <c r="BG2262" s="85"/>
      <c r="BH2262" s="85"/>
      <c r="BI2262" s="85"/>
      <c r="BJ2262" s="85"/>
      <c r="BK2262" s="85"/>
      <c r="BL2262" s="85"/>
      <c r="BM2262" s="85"/>
      <c r="BN2262" s="85"/>
      <c r="BO2262" s="85"/>
      <c r="BP2262" s="85"/>
      <c r="BQ2262" s="90"/>
      <c r="BR2262" s="87"/>
      <c r="BS2262" s="90"/>
      <c r="BT2262" s="87"/>
      <c r="BU2262" s="87"/>
      <c r="BV2262" s="87"/>
      <c r="BW2262" s="87"/>
      <c r="BX2262" s="87"/>
    </row>
    <row r="2263" spans="18:77" x14ac:dyDescent="0.3">
      <c r="R2263" s="85"/>
      <c r="S2263" s="85"/>
      <c r="T2263" s="85"/>
      <c r="U2263" s="85"/>
      <c r="V2263" s="85"/>
      <c r="W2263" s="85"/>
      <c r="X2263" s="85"/>
      <c r="Y2263" s="85"/>
      <c r="Z2263" s="85"/>
      <c r="AA2263" s="85"/>
      <c r="AB2263" s="85"/>
      <c r="AC2263" s="85"/>
      <c r="AD2263" s="85"/>
      <c r="AE2263" s="85"/>
      <c r="AF2263" s="85"/>
      <c r="AG2263" s="85"/>
      <c r="AH2263" s="85"/>
      <c r="AI2263" s="85"/>
      <c r="AJ2263" s="85"/>
      <c r="AK2263" s="85"/>
      <c r="AL2263" s="85"/>
      <c r="AM2263" s="85"/>
      <c r="AN2263" s="85"/>
      <c r="AO2263" s="85"/>
      <c r="AP2263" s="85"/>
      <c r="AQ2263" s="85"/>
      <c r="AR2263" s="85"/>
      <c r="AS2263" s="85"/>
      <c r="AT2263" s="85"/>
      <c r="AU2263" s="85"/>
      <c r="AV2263" s="85"/>
      <c r="AW2263" s="85"/>
      <c r="AX2263" s="85"/>
      <c r="AY2263" s="85"/>
      <c r="AZ2263" s="85"/>
      <c r="BA2263" s="85"/>
      <c r="BB2263" s="85"/>
      <c r="BC2263" s="85"/>
      <c r="BD2263" s="85"/>
      <c r="BE2263" s="85"/>
      <c r="BF2263" s="85"/>
      <c r="BG2263" s="85"/>
      <c r="BH2263" s="85"/>
      <c r="BI2263" s="85"/>
      <c r="BJ2263" s="85"/>
      <c r="BK2263" s="85"/>
      <c r="BL2263" s="85"/>
      <c r="BM2263" s="85"/>
      <c r="BN2263" s="85"/>
      <c r="BO2263" s="85"/>
      <c r="BP2263" s="85"/>
      <c r="BQ2263" s="90"/>
      <c r="BR2263" s="87"/>
      <c r="BS2263" s="90"/>
      <c r="BT2263" s="87"/>
      <c r="BU2263" s="87"/>
      <c r="BV2263" s="87"/>
      <c r="BW2263" s="87"/>
      <c r="BX2263" s="87"/>
    </row>
    <row r="2264" spans="18:77" x14ac:dyDescent="0.3">
      <c r="R2264" s="85"/>
      <c r="S2264" s="85"/>
      <c r="T2264" s="85"/>
      <c r="U2264" s="85"/>
      <c r="V2264" s="85"/>
      <c r="W2264" s="85"/>
      <c r="X2264" s="85"/>
      <c r="Y2264" s="85"/>
      <c r="Z2264" s="85"/>
      <c r="AA2264" s="85"/>
      <c r="AB2264" s="85"/>
      <c r="AC2264" s="85"/>
      <c r="AD2264" s="85"/>
      <c r="AE2264" s="85"/>
      <c r="AF2264" s="85"/>
      <c r="AG2264" s="85"/>
      <c r="AH2264" s="85"/>
      <c r="AI2264" s="85"/>
      <c r="AJ2264" s="85"/>
      <c r="AK2264" s="85"/>
      <c r="AL2264" s="85"/>
      <c r="AM2264" s="85"/>
      <c r="AN2264" s="85"/>
      <c r="AO2264" s="85"/>
      <c r="AP2264" s="85"/>
      <c r="AQ2264" s="85"/>
      <c r="AR2264" s="85"/>
      <c r="AS2264" s="85"/>
      <c r="AT2264" s="85"/>
      <c r="AU2264" s="85"/>
      <c r="AV2264" s="85"/>
      <c r="AW2264" s="85"/>
      <c r="AX2264" s="85"/>
      <c r="AY2264" s="85"/>
      <c r="AZ2264" s="85"/>
      <c r="BA2264" s="85"/>
      <c r="BB2264" s="85"/>
      <c r="BC2264" s="85"/>
      <c r="BD2264" s="85"/>
      <c r="BE2264" s="85"/>
      <c r="BF2264" s="85"/>
      <c r="BG2264" s="85"/>
      <c r="BH2264" s="85"/>
      <c r="BI2264" s="85"/>
      <c r="BJ2264" s="85"/>
      <c r="BK2264" s="85"/>
      <c r="BL2264" s="85"/>
      <c r="BM2264" s="85"/>
      <c r="BN2264" s="85"/>
      <c r="BO2264" s="85"/>
      <c r="BP2264" s="85"/>
      <c r="BQ2264" s="90"/>
      <c r="BR2264" s="87"/>
      <c r="BS2264" s="90"/>
      <c r="BT2264" s="87"/>
      <c r="BU2264" s="87"/>
      <c r="BV2264" s="87"/>
      <c r="BW2264" s="87"/>
      <c r="BX2264" s="87"/>
    </row>
    <row r="2265" spans="18:77" x14ac:dyDescent="0.3">
      <c r="R2265" s="85"/>
      <c r="S2265" s="85"/>
      <c r="T2265" s="85"/>
      <c r="U2265" s="85"/>
      <c r="V2265" s="85"/>
      <c r="W2265" s="85"/>
      <c r="X2265" s="85"/>
      <c r="Y2265" s="85"/>
      <c r="Z2265" s="85"/>
      <c r="AA2265" s="85"/>
      <c r="AB2265" s="85"/>
      <c r="AC2265" s="85"/>
      <c r="AD2265" s="85"/>
      <c r="AE2265" s="85"/>
      <c r="AF2265" s="85"/>
      <c r="AG2265" s="85"/>
      <c r="AH2265" s="85"/>
      <c r="AI2265" s="85"/>
      <c r="AJ2265" s="85"/>
      <c r="AK2265" s="85"/>
      <c r="AL2265" s="85"/>
      <c r="AM2265" s="85"/>
      <c r="AN2265" s="85"/>
      <c r="AO2265" s="85"/>
      <c r="AP2265" s="85"/>
      <c r="AQ2265" s="85"/>
      <c r="AR2265" s="85"/>
      <c r="AS2265" s="85"/>
      <c r="AT2265" s="85"/>
      <c r="AU2265" s="85"/>
      <c r="AV2265" s="85"/>
      <c r="AW2265" s="85"/>
      <c r="AX2265" s="85"/>
      <c r="AY2265" s="85"/>
      <c r="AZ2265" s="85"/>
      <c r="BA2265" s="85"/>
      <c r="BB2265" s="85"/>
      <c r="BC2265" s="85"/>
      <c r="BD2265" s="85"/>
      <c r="BE2265" s="85"/>
      <c r="BF2265" s="85"/>
      <c r="BG2265" s="85"/>
      <c r="BH2265" s="85"/>
      <c r="BI2265" s="85"/>
      <c r="BJ2265" s="85"/>
      <c r="BK2265" s="85"/>
      <c r="BL2265" s="85"/>
      <c r="BM2265" s="85"/>
      <c r="BN2265" s="85"/>
      <c r="BO2265" s="85"/>
      <c r="BP2265" s="85"/>
      <c r="BQ2265" s="90"/>
      <c r="BR2265" s="87"/>
      <c r="BS2265" s="90"/>
      <c r="BT2265" s="87"/>
      <c r="BU2265" s="87"/>
      <c r="BV2265" s="87"/>
      <c r="BW2265" s="87"/>
      <c r="BX2265" s="87"/>
    </row>
    <row r="2266" spans="18:77" x14ac:dyDescent="0.3">
      <c r="R2266" s="85"/>
      <c r="S2266" s="85"/>
      <c r="T2266" s="85"/>
      <c r="U2266" s="85"/>
      <c r="V2266" s="85"/>
      <c r="W2266" s="85"/>
      <c r="X2266" s="85"/>
      <c r="Y2266" s="85"/>
      <c r="Z2266" s="85"/>
      <c r="AA2266" s="85"/>
      <c r="AB2266" s="85"/>
      <c r="AC2266" s="85"/>
      <c r="AD2266" s="85"/>
      <c r="AE2266" s="85"/>
      <c r="AF2266" s="85"/>
      <c r="AG2266" s="85"/>
      <c r="AH2266" s="85"/>
      <c r="AI2266" s="85"/>
      <c r="AJ2266" s="85"/>
      <c r="AK2266" s="85"/>
      <c r="AL2266" s="85"/>
      <c r="AM2266" s="85"/>
      <c r="AN2266" s="85"/>
      <c r="AO2266" s="85"/>
      <c r="AP2266" s="85"/>
      <c r="AQ2266" s="85"/>
      <c r="AR2266" s="85"/>
      <c r="AS2266" s="85"/>
      <c r="AT2266" s="85"/>
      <c r="AU2266" s="85"/>
      <c r="AV2266" s="85"/>
      <c r="AW2266" s="85"/>
      <c r="AX2266" s="85"/>
      <c r="AY2266" s="85"/>
      <c r="AZ2266" s="85"/>
      <c r="BA2266" s="85"/>
      <c r="BB2266" s="85"/>
      <c r="BC2266" s="85"/>
      <c r="BD2266" s="85"/>
      <c r="BE2266" s="85"/>
      <c r="BF2266" s="85"/>
      <c r="BG2266" s="85"/>
      <c r="BH2266" s="85"/>
      <c r="BI2266" s="85"/>
      <c r="BJ2266" s="85"/>
      <c r="BK2266" s="85"/>
      <c r="BL2266" s="85"/>
      <c r="BM2266" s="85"/>
      <c r="BN2266" s="85"/>
      <c r="BO2266" s="85"/>
      <c r="BP2266" s="85"/>
      <c r="BQ2266" s="90"/>
      <c r="BR2266" s="87"/>
      <c r="BS2266" s="90"/>
      <c r="BT2266" s="87"/>
      <c r="BU2266" s="87"/>
      <c r="BV2266" s="87"/>
      <c r="BW2266" s="87"/>
      <c r="BX2266" s="87"/>
    </row>
    <row r="2267" spans="18:77" x14ac:dyDescent="0.3">
      <c r="R2267" s="85"/>
      <c r="S2267" s="85"/>
      <c r="T2267" s="85"/>
      <c r="U2267" s="85"/>
      <c r="V2267" s="85"/>
      <c r="W2267" s="85"/>
      <c r="X2267" s="85"/>
      <c r="Y2267" s="85"/>
      <c r="Z2267" s="85"/>
      <c r="AA2267" s="85"/>
      <c r="AB2267" s="85"/>
      <c r="AC2267" s="85"/>
      <c r="AD2267" s="85"/>
      <c r="AE2267" s="85"/>
      <c r="AF2267" s="85"/>
      <c r="AG2267" s="85"/>
      <c r="AH2267" s="85"/>
      <c r="AI2267" s="85"/>
      <c r="AJ2267" s="85"/>
      <c r="AK2267" s="85"/>
      <c r="AL2267" s="85"/>
      <c r="AM2267" s="85"/>
      <c r="AN2267" s="85"/>
      <c r="AO2267" s="85"/>
      <c r="AP2267" s="85"/>
      <c r="AQ2267" s="85"/>
      <c r="AR2267" s="85"/>
      <c r="AS2267" s="85"/>
      <c r="AT2267" s="85"/>
      <c r="AU2267" s="85"/>
      <c r="AV2267" s="85"/>
      <c r="AW2267" s="85"/>
      <c r="AX2267" s="85"/>
      <c r="AY2267" s="85"/>
      <c r="AZ2267" s="85"/>
      <c r="BA2267" s="85"/>
      <c r="BB2267" s="85"/>
      <c r="BC2267" s="85"/>
      <c r="BD2267" s="85"/>
      <c r="BE2267" s="85"/>
      <c r="BF2267" s="85"/>
      <c r="BG2267" s="85"/>
      <c r="BH2267" s="85"/>
      <c r="BI2267" s="85"/>
      <c r="BJ2267" s="85"/>
      <c r="BK2267" s="85"/>
      <c r="BL2267" s="85"/>
      <c r="BM2267" s="85"/>
      <c r="BN2267" s="85"/>
      <c r="BO2267" s="85"/>
      <c r="BP2267" s="85"/>
      <c r="BQ2267" s="90"/>
      <c r="BR2267" s="87"/>
      <c r="BS2267" s="90"/>
      <c r="BT2267" s="87"/>
      <c r="BU2267" s="87"/>
      <c r="BV2267" s="87"/>
      <c r="BW2267" s="87"/>
      <c r="BX2267" s="87"/>
    </row>
    <row r="2268" spans="18:77" x14ac:dyDescent="0.3">
      <c r="R2268" s="85"/>
      <c r="S2268" s="85"/>
      <c r="T2268" s="85"/>
      <c r="U2268" s="85"/>
      <c r="V2268" s="85"/>
      <c r="W2268" s="85"/>
      <c r="X2268" s="85"/>
      <c r="Y2268" s="85"/>
      <c r="Z2268" s="85"/>
      <c r="AA2268" s="85"/>
      <c r="AB2268" s="85"/>
      <c r="AC2268" s="85"/>
      <c r="AD2268" s="85"/>
      <c r="AE2268" s="85"/>
      <c r="AF2268" s="85"/>
      <c r="AG2268" s="85"/>
      <c r="AH2268" s="85"/>
      <c r="AI2268" s="85"/>
      <c r="AJ2268" s="85"/>
      <c r="AK2268" s="85"/>
      <c r="AL2268" s="85"/>
      <c r="AM2268" s="85"/>
      <c r="AN2268" s="85"/>
      <c r="AO2268" s="85"/>
      <c r="AP2268" s="85"/>
      <c r="AQ2268" s="85"/>
      <c r="AR2268" s="85"/>
      <c r="AS2268" s="85"/>
      <c r="AT2268" s="85"/>
      <c r="AU2268" s="85"/>
      <c r="AV2268" s="85"/>
      <c r="AW2268" s="85"/>
      <c r="AX2268" s="85"/>
      <c r="AY2268" s="85"/>
      <c r="AZ2268" s="85"/>
      <c r="BA2268" s="85"/>
      <c r="BB2268" s="85"/>
      <c r="BC2268" s="85"/>
      <c r="BD2268" s="85"/>
      <c r="BE2268" s="85"/>
      <c r="BF2268" s="85"/>
      <c r="BG2268" s="85"/>
      <c r="BH2268" s="85"/>
      <c r="BI2268" s="85"/>
      <c r="BJ2268" s="85"/>
      <c r="BK2268" s="85"/>
      <c r="BL2268" s="85"/>
      <c r="BM2268" s="85"/>
      <c r="BN2268" s="85"/>
      <c r="BO2268" s="85"/>
      <c r="BP2268" s="85"/>
      <c r="BQ2268" s="90"/>
      <c r="BR2268" s="87"/>
      <c r="BS2268" s="90"/>
      <c r="BT2268" s="87"/>
      <c r="BU2268" s="87"/>
      <c r="BV2268" s="87"/>
      <c r="BW2268" s="87"/>
      <c r="BX2268" s="87"/>
    </row>
    <row r="2269" spans="18:77" x14ac:dyDescent="0.3">
      <c r="R2269" s="85"/>
      <c r="S2269" s="85"/>
      <c r="T2269" s="85"/>
      <c r="U2269" s="85"/>
      <c r="V2269" s="85"/>
      <c r="W2269" s="85"/>
      <c r="X2269" s="85"/>
      <c r="Y2269" s="85"/>
      <c r="Z2269" s="85"/>
      <c r="AA2269" s="85"/>
      <c r="AB2269" s="85"/>
      <c r="AC2269" s="85"/>
      <c r="AD2269" s="85"/>
      <c r="AE2269" s="85"/>
      <c r="AF2269" s="85"/>
      <c r="AG2269" s="85"/>
      <c r="AH2269" s="85"/>
      <c r="AI2269" s="85"/>
      <c r="AJ2269" s="85"/>
      <c r="AK2269" s="85"/>
      <c r="AL2269" s="85"/>
      <c r="AM2269" s="85"/>
      <c r="AN2269" s="85"/>
      <c r="AO2269" s="85"/>
      <c r="AP2269" s="85"/>
      <c r="AQ2269" s="85"/>
      <c r="AR2269" s="85"/>
      <c r="AS2269" s="85"/>
      <c r="AT2269" s="85"/>
      <c r="AU2269" s="85"/>
      <c r="AV2269" s="85"/>
      <c r="AW2269" s="85"/>
      <c r="AX2269" s="85"/>
      <c r="AY2269" s="85"/>
      <c r="AZ2269" s="85"/>
      <c r="BA2269" s="85"/>
      <c r="BB2269" s="85"/>
      <c r="BC2269" s="85"/>
      <c r="BD2269" s="85"/>
      <c r="BE2269" s="85"/>
      <c r="BF2269" s="85"/>
      <c r="BG2269" s="85"/>
      <c r="BH2269" s="85"/>
      <c r="BI2269" s="85"/>
      <c r="BJ2269" s="85"/>
      <c r="BK2269" s="85"/>
      <c r="BL2269" s="85"/>
      <c r="BM2269" s="85"/>
      <c r="BN2269" s="85"/>
      <c r="BO2269" s="85"/>
      <c r="BP2269" s="85"/>
      <c r="BQ2269" s="90"/>
      <c r="BR2269" s="87"/>
      <c r="BS2269" s="90"/>
      <c r="BT2269" s="87"/>
      <c r="BU2269" s="87"/>
      <c r="BV2269" s="87"/>
      <c r="BW2269" s="87"/>
      <c r="BX2269" s="87"/>
    </row>
    <row r="2270" spans="18:77" x14ac:dyDescent="0.3">
      <c r="R2270" s="85"/>
      <c r="S2270" s="85"/>
      <c r="T2270" s="85"/>
      <c r="U2270" s="85"/>
      <c r="V2270" s="85"/>
      <c r="W2270" s="85"/>
      <c r="X2270" s="85"/>
      <c r="Y2270" s="85"/>
      <c r="Z2270" s="85"/>
      <c r="AA2270" s="85"/>
      <c r="AB2270" s="85"/>
      <c r="AC2270" s="85"/>
      <c r="AD2270" s="85"/>
      <c r="AE2270" s="85"/>
      <c r="AF2270" s="85"/>
      <c r="AG2270" s="85"/>
      <c r="AH2270" s="85"/>
      <c r="AI2270" s="85"/>
      <c r="AJ2270" s="85"/>
      <c r="AK2270" s="85"/>
      <c r="AL2270" s="85"/>
      <c r="AM2270" s="85"/>
      <c r="AN2270" s="85"/>
      <c r="AO2270" s="85"/>
      <c r="AP2270" s="85"/>
      <c r="AQ2270" s="85"/>
      <c r="AR2270" s="85"/>
      <c r="AS2270" s="85"/>
      <c r="AT2270" s="85"/>
      <c r="AU2270" s="85"/>
      <c r="AV2270" s="85"/>
      <c r="AW2270" s="85"/>
      <c r="AX2270" s="85"/>
      <c r="AY2270" s="85"/>
      <c r="AZ2270" s="85"/>
      <c r="BA2270" s="85"/>
      <c r="BB2270" s="85"/>
      <c r="BC2270" s="85"/>
      <c r="BD2270" s="85"/>
      <c r="BE2270" s="85"/>
      <c r="BF2270" s="85"/>
      <c r="BG2270" s="85"/>
      <c r="BH2270" s="85"/>
      <c r="BI2270" s="85"/>
      <c r="BJ2270" s="85"/>
      <c r="BK2270" s="85"/>
      <c r="BL2270" s="85"/>
      <c r="BM2270" s="85"/>
      <c r="BN2270" s="85"/>
      <c r="BO2270" s="85"/>
      <c r="BP2270" s="85"/>
      <c r="BQ2270" s="90"/>
      <c r="BR2270" s="87"/>
      <c r="BS2270" s="90"/>
      <c r="BT2270" s="87"/>
      <c r="BU2270" s="87"/>
      <c r="BV2270" s="87"/>
      <c r="BW2270" s="87"/>
      <c r="BX2270" s="87"/>
    </row>
    <row r="2271" spans="18:77" x14ac:dyDescent="0.3">
      <c r="R2271" s="85"/>
      <c r="S2271" s="85"/>
      <c r="T2271" s="85"/>
      <c r="U2271" s="85"/>
      <c r="V2271" s="85"/>
      <c r="W2271" s="85"/>
      <c r="X2271" s="85"/>
      <c r="Y2271" s="85"/>
      <c r="Z2271" s="85"/>
      <c r="AA2271" s="85"/>
      <c r="AB2271" s="85"/>
      <c r="AC2271" s="85"/>
      <c r="AD2271" s="85"/>
      <c r="AE2271" s="85"/>
      <c r="AF2271" s="85"/>
      <c r="AG2271" s="85"/>
      <c r="AH2271" s="85"/>
      <c r="AI2271" s="85"/>
      <c r="AJ2271" s="85"/>
      <c r="AK2271" s="85"/>
      <c r="AL2271" s="85"/>
      <c r="AM2271" s="85"/>
      <c r="AN2271" s="85"/>
      <c r="AO2271" s="85"/>
      <c r="AP2271" s="85"/>
      <c r="AQ2271" s="85"/>
      <c r="AR2271" s="85"/>
      <c r="AS2271" s="85"/>
      <c r="AT2271" s="85"/>
      <c r="AU2271" s="85"/>
      <c r="AV2271" s="85"/>
      <c r="AW2271" s="85"/>
      <c r="AX2271" s="85"/>
      <c r="AY2271" s="85"/>
      <c r="AZ2271" s="85"/>
      <c r="BA2271" s="85"/>
      <c r="BB2271" s="85"/>
      <c r="BC2271" s="85"/>
      <c r="BD2271" s="85"/>
      <c r="BE2271" s="85"/>
      <c r="BF2271" s="85"/>
      <c r="BG2271" s="85"/>
      <c r="BH2271" s="85"/>
      <c r="BI2271" s="85"/>
      <c r="BJ2271" s="85"/>
      <c r="BK2271" s="85"/>
      <c r="BL2271" s="85"/>
      <c r="BM2271" s="85"/>
      <c r="BN2271" s="85"/>
      <c r="BO2271" s="85"/>
      <c r="BP2271" s="85"/>
      <c r="BQ2271" s="90"/>
      <c r="BR2271" s="87"/>
      <c r="BS2271" s="90"/>
      <c r="BT2271" s="87"/>
      <c r="BU2271" s="87"/>
      <c r="BV2271" s="87"/>
      <c r="BW2271" s="87"/>
      <c r="BX2271" s="87"/>
    </row>
    <row r="2272" spans="18:77" x14ac:dyDescent="0.3">
      <c r="R2272" s="85"/>
      <c r="S2272" s="85"/>
      <c r="T2272" s="85"/>
      <c r="U2272" s="85"/>
      <c r="V2272" s="85"/>
      <c r="W2272" s="85"/>
      <c r="X2272" s="85"/>
      <c r="Y2272" s="85"/>
      <c r="Z2272" s="85"/>
      <c r="AA2272" s="85"/>
      <c r="AB2272" s="85"/>
      <c r="AC2272" s="85"/>
      <c r="AD2272" s="85"/>
      <c r="AE2272" s="85"/>
      <c r="AF2272" s="85"/>
      <c r="AG2272" s="85"/>
      <c r="AH2272" s="85"/>
      <c r="AI2272" s="85"/>
      <c r="AJ2272" s="85"/>
      <c r="AK2272" s="85"/>
      <c r="AL2272" s="85"/>
      <c r="AM2272" s="85"/>
      <c r="AN2272" s="85"/>
      <c r="AO2272" s="85"/>
      <c r="AP2272" s="85"/>
      <c r="AQ2272" s="85"/>
      <c r="AR2272" s="85"/>
      <c r="AS2272" s="85"/>
      <c r="AT2272" s="85"/>
      <c r="AU2272" s="85"/>
      <c r="AV2272" s="85"/>
      <c r="AW2272" s="85"/>
      <c r="AX2272" s="85"/>
      <c r="AY2272" s="85"/>
      <c r="AZ2272" s="85"/>
      <c r="BA2272" s="85"/>
      <c r="BB2272" s="85"/>
      <c r="BC2272" s="85"/>
      <c r="BD2272" s="85"/>
      <c r="BE2272" s="85"/>
      <c r="BF2272" s="85"/>
      <c r="BG2272" s="85"/>
      <c r="BH2272" s="85"/>
      <c r="BI2272" s="85"/>
      <c r="BJ2272" s="85"/>
      <c r="BK2272" s="85"/>
      <c r="BL2272" s="85"/>
      <c r="BM2272" s="85"/>
      <c r="BN2272" s="85"/>
      <c r="BO2272" s="85"/>
      <c r="BP2272" s="85"/>
      <c r="BQ2272" s="90"/>
      <c r="BR2272" s="87"/>
      <c r="BS2272" s="90"/>
      <c r="BT2272" s="87"/>
      <c r="BU2272" s="87"/>
      <c r="BV2272" s="87"/>
      <c r="BW2272" s="87"/>
      <c r="BX2272" s="87"/>
    </row>
    <row r="2273" spans="18:68" x14ac:dyDescent="0.3">
      <c r="R2273" s="85"/>
      <c r="S2273" s="85"/>
      <c r="T2273" s="85"/>
      <c r="U2273" s="85"/>
      <c r="V2273" s="85"/>
      <c r="W2273" s="85"/>
      <c r="X2273" s="85"/>
      <c r="Y2273" s="85"/>
      <c r="Z2273" s="85"/>
      <c r="AA2273" s="85"/>
      <c r="AB2273" s="85"/>
      <c r="AC2273" s="85"/>
      <c r="AD2273" s="85"/>
      <c r="AE2273" s="85"/>
      <c r="AF2273" s="85"/>
      <c r="AG2273" s="85"/>
      <c r="AH2273" s="85"/>
      <c r="AI2273" s="85"/>
      <c r="AJ2273" s="85"/>
      <c r="AK2273" s="85"/>
      <c r="AL2273" s="85"/>
      <c r="AM2273" s="85"/>
      <c r="AN2273" s="85"/>
      <c r="AO2273" s="85"/>
      <c r="AP2273" s="85"/>
      <c r="AQ2273" s="85"/>
      <c r="AR2273" s="85"/>
      <c r="AS2273" s="85"/>
      <c r="AT2273" s="85"/>
      <c r="AU2273" s="85"/>
      <c r="AV2273" s="85"/>
      <c r="AW2273" s="85"/>
      <c r="AX2273" s="85"/>
      <c r="AY2273" s="85"/>
      <c r="AZ2273" s="85"/>
      <c r="BA2273" s="85"/>
      <c r="BB2273" s="85"/>
      <c r="BC2273" s="85"/>
      <c r="BD2273" s="85"/>
      <c r="BE2273" s="85"/>
      <c r="BF2273" s="85"/>
      <c r="BG2273" s="85"/>
      <c r="BH2273" s="85"/>
      <c r="BI2273" s="85"/>
      <c r="BJ2273" s="85"/>
      <c r="BK2273" s="85"/>
      <c r="BL2273" s="85"/>
      <c r="BM2273" s="85"/>
      <c r="BN2273" s="85"/>
      <c r="BO2273" s="85"/>
      <c r="BP2273" s="85"/>
    </row>
    <row r="2274" spans="18:68" x14ac:dyDescent="0.3">
      <c r="R2274" s="85"/>
      <c r="S2274" s="85"/>
      <c r="T2274" s="85"/>
      <c r="U2274" s="85"/>
      <c r="V2274" s="85"/>
      <c r="W2274" s="85"/>
      <c r="X2274" s="85"/>
      <c r="Y2274" s="85"/>
      <c r="Z2274" s="85"/>
      <c r="AA2274" s="85"/>
      <c r="AB2274" s="85"/>
      <c r="AC2274" s="85"/>
      <c r="AD2274" s="85"/>
      <c r="AE2274" s="85"/>
      <c r="AF2274" s="85"/>
      <c r="AG2274" s="85"/>
      <c r="AH2274" s="85"/>
      <c r="AI2274" s="85"/>
      <c r="AJ2274" s="85"/>
      <c r="AK2274" s="85"/>
      <c r="AL2274" s="85"/>
      <c r="AM2274" s="85"/>
      <c r="AN2274" s="85"/>
      <c r="AO2274" s="85"/>
      <c r="AP2274" s="85"/>
      <c r="AQ2274" s="85"/>
      <c r="AR2274" s="85"/>
      <c r="AS2274" s="85"/>
      <c r="AT2274" s="85"/>
      <c r="AU2274" s="85"/>
      <c r="AV2274" s="85"/>
      <c r="AW2274" s="85"/>
      <c r="AX2274" s="85"/>
      <c r="AY2274" s="85"/>
      <c r="AZ2274" s="85"/>
      <c r="BA2274" s="85"/>
      <c r="BB2274" s="85"/>
      <c r="BC2274" s="85"/>
      <c r="BD2274" s="85"/>
      <c r="BE2274" s="85"/>
      <c r="BF2274" s="85"/>
      <c r="BG2274" s="85"/>
      <c r="BH2274" s="85"/>
      <c r="BI2274" s="85"/>
      <c r="BJ2274" s="85"/>
      <c r="BK2274" s="85"/>
      <c r="BL2274" s="85"/>
      <c r="BM2274" s="85"/>
      <c r="BN2274" s="85"/>
      <c r="BO2274" s="85"/>
      <c r="BP2274" s="85"/>
    </row>
    <row r="2275" spans="18:68" x14ac:dyDescent="0.3">
      <c r="R2275" s="85"/>
      <c r="S2275" s="85"/>
      <c r="T2275" s="85"/>
      <c r="U2275" s="85"/>
      <c r="V2275" s="85"/>
      <c r="W2275" s="85"/>
      <c r="X2275" s="85"/>
      <c r="Y2275" s="85"/>
      <c r="Z2275" s="85"/>
      <c r="AA2275" s="85"/>
      <c r="AB2275" s="85"/>
      <c r="AC2275" s="85"/>
      <c r="AD2275" s="85"/>
      <c r="AE2275" s="85"/>
      <c r="AF2275" s="85"/>
      <c r="AG2275" s="85"/>
      <c r="AH2275" s="85"/>
      <c r="AI2275" s="85"/>
      <c r="AJ2275" s="85"/>
      <c r="AK2275" s="85"/>
      <c r="AL2275" s="85"/>
      <c r="AM2275" s="85"/>
      <c r="AN2275" s="85"/>
      <c r="AO2275" s="85"/>
      <c r="AP2275" s="85"/>
      <c r="AQ2275" s="85"/>
      <c r="AR2275" s="85"/>
      <c r="AS2275" s="85"/>
      <c r="AT2275" s="85"/>
      <c r="AU2275" s="85"/>
      <c r="AV2275" s="85"/>
      <c r="AW2275" s="85"/>
      <c r="AX2275" s="85"/>
      <c r="AY2275" s="85"/>
      <c r="AZ2275" s="85"/>
      <c r="BA2275" s="85"/>
      <c r="BB2275" s="85"/>
      <c r="BC2275" s="85"/>
      <c r="BD2275" s="85"/>
      <c r="BE2275" s="85"/>
      <c r="BF2275" s="85"/>
      <c r="BG2275" s="85"/>
      <c r="BH2275" s="85"/>
      <c r="BI2275" s="85"/>
      <c r="BJ2275" s="85"/>
      <c r="BK2275" s="85"/>
      <c r="BL2275" s="85"/>
      <c r="BM2275" s="85"/>
      <c r="BN2275" s="85"/>
      <c r="BO2275" s="85"/>
      <c r="BP2275" s="85"/>
    </row>
    <row r="2276" spans="18:68" x14ac:dyDescent="0.3">
      <c r="R2276" s="85"/>
      <c r="S2276" s="85"/>
      <c r="T2276" s="85"/>
      <c r="U2276" s="85"/>
      <c r="V2276" s="85"/>
      <c r="W2276" s="85"/>
      <c r="X2276" s="85"/>
      <c r="Y2276" s="85"/>
      <c r="Z2276" s="85"/>
      <c r="AA2276" s="85"/>
      <c r="AB2276" s="85"/>
      <c r="AC2276" s="85"/>
      <c r="AD2276" s="85"/>
      <c r="AE2276" s="85"/>
      <c r="AF2276" s="85"/>
      <c r="AG2276" s="85"/>
      <c r="AH2276" s="85"/>
      <c r="AI2276" s="85"/>
      <c r="AJ2276" s="85"/>
      <c r="AK2276" s="85"/>
      <c r="AL2276" s="85"/>
      <c r="AM2276" s="85"/>
      <c r="AN2276" s="85"/>
      <c r="AO2276" s="85"/>
      <c r="AP2276" s="85"/>
      <c r="AQ2276" s="85"/>
      <c r="AR2276" s="85"/>
      <c r="AS2276" s="85"/>
      <c r="AT2276" s="85"/>
      <c r="AU2276" s="85"/>
      <c r="AV2276" s="85"/>
      <c r="AW2276" s="85"/>
      <c r="AX2276" s="85"/>
      <c r="AY2276" s="85"/>
      <c r="AZ2276" s="85"/>
      <c r="BA2276" s="85"/>
      <c r="BB2276" s="85"/>
      <c r="BC2276" s="85"/>
      <c r="BD2276" s="85"/>
      <c r="BE2276" s="85"/>
      <c r="BF2276" s="85"/>
      <c r="BG2276" s="85"/>
      <c r="BH2276" s="85"/>
      <c r="BI2276" s="85"/>
      <c r="BJ2276" s="85"/>
      <c r="BK2276" s="85"/>
      <c r="BL2276" s="85"/>
      <c r="BM2276" s="85"/>
      <c r="BN2276" s="85"/>
      <c r="BO2276" s="85"/>
      <c r="BP2276" s="85"/>
    </row>
    <row r="2277" spans="18:68" x14ac:dyDescent="0.3">
      <c r="R2277" s="85"/>
      <c r="S2277" s="85"/>
      <c r="T2277" s="85"/>
      <c r="U2277" s="85"/>
      <c r="V2277" s="85"/>
      <c r="W2277" s="85"/>
      <c r="X2277" s="85"/>
      <c r="Y2277" s="85"/>
      <c r="Z2277" s="85"/>
      <c r="AA2277" s="85"/>
      <c r="AB2277" s="85"/>
      <c r="AC2277" s="85"/>
      <c r="AD2277" s="85"/>
      <c r="AE2277" s="85"/>
      <c r="AF2277" s="85"/>
      <c r="AG2277" s="85"/>
      <c r="AH2277" s="85"/>
      <c r="AI2277" s="85"/>
      <c r="AJ2277" s="85"/>
      <c r="AK2277" s="85"/>
      <c r="AL2277" s="85"/>
      <c r="AM2277" s="85"/>
      <c r="AN2277" s="85"/>
      <c r="AO2277" s="85"/>
      <c r="AP2277" s="85"/>
      <c r="AQ2277" s="85"/>
      <c r="AR2277" s="85"/>
      <c r="AS2277" s="85"/>
      <c r="AT2277" s="85"/>
      <c r="AU2277" s="85"/>
      <c r="AV2277" s="85"/>
      <c r="AW2277" s="85"/>
      <c r="AX2277" s="85"/>
      <c r="AY2277" s="85"/>
      <c r="AZ2277" s="85"/>
      <c r="BA2277" s="85"/>
      <c r="BB2277" s="85"/>
      <c r="BC2277" s="85"/>
      <c r="BD2277" s="85"/>
      <c r="BE2277" s="85"/>
      <c r="BF2277" s="85"/>
      <c r="BG2277" s="85"/>
      <c r="BH2277" s="85"/>
      <c r="BI2277" s="85"/>
      <c r="BJ2277" s="85"/>
      <c r="BK2277" s="85"/>
      <c r="BL2277" s="85"/>
      <c r="BM2277" s="85"/>
      <c r="BN2277" s="85"/>
      <c r="BO2277" s="85"/>
      <c r="BP2277" s="85"/>
    </row>
    <row r="2278" spans="18:68" x14ac:dyDescent="0.3">
      <c r="R2278" s="85"/>
      <c r="S2278" s="85"/>
      <c r="T2278" s="85"/>
      <c r="U2278" s="85"/>
      <c r="V2278" s="85"/>
      <c r="W2278" s="85"/>
      <c r="X2278" s="85"/>
      <c r="Y2278" s="85"/>
      <c r="Z2278" s="85"/>
      <c r="AA2278" s="85"/>
      <c r="AB2278" s="85"/>
      <c r="AC2278" s="85"/>
      <c r="AD2278" s="85"/>
      <c r="AE2278" s="85"/>
      <c r="AF2278" s="85"/>
      <c r="AG2278" s="85"/>
      <c r="AH2278" s="85"/>
      <c r="AI2278" s="85"/>
      <c r="AJ2278" s="85"/>
      <c r="AK2278" s="85"/>
      <c r="AL2278" s="85"/>
      <c r="AM2278" s="85"/>
      <c r="AN2278" s="85"/>
      <c r="AO2278" s="85"/>
      <c r="AP2278" s="85"/>
      <c r="AQ2278" s="85"/>
      <c r="AR2278" s="85"/>
      <c r="AS2278" s="85"/>
      <c r="AT2278" s="85"/>
      <c r="AU2278" s="85"/>
      <c r="AV2278" s="85"/>
      <c r="AW2278" s="85"/>
      <c r="AX2278" s="85"/>
      <c r="AY2278" s="85"/>
      <c r="AZ2278" s="85"/>
      <c r="BA2278" s="85"/>
      <c r="BB2278" s="85"/>
      <c r="BC2278" s="85"/>
      <c r="BD2278" s="85"/>
      <c r="BE2278" s="85"/>
      <c r="BF2278" s="85"/>
      <c r="BG2278" s="85"/>
      <c r="BH2278" s="85"/>
      <c r="BI2278" s="85"/>
      <c r="BJ2278" s="85"/>
      <c r="BK2278" s="85"/>
      <c r="BL2278" s="85"/>
      <c r="BM2278" s="85"/>
      <c r="BN2278" s="85"/>
      <c r="BO2278" s="85"/>
      <c r="BP2278" s="85"/>
    </row>
    <row r="2279" spans="18:68" x14ac:dyDescent="0.3">
      <c r="R2279" s="85"/>
      <c r="S2279" s="85"/>
      <c r="T2279" s="85"/>
      <c r="U2279" s="85"/>
      <c r="V2279" s="85"/>
      <c r="W2279" s="85"/>
      <c r="X2279" s="85"/>
      <c r="Y2279" s="85"/>
      <c r="Z2279" s="85"/>
      <c r="AA2279" s="85"/>
      <c r="AB2279" s="85"/>
      <c r="AC2279" s="85"/>
      <c r="AD2279" s="85"/>
      <c r="AE2279" s="85"/>
      <c r="AF2279" s="85"/>
      <c r="AG2279" s="85"/>
      <c r="AH2279" s="85"/>
      <c r="AI2279" s="85"/>
      <c r="AJ2279" s="85"/>
      <c r="AK2279" s="85"/>
      <c r="AL2279" s="85"/>
      <c r="AM2279" s="85"/>
      <c r="AN2279" s="85"/>
      <c r="AO2279" s="85"/>
      <c r="AP2279" s="85"/>
      <c r="AQ2279" s="85"/>
      <c r="AR2279" s="85"/>
      <c r="AS2279" s="85"/>
      <c r="AT2279" s="85"/>
      <c r="AU2279" s="85"/>
      <c r="AV2279" s="85"/>
      <c r="AW2279" s="85"/>
      <c r="AX2279" s="85"/>
      <c r="AY2279" s="85"/>
      <c r="AZ2279" s="85"/>
      <c r="BA2279" s="85"/>
      <c r="BB2279" s="85"/>
      <c r="BC2279" s="85"/>
      <c r="BD2279" s="85"/>
      <c r="BE2279" s="85"/>
      <c r="BF2279" s="85"/>
      <c r="BG2279" s="85"/>
      <c r="BH2279" s="85"/>
      <c r="BI2279" s="85"/>
      <c r="BJ2279" s="85"/>
      <c r="BK2279" s="85"/>
      <c r="BL2279" s="85"/>
      <c r="BM2279" s="85"/>
      <c r="BN2279" s="85"/>
      <c r="BO2279" s="85"/>
      <c r="BP2279" s="85"/>
    </row>
    <row r="2280" spans="18:68" x14ac:dyDescent="0.3">
      <c r="R2280" s="85"/>
      <c r="S2280" s="85"/>
      <c r="T2280" s="85"/>
      <c r="U2280" s="85"/>
      <c r="V2280" s="85"/>
      <c r="W2280" s="85"/>
      <c r="X2280" s="85"/>
      <c r="Y2280" s="85"/>
      <c r="Z2280" s="85"/>
      <c r="AA2280" s="85"/>
      <c r="AB2280" s="85"/>
      <c r="AC2280" s="85"/>
      <c r="AD2280" s="85"/>
      <c r="AE2280" s="85"/>
      <c r="AF2280" s="85"/>
      <c r="AG2280" s="85"/>
      <c r="AH2280" s="85"/>
      <c r="AI2280" s="85"/>
      <c r="AJ2280" s="85"/>
      <c r="AK2280" s="85"/>
      <c r="AL2280" s="85"/>
      <c r="AM2280" s="85"/>
      <c r="AN2280" s="85"/>
      <c r="AO2280" s="85"/>
      <c r="AP2280" s="85"/>
      <c r="AQ2280" s="85"/>
      <c r="AR2280" s="85"/>
      <c r="AS2280" s="85"/>
      <c r="AT2280" s="85"/>
      <c r="AU2280" s="85"/>
      <c r="AV2280" s="85"/>
      <c r="AW2280" s="85"/>
      <c r="AX2280" s="85"/>
      <c r="AY2280" s="85"/>
      <c r="AZ2280" s="85"/>
      <c r="BA2280" s="85"/>
      <c r="BB2280" s="85"/>
      <c r="BC2280" s="85"/>
      <c r="BD2280" s="85"/>
      <c r="BE2280" s="85"/>
      <c r="BF2280" s="85"/>
      <c r="BG2280" s="85"/>
      <c r="BH2280" s="85"/>
      <c r="BI2280" s="85"/>
      <c r="BJ2280" s="85"/>
      <c r="BK2280" s="85"/>
      <c r="BL2280" s="85"/>
      <c r="BM2280" s="85"/>
      <c r="BN2280" s="85"/>
      <c r="BO2280" s="85"/>
      <c r="BP2280" s="85"/>
    </row>
    <row r="2281" spans="18:68" x14ac:dyDescent="0.3">
      <c r="R2281" s="85"/>
      <c r="S2281" s="85"/>
      <c r="T2281" s="85"/>
      <c r="U2281" s="85"/>
      <c r="V2281" s="85"/>
      <c r="W2281" s="85"/>
      <c r="X2281" s="85"/>
      <c r="Y2281" s="85"/>
      <c r="Z2281" s="85"/>
      <c r="AA2281" s="85"/>
      <c r="AB2281" s="85"/>
      <c r="AC2281" s="85"/>
      <c r="AD2281" s="85"/>
      <c r="AE2281" s="85"/>
      <c r="AF2281" s="85"/>
      <c r="AG2281" s="85"/>
      <c r="AH2281" s="85"/>
      <c r="AI2281" s="85"/>
      <c r="AJ2281" s="85"/>
      <c r="AK2281" s="85"/>
      <c r="AL2281" s="85"/>
      <c r="AM2281" s="85"/>
      <c r="AN2281" s="85"/>
      <c r="AO2281" s="85"/>
      <c r="AP2281" s="85"/>
      <c r="AQ2281" s="85"/>
      <c r="AR2281" s="85"/>
      <c r="AS2281" s="85"/>
      <c r="AT2281" s="85"/>
      <c r="AU2281" s="85"/>
      <c r="AV2281" s="85"/>
      <c r="AW2281" s="85"/>
      <c r="AX2281" s="85"/>
      <c r="AY2281" s="85"/>
      <c r="AZ2281" s="85"/>
      <c r="BA2281" s="85"/>
      <c r="BB2281" s="85"/>
      <c r="BC2281" s="85"/>
      <c r="BD2281" s="85"/>
      <c r="BE2281" s="85"/>
      <c r="BF2281" s="85"/>
      <c r="BG2281" s="85"/>
      <c r="BH2281" s="85"/>
      <c r="BI2281" s="85"/>
      <c r="BJ2281" s="85"/>
      <c r="BK2281" s="85"/>
      <c r="BL2281" s="85"/>
      <c r="BM2281" s="85"/>
      <c r="BN2281" s="85"/>
      <c r="BO2281" s="85"/>
      <c r="BP2281" s="85"/>
    </row>
    <row r="2282" spans="18:68" x14ac:dyDescent="0.3">
      <c r="R2282" s="85"/>
      <c r="S2282" s="85"/>
      <c r="T2282" s="85"/>
      <c r="U2282" s="85"/>
      <c r="V2282" s="85"/>
      <c r="W2282" s="85"/>
      <c r="X2282" s="85"/>
      <c r="Y2282" s="85"/>
      <c r="Z2282" s="85"/>
      <c r="AA2282" s="85"/>
      <c r="AB2282" s="85"/>
      <c r="AC2282" s="85"/>
      <c r="AD2282" s="85"/>
      <c r="AE2282" s="85"/>
      <c r="AF2282" s="85"/>
      <c r="AG2282" s="85"/>
      <c r="AH2282" s="85"/>
      <c r="AI2282" s="85"/>
      <c r="AJ2282" s="85"/>
      <c r="AK2282" s="85"/>
      <c r="AL2282" s="85"/>
      <c r="AM2282" s="85"/>
      <c r="AN2282" s="85"/>
      <c r="AO2282" s="85"/>
      <c r="AP2282" s="85"/>
      <c r="AQ2282" s="85"/>
      <c r="AR2282" s="85"/>
      <c r="AS2282" s="85"/>
      <c r="AT2282" s="85"/>
      <c r="AU2282" s="85"/>
      <c r="AV2282" s="85"/>
      <c r="AW2282" s="85"/>
      <c r="AX2282" s="85"/>
      <c r="AY2282" s="85"/>
      <c r="AZ2282" s="85"/>
      <c r="BA2282" s="85"/>
      <c r="BB2282" s="85"/>
      <c r="BC2282" s="85"/>
      <c r="BD2282" s="85"/>
      <c r="BE2282" s="85"/>
      <c r="BF2282" s="85"/>
      <c r="BG2282" s="85"/>
      <c r="BH2282" s="85"/>
      <c r="BI2282" s="85"/>
      <c r="BJ2282" s="85"/>
      <c r="BK2282" s="85"/>
      <c r="BL2282" s="85"/>
      <c r="BM2282" s="85"/>
      <c r="BN2282" s="85"/>
      <c r="BO2282" s="85"/>
      <c r="BP2282" s="85"/>
    </row>
    <row r="2283" spans="18:68" x14ac:dyDescent="0.3">
      <c r="R2283" s="85"/>
      <c r="S2283" s="85"/>
      <c r="T2283" s="85"/>
      <c r="U2283" s="85"/>
      <c r="V2283" s="85"/>
      <c r="W2283" s="85"/>
      <c r="X2283" s="85"/>
      <c r="Y2283" s="85"/>
      <c r="Z2283" s="85"/>
      <c r="AA2283" s="85"/>
      <c r="AB2283" s="85"/>
      <c r="AC2283" s="85"/>
      <c r="AD2283" s="85"/>
      <c r="AE2283" s="85"/>
      <c r="AF2283" s="85"/>
      <c r="AG2283" s="85"/>
      <c r="AH2283" s="85"/>
      <c r="AI2283" s="85"/>
      <c r="AJ2283" s="85"/>
      <c r="AK2283" s="85"/>
      <c r="AL2283" s="85"/>
      <c r="AM2283" s="85"/>
      <c r="AN2283" s="85"/>
      <c r="AO2283" s="85"/>
      <c r="AP2283" s="85"/>
      <c r="AQ2283" s="85"/>
      <c r="AR2283" s="85"/>
      <c r="AS2283" s="85"/>
      <c r="AT2283" s="85"/>
      <c r="AU2283" s="85"/>
      <c r="AV2283" s="85"/>
      <c r="AW2283" s="85"/>
      <c r="AX2283" s="85"/>
      <c r="AY2283" s="85"/>
      <c r="AZ2283" s="85"/>
      <c r="BA2283" s="85"/>
      <c r="BB2283" s="85"/>
      <c r="BC2283" s="85"/>
      <c r="BD2283" s="85"/>
      <c r="BE2283" s="85"/>
      <c r="BF2283" s="85"/>
      <c r="BG2283" s="85"/>
      <c r="BH2283" s="85"/>
      <c r="BI2283" s="85"/>
      <c r="BJ2283" s="85"/>
      <c r="BK2283" s="85"/>
      <c r="BL2283" s="85"/>
      <c r="BM2283" s="85"/>
      <c r="BN2283" s="85"/>
      <c r="BO2283" s="85"/>
      <c r="BP2283" s="85"/>
    </row>
    <row r="2284" spans="18:68" x14ac:dyDescent="0.3">
      <c r="R2284" s="85"/>
      <c r="S2284" s="85"/>
      <c r="T2284" s="85"/>
      <c r="U2284" s="85"/>
      <c r="V2284" s="85"/>
      <c r="W2284" s="85"/>
      <c r="X2284" s="85"/>
      <c r="Y2284" s="85"/>
      <c r="Z2284" s="85"/>
      <c r="AA2284" s="85"/>
      <c r="AB2284" s="85"/>
      <c r="AC2284" s="85"/>
      <c r="AD2284" s="85"/>
      <c r="AE2284" s="85"/>
      <c r="AF2284" s="85"/>
      <c r="AG2284" s="85"/>
      <c r="AH2284" s="85"/>
      <c r="AI2284" s="85"/>
      <c r="AJ2284" s="85"/>
      <c r="AK2284" s="85"/>
      <c r="AL2284" s="85"/>
      <c r="AM2284" s="85"/>
      <c r="AN2284" s="85"/>
      <c r="AO2284" s="85"/>
      <c r="AP2284" s="85"/>
      <c r="AQ2284" s="85"/>
      <c r="AR2284" s="85"/>
      <c r="AS2284" s="85"/>
      <c r="AT2284" s="85"/>
      <c r="AU2284" s="85"/>
      <c r="AV2284" s="85"/>
      <c r="AW2284" s="85"/>
      <c r="AX2284" s="85"/>
      <c r="AY2284" s="85"/>
      <c r="AZ2284" s="85"/>
      <c r="BA2284" s="85"/>
      <c r="BB2284" s="85"/>
      <c r="BC2284" s="85"/>
      <c r="BD2284" s="85"/>
      <c r="BE2284" s="85"/>
      <c r="BF2284" s="85"/>
      <c r="BG2284" s="85"/>
      <c r="BH2284" s="85"/>
      <c r="BI2284" s="85"/>
      <c r="BJ2284" s="85"/>
      <c r="BK2284" s="85"/>
      <c r="BL2284" s="85"/>
      <c r="BM2284" s="85"/>
      <c r="BN2284" s="85"/>
      <c r="BO2284" s="85"/>
      <c r="BP2284" s="85"/>
    </row>
    <row r="2285" spans="18:68" x14ac:dyDescent="0.3">
      <c r="R2285" s="85"/>
      <c r="S2285" s="85"/>
      <c r="T2285" s="85"/>
      <c r="U2285" s="85"/>
      <c r="V2285" s="85"/>
      <c r="W2285" s="85"/>
      <c r="X2285" s="85"/>
      <c r="Y2285" s="85"/>
      <c r="Z2285" s="85"/>
      <c r="AA2285" s="85"/>
      <c r="AB2285" s="85"/>
      <c r="AC2285" s="85"/>
      <c r="AD2285" s="85"/>
      <c r="AE2285" s="85"/>
      <c r="AF2285" s="85"/>
      <c r="AG2285" s="85"/>
      <c r="AH2285" s="85"/>
      <c r="AI2285" s="85"/>
      <c r="AJ2285" s="85"/>
      <c r="AK2285" s="85"/>
      <c r="AL2285" s="85"/>
      <c r="AM2285" s="85"/>
      <c r="AN2285" s="85"/>
      <c r="AO2285" s="85"/>
      <c r="AP2285" s="85"/>
      <c r="AQ2285" s="85"/>
      <c r="AR2285" s="85"/>
      <c r="AS2285" s="85"/>
      <c r="AT2285" s="85"/>
      <c r="AU2285" s="85"/>
      <c r="AV2285" s="85"/>
      <c r="AW2285" s="85"/>
      <c r="AX2285" s="85"/>
      <c r="AY2285" s="85"/>
      <c r="AZ2285" s="85"/>
      <c r="BA2285" s="85"/>
      <c r="BB2285" s="85"/>
      <c r="BC2285" s="85"/>
      <c r="BD2285" s="85"/>
      <c r="BE2285" s="85"/>
      <c r="BF2285" s="85"/>
      <c r="BG2285" s="85"/>
      <c r="BH2285" s="85"/>
      <c r="BI2285" s="85"/>
      <c r="BJ2285" s="85"/>
      <c r="BK2285" s="85"/>
      <c r="BL2285" s="85"/>
      <c r="BM2285" s="85"/>
      <c r="BN2285" s="85"/>
      <c r="BO2285" s="85"/>
      <c r="BP2285" s="85"/>
    </row>
    <row r="2286" spans="18:68" x14ac:dyDescent="0.3">
      <c r="R2286" s="85"/>
      <c r="S2286" s="85"/>
      <c r="T2286" s="85"/>
      <c r="U2286" s="85"/>
      <c r="V2286" s="85"/>
      <c r="W2286" s="85"/>
      <c r="X2286" s="85"/>
      <c r="Y2286" s="85"/>
      <c r="Z2286" s="85"/>
      <c r="AA2286" s="85"/>
      <c r="AB2286" s="85"/>
      <c r="AC2286" s="85"/>
      <c r="AD2286" s="85"/>
      <c r="AE2286" s="85"/>
      <c r="AF2286" s="85"/>
      <c r="AG2286" s="85"/>
      <c r="AH2286" s="85"/>
      <c r="AI2286" s="85"/>
      <c r="AJ2286" s="85"/>
      <c r="AK2286" s="85"/>
      <c r="AL2286" s="85"/>
      <c r="AM2286" s="85"/>
      <c r="AN2286" s="85"/>
      <c r="AO2286" s="85"/>
      <c r="AP2286" s="85"/>
      <c r="AQ2286" s="85"/>
      <c r="AR2286" s="85"/>
      <c r="AS2286" s="85"/>
      <c r="AT2286" s="85"/>
      <c r="AU2286" s="85"/>
      <c r="AV2286" s="85"/>
      <c r="AW2286" s="85"/>
      <c r="AX2286" s="85"/>
      <c r="AY2286" s="85"/>
      <c r="AZ2286" s="85"/>
      <c r="BA2286" s="85"/>
      <c r="BB2286" s="85"/>
      <c r="BC2286" s="85"/>
      <c r="BD2286" s="85"/>
      <c r="BE2286" s="85"/>
      <c r="BF2286" s="85"/>
      <c r="BG2286" s="85"/>
      <c r="BH2286" s="85"/>
      <c r="BI2286" s="85"/>
      <c r="BJ2286" s="85"/>
      <c r="BK2286" s="85"/>
      <c r="BL2286" s="85"/>
      <c r="BM2286" s="85"/>
      <c r="BN2286" s="85"/>
      <c r="BO2286" s="85"/>
      <c r="BP2286" s="85"/>
    </row>
    <row r="2287" spans="18:68" x14ac:dyDescent="0.3">
      <c r="R2287" s="85"/>
      <c r="S2287" s="85"/>
      <c r="T2287" s="85"/>
      <c r="U2287" s="85"/>
      <c r="V2287" s="85"/>
      <c r="W2287" s="85"/>
      <c r="X2287" s="85"/>
      <c r="Y2287" s="85"/>
      <c r="Z2287" s="85"/>
      <c r="AA2287" s="85"/>
      <c r="AB2287" s="85"/>
      <c r="AC2287" s="85"/>
      <c r="AD2287" s="85"/>
      <c r="AE2287" s="85"/>
      <c r="AF2287" s="85"/>
      <c r="AG2287" s="85"/>
      <c r="AH2287" s="85"/>
      <c r="AI2287" s="85"/>
      <c r="AJ2287" s="85"/>
      <c r="AK2287" s="85"/>
      <c r="AL2287" s="85"/>
      <c r="AM2287" s="85"/>
      <c r="AN2287" s="85"/>
      <c r="AO2287" s="85"/>
      <c r="AP2287" s="85"/>
      <c r="AQ2287" s="85"/>
      <c r="AR2287" s="85"/>
      <c r="AS2287" s="85"/>
      <c r="AT2287" s="85"/>
      <c r="AU2287" s="85"/>
      <c r="AV2287" s="85"/>
      <c r="AW2287" s="85"/>
      <c r="AX2287" s="85"/>
      <c r="AY2287" s="85"/>
      <c r="AZ2287" s="85"/>
      <c r="BA2287" s="85"/>
      <c r="BB2287" s="85"/>
      <c r="BC2287" s="85"/>
      <c r="BD2287" s="85"/>
      <c r="BE2287" s="85"/>
      <c r="BF2287" s="85"/>
      <c r="BG2287" s="85"/>
      <c r="BH2287" s="85"/>
      <c r="BI2287" s="85"/>
      <c r="BJ2287" s="85"/>
      <c r="BK2287" s="85"/>
      <c r="BL2287" s="85"/>
      <c r="BM2287" s="85"/>
      <c r="BN2287" s="85"/>
      <c r="BO2287" s="85"/>
      <c r="BP2287" s="85"/>
    </row>
    <row r="2288" spans="18:68" x14ac:dyDescent="0.3">
      <c r="R2288" s="85"/>
      <c r="S2288" s="85"/>
      <c r="T2288" s="85"/>
      <c r="U2288" s="85"/>
      <c r="V2288" s="85"/>
      <c r="W2288" s="85"/>
      <c r="X2288" s="85"/>
      <c r="Y2288" s="85"/>
      <c r="Z2288" s="85"/>
      <c r="AA2288" s="85"/>
      <c r="AB2288" s="85"/>
      <c r="AC2288" s="85"/>
      <c r="AD2288" s="85"/>
      <c r="AE2288" s="85"/>
      <c r="AF2288" s="85"/>
      <c r="AG2288" s="85"/>
      <c r="AH2288" s="85"/>
      <c r="AI2288" s="85"/>
      <c r="AJ2288" s="85"/>
      <c r="AK2288" s="85"/>
      <c r="AL2288" s="85"/>
      <c r="AM2288" s="85"/>
      <c r="AN2288" s="85"/>
      <c r="AO2288" s="85"/>
      <c r="AP2288" s="85"/>
      <c r="AQ2288" s="85"/>
      <c r="AR2288" s="85"/>
      <c r="AS2288" s="85"/>
      <c r="AT2288" s="85"/>
      <c r="AU2288" s="85"/>
      <c r="AV2288" s="85"/>
      <c r="AW2288" s="85"/>
      <c r="AX2288" s="85"/>
      <c r="AY2288" s="85"/>
      <c r="AZ2288" s="85"/>
      <c r="BA2288" s="85"/>
      <c r="BB2288" s="85"/>
      <c r="BC2288" s="85"/>
      <c r="BD2288" s="85"/>
      <c r="BE2288" s="85"/>
      <c r="BF2288" s="85"/>
      <c r="BG2288" s="85"/>
      <c r="BH2288" s="85"/>
      <c r="BI2288" s="85"/>
      <c r="BJ2288" s="85"/>
      <c r="BK2288" s="85"/>
      <c r="BL2288" s="85"/>
      <c r="BM2288" s="85"/>
      <c r="BN2288" s="85"/>
      <c r="BO2288" s="85"/>
      <c r="BP2288" s="85"/>
    </row>
    <row r="2289" spans="18:68" x14ac:dyDescent="0.3">
      <c r="R2289" s="85"/>
      <c r="S2289" s="85"/>
      <c r="T2289" s="85"/>
      <c r="U2289" s="85"/>
      <c r="V2289" s="85"/>
      <c r="W2289" s="85"/>
      <c r="X2289" s="85"/>
      <c r="Y2289" s="85"/>
      <c r="Z2289" s="85"/>
      <c r="AA2289" s="85"/>
      <c r="AB2289" s="85"/>
      <c r="AC2289" s="85"/>
      <c r="AD2289" s="85"/>
      <c r="AE2289" s="85"/>
      <c r="AF2289" s="85"/>
      <c r="AG2289" s="85"/>
      <c r="AH2289" s="85"/>
      <c r="AI2289" s="85"/>
      <c r="AJ2289" s="85"/>
      <c r="AK2289" s="85"/>
      <c r="AL2289" s="85"/>
      <c r="AM2289" s="85"/>
      <c r="AN2289" s="85"/>
      <c r="AO2289" s="85"/>
      <c r="AP2289" s="85"/>
      <c r="AQ2289" s="85"/>
      <c r="AR2289" s="85"/>
      <c r="AS2289" s="85"/>
      <c r="AT2289" s="85"/>
      <c r="AU2289" s="85"/>
      <c r="AV2289" s="85"/>
      <c r="AW2289" s="85"/>
      <c r="AX2289" s="85"/>
      <c r="AY2289" s="85"/>
      <c r="AZ2289" s="85"/>
      <c r="BA2289" s="85"/>
      <c r="BB2289" s="85"/>
      <c r="BC2289" s="85"/>
      <c r="BD2289" s="85"/>
      <c r="BE2289" s="85"/>
      <c r="BF2289" s="85"/>
      <c r="BG2289" s="85"/>
      <c r="BH2289" s="85"/>
      <c r="BI2289" s="85"/>
      <c r="BJ2289" s="85"/>
      <c r="BK2289" s="85"/>
      <c r="BL2289" s="85"/>
      <c r="BM2289" s="85"/>
      <c r="BN2289" s="85"/>
      <c r="BO2289" s="85"/>
      <c r="BP2289" s="85"/>
    </row>
    <row r="2290" spans="18:68" x14ac:dyDescent="0.3">
      <c r="R2290" s="85"/>
      <c r="S2290" s="85"/>
      <c r="T2290" s="85"/>
      <c r="U2290" s="85"/>
      <c r="V2290" s="85"/>
      <c r="W2290" s="85"/>
      <c r="X2290" s="85"/>
      <c r="Y2290" s="85"/>
      <c r="Z2290" s="85"/>
      <c r="AA2290" s="85"/>
      <c r="AB2290" s="85"/>
      <c r="AC2290" s="85"/>
      <c r="AD2290" s="85"/>
      <c r="AE2290" s="85"/>
      <c r="AF2290" s="85"/>
      <c r="AG2290" s="85"/>
      <c r="AH2290" s="85"/>
      <c r="AI2290" s="85"/>
      <c r="AJ2290" s="85"/>
      <c r="AK2290" s="85"/>
      <c r="AL2290" s="85"/>
      <c r="AM2290" s="85"/>
      <c r="AN2290" s="85"/>
      <c r="AO2290" s="85"/>
      <c r="AP2290" s="85"/>
      <c r="AQ2290" s="85"/>
      <c r="AR2290" s="85"/>
      <c r="AS2290" s="85"/>
      <c r="AT2290" s="85"/>
      <c r="AU2290" s="85"/>
      <c r="AV2290" s="85"/>
      <c r="AW2290" s="85"/>
      <c r="AX2290" s="85"/>
      <c r="AY2290" s="85"/>
      <c r="AZ2290" s="85"/>
      <c r="BA2290" s="85"/>
      <c r="BB2290" s="85"/>
      <c r="BC2290" s="85"/>
      <c r="BD2290" s="85"/>
      <c r="BE2290" s="85"/>
      <c r="BF2290" s="85"/>
      <c r="BG2290" s="85"/>
      <c r="BH2290" s="85"/>
      <c r="BI2290" s="85"/>
      <c r="BJ2290" s="85"/>
      <c r="BK2290" s="85"/>
      <c r="BL2290" s="85"/>
      <c r="BM2290" s="85"/>
      <c r="BN2290" s="85"/>
      <c r="BO2290" s="85"/>
      <c r="BP2290" s="85"/>
    </row>
    <row r="2291" spans="18:68" x14ac:dyDescent="0.3">
      <c r="R2291" s="85"/>
      <c r="S2291" s="85"/>
      <c r="T2291" s="85"/>
      <c r="U2291" s="85"/>
      <c r="V2291" s="85"/>
      <c r="W2291" s="85"/>
      <c r="X2291" s="85"/>
      <c r="Y2291" s="85"/>
      <c r="Z2291" s="85"/>
      <c r="AA2291" s="85"/>
      <c r="AB2291" s="85"/>
      <c r="AC2291" s="85"/>
      <c r="AD2291" s="85"/>
      <c r="AE2291" s="85"/>
      <c r="AF2291" s="85"/>
      <c r="AG2291" s="85"/>
      <c r="AH2291" s="85"/>
      <c r="AI2291" s="85"/>
      <c r="AJ2291" s="85"/>
      <c r="AK2291" s="85"/>
      <c r="AL2291" s="85"/>
      <c r="AM2291" s="85"/>
      <c r="AN2291" s="85"/>
      <c r="AO2291" s="85"/>
      <c r="AP2291" s="85"/>
      <c r="AQ2291" s="85"/>
      <c r="AR2291" s="85"/>
      <c r="AS2291" s="85"/>
      <c r="AT2291" s="85"/>
      <c r="AU2291" s="85"/>
      <c r="AV2291" s="85"/>
      <c r="AW2291" s="85"/>
      <c r="AX2291" s="85"/>
      <c r="AY2291" s="85"/>
      <c r="AZ2291" s="85"/>
      <c r="BA2291" s="85"/>
      <c r="BB2291" s="85"/>
      <c r="BC2291" s="85"/>
      <c r="BD2291" s="85"/>
      <c r="BE2291" s="85"/>
      <c r="BF2291" s="85"/>
      <c r="BG2291" s="85"/>
      <c r="BH2291" s="85"/>
      <c r="BI2291" s="85"/>
      <c r="BJ2291" s="85"/>
      <c r="BK2291" s="85"/>
      <c r="BL2291" s="85"/>
      <c r="BM2291" s="85"/>
      <c r="BN2291" s="85"/>
      <c r="BO2291" s="85"/>
      <c r="BP2291" s="85"/>
    </row>
    <row r="2292" spans="18:68" x14ac:dyDescent="0.3">
      <c r="R2292" s="85"/>
      <c r="S2292" s="85"/>
      <c r="T2292" s="85"/>
      <c r="U2292" s="85"/>
      <c r="V2292" s="85"/>
      <c r="W2292" s="85"/>
      <c r="X2292" s="85"/>
      <c r="Y2292" s="85"/>
      <c r="Z2292" s="85"/>
      <c r="AA2292" s="85"/>
      <c r="AB2292" s="85"/>
      <c r="AC2292" s="85"/>
      <c r="AD2292" s="85"/>
      <c r="AE2292" s="85"/>
      <c r="AF2292" s="85"/>
      <c r="AG2292" s="85"/>
      <c r="AH2292" s="85"/>
      <c r="AI2292" s="85"/>
      <c r="AJ2292" s="85"/>
      <c r="AK2292" s="85"/>
      <c r="AL2292" s="85"/>
      <c r="AM2292" s="85"/>
      <c r="AN2292" s="85"/>
      <c r="AO2292" s="85"/>
      <c r="AP2292" s="85"/>
      <c r="AQ2292" s="85"/>
      <c r="AR2292" s="85"/>
      <c r="AS2292" s="85"/>
      <c r="AT2292" s="85"/>
      <c r="AU2292" s="85"/>
      <c r="AV2292" s="85"/>
      <c r="AW2292" s="85"/>
      <c r="AX2292" s="85"/>
      <c r="AY2292" s="85"/>
      <c r="AZ2292" s="85"/>
      <c r="BA2292" s="85"/>
      <c r="BB2292" s="85"/>
      <c r="BC2292" s="85"/>
      <c r="BD2292" s="85"/>
      <c r="BE2292" s="85"/>
      <c r="BF2292" s="85"/>
      <c r="BG2292" s="85"/>
      <c r="BH2292" s="85"/>
      <c r="BI2292" s="85"/>
      <c r="BJ2292" s="85"/>
      <c r="BK2292" s="85"/>
      <c r="BL2292" s="85"/>
      <c r="BM2292" s="85"/>
      <c r="BN2292" s="85"/>
      <c r="BO2292" s="85"/>
      <c r="BP2292" s="85"/>
    </row>
    <row r="2293" spans="18:68" x14ac:dyDescent="0.3">
      <c r="R2293" s="85"/>
      <c r="S2293" s="85"/>
      <c r="T2293" s="85"/>
      <c r="U2293" s="85"/>
      <c r="V2293" s="85"/>
      <c r="W2293" s="85"/>
      <c r="X2293" s="85"/>
      <c r="Y2293" s="85"/>
      <c r="Z2293" s="85"/>
      <c r="AA2293" s="85"/>
      <c r="AB2293" s="85"/>
      <c r="AC2293" s="85"/>
      <c r="AD2293" s="85"/>
      <c r="AE2293" s="85"/>
      <c r="AF2293" s="85"/>
      <c r="AG2293" s="85"/>
      <c r="AH2293" s="85"/>
      <c r="AI2293" s="85"/>
      <c r="AJ2293" s="85"/>
      <c r="AK2293" s="85"/>
      <c r="AL2293" s="85"/>
      <c r="AM2293" s="85"/>
      <c r="AN2293" s="85"/>
      <c r="AO2293" s="85"/>
      <c r="AP2293" s="85"/>
      <c r="AQ2293" s="85"/>
      <c r="AR2293" s="85"/>
      <c r="AS2293" s="85"/>
      <c r="AT2293" s="85"/>
      <c r="AU2293" s="85"/>
      <c r="AV2293" s="85"/>
      <c r="AW2293" s="85"/>
      <c r="AX2293" s="85"/>
      <c r="AY2293" s="85"/>
      <c r="AZ2293" s="85"/>
      <c r="BA2293" s="85"/>
      <c r="BB2293" s="85"/>
      <c r="BC2293" s="85"/>
      <c r="BD2293" s="85"/>
      <c r="BE2293" s="85"/>
      <c r="BF2293" s="85"/>
      <c r="BG2293" s="85"/>
      <c r="BH2293" s="85"/>
      <c r="BI2293" s="85"/>
      <c r="BJ2293" s="85"/>
      <c r="BK2293" s="85"/>
      <c r="BL2293" s="85"/>
      <c r="BM2293" s="85"/>
      <c r="BN2293" s="85"/>
      <c r="BO2293" s="85"/>
      <c r="BP2293" s="85"/>
    </row>
    <row r="2294" spans="18:68" x14ac:dyDescent="0.3">
      <c r="R2294" s="85"/>
      <c r="S2294" s="85"/>
      <c r="T2294" s="85"/>
      <c r="U2294" s="85"/>
      <c r="V2294" s="85"/>
      <c r="W2294" s="85"/>
      <c r="X2294" s="85"/>
      <c r="Y2294" s="85"/>
      <c r="Z2294" s="85"/>
      <c r="AA2294" s="85"/>
      <c r="AB2294" s="85"/>
      <c r="AC2294" s="85"/>
      <c r="AD2294" s="85"/>
      <c r="AE2294" s="85"/>
      <c r="AF2294" s="85"/>
      <c r="AG2294" s="85"/>
      <c r="AH2294" s="85"/>
      <c r="AI2294" s="85"/>
      <c r="AJ2294" s="85"/>
      <c r="AK2294" s="85"/>
      <c r="AL2294" s="85"/>
      <c r="AM2294" s="85"/>
      <c r="AN2294" s="85"/>
      <c r="AO2294" s="85"/>
      <c r="AP2294" s="85"/>
      <c r="AQ2294" s="85"/>
      <c r="AR2294" s="85"/>
      <c r="AS2294" s="85"/>
      <c r="AT2294" s="85"/>
      <c r="AU2294" s="85"/>
      <c r="AV2294" s="85"/>
      <c r="AW2294" s="85"/>
      <c r="AX2294" s="85"/>
      <c r="AY2294" s="85"/>
      <c r="AZ2294" s="85"/>
      <c r="BA2294" s="85"/>
      <c r="BB2294" s="85"/>
      <c r="BC2294" s="85"/>
      <c r="BD2294" s="85"/>
      <c r="BE2294" s="85"/>
      <c r="BF2294" s="85"/>
      <c r="BG2294" s="85"/>
      <c r="BH2294" s="85"/>
      <c r="BI2294" s="85"/>
      <c r="BJ2294" s="85"/>
      <c r="BK2294" s="85"/>
      <c r="BL2294" s="85"/>
      <c r="BM2294" s="85"/>
      <c r="BN2294" s="85"/>
      <c r="BO2294" s="85"/>
      <c r="BP2294" s="85"/>
    </row>
    <row r="2295" spans="18:68" x14ac:dyDescent="0.3">
      <c r="R2295" s="85"/>
      <c r="S2295" s="85"/>
      <c r="T2295" s="85"/>
      <c r="U2295" s="85"/>
      <c r="V2295" s="85"/>
      <c r="W2295" s="85"/>
      <c r="X2295" s="85"/>
      <c r="Y2295" s="85"/>
      <c r="Z2295" s="85"/>
      <c r="AA2295" s="85"/>
      <c r="AB2295" s="85"/>
      <c r="AC2295" s="85"/>
      <c r="AD2295" s="85"/>
      <c r="AE2295" s="85"/>
      <c r="AF2295" s="85"/>
      <c r="AG2295" s="85"/>
      <c r="AH2295" s="85"/>
      <c r="AI2295" s="85"/>
      <c r="AJ2295" s="85"/>
      <c r="AK2295" s="85"/>
      <c r="AL2295" s="85"/>
      <c r="AM2295" s="85"/>
      <c r="AN2295" s="85"/>
      <c r="AO2295" s="85"/>
      <c r="AP2295" s="85"/>
      <c r="AQ2295" s="85"/>
      <c r="AR2295" s="85"/>
      <c r="AS2295" s="85"/>
      <c r="AT2295" s="85"/>
      <c r="AU2295" s="85"/>
      <c r="AV2295" s="85"/>
      <c r="AW2295" s="85"/>
      <c r="AX2295" s="85"/>
      <c r="AY2295" s="85"/>
      <c r="AZ2295" s="85"/>
      <c r="BA2295" s="85"/>
      <c r="BB2295" s="85"/>
      <c r="BC2295" s="85"/>
      <c r="BD2295" s="85"/>
      <c r="BE2295" s="85"/>
      <c r="BF2295" s="85"/>
      <c r="BG2295" s="85"/>
      <c r="BH2295" s="85"/>
      <c r="BI2295" s="85"/>
      <c r="BJ2295" s="85"/>
      <c r="BK2295" s="85"/>
      <c r="BL2295" s="85"/>
      <c r="BM2295" s="85"/>
      <c r="BN2295" s="85"/>
      <c r="BO2295" s="85"/>
      <c r="BP2295" s="85"/>
    </row>
    <row r="2296" spans="18:68" x14ac:dyDescent="0.3">
      <c r="R2296" s="85"/>
      <c r="S2296" s="85"/>
      <c r="T2296" s="85"/>
      <c r="U2296" s="85"/>
      <c r="V2296" s="85"/>
      <c r="W2296" s="85"/>
      <c r="X2296" s="85"/>
      <c r="Y2296" s="85"/>
      <c r="Z2296" s="85"/>
      <c r="AA2296" s="85"/>
      <c r="AB2296" s="85"/>
      <c r="AC2296" s="85"/>
      <c r="AD2296" s="85"/>
      <c r="AE2296" s="85"/>
      <c r="AF2296" s="85"/>
      <c r="AG2296" s="85"/>
      <c r="AH2296" s="85"/>
      <c r="AI2296" s="85"/>
      <c r="AJ2296" s="85"/>
      <c r="AK2296" s="85"/>
      <c r="AL2296" s="85"/>
      <c r="AM2296" s="85"/>
      <c r="AN2296" s="85"/>
      <c r="AO2296" s="85"/>
      <c r="AP2296" s="85"/>
      <c r="AQ2296" s="85"/>
      <c r="AR2296" s="85"/>
      <c r="AS2296" s="85"/>
      <c r="AT2296" s="85"/>
      <c r="AU2296" s="85"/>
      <c r="AV2296" s="85"/>
      <c r="AW2296" s="85"/>
      <c r="AX2296" s="85"/>
      <c r="AY2296" s="85"/>
      <c r="AZ2296" s="85"/>
      <c r="BA2296" s="85"/>
      <c r="BB2296" s="85"/>
      <c r="BC2296" s="85"/>
      <c r="BD2296" s="85"/>
      <c r="BE2296" s="85"/>
      <c r="BF2296" s="85"/>
      <c r="BG2296" s="85"/>
      <c r="BH2296" s="85"/>
      <c r="BI2296" s="85"/>
      <c r="BJ2296" s="85"/>
      <c r="BK2296" s="85"/>
      <c r="BL2296" s="85"/>
      <c r="BM2296" s="85"/>
      <c r="BN2296" s="85"/>
      <c r="BO2296" s="85"/>
      <c r="BP2296" s="85"/>
    </row>
    <row r="2297" spans="18:68" x14ac:dyDescent="0.3">
      <c r="R2297" s="85"/>
      <c r="S2297" s="85"/>
      <c r="T2297" s="85"/>
      <c r="U2297" s="85"/>
      <c r="V2297" s="85"/>
      <c r="W2297" s="85"/>
      <c r="X2297" s="85"/>
      <c r="Y2297" s="85"/>
      <c r="Z2297" s="85"/>
      <c r="AA2297" s="85"/>
      <c r="AB2297" s="85"/>
      <c r="AC2297" s="85"/>
      <c r="AD2297" s="85"/>
      <c r="AE2297" s="85"/>
      <c r="AF2297" s="85"/>
      <c r="AG2297" s="85"/>
      <c r="AH2297" s="85"/>
      <c r="AI2297" s="85"/>
      <c r="AJ2297" s="85"/>
      <c r="AK2297" s="85"/>
      <c r="AL2297" s="85"/>
      <c r="AM2297" s="85"/>
      <c r="AN2297" s="85"/>
      <c r="AO2297" s="85"/>
      <c r="AP2297" s="85"/>
      <c r="AQ2297" s="85"/>
      <c r="AR2297" s="85"/>
      <c r="AS2297" s="85"/>
      <c r="AT2297" s="85"/>
      <c r="AU2297" s="85"/>
      <c r="AV2297" s="85"/>
      <c r="AW2297" s="85"/>
      <c r="AX2297" s="85"/>
      <c r="AY2297" s="85"/>
      <c r="AZ2297" s="85"/>
      <c r="BA2297" s="85"/>
      <c r="BB2297" s="85"/>
      <c r="BC2297" s="85"/>
      <c r="BD2297" s="85"/>
      <c r="BE2297" s="85"/>
      <c r="BF2297" s="85"/>
      <c r="BG2297" s="85"/>
      <c r="BH2297" s="85"/>
      <c r="BI2297" s="85"/>
      <c r="BJ2297" s="85"/>
      <c r="BK2297" s="85"/>
      <c r="BL2297" s="85"/>
      <c r="BM2297" s="85"/>
      <c r="BN2297" s="85"/>
      <c r="BO2297" s="85"/>
      <c r="BP2297" s="85"/>
    </row>
    <row r="2298" spans="18:68" x14ac:dyDescent="0.3">
      <c r="R2298" s="85"/>
      <c r="S2298" s="85"/>
      <c r="T2298" s="85"/>
      <c r="U2298" s="85"/>
      <c r="V2298" s="85"/>
      <c r="W2298" s="85"/>
      <c r="X2298" s="85"/>
      <c r="Y2298" s="85"/>
      <c r="Z2298" s="85"/>
      <c r="AA2298" s="85"/>
      <c r="AB2298" s="85"/>
      <c r="AC2298" s="85"/>
      <c r="AD2298" s="85"/>
      <c r="AE2298" s="85"/>
      <c r="AF2298" s="85"/>
      <c r="AG2298" s="85"/>
      <c r="AH2298" s="85"/>
      <c r="AI2298" s="85"/>
      <c r="AJ2298" s="85"/>
      <c r="AK2298" s="85"/>
      <c r="AL2298" s="85"/>
      <c r="AM2298" s="85"/>
      <c r="AN2298" s="85"/>
      <c r="AO2298" s="85"/>
      <c r="AP2298" s="85"/>
      <c r="AQ2298" s="85"/>
      <c r="AR2298" s="85"/>
      <c r="AS2298" s="85"/>
      <c r="AT2298" s="85"/>
      <c r="AU2298" s="85"/>
      <c r="AV2298" s="85"/>
      <c r="AW2298" s="85"/>
      <c r="AX2298" s="85"/>
      <c r="AY2298" s="85"/>
      <c r="AZ2298" s="85"/>
      <c r="BA2298" s="85"/>
      <c r="BB2298" s="85"/>
      <c r="BC2298" s="85"/>
      <c r="BD2298" s="85"/>
      <c r="BE2298" s="85"/>
      <c r="BF2298" s="85"/>
      <c r="BG2298" s="85"/>
      <c r="BH2298" s="85"/>
      <c r="BI2298" s="85"/>
      <c r="BJ2298" s="85"/>
      <c r="BK2298" s="85"/>
      <c r="BL2298" s="85"/>
      <c r="BM2298" s="85"/>
      <c r="BN2298" s="85"/>
      <c r="BO2298" s="85"/>
      <c r="BP2298" s="85"/>
    </row>
    <row r="2299" spans="18:68" x14ac:dyDescent="0.3">
      <c r="R2299" s="85"/>
      <c r="S2299" s="85"/>
      <c r="T2299" s="85"/>
      <c r="U2299" s="85"/>
      <c r="V2299" s="85"/>
      <c r="W2299" s="85"/>
      <c r="X2299" s="85"/>
      <c r="Y2299" s="85"/>
      <c r="Z2299" s="85"/>
      <c r="AA2299" s="85"/>
      <c r="AB2299" s="85"/>
      <c r="AC2299" s="85"/>
      <c r="AD2299" s="85"/>
      <c r="AE2299" s="85"/>
      <c r="AF2299" s="85"/>
      <c r="AG2299" s="85"/>
      <c r="AH2299" s="85"/>
      <c r="AI2299" s="85"/>
      <c r="AJ2299" s="85"/>
      <c r="AK2299" s="85"/>
      <c r="AL2299" s="85"/>
      <c r="AM2299" s="85"/>
      <c r="AN2299" s="85"/>
      <c r="AO2299" s="85"/>
      <c r="AP2299" s="85"/>
      <c r="AQ2299" s="85"/>
      <c r="AR2299" s="85"/>
      <c r="AS2299" s="85"/>
      <c r="AT2299" s="85"/>
      <c r="AU2299" s="85"/>
      <c r="AV2299" s="85"/>
      <c r="AW2299" s="85"/>
      <c r="AX2299" s="85"/>
      <c r="AY2299" s="85"/>
      <c r="AZ2299" s="85"/>
      <c r="BA2299" s="85"/>
      <c r="BB2299" s="85"/>
      <c r="BC2299" s="85"/>
      <c r="BD2299" s="85"/>
      <c r="BE2299" s="85"/>
      <c r="BF2299" s="85"/>
      <c r="BG2299" s="85"/>
      <c r="BH2299" s="85"/>
      <c r="BI2299" s="85"/>
      <c r="BJ2299" s="85"/>
      <c r="BK2299" s="85"/>
      <c r="BL2299" s="85"/>
      <c r="BM2299" s="85"/>
      <c r="BN2299" s="85"/>
      <c r="BO2299" s="85"/>
      <c r="BP2299" s="85"/>
    </row>
    <row r="2300" spans="18:68" x14ac:dyDescent="0.3">
      <c r="R2300" s="85"/>
      <c r="S2300" s="85"/>
      <c r="T2300" s="85"/>
      <c r="U2300" s="85"/>
      <c r="V2300" s="85"/>
      <c r="W2300" s="85"/>
      <c r="X2300" s="85"/>
      <c r="Y2300" s="85"/>
      <c r="Z2300" s="85"/>
      <c r="AA2300" s="85"/>
      <c r="AB2300" s="85"/>
      <c r="AC2300" s="85"/>
      <c r="AD2300" s="85"/>
      <c r="AE2300" s="85"/>
      <c r="AF2300" s="85"/>
      <c r="AG2300" s="85"/>
      <c r="AH2300" s="85"/>
      <c r="AI2300" s="85"/>
      <c r="AJ2300" s="85"/>
      <c r="AK2300" s="85"/>
      <c r="AL2300" s="85"/>
      <c r="AM2300" s="85"/>
      <c r="AN2300" s="85"/>
      <c r="AO2300" s="85"/>
      <c r="AP2300" s="85"/>
      <c r="AQ2300" s="85"/>
      <c r="AR2300" s="85"/>
      <c r="AS2300" s="85"/>
      <c r="AT2300" s="85"/>
      <c r="AU2300" s="85"/>
      <c r="AV2300" s="85"/>
      <c r="AW2300" s="85"/>
      <c r="AX2300" s="85"/>
      <c r="AY2300" s="85"/>
      <c r="AZ2300" s="85"/>
      <c r="BA2300" s="85"/>
      <c r="BB2300" s="85"/>
      <c r="BC2300" s="85"/>
      <c r="BD2300" s="85"/>
      <c r="BE2300" s="85"/>
      <c r="BF2300" s="85"/>
      <c r="BG2300" s="85"/>
      <c r="BH2300" s="85"/>
      <c r="BI2300" s="85"/>
      <c r="BJ2300" s="85"/>
      <c r="BK2300" s="85"/>
      <c r="BL2300" s="85"/>
      <c r="BM2300" s="85"/>
      <c r="BN2300" s="85"/>
      <c r="BO2300" s="85"/>
      <c r="BP2300" s="85"/>
    </row>
    <row r="2301" spans="18:68" x14ac:dyDescent="0.3">
      <c r="R2301" s="85"/>
      <c r="S2301" s="85"/>
      <c r="T2301" s="85"/>
      <c r="U2301" s="85"/>
      <c r="V2301" s="85"/>
      <c r="W2301" s="85"/>
      <c r="X2301" s="85"/>
      <c r="Y2301" s="85"/>
      <c r="Z2301" s="85"/>
      <c r="AA2301" s="85"/>
      <c r="AB2301" s="85"/>
      <c r="AC2301" s="85"/>
      <c r="AD2301" s="85"/>
      <c r="AE2301" s="85"/>
      <c r="AF2301" s="85"/>
      <c r="AG2301" s="85"/>
      <c r="AH2301" s="85"/>
      <c r="AI2301" s="85"/>
      <c r="AJ2301" s="85"/>
      <c r="AK2301" s="85"/>
      <c r="AL2301" s="85"/>
      <c r="AM2301" s="85"/>
      <c r="AN2301" s="85"/>
      <c r="AO2301" s="85"/>
      <c r="AP2301" s="85"/>
      <c r="AQ2301" s="85"/>
      <c r="AR2301" s="85"/>
      <c r="AS2301" s="85"/>
      <c r="AT2301" s="85"/>
      <c r="AU2301" s="85"/>
      <c r="AV2301" s="85"/>
      <c r="AW2301" s="85"/>
      <c r="AX2301" s="85"/>
      <c r="AY2301" s="85"/>
      <c r="AZ2301" s="85"/>
      <c r="BA2301" s="85"/>
      <c r="BB2301" s="85"/>
      <c r="BC2301" s="85"/>
      <c r="BD2301" s="85"/>
      <c r="BE2301" s="85"/>
      <c r="BF2301" s="85"/>
      <c r="BG2301" s="85"/>
      <c r="BH2301" s="85"/>
      <c r="BI2301" s="85"/>
      <c r="BJ2301" s="85"/>
      <c r="BK2301" s="85"/>
      <c r="BL2301" s="85"/>
      <c r="BM2301" s="85"/>
      <c r="BN2301" s="85"/>
      <c r="BO2301" s="85"/>
      <c r="BP2301" s="85"/>
    </row>
    <row r="2302" spans="18:68" x14ac:dyDescent="0.3">
      <c r="R2302" s="85"/>
      <c r="S2302" s="85"/>
      <c r="T2302" s="85"/>
      <c r="U2302" s="85"/>
      <c r="V2302" s="85"/>
      <c r="W2302" s="85"/>
      <c r="X2302" s="85"/>
      <c r="Y2302" s="85"/>
      <c r="Z2302" s="85"/>
      <c r="AA2302" s="85"/>
      <c r="AB2302" s="85"/>
      <c r="AC2302" s="85"/>
      <c r="AD2302" s="85"/>
      <c r="AE2302" s="85"/>
      <c r="AF2302" s="85"/>
      <c r="AG2302" s="85"/>
      <c r="AH2302" s="85"/>
      <c r="AI2302" s="85"/>
      <c r="AJ2302" s="85"/>
      <c r="AK2302" s="85"/>
      <c r="AL2302" s="85"/>
      <c r="AM2302" s="85"/>
      <c r="AN2302" s="85"/>
      <c r="AO2302" s="85"/>
      <c r="AP2302" s="85"/>
      <c r="AQ2302" s="85"/>
      <c r="AR2302" s="85"/>
      <c r="AS2302" s="85"/>
      <c r="AT2302" s="85"/>
      <c r="AU2302" s="85"/>
      <c r="AV2302" s="85"/>
      <c r="AW2302" s="85"/>
      <c r="AX2302" s="85"/>
      <c r="AY2302" s="85"/>
      <c r="AZ2302" s="85"/>
      <c r="BA2302" s="85"/>
      <c r="BB2302" s="85"/>
      <c r="BC2302" s="85"/>
      <c r="BD2302" s="85"/>
      <c r="BE2302" s="85"/>
      <c r="BF2302" s="85"/>
      <c r="BG2302" s="85"/>
      <c r="BH2302" s="85"/>
      <c r="BI2302" s="85"/>
      <c r="BJ2302" s="85"/>
      <c r="BK2302" s="85"/>
      <c r="BL2302" s="85"/>
      <c r="BM2302" s="85"/>
      <c r="BN2302" s="85"/>
      <c r="BO2302" s="85"/>
      <c r="BP2302" s="85"/>
    </row>
    <row r="2303" spans="18:68" x14ac:dyDescent="0.3">
      <c r="R2303" s="85"/>
      <c r="S2303" s="85"/>
      <c r="T2303" s="85"/>
      <c r="U2303" s="85"/>
      <c r="V2303" s="85"/>
      <c r="W2303" s="85"/>
      <c r="X2303" s="85"/>
      <c r="Y2303" s="85"/>
      <c r="Z2303" s="85"/>
      <c r="AA2303" s="85"/>
      <c r="AB2303" s="85"/>
      <c r="AC2303" s="85"/>
      <c r="AD2303" s="85"/>
      <c r="AE2303" s="85"/>
      <c r="AF2303" s="85"/>
      <c r="AG2303" s="85"/>
      <c r="AH2303" s="85"/>
      <c r="AI2303" s="85"/>
      <c r="AJ2303" s="85"/>
      <c r="AK2303" s="85"/>
      <c r="AL2303" s="85"/>
      <c r="AM2303" s="85"/>
      <c r="AN2303" s="85"/>
      <c r="AO2303" s="85"/>
      <c r="AP2303" s="85"/>
      <c r="AQ2303" s="85"/>
      <c r="AR2303" s="85"/>
      <c r="AS2303" s="85"/>
      <c r="AT2303" s="85"/>
      <c r="AU2303" s="85"/>
      <c r="AV2303" s="85"/>
      <c r="AW2303" s="85"/>
      <c r="AX2303" s="85"/>
      <c r="AY2303" s="85"/>
      <c r="AZ2303" s="85"/>
      <c r="BA2303" s="85"/>
      <c r="BB2303" s="85"/>
      <c r="BC2303" s="85"/>
      <c r="BD2303" s="85"/>
      <c r="BE2303" s="85"/>
      <c r="BF2303" s="85"/>
      <c r="BG2303" s="85"/>
      <c r="BH2303" s="85"/>
      <c r="BI2303" s="85"/>
      <c r="BJ2303" s="85"/>
      <c r="BK2303" s="85"/>
      <c r="BL2303" s="85"/>
      <c r="BM2303" s="85"/>
      <c r="BN2303" s="85"/>
      <c r="BO2303" s="85"/>
      <c r="BP2303" s="85"/>
    </row>
    <row r="2304" spans="18:68" x14ac:dyDescent="0.3">
      <c r="R2304" s="24"/>
      <c r="S2304" s="24"/>
      <c r="T2304" s="24"/>
      <c r="U2304" s="24"/>
      <c r="V2304" s="24"/>
      <c r="W2304" s="24"/>
      <c r="X2304" s="24"/>
      <c r="Y2304" s="24"/>
      <c r="Z2304" s="24"/>
      <c r="AA2304" s="24"/>
      <c r="AB2304" s="24"/>
      <c r="AC2304" s="24"/>
      <c r="AD2304" s="24"/>
      <c r="AE2304" s="24"/>
      <c r="AF2304" s="24"/>
      <c r="AG2304" s="24"/>
      <c r="AH2304" s="24"/>
      <c r="AI2304" s="24"/>
      <c r="AJ2304" s="24"/>
      <c r="AK2304" s="24"/>
      <c r="AL2304" s="24"/>
      <c r="AM2304" s="24"/>
      <c r="AN2304" s="24"/>
      <c r="AO2304" s="24"/>
      <c r="AP2304" s="24"/>
      <c r="AQ2304" s="24"/>
      <c r="AR2304" s="24"/>
      <c r="AS2304" s="24"/>
      <c r="AT2304" s="24"/>
      <c r="AU2304" s="24"/>
      <c r="AV2304" s="24"/>
      <c r="AW2304" s="24"/>
      <c r="AX2304" s="24"/>
      <c r="AY2304" s="24"/>
      <c r="AZ2304" s="24"/>
      <c r="BA2304" s="24"/>
      <c r="BB2304" s="24"/>
      <c r="BC2304" s="24"/>
      <c r="BD2304" s="24"/>
      <c r="BE2304" s="24"/>
      <c r="BF2304" s="24"/>
      <c r="BG2304" s="24"/>
      <c r="BH2304" s="24"/>
      <c r="BI2304" s="24"/>
      <c r="BJ2304" s="24"/>
      <c r="BK2304" s="24"/>
      <c r="BL2304" s="24"/>
      <c r="BM2304" s="24"/>
      <c r="BN2304" s="24"/>
      <c r="BO2304" s="24"/>
      <c r="BP2304" s="24"/>
    </row>
    <row r="2305" spans="18:68" x14ac:dyDescent="0.3">
      <c r="R2305" s="85"/>
      <c r="S2305" s="85"/>
      <c r="T2305" s="85"/>
      <c r="U2305" s="85"/>
      <c r="V2305" s="85"/>
      <c r="W2305" s="85"/>
      <c r="X2305" s="85"/>
      <c r="Y2305" s="85"/>
      <c r="Z2305" s="85"/>
      <c r="AA2305" s="85"/>
      <c r="AB2305" s="85"/>
      <c r="AC2305" s="85"/>
      <c r="AD2305" s="85"/>
      <c r="AE2305" s="85"/>
      <c r="AF2305" s="85"/>
      <c r="AG2305" s="85"/>
      <c r="AH2305" s="85"/>
      <c r="AI2305" s="85"/>
      <c r="AJ2305" s="85"/>
      <c r="AK2305" s="85"/>
      <c r="AL2305" s="85"/>
      <c r="AM2305" s="85"/>
      <c r="AN2305" s="85"/>
      <c r="AO2305" s="85"/>
      <c r="AP2305" s="85"/>
      <c r="AQ2305" s="85"/>
      <c r="AR2305" s="85"/>
      <c r="AS2305" s="85"/>
      <c r="AT2305" s="85"/>
      <c r="AU2305" s="85"/>
      <c r="AV2305" s="85"/>
      <c r="AW2305" s="85"/>
      <c r="AX2305" s="85"/>
      <c r="AY2305" s="85"/>
      <c r="AZ2305" s="85"/>
      <c r="BA2305" s="85"/>
      <c r="BB2305" s="85"/>
      <c r="BC2305" s="85"/>
      <c r="BD2305" s="85"/>
      <c r="BE2305" s="85"/>
      <c r="BF2305" s="85"/>
      <c r="BG2305" s="85"/>
      <c r="BH2305" s="85"/>
      <c r="BI2305" s="85"/>
      <c r="BJ2305" s="85"/>
      <c r="BK2305" s="85"/>
      <c r="BL2305" s="85"/>
      <c r="BM2305" s="85"/>
      <c r="BN2305" s="85"/>
      <c r="BO2305" s="85"/>
      <c r="BP2305" s="85"/>
    </row>
    <row r="2306" spans="18:68" x14ac:dyDescent="0.3">
      <c r="R2306" s="85"/>
      <c r="S2306" s="85"/>
      <c r="T2306" s="85"/>
      <c r="U2306" s="85"/>
      <c r="V2306" s="85"/>
      <c r="W2306" s="85"/>
      <c r="X2306" s="85"/>
      <c r="Y2306" s="85"/>
      <c r="Z2306" s="85"/>
      <c r="AA2306" s="85"/>
      <c r="AB2306" s="85"/>
      <c r="AC2306" s="85"/>
      <c r="AD2306" s="85"/>
      <c r="AE2306" s="85"/>
      <c r="AF2306" s="85"/>
      <c r="AG2306" s="85"/>
      <c r="AH2306" s="85"/>
      <c r="AI2306" s="85"/>
      <c r="AJ2306" s="85"/>
      <c r="AK2306" s="85"/>
      <c r="AL2306" s="85"/>
      <c r="AM2306" s="85"/>
      <c r="AN2306" s="85"/>
      <c r="AO2306" s="85"/>
      <c r="AP2306" s="85"/>
      <c r="AQ2306" s="85"/>
      <c r="AR2306" s="85"/>
      <c r="AS2306" s="85"/>
      <c r="AT2306" s="85"/>
      <c r="AU2306" s="85"/>
      <c r="AV2306" s="85"/>
      <c r="AW2306" s="85"/>
      <c r="AX2306" s="85"/>
      <c r="AY2306" s="85"/>
      <c r="AZ2306" s="85"/>
      <c r="BA2306" s="85"/>
      <c r="BB2306" s="85"/>
      <c r="BC2306" s="85"/>
      <c r="BD2306" s="85"/>
      <c r="BE2306" s="85"/>
      <c r="BF2306" s="85"/>
      <c r="BG2306" s="85"/>
      <c r="BH2306" s="85"/>
      <c r="BI2306" s="85"/>
      <c r="BJ2306" s="85"/>
      <c r="BK2306" s="85"/>
      <c r="BL2306" s="85"/>
      <c r="BM2306" s="85"/>
      <c r="BN2306" s="85"/>
      <c r="BO2306" s="85"/>
      <c r="BP2306" s="85"/>
    </row>
  </sheetData>
  <mergeCells count="7">
    <mergeCell ref="C1:N1"/>
    <mergeCell ref="C2:N2"/>
    <mergeCell ref="C7:N7"/>
    <mergeCell ref="C3:N3"/>
    <mergeCell ref="C4:N4"/>
    <mergeCell ref="C5:N5"/>
    <mergeCell ref="C6:N6"/>
  </mergeCells>
  <phoneticPr fontId="5" type="noConversion"/>
  <conditionalFormatting sqref="C547:Q700 C11:N546">
    <cfRule type="expression" dxfId="76" priority="1">
      <formula>$E11=""</formula>
    </cfRule>
  </conditionalFormatting>
  <printOptions horizontalCentered="1"/>
  <pageMargins left="0.31496062992125984" right="0.31496062992125984" top="0.51181102362204722" bottom="0.74803149606299213" header="0.19685039370078741" footer="0.31496062992125984"/>
  <pageSetup scale="50" fitToHeight="63" orientation="landscape" r:id="rId1"/>
  <headerFooter>
    <oddHeader>&amp;L&amp;G&amp;C&amp;"Arial Nova,Negrita"SUBDIRECCIÓN DE MANTENIMIENTO, LOGÍSTICA E INFRAESTRUCTURA COMPLEMENTARIA
GERENCIA DE MANTENIMIENTO E INFRAESTRUCTURA COMPLEMENTARIA MARINA &amp;R&amp;G</oddHeader>
    <oddFooter>&amp;CPágina &amp;P de &amp;N&amp;RC. EMILIO JOSÉ SEGURA
REPRESENTANTE TÉCNICO-ADMINISTRATIVO 
BME SUBTEC S.A. de C.V.</oddFooter>
  </headerFooter>
  <rowBreaks count="5" manualBreakCount="5">
    <brk id="25" min="2" max="13" man="1"/>
    <brk id="100" min="2" max="13" man="1"/>
    <brk id="137" min="2" max="13" man="1"/>
    <brk id="288" min="2" max="13" man="1"/>
    <brk id="543" min="2" max="13" man="1"/>
  </rowBreaks>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79311-2A42-4A07-B1D6-92567EE13066}">
  <sheetPr codeName="Hoja4"/>
  <dimension ref="A1:Q494"/>
  <sheetViews>
    <sheetView view="pageBreakPreview" topLeftCell="B145" zoomScaleNormal="100" zoomScaleSheetLayoutView="100" workbookViewId="0">
      <selection activeCell="D69" sqref="D69"/>
    </sheetView>
  </sheetViews>
  <sheetFormatPr baseColWidth="10" defaultColWidth="11.44140625" defaultRowHeight="13.8" x14ac:dyDescent="0.3"/>
  <cols>
    <col min="1" max="2" width="11.44140625" style="26"/>
    <col min="3" max="3" width="11.6640625" style="26" bestFit="1" customWidth="1"/>
    <col min="4" max="4" width="81.109375" style="27" bestFit="1" customWidth="1"/>
    <col min="5" max="5" width="12" style="26" bestFit="1" customWidth="1"/>
    <col min="6" max="6" width="16.109375" style="26" bestFit="1" customWidth="1"/>
    <col min="7" max="7" width="13" style="26" bestFit="1" customWidth="1"/>
    <col min="8" max="8" width="20" style="26" bestFit="1" customWidth="1"/>
    <col min="9" max="14" width="22.6640625" style="26" bestFit="1" customWidth="1"/>
    <col min="15" max="17" width="11.44140625" style="26" bestFit="1" customWidth="1"/>
    <col min="18" max="18" width="14.44140625" style="5" bestFit="1" customWidth="1"/>
    <col min="19" max="19" width="81.109375" style="5" bestFit="1" customWidth="1"/>
    <col min="20" max="20" width="19.5546875" style="5" bestFit="1" customWidth="1"/>
    <col min="21" max="21" width="21.88671875" style="5" bestFit="1" customWidth="1"/>
    <col min="22" max="22" width="17.44140625" style="5" bestFit="1" customWidth="1"/>
    <col min="23" max="23" width="18" style="5" bestFit="1" customWidth="1"/>
    <col min="24" max="24" width="21" style="5" bestFit="1" customWidth="1"/>
    <col min="25" max="33" width="13.5546875" style="5" bestFit="1" customWidth="1"/>
    <col min="34" max="36" width="14.5546875" style="5" bestFit="1" customWidth="1"/>
    <col min="37" max="37" width="20" style="5" bestFit="1" customWidth="1"/>
    <col min="38" max="38" width="22.6640625" style="5" bestFit="1" customWidth="1"/>
    <col min="39" max="39" width="14.6640625" style="5" bestFit="1" customWidth="1"/>
    <col min="40" max="40" width="22.6640625" style="5" bestFit="1" customWidth="1"/>
    <col min="41" max="41" width="14.6640625" style="5" bestFit="1" customWidth="1"/>
    <col min="42" max="42" width="22.6640625" style="5" bestFit="1" customWidth="1"/>
    <col min="43" max="43" width="22.88671875" style="5" bestFit="1" customWidth="1"/>
    <col min="44" max="44" width="22.6640625" style="5" bestFit="1" customWidth="1"/>
    <col min="45" max="45" width="22.88671875" style="5" bestFit="1" customWidth="1"/>
    <col min="46" max="46" width="22.6640625" style="5" bestFit="1" customWidth="1"/>
    <col min="47" max="47" width="22.88671875" style="5" bestFit="1" customWidth="1"/>
    <col min="48" max="48" width="22.6640625" style="5" bestFit="1" customWidth="1"/>
    <col min="49" max="49" width="22.88671875" style="5" bestFit="1" customWidth="1"/>
    <col min="50" max="50" width="22.6640625" style="5" bestFit="1" customWidth="1"/>
    <col min="51" max="51" width="22.88671875" style="5" bestFit="1" customWidth="1"/>
    <col min="52" max="52" width="22.6640625" style="5" bestFit="1" customWidth="1"/>
    <col min="53" max="53" width="22.88671875" style="5" bestFit="1" customWidth="1"/>
    <col min="54" max="54" width="22.6640625" style="5" bestFit="1" customWidth="1"/>
    <col min="55" max="55" width="22.88671875" style="5" bestFit="1" customWidth="1"/>
    <col min="56" max="56" width="23.88671875" style="5" bestFit="1" customWidth="1"/>
    <col min="57" max="57" width="24" style="5" bestFit="1" customWidth="1"/>
    <col min="58" max="58" width="23.88671875" style="5" bestFit="1" customWidth="1"/>
    <col min="59" max="59" width="24" style="5" bestFit="1" customWidth="1"/>
    <col min="60" max="60" width="23.88671875" style="5" bestFit="1" customWidth="1"/>
    <col min="61" max="61" width="24" style="5" bestFit="1" customWidth="1"/>
    <col min="62" max="62" width="24.5546875" style="5" bestFit="1" customWidth="1"/>
    <col min="63" max="63" width="24.6640625" style="5" bestFit="1" customWidth="1"/>
    <col min="64" max="64" width="20.33203125" style="5" bestFit="1" customWidth="1"/>
    <col min="65" max="65" width="15" style="5" bestFit="1" customWidth="1"/>
    <col min="66" max="66" width="15.109375" style="5" bestFit="1" customWidth="1"/>
    <col min="67" max="69" width="10.44140625" style="5" bestFit="1" customWidth="1"/>
    <col min="70" max="70" width="11.109375" style="5" bestFit="1" customWidth="1"/>
    <col min="71" max="71" width="81.109375" style="5" bestFit="1" customWidth="1"/>
    <col min="72" max="72" width="11.44140625" style="5"/>
    <col min="73" max="73" width="14.33203125" style="5" bestFit="1" customWidth="1"/>
    <col min="74" max="74" width="11.44140625" style="5"/>
    <col min="75" max="75" width="12" style="5" bestFit="1" customWidth="1"/>
    <col min="76" max="76" width="81.109375" style="5" bestFit="1" customWidth="1"/>
    <col min="77" max="85" width="11.6640625" style="5" bestFit="1" customWidth="1"/>
    <col min="86" max="88" width="12.6640625" style="5" bestFit="1" customWidth="1"/>
    <col min="89" max="89" width="18.109375" style="5" bestFit="1" customWidth="1"/>
    <col min="90" max="90" width="18" style="5" bestFit="1" customWidth="1"/>
    <col min="91" max="91" width="21.88671875" style="5" bestFit="1" customWidth="1"/>
    <col min="92" max="92" width="21.6640625" style="5" bestFit="1" customWidth="1"/>
    <col min="93" max="93" width="21.88671875" style="5" bestFit="1" customWidth="1"/>
    <col min="94" max="94" width="21.6640625" style="5" bestFit="1" customWidth="1"/>
    <col min="95" max="95" width="21.88671875" style="5" bestFit="1" customWidth="1"/>
    <col min="96" max="96" width="21.6640625" style="5" bestFit="1" customWidth="1"/>
    <col min="97" max="97" width="21.88671875" style="5" bestFit="1" customWidth="1"/>
    <col min="98" max="98" width="21.6640625" style="5" bestFit="1" customWidth="1"/>
    <col min="99" max="99" width="21.88671875" style="5" bestFit="1" customWidth="1"/>
    <col min="100" max="100" width="21.6640625" style="5" bestFit="1" customWidth="1"/>
    <col min="101" max="101" width="21.88671875" style="5" bestFit="1" customWidth="1"/>
    <col min="102" max="102" width="21.6640625" style="5" bestFit="1" customWidth="1"/>
    <col min="103" max="103" width="21.88671875" style="5" bestFit="1" customWidth="1"/>
    <col min="104" max="104" width="21.6640625" style="5" bestFit="1" customWidth="1"/>
    <col min="105" max="105" width="21.88671875" style="5" bestFit="1" customWidth="1"/>
    <col min="106" max="106" width="21.6640625" style="5" bestFit="1" customWidth="1"/>
    <col min="107" max="107" width="21.88671875" style="5" bestFit="1" customWidth="1"/>
    <col min="108" max="108" width="21.6640625" style="5" bestFit="1" customWidth="1"/>
    <col min="109" max="109" width="22.88671875" style="5" bestFit="1" customWidth="1"/>
    <col min="110" max="110" width="22.6640625" style="5" bestFit="1" customWidth="1"/>
    <col min="111" max="111" width="22.88671875" style="5" bestFit="1" customWidth="1"/>
    <col min="112" max="112" width="22.6640625" style="5" bestFit="1" customWidth="1"/>
    <col min="113" max="113" width="22.88671875" style="5" bestFit="1" customWidth="1"/>
    <col min="114" max="114" width="22.6640625" style="5" bestFit="1" customWidth="1"/>
    <col min="115" max="115" width="23.33203125" style="5" bestFit="1" customWidth="1"/>
    <col min="116" max="116" width="23.109375" style="5" bestFit="1" customWidth="1"/>
    <col min="117" max="117" width="13.44140625" style="5" bestFit="1" customWidth="1"/>
    <col min="118" max="118" width="13.33203125" style="5" bestFit="1" customWidth="1"/>
    <col min="119" max="119" width="12.6640625" style="5" bestFit="1" customWidth="1"/>
    <col min="120" max="120" width="81.109375" style="5" bestFit="1" customWidth="1"/>
    <col min="121" max="121" width="12.5546875" style="5" bestFit="1" customWidth="1"/>
    <col min="122" max="122" width="17.33203125" style="5" bestFit="1" customWidth="1"/>
    <col min="123" max="123" width="15.6640625" style="5" customWidth="1"/>
    <col min="124" max="124" width="21.6640625" style="5" bestFit="1" customWidth="1"/>
    <col min="125" max="126" width="15.5546875" style="5" bestFit="1" customWidth="1"/>
    <col min="127" max="127" width="16" style="5" bestFit="1" customWidth="1"/>
    <col min="128" max="129" width="16" style="5" customWidth="1"/>
    <col min="130" max="130" width="24" style="5" bestFit="1" customWidth="1"/>
    <col min="131" max="131" width="11.5546875" style="5" bestFit="1" customWidth="1"/>
    <col min="132" max="132" width="20.5546875" style="5" bestFit="1" customWidth="1"/>
    <col min="133" max="134" width="24.109375" style="5" bestFit="1" customWidth="1"/>
    <col min="135" max="16384" width="11.44140625" style="5"/>
  </cols>
  <sheetData>
    <row r="1" spans="1:17" ht="20.100000000000001" customHeight="1" x14ac:dyDescent="0.3">
      <c r="A1" s="4"/>
      <c r="B1" s="4"/>
      <c r="C1" s="105" t="s">
        <v>14</v>
      </c>
      <c r="D1" s="105"/>
      <c r="E1" s="105"/>
      <c r="F1" s="105"/>
      <c r="G1" s="105"/>
      <c r="H1" s="105"/>
      <c r="I1" s="105"/>
      <c r="J1" s="105"/>
      <c r="K1" s="105"/>
      <c r="L1" s="105"/>
      <c r="M1" s="105"/>
      <c r="N1" s="105"/>
      <c r="O1" s="53"/>
      <c r="P1" s="53"/>
      <c r="Q1" s="53"/>
    </row>
    <row r="2" spans="1:17" ht="20.100000000000001" customHeight="1" x14ac:dyDescent="0.3">
      <c r="A2" s="4"/>
      <c r="B2" s="4"/>
      <c r="C2" s="106" t="s">
        <v>13</v>
      </c>
      <c r="D2" s="106"/>
      <c r="E2" s="106"/>
      <c r="F2" s="106"/>
      <c r="G2" s="106"/>
      <c r="H2" s="106"/>
      <c r="I2" s="106"/>
      <c r="J2" s="106"/>
      <c r="K2" s="106"/>
      <c r="L2" s="106"/>
      <c r="M2" s="106"/>
      <c r="N2" s="106"/>
      <c r="O2" s="54"/>
      <c r="P2" s="54"/>
      <c r="Q2" s="54"/>
    </row>
    <row r="3" spans="1:17" ht="20.100000000000001" customHeight="1" x14ac:dyDescent="0.3">
      <c r="A3" s="4"/>
      <c r="B3" s="4"/>
      <c r="C3" s="99" t="s">
        <v>5</v>
      </c>
      <c r="D3" s="99"/>
      <c r="E3" s="99"/>
      <c r="F3" s="99"/>
      <c r="G3" s="99"/>
      <c r="H3" s="99"/>
      <c r="I3" s="99"/>
      <c r="J3" s="99"/>
      <c r="K3" s="99"/>
      <c r="L3" s="99"/>
      <c r="M3" s="99"/>
      <c r="N3" s="99"/>
      <c r="O3" s="55"/>
      <c r="P3" s="55"/>
      <c r="Q3" s="55"/>
    </row>
    <row r="4" spans="1:17" ht="39" customHeight="1" x14ac:dyDescent="0.3">
      <c r="A4" s="84"/>
      <c r="B4" s="84"/>
      <c r="C4" s="109" t="s">
        <v>1395</v>
      </c>
      <c r="D4" s="109"/>
      <c r="E4" s="109"/>
      <c r="F4" s="109"/>
      <c r="G4" s="109"/>
      <c r="H4" s="109"/>
      <c r="I4" s="109"/>
      <c r="J4" s="109"/>
      <c r="K4" s="109"/>
      <c r="L4" s="109"/>
      <c r="M4" s="109"/>
      <c r="N4" s="109"/>
      <c r="O4" s="6"/>
      <c r="P4" s="6"/>
      <c r="Q4" s="6"/>
    </row>
    <row r="5" spans="1:17" ht="22.5" customHeight="1" x14ac:dyDescent="0.3">
      <c r="A5" s="4"/>
      <c r="B5" s="4"/>
      <c r="C5" s="109" t="s">
        <v>7</v>
      </c>
      <c r="D5" s="109"/>
      <c r="E5" s="109"/>
      <c r="F5" s="109"/>
      <c r="G5" s="109"/>
      <c r="H5" s="109"/>
      <c r="I5" s="109"/>
      <c r="J5" s="109"/>
      <c r="K5" s="109"/>
      <c r="L5" s="109"/>
      <c r="M5" s="109"/>
      <c r="N5" s="109"/>
      <c r="O5" s="6"/>
      <c r="P5" s="6"/>
      <c r="Q5" s="6"/>
    </row>
    <row r="6" spans="1:17" ht="16.2" customHeight="1" x14ac:dyDescent="0.3">
      <c r="A6" s="4"/>
      <c r="B6" s="4"/>
      <c r="C6" s="108" t="s">
        <v>9</v>
      </c>
      <c r="D6" s="108"/>
      <c r="E6" s="108"/>
      <c r="F6" s="108"/>
      <c r="G6" s="108"/>
      <c r="H6" s="108"/>
      <c r="I6" s="108"/>
      <c r="J6" s="108"/>
      <c r="K6" s="108"/>
      <c r="L6" s="108"/>
      <c r="M6" s="108"/>
      <c r="N6" s="108"/>
      <c r="O6" s="57"/>
      <c r="P6" s="57"/>
      <c r="Q6" s="57"/>
    </row>
    <row r="7" spans="1:17" ht="19.95" customHeight="1" x14ac:dyDescent="0.3">
      <c r="A7" s="4"/>
      <c r="B7" s="4"/>
      <c r="C7" s="102" t="s">
        <v>8</v>
      </c>
      <c r="D7" s="102"/>
      <c r="E7" s="102"/>
      <c r="F7" s="102"/>
      <c r="G7" s="102"/>
      <c r="H7" s="102"/>
      <c r="I7" s="102"/>
      <c r="J7" s="102"/>
      <c r="K7" s="102"/>
      <c r="L7" s="102"/>
      <c r="M7" s="102"/>
      <c r="N7" s="102"/>
      <c r="O7" s="64"/>
      <c r="P7" s="64"/>
      <c r="Q7" s="64"/>
    </row>
    <row r="8" spans="1:17" ht="33.75" customHeight="1" x14ac:dyDescent="0.3">
      <c r="A8" s="4"/>
      <c r="B8" s="4"/>
      <c r="C8" s="17" t="s">
        <v>20</v>
      </c>
      <c r="D8" s="17" t="s">
        <v>21</v>
      </c>
      <c r="E8" s="17" t="s">
        <v>22</v>
      </c>
      <c r="F8" s="18" t="s">
        <v>1396</v>
      </c>
      <c r="G8" s="7" t="s">
        <v>1411</v>
      </c>
      <c r="H8" s="7" t="s">
        <v>1412</v>
      </c>
      <c r="I8" s="7" t="s">
        <v>1399</v>
      </c>
      <c r="J8" s="7" t="s">
        <v>1400</v>
      </c>
      <c r="K8" s="7" t="s">
        <v>1401</v>
      </c>
      <c r="L8" s="7" t="s">
        <v>1402</v>
      </c>
      <c r="M8" s="7" t="s">
        <v>1403</v>
      </c>
      <c r="N8" s="7" t="s">
        <v>1404</v>
      </c>
      <c r="O8" s="65"/>
      <c r="P8" s="65"/>
      <c r="Q8" s="65"/>
    </row>
    <row r="9" spans="1:17" hidden="1" x14ac:dyDescent="0.3">
      <c r="A9" s="90"/>
      <c r="B9" s="90"/>
      <c r="C9" s="90"/>
      <c r="D9" s="87"/>
      <c r="E9" s="90"/>
      <c r="F9" s="90"/>
      <c r="G9" s="90"/>
      <c r="H9" s="90"/>
      <c r="I9" s="90"/>
      <c r="J9" s="90"/>
      <c r="K9" s="90"/>
      <c r="L9" s="90"/>
      <c r="M9" s="90"/>
      <c r="N9" s="90"/>
      <c r="O9" s="90"/>
      <c r="P9" s="90"/>
      <c r="Q9" s="90"/>
    </row>
    <row r="10" spans="1:17" hidden="1" x14ac:dyDescent="0.3">
      <c r="A10" s="29"/>
      <c r="B10" s="29"/>
      <c r="C10" s="30" t="s">
        <v>20</v>
      </c>
      <c r="D10" s="31" t="s">
        <v>21</v>
      </c>
      <c r="E10" s="32" t="s">
        <v>22</v>
      </c>
      <c r="F10" s="33" t="s">
        <v>29</v>
      </c>
      <c r="G10" s="34" t="s">
        <v>31</v>
      </c>
      <c r="H10" s="34" t="s">
        <v>33</v>
      </c>
      <c r="I10" s="34" t="s">
        <v>1413</v>
      </c>
      <c r="J10" s="34" t="s">
        <v>1414</v>
      </c>
      <c r="K10" s="34" t="s">
        <v>1415</v>
      </c>
      <c r="L10" s="34" t="s">
        <v>1416</v>
      </c>
      <c r="M10" s="34" t="s">
        <v>1417</v>
      </c>
      <c r="N10" s="34" t="s">
        <v>1418</v>
      </c>
      <c r="O10" t="s">
        <v>34</v>
      </c>
      <c r="P10" t="s">
        <v>35</v>
      </c>
      <c r="Q10" t="s">
        <v>36</v>
      </c>
    </row>
    <row r="11" spans="1:17" ht="36" x14ac:dyDescent="0.3">
      <c r="A11" s="90"/>
      <c r="B11" s="90"/>
      <c r="C11" s="90" t="s">
        <v>37</v>
      </c>
      <c r="D11" s="87" t="s">
        <v>38</v>
      </c>
      <c r="E11" s="90"/>
      <c r="F11" s="92"/>
      <c r="G11" s="94"/>
      <c r="H11" s="93"/>
      <c r="I11" s="93"/>
      <c r="J11" s="93"/>
      <c r="K11" s="35"/>
      <c r="L11" s="35"/>
      <c r="M11" s="35"/>
      <c r="N11" s="35"/>
      <c r="O11"/>
      <c r="P11"/>
      <c r="Q11"/>
    </row>
    <row r="12" spans="1:17" ht="48" x14ac:dyDescent="0.3">
      <c r="A12" s="90"/>
      <c r="B12" s="90"/>
      <c r="C12" s="90" t="s">
        <v>39</v>
      </c>
      <c r="D12" s="87" t="s">
        <v>40</v>
      </c>
      <c r="E12" s="90" t="s">
        <v>41</v>
      </c>
      <c r="F12" s="92">
        <v>38.248899999999999</v>
      </c>
      <c r="G12" s="94">
        <v>90000</v>
      </c>
      <c r="H12" s="93">
        <v>3442401</v>
      </c>
      <c r="I12" s="93">
        <v>0</v>
      </c>
      <c r="J12" s="93">
        <v>0</v>
      </c>
      <c r="K12" s="35">
        <v>0</v>
      </c>
      <c r="L12" s="35">
        <v>0</v>
      </c>
      <c r="M12" s="35">
        <v>2174148</v>
      </c>
      <c r="N12" s="35">
        <v>1268253</v>
      </c>
      <c r="O12"/>
      <c r="P12"/>
      <c r="Q12"/>
    </row>
    <row r="13" spans="1:17" ht="36" x14ac:dyDescent="0.3">
      <c r="A13" s="36"/>
      <c r="B13" s="36"/>
      <c r="C13" s="90"/>
      <c r="D13" s="87" t="s">
        <v>43</v>
      </c>
      <c r="E13" s="90"/>
      <c r="F13" s="92"/>
      <c r="G13" s="94"/>
      <c r="H13" s="93">
        <v>3442401</v>
      </c>
      <c r="I13" s="93">
        <v>0</v>
      </c>
      <c r="J13" s="93">
        <v>0</v>
      </c>
      <c r="K13" s="35">
        <v>0</v>
      </c>
      <c r="L13" s="35">
        <v>0</v>
      </c>
      <c r="M13" s="35">
        <v>2174148</v>
      </c>
      <c r="N13" s="35">
        <v>1268253</v>
      </c>
      <c r="O13"/>
      <c r="P13"/>
      <c r="Q13"/>
    </row>
    <row r="14" spans="1:17" ht="48" x14ac:dyDescent="0.3">
      <c r="A14" s="90"/>
      <c r="B14" s="90"/>
      <c r="C14" s="90" t="s">
        <v>44</v>
      </c>
      <c r="D14" s="87" t="s">
        <v>45</v>
      </c>
      <c r="E14" s="90"/>
      <c r="F14" s="92"/>
      <c r="G14" s="94"/>
      <c r="H14" s="93"/>
      <c r="I14" s="93"/>
      <c r="J14" s="93"/>
      <c r="K14" s="35"/>
      <c r="L14" s="35"/>
      <c r="M14" s="35"/>
      <c r="N14" s="35"/>
      <c r="O14"/>
      <c r="P14"/>
      <c r="Q14"/>
    </row>
    <row r="15" spans="1:17" ht="36" x14ac:dyDescent="0.3">
      <c r="A15" s="90"/>
      <c r="B15" s="90"/>
      <c r="C15" s="90"/>
      <c r="D15" s="87" t="s">
        <v>46</v>
      </c>
      <c r="E15" s="90"/>
      <c r="F15" s="92"/>
      <c r="G15" s="94"/>
      <c r="H15" s="93"/>
      <c r="I15" s="93"/>
      <c r="J15" s="93"/>
      <c r="K15" s="35"/>
      <c r="L15" s="35"/>
      <c r="M15" s="35"/>
      <c r="N15" s="35"/>
      <c r="O15"/>
      <c r="P15"/>
      <c r="Q15"/>
    </row>
    <row r="16" spans="1:17" ht="36" x14ac:dyDescent="0.3">
      <c r="A16" s="90"/>
      <c r="B16" s="90"/>
      <c r="C16" s="90"/>
      <c r="D16" s="87" t="s">
        <v>63</v>
      </c>
      <c r="E16" s="90"/>
      <c r="F16" s="92"/>
      <c r="G16" s="94"/>
      <c r="H16" s="93"/>
      <c r="I16" s="93"/>
      <c r="J16" s="93"/>
      <c r="K16" s="35"/>
      <c r="L16" s="35"/>
      <c r="M16" s="35"/>
      <c r="N16" s="35"/>
      <c r="O16"/>
      <c r="P16"/>
      <c r="Q16"/>
    </row>
    <row r="17" spans="1:17" ht="60" x14ac:dyDescent="0.3">
      <c r="A17" s="90"/>
      <c r="B17" s="90"/>
      <c r="C17" s="90"/>
      <c r="D17" s="87" t="s">
        <v>64</v>
      </c>
      <c r="E17" s="90"/>
      <c r="F17" s="92"/>
      <c r="G17" s="94"/>
      <c r="H17" s="93"/>
      <c r="I17" s="93"/>
      <c r="J17" s="93"/>
      <c r="K17" s="35"/>
      <c r="L17" s="35"/>
      <c r="M17" s="35"/>
      <c r="N17" s="35"/>
      <c r="O17"/>
      <c r="P17"/>
      <c r="Q17"/>
    </row>
    <row r="18" spans="1:17" ht="48" x14ac:dyDescent="0.3">
      <c r="A18" s="90"/>
      <c r="B18" s="90"/>
      <c r="C18" s="90"/>
      <c r="D18" s="87" t="s">
        <v>65</v>
      </c>
      <c r="E18" s="90"/>
      <c r="F18" s="92"/>
      <c r="G18" s="94"/>
      <c r="H18" s="93"/>
      <c r="I18" s="93"/>
      <c r="J18" s="93"/>
      <c r="K18" s="35"/>
      <c r="L18" s="35"/>
      <c r="M18" s="35"/>
      <c r="N18" s="35"/>
      <c r="O18"/>
      <c r="P18"/>
      <c r="Q18"/>
    </row>
    <row r="19" spans="1:17" ht="36" x14ac:dyDescent="0.3">
      <c r="A19" s="36"/>
      <c r="B19" s="36"/>
      <c r="C19" s="90" t="s">
        <v>66</v>
      </c>
      <c r="D19" s="87" t="s">
        <v>67</v>
      </c>
      <c r="E19" s="90" t="s">
        <v>68</v>
      </c>
      <c r="F19" s="92">
        <v>9</v>
      </c>
      <c r="G19" s="94">
        <v>6.75</v>
      </c>
      <c r="H19" s="93">
        <v>60.75</v>
      </c>
      <c r="I19" s="93">
        <v>0</v>
      </c>
      <c r="J19" s="93">
        <v>0</v>
      </c>
      <c r="K19" s="35">
        <v>0</v>
      </c>
      <c r="L19" s="35">
        <v>60.75</v>
      </c>
      <c r="M19" s="35">
        <v>0</v>
      </c>
      <c r="N19" s="35">
        <v>0</v>
      </c>
      <c r="O19"/>
      <c r="P19"/>
      <c r="Q19"/>
    </row>
    <row r="20" spans="1:17" ht="60" x14ac:dyDescent="0.3">
      <c r="A20" s="90"/>
      <c r="B20" s="90"/>
      <c r="C20" s="90"/>
      <c r="D20" s="87" t="s">
        <v>70</v>
      </c>
      <c r="E20" s="90"/>
      <c r="F20" s="92"/>
      <c r="G20" s="94"/>
      <c r="H20" s="93"/>
      <c r="I20" s="93"/>
      <c r="J20" s="93"/>
      <c r="K20" s="35"/>
      <c r="L20" s="35"/>
      <c r="M20" s="35"/>
      <c r="N20" s="35"/>
      <c r="O20"/>
      <c r="P20"/>
      <c r="Q20"/>
    </row>
    <row r="21" spans="1:17" ht="48" x14ac:dyDescent="0.3">
      <c r="A21" s="90"/>
      <c r="B21" s="90"/>
      <c r="C21" s="90" t="s">
        <v>71</v>
      </c>
      <c r="D21" s="87" t="s">
        <v>72</v>
      </c>
      <c r="E21" s="90" t="s">
        <v>68</v>
      </c>
      <c r="F21" s="92">
        <v>35</v>
      </c>
      <c r="G21" s="94">
        <v>93.03</v>
      </c>
      <c r="H21" s="93">
        <v>3256.05</v>
      </c>
      <c r="I21" s="93">
        <v>0</v>
      </c>
      <c r="J21" s="93">
        <v>1860.6</v>
      </c>
      <c r="K21" s="35">
        <v>1395.45</v>
      </c>
      <c r="L21" s="35">
        <v>0</v>
      </c>
      <c r="M21" s="35">
        <v>0</v>
      </c>
      <c r="N21" s="35">
        <v>0</v>
      </c>
      <c r="O21"/>
      <c r="P21"/>
      <c r="Q21"/>
    </row>
    <row r="22" spans="1:17" ht="48" x14ac:dyDescent="0.3">
      <c r="A22" s="90"/>
      <c r="B22" s="90"/>
      <c r="C22" s="90" t="s">
        <v>74</v>
      </c>
      <c r="D22" s="87" t="s">
        <v>75</v>
      </c>
      <c r="E22" s="90" t="s">
        <v>68</v>
      </c>
      <c r="F22" s="92">
        <v>1</v>
      </c>
      <c r="G22" s="94">
        <v>1203.48</v>
      </c>
      <c r="H22" s="93">
        <v>1203.48</v>
      </c>
      <c r="I22" s="93">
        <v>0</v>
      </c>
      <c r="J22" s="93">
        <v>1203.48</v>
      </c>
      <c r="K22" s="35">
        <v>0</v>
      </c>
      <c r="L22" s="35">
        <v>0</v>
      </c>
      <c r="M22" s="35">
        <v>0</v>
      </c>
      <c r="N22" s="35">
        <v>0</v>
      </c>
      <c r="O22"/>
      <c r="P22"/>
      <c r="Q22"/>
    </row>
    <row r="23" spans="1:17" ht="48" x14ac:dyDescent="0.3">
      <c r="A23" s="36"/>
      <c r="B23" s="36"/>
      <c r="C23" s="90"/>
      <c r="D23" s="87" t="s">
        <v>77</v>
      </c>
      <c r="E23" s="90"/>
      <c r="F23" s="92"/>
      <c r="G23" s="94"/>
      <c r="H23" s="93"/>
      <c r="I23" s="93"/>
      <c r="J23" s="93"/>
      <c r="K23" s="35"/>
      <c r="L23" s="35"/>
      <c r="M23" s="35"/>
      <c r="N23" s="35"/>
      <c r="O23"/>
      <c r="P23"/>
      <c r="Q23"/>
    </row>
    <row r="24" spans="1:17" ht="48" x14ac:dyDescent="0.3">
      <c r="A24" s="36"/>
      <c r="B24" s="36"/>
      <c r="C24" s="90"/>
      <c r="D24" s="87" t="s">
        <v>81</v>
      </c>
      <c r="E24" s="90"/>
      <c r="F24" s="92"/>
      <c r="G24" s="94"/>
      <c r="H24" s="93"/>
      <c r="I24" s="93"/>
      <c r="J24" s="93"/>
      <c r="K24" s="35"/>
      <c r="L24" s="35"/>
      <c r="M24" s="35"/>
      <c r="N24" s="35"/>
      <c r="O24"/>
      <c r="P24"/>
      <c r="Q24"/>
    </row>
    <row r="25" spans="1:17" ht="36" x14ac:dyDescent="0.3">
      <c r="A25" s="90"/>
      <c r="B25" s="90"/>
      <c r="C25" s="90" t="s">
        <v>82</v>
      </c>
      <c r="D25" s="87" t="s">
        <v>83</v>
      </c>
      <c r="E25" s="90" t="s">
        <v>68</v>
      </c>
      <c r="F25" s="92">
        <v>28</v>
      </c>
      <c r="G25" s="94">
        <v>371.2</v>
      </c>
      <c r="H25" s="93">
        <v>10393.6</v>
      </c>
      <c r="I25" s="93">
        <v>0</v>
      </c>
      <c r="J25" s="93">
        <v>0</v>
      </c>
      <c r="K25" s="35">
        <v>10393.6</v>
      </c>
      <c r="L25" s="35">
        <v>0</v>
      </c>
      <c r="M25" s="35">
        <v>0</v>
      </c>
      <c r="N25" s="35">
        <v>0</v>
      </c>
      <c r="O25"/>
      <c r="P25"/>
      <c r="Q25"/>
    </row>
    <row r="26" spans="1:17" ht="36" x14ac:dyDescent="0.3">
      <c r="A26" s="90"/>
      <c r="B26" s="90"/>
      <c r="C26" s="90" t="s">
        <v>85</v>
      </c>
      <c r="D26" s="87" t="s">
        <v>86</v>
      </c>
      <c r="E26" s="90" t="s">
        <v>68</v>
      </c>
      <c r="F26" s="92">
        <v>1</v>
      </c>
      <c r="G26" s="94">
        <v>1951.94</v>
      </c>
      <c r="H26" s="93">
        <v>1951.94</v>
      </c>
      <c r="I26" s="93">
        <v>0</v>
      </c>
      <c r="J26" s="93">
        <v>0</v>
      </c>
      <c r="K26" s="35">
        <v>1951.94</v>
      </c>
      <c r="L26" s="35">
        <v>0</v>
      </c>
      <c r="M26" s="35">
        <v>0</v>
      </c>
      <c r="N26" s="35">
        <v>0</v>
      </c>
      <c r="O26"/>
      <c r="P26"/>
      <c r="Q26"/>
    </row>
    <row r="27" spans="1:17" ht="48" x14ac:dyDescent="0.3">
      <c r="A27" s="90"/>
      <c r="B27" s="90"/>
      <c r="C27" s="90"/>
      <c r="D27" s="87" t="s">
        <v>88</v>
      </c>
      <c r="E27" s="90"/>
      <c r="F27" s="92"/>
      <c r="G27" s="94"/>
      <c r="H27" s="93"/>
      <c r="I27" s="93"/>
      <c r="J27" s="93"/>
      <c r="K27" s="35"/>
      <c r="L27" s="35"/>
      <c r="M27" s="35"/>
      <c r="N27" s="35"/>
      <c r="O27"/>
      <c r="P27"/>
      <c r="Q27"/>
    </row>
    <row r="28" spans="1:17" ht="36" x14ac:dyDescent="0.3">
      <c r="A28" s="36"/>
      <c r="B28" s="36"/>
      <c r="C28" s="90" t="s">
        <v>89</v>
      </c>
      <c r="D28" s="87" t="s">
        <v>90</v>
      </c>
      <c r="E28" s="90" t="s">
        <v>68</v>
      </c>
      <c r="F28" s="92">
        <v>13</v>
      </c>
      <c r="G28" s="94">
        <v>115.31</v>
      </c>
      <c r="H28" s="93">
        <v>1499.03</v>
      </c>
      <c r="I28" s="93">
        <v>0</v>
      </c>
      <c r="J28" s="93">
        <v>0</v>
      </c>
      <c r="K28" s="35">
        <v>0</v>
      </c>
      <c r="L28" s="35">
        <v>1499.03</v>
      </c>
      <c r="M28" s="35">
        <v>0</v>
      </c>
      <c r="N28" s="35">
        <v>0</v>
      </c>
      <c r="O28"/>
      <c r="P28"/>
      <c r="Q28"/>
    </row>
    <row r="29" spans="1:17" ht="36" x14ac:dyDescent="0.3">
      <c r="A29" s="36"/>
      <c r="B29" s="36"/>
      <c r="C29" s="90"/>
      <c r="D29" s="87" t="s">
        <v>92</v>
      </c>
      <c r="E29" s="90"/>
      <c r="F29" s="92"/>
      <c r="G29" s="94"/>
      <c r="H29" s="93"/>
      <c r="I29" s="93"/>
      <c r="J29" s="93"/>
      <c r="K29" s="35"/>
      <c r="L29" s="35"/>
      <c r="M29" s="35"/>
      <c r="N29" s="35"/>
      <c r="O29"/>
      <c r="P29"/>
      <c r="Q29"/>
    </row>
    <row r="30" spans="1:17" ht="48" x14ac:dyDescent="0.3">
      <c r="A30" s="90"/>
      <c r="B30" s="90"/>
      <c r="C30" s="90" t="s">
        <v>93</v>
      </c>
      <c r="D30" s="87" t="s">
        <v>94</v>
      </c>
      <c r="E30" s="90" t="s">
        <v>68</v>
      </c>
      <c r="F30" s="92">
        <v>6</v>
      </c>
      <c r="G30" s="94">
        <v>73.38</v>
      </c>
      <c r="H30" s="93">
        <v>440.28</v>
      </c>
      <c r="I30" s="93">
        <v>0</v>
      </c>
      <c r="J30" s="93">
        <v>0</v>
      </c>
      <c r="K30" s="35">
        <v>0</v>
      </c>
      <c r="L30" s="35">
        <v>440.28</v>
      </c>
      <c r="M30" s="35">
        <v>0</v>
      </c>
      <c r="N30" s="35">
        <v>0</v>
      </c>
      <c r="O30"/>
      <c r="P30"/>
      <c r="Q30"/>
    </row>
    <row r="31" spans="1:17" ht="48" x14ac:dyDescent="0.3">
      <c r="A31" s="90"/>
      <c r="B31" s="90"/>
      <c r="C31" s="90"/>
      <c r="D31" s="87" t="s">
        <v>103</v>
      </c>
      <c r="E31" s="90"/>
      <c r="F31" s="92"/>
      <c r="G31" s="94"/>
      <c r="H31" s="93"/>
      <c r="I31" s="93"/>
      <c r="J31" s="93"/>
      <c r="K31" s="35"/>
      <c r="L31" s="35"/>
      <c r="M31" s="35"/>
      <c r="N31" s="35"/>
      <c r="O31"/>
      <c r="P31"/>
      <c r="Q31"/>
    </row>
    <row r="32" spans="1:17" ht="60" x14ac:dyDescent="0.3">
      <c r="A32" s="90"/>
      <c r="B32" s="90"/>
      <c r="C32" s="90" t="s">
        <v>104</v>
      </c>
      <c r="D32" s="87" t="s">
        <v>105</v>
      </c>
      <c r="E32" s="90" t="s">
        <v>68</v>
      </c>
      <c r="F32" s="92">
        <v>18</v>
      </c>
      <c r="G32" s="94">
        <v>62.19</v>
      </c>
      <c r="H32" s="93">
        <v>1119.42</v>
      </c>
      <c r="I32" s="93">
        <v>0</v>
      </c>
      <c r="J32" s="93">
        <v>0</v>
      </c>
      <c r="K32" s="35">
        <v>0</v>
      </c>
      <c r="L32" s="35">
        <v>1119.42</v>
      </c>
      <c r="M32" s="35">
        <v>0</v>
      </c>
      <c r="N32" s="35">
        <v>0</v>
      </c>
      <c r="O32"/>
      <c r="P32"/>
      <c r="Q32"/>
    </row>
    <row r="33" spans="1:17" ht="36" x14ac:dyDescent="0.3">
      <c r="A33" s="90"/>
      <c r="B33" s="90"/>
      <c r="C33" s="90"/>
      <c r="D33" s="87" t="s">
        <v>286</v>
      </c>
      <c r="E33" s="90"/>
      <c r="F33" s="92"/>
      <c r="G33" s="94"/>
      <c r="H33" s="93">
        <v>19924.55</v>
      </c>
      <c r="I33" s="93">
        <v>0</v>
      </c>
      <c r="J33" s="93">
        <v>3064.08</v>
      </c>
      <c r="K33" s="35">
        <v>13740.99</v>
      </c>
      <c r="L33" s="35">
        <v>3119.48</v>
      </c>
      <c r="M33" s="35">
        <v>0</v>
      </c>
      <c r="N33" s="35">
        <v>0</v>
      </c>
      <c r="O33"/>
      <c r="P33"/>
      <c r="Q33"/>
    </row>
    <row r="34" spans="1:17" ht="48" x14ac:dyDescent="0.3">
      <c r="A34" s="90"/>
      <c r="B34" s="90"/>
      <c r="C34" s="90" t="s">
        <v>287</v>
      </c>
      <c r="D34" s="87" t="s">
        <v>288</v>
      </c>
      <c r="E34" s="90"/>
      <c r="F34" s="92"/>
      <c r="G34" s="94"/>
      <c r="H34" s="93"/>
      <c r="I34" s="93"/>
      <c r="J34" s="93"/>
      <c r="K34" s="35"/>
      <c r="L34" s="35"/>
      <c r="M34" s="35"/>
      <c r="N34" s="35"/>
      <c r="O34"/>
      <c r="P34"/>
      <c r="Q34"/>
    </row>
    <row r="35" spans="1:17" ht="60" x14ac:dyDescent="0.3">
      <c r="A35" s="90"/>
      <c r="B35" s="90"/>
      <c r="C35" s="90"/>
      <c r="D35" s="87" t="s">
        <v>289</v>
      </c>
      <c r="E35" s="90"/>
      <c r="F35" s="92"/>
      <c r="G35" s="94"/>
      <c r="H35" s="93"/>
      <c r="I35" s="93"/>
      <c r="J35" s="93"/>
      <c r="K35" s="35"/>
      <c r="L35" s="35"/>
      <c r="M35" s="35"/>
      <c r="N35" s="35"/>
      <c r="O35"/>
      <c r="P35"/>
      <c r="Q35"/>
    </row>
    <row r="36" spans="1:17" ht="36" x14ac:dyDescent="0.3">
      <c r="A36" s="90"/>
      <c r="B36" s="90"/>
      <c r="C36" s="90" t="s">
        <v>290</v>
      </c>
      <c r="D36" s="87" t="s">
        <v>291</v>
      </c>
      <c r="E36" s="90" t="s">
        <v>68</v>
      </c>
      <c r="F36" s="92">
        <v>26</v>
      </c>
      <c r="G36" s="94">
        <v>5.8</v>
      </c>
      <c r="H36" s="93">
        <v>150.80000000000001</v>
      </c>
      <c r="I36" s="93">
        <v>0</v>
      </c>
      <c r="J36" s="93">
        <v>0</v>
      </c>
      <c r="K36" s="35">
        <v>0</v>
      </c>
      <c r="L36" s="35">
        <v>0</v>
      </c>
      <c r="M36" s="35">
        <v>150.80000000000001</v>
      </c>
      <c r="N36" s="35">
        <v>0</v>
      </c>
      <c r="O36"/>
      <c r="P36"/>
      <c r="Q36"/>
    </row>
    <row r="37" spans="1:17" ht="60" x14ac:dyDescent="0.3">
      <c r="A37" s="37"/>
      <c r="B37" s="37"/>
      <c r="C37" s="90"/>
      <c r="D37" s="87" t="s">
        <v>293</v>
      </c>
      <c r="E37" s="90"/>
      <c r="F37" s="92"/>
      <c r="G37" s="94"/>
      <c r="H37" s="93"/>
      <c r="I37" s="93"/>
      <c r="J37" s="93"/>
      <c r="K37" s="35"/>
      <c r="L37" s="35"/>
      <c r="M37" s="35"/>
      <c r="N37" s="35"/>
      <c r="O37"/>
      <c r="P37"/>
      <c r="Q37"/>
    </row>
    <row r="38" spans="1:17" ht="36" x14ac:dyDescent="0.3">
      <c r="A38" s="90"/>
      <c r="B38" s="90"/>
      <c r="C38" s="90" t="s">
        <v>294</v>
      </c>
      <c r="D38" s="87" t="s">
        <v>295</v>
      </c>
      <c r="E38" s="90" t="s">
        <v>68</v>
      </c>
      <c r="F38" s="92">
        <v>10</v>
      </c>
      <c r="G38" s="94">
        <v>1.24</v>
      </c>
      <c r="H38" s="93">
        <v>12.4</v>
      </c>
      <c r="I38" s="93">
        <v>0</v>
      </c>
      <c r="J38" s="93">
        <v>0</v>
      </c>
      <c r="K38" s="35">
        <v>0</v>
      </c>
      <c r="L38" s="35">
        <v>0</v>
      </c>
      <c r="M38" s="35">
        <v>12.4</v>
      </c>
      <c r="N38" s="35">
        <v>0</v>
      </c>
      <c r="O38"/>
      <c r="P38"/>
      <c r="Q38"/>
    </row>
    <row r="39" spans="1:17" ht="36" x14ac:dyDescent="0.3">
      <c r="A39" s="90"/>
      <c r="B39" s="90"/>
      <c r="C39" s="90" t="s">
        <v>297</v>
      </c>
      <c r="D39" s="87" t="s">
        <v>298</v>
      </c>
      <c r="E39" s="90" t="s">
        <v>68</v>
      </c>
      <c r="F39" s="92">
        <v>38</v>
      </c>
      <c r="G39" s="94">
        <v>2.68</v>
      </c>
      <c r="H39" s="93">
        <v>101.84</v>
      </c>
      <c r="I39" s="93">
        <v>0</v>
      </c>
      <c r="J39" s="93">
        <v>0</v>
      </c>
      <c r="K39" s="35">
        <v>0</v>
      </c>
      <c r="L39" s="35">
        <v>0</v>
      </c>
      <c r="M39" s="35">
        <v>101.84</v>
      </c>
      <c r="N39" s="35">
        <v>0</v>
      </c>
      <c r="O39"/>
      <c r="P39"/>
      <c r="Q39"/>
    </row>
    <row r="40" spans="1:17" ht="36" x14ac:dyDescent="0.3">
      <c r="A40" s="90"/>
      <c r="B40" s="90"/>
      <c r="C40" s="90"/>
      <c r="D40" s="87" t="s">
        <v>307</v>
      </c>
      <c r="E40" s="90"/>
      <c r="F40" s="92"/>
      <c r="G40" s="94"/>
      <c r="H40" s="93"/>
      <c r="I40" s="93"/>
      <c r="J40" s="93"/>
      <c r="K40" s="35"/>
      <c r="L40" s="35"/>
      <c r="M40" s="35"/>
      <c r="N40" s="35"/>
      <c r="O40"/>
      <c r="P40"/>
      <c r="Q40"/>
    </row>
    <row r="41" spans="1:17" ht="36" x14ac:dyDescent="0.3">
      <c r="A41" s="90"/>
      <c r="B41" s="90"/>
      <c r="C41" s="90"/>
      <c r="D41" s="87" t="s">
        <v>308</v>
      </c>
      <c r="E41" s="90"/>
      <c r="F41" s="92"/>
      <c r="G41" s="94"/>
      <c r="H41" s="93"/>
      <c r="I41" s="93"/>
      <c r="J41" s="93"/>
      <c r="K41" s="35"/>
      <c r="L41" s="35"/>
      <c r="M41" s="35"/>
      <c r="N41" s="35"/>
      <c r="O41"/>
      <c r="P41"/>
      <c r="Q41"/>
    </row>
    <row r="42" spans="1:17" ht="36" x14ac:dyDescent="0.3">
      <c r="A42" s="90"/>
      <c r="B42" s="90"/>
      <c r="C42" s="90" t="s">
        <v>309</v>
      </c>
      <c r="D42" s="87" t="s">
        <v>310</v>
      </c>
      <c r="E42" s="90" t="s">
        <v>68</v>
      </c>
      <c r="F42" s="92">
        <v>64</v>
      </c>
      <c r="G42" s="94">
        <v>186.56</v>
      </c>
      <c r="H42" s="93">
        <v>11939.84</v>
      </c>
      <c r="I42" s="93">
        <v>0</v>
      </c>
      <c r="J42" s="93">
        <v>0</v>
      </c>
      <c r="K42" s="35">
        <v>0</v>
      </c>
      <c r="L42" s="35">
        <v>0</v>
      </c>
      <c r="M42" s="35">
        <v>0</v>
      </c>
      <c r="N42" s="35">
        <v>11939.84</v>
      </c>
      <c r="O42"/>
      <c r="P42"/>
      <c r="Q42"/>
    </row>
    <row r="43" spans="1:17" ht="36" x14ac:dyDescent="0.3">
      <c r="A43" s="90"/>
      <c r="B43" s="90"/>
      <c r="C43" s="90"/>
      <c r="D43" s="87" t="s">
        <v>312</v>
      </c>
      <c r="E43" s="90"/>
      <c r="F43" s="92"/>
      <c r="G43" s="94"/>
      <c r="H43" s="93"/>
      <c r="I43" s="93"/>
      <c r="J43" s="93"/>
      <c r="K43" s="35"/>
      <c r="L43" s="35"/>
      <c r="M43" s="35"/>
      <c r="N43" s="35"/>
      <c r="O43"/>
      <c r="P43"/>
      <c r="Q43"/>
    </row>
    <row r="44" spans="1:17" ht="48" x14ac:dyDescent="0.3">
      <c r="A44" s="90"/>
      <c r="B44" s="90"/>
      <c r="C44" s="90" t="s">
        <v>313</v>
      </c>
      <c r="D44" s="87" t="s">
        <v>314</v>
      </c>
      <c r="E44" s="90" t="s">
        <v>68</v>
      </c>
      <c r="F44" s="92">
        <v>9</v>
      </c>
      <c r="G44" s="94">
        <v>16</v>
      </c>
      <c r="H44" s="93">
        <v>144</v>
      </c>
      <c r="I44" s="93">
        <v>0</v>
      </c>
      <c r="J44" s="93">
        <v>0</v>
      </c>
      <c r="K44" s="35">
        <v>0</v>
      </c>
      <c r="L44" s="35">
        <v>0</v>
      </c>
      <c r="M44" s="35">
        <v>0</v>
      </c>
      <c r="N44" s="35">
        <v>144</v>
      </c>
      <c r="O44"/>
      <c r="P44"/>
      <c r="Q44"/>
    </row>
    <row r="45" spans="1:17" ht="48" x14ac:dyDescent="0.3">
      <c r="A45" s="90"/>
      <c r="B45" s="90"/>
      <c r="C45" s="90" t="s">
        <v>316</v>
      </c>
      <c r="D45" s="87" t="s">
        <v>317</v>
      </c>
      <c r="E45" s="90" t="s">
        <v>68</v>
      </c>
      <c r="F45" s="92">
        <v>14</v>
      </c>
      <c r="G45" s="94">
        <v>16.16</v>
      </c>
      <c r="H45" s="93">
        <v>226.24</v>
      </c>
      <c r="I45" s="93">
        <v>0</v>
      </c>
      <c r="J45" s="93">
        <v>0</v>
      </c>
      <c r="K45" s="35">
        <v>0</v>
      </c>
      <c r="L45" s="35">
        <v>0</v>
      </c>
      <c r="M45" s="35">
        <v>0</v>
      </c>
      <c r="N45" s="35">
        <v>226.24</v>
      </c>
      <c r="O45"/>
      <c r="P45"/>
      <c r="Q45"/>
    </row>
    <row r="46" spans="1:17" ht="48" x14ac:dyDescent="0.3">
      <c r="A46" s="90"/>
      <c r="B46" s="90"/>
      <c r="C46" s="90" t="s">
        <v>319</v>
      </c>
      <c r="D46" s="87" t="s">
        <v>320</v>
      </c>
      <c r="E46" s="90" t="s">
        <v>68</v>
      </c>
      <c r="F46" s="92">
        <v>14</v>
      </c>
      <c r="G46" s="94">
        <v>10.65</v>
      </c>
      <c r="H46" s="93">
        <v>149.1</v>
      </c>
      <c r="I46" s="93">
        <v>0</v>
      </c>
      <c r="J46" s="93">
        <v>0</v>
      </c>
      <c r="K46" s="35">
        <v>0</v>
      </c>
      <c r="L46" s="35">
        <v>0</v>
      </c>
      <c r="M46" s="35">
        <v>0</v>
      </c>
      <c r="N46" s="35">
        <v>149.1</v>
      </c>
      <c r="O46"/>
      <c r="P46"/>
      <c r="Q46"/>
    </row>
    <row r="47" spans="1:17" ht="36" x14ac:dyDescent="0.3">
      <c r="A47" s="90"/>
      <c r="B47" s="90"/>
      <c r="C47" s="90"/>
      <c r="D47" s="87" t="s">
        <v>322</v>
      </c>
      <c r="E47" s="90"/>
      <c r="F47" s="92"/>
      <c r="G47" s="94"/>
      <c r="H47" s="93"/>
      <c r="I47" s="93"/>
      <c r="J47" s="93"/>
      <c r="K47" s="35"/>
      <c r="L47" s="35"/>
      <c r="M47" s="35"/>
      <c r="N47" s="35"/>
      <c r="O47"/>
      <c r="P47"/>
      <c r="Q47"/>
    </row>
    <row r="48" spans="1:17" ht="48" x14ac:dyDescent="0.3">
      <c r="A48" s="90"/>
      <c r="B48" s="90"/>
      <c r="C48" s="90" t="s">
        <v>323</v>
      </c>
      <c r="D48" s="87" t="s">
        <v>324</v>
      </c>
      <c r="E48" s="90" t="s">
        <v>68</v>
      </c>
      <c r="F48" s="92">
        <v>146</v>
      </c>
      <c r="G48" s="94">
        <v>11.94</v>
      </c>
      <c r="H48" s="93">
        <v>1743.24</v>
      </c>
      <c r="I48" s="93">
        <v>0</v>
      </c>
      <c r="J48" s="93">
        <v>0</v>
      </c>
      <c r="K48" s="35">
        <v>0</v>
      </c>
      <c r="L48" s="35">
        <v>0</v>
      </c>
      <c r="M48" s="35">
        <v>716.4</v>
      </c>
      <c r="N48" s="35">
        <v>1026.8399999999999</v>
      </c>
      <c r="O48"/>
      <c r="P48"/>
      <c r="Q48"/>
    </row>
    <row r="49" spans="3:17" ht="48" x14ac:dyDescent="0.3">
      <c r="C49" s="90" t="s">
        <v>326</v>
      </c>
      <c r="D49" s="87" t="s">
        <v>327</v>
      </c>
      <c r="E49" s="90" t="s">
        <v>68</v>
      </c>
      <c r="F49" s="92">
        <v>104</v>
      </c>
      <c r="G49" s="94">
        <v>10.75</v>
      </c>
      <c r="H49" s="93">
        <v>1118</v>
      </c>
      <c r="I49" s="93">
        <v>0</v>
      </c>
      <c r="J49" s="93">
        <v>0</v>
      </c>
      <c r="K49" s="35">
        <v>0</v>
      </c>
      <c r="L49" s="35">
        <v>0</v>
      </c>
      <c r="M49" s="35">
        <v>430</v>
      </c>
      <c r="N49" s="35">
        <v>688</v>
      </c>
      <c r="O49"/>
      <c r="P49"/>
      <c r="Q49"/>
    </row>
    <row r="50" spans="3:17" ht="48" x14ac:dyDescent="0.3">
      <c r="C50" s="90" t="s">
        <v>329</v>
      </c>
      <c r="D50" s="87" t="s">
        <v>330</v>
      </c>
      <c r="E50" s="90" t="s">
        <v>68</v>
      </c>
      <c r="F50" s="92">
        <v>14</v>
      </c>
      <c r="G50" s="94">
        <v>5.46</v>
      </c>
      <c r="H50" s="93">
        <v>76.44</v>
      </c>
      <c r="I50" s="93">
        <v>0</v>
      </c>
      <c r="J50" s="93">
        <v>0</v>
      </c>
      <c r="K50" s="35">
        <v>0</v>
      </c>
      <c r="L50" s="35">
        <v>0</v>
      </c>
      <c r="M50" s="35">
        <v>76.44</v>
      </c>
      <c r="N50" s="35">
        <v>0</v>
      </c>
      <c r="O50"/>
      <c r="P50"/>
      <c r="Q50"/>
    </row>
    <row r="51" spans="3:17" ht="48" x14ac:dyDescent="0.3">
      <c r="C51" s="90" t="s">
        <v>332</v>
      </c>
      <c r="D51" s="87" t="s">
        <v>333</v>
      </c>
      <c r="E51" s="90" t="s">
        <v>68</v>
      </c>
      <c r="F51" s="92">
        <v>46</v>
      </c>
      <c r="G51" s="94">
        <v>10.06</v>
      </c>
      <c r="H51" s="93">
        <v>462.76</v>
      </c>
      <c r="I51" s="93">
        <v>0</v>
      </c>
      <c r="J51" s="93">
        <v>0</v>
      </c>
      <c r="K51" s="35">
        <v>0</v>
      </c>
      <c r="L51" s="35">
        <v>0</v>
      </c>
      <c r="M51" s="35">
        <v>301.8</v>
      </c>
      <c r="N51" s="35">
        <v>160.96</v>
      </c>
      <c r="O51"/>
      <c r="P51"/>
      <c r="Q51"/>
    </row>
    <row r="52" spans="3:17" ht="48" x14ac:dyDescent="0.3">
      <c r="C52" s="90" t="s">
        <v>335</v>
      </c>
      <c r="D52" s="87" t="s">
        <v>336</v>
      </c>
      <c r="E52" s="90" t="s">
        <v>68</v>
      </c>
      <c r="F52" s="92">
        <v>13</v>
      </c>
      <c r="G52" s="94">
        <v>8.39</v>
      </c>
      <c r="H52" s="93">
        <v>109.07</v>
      </c>
      <c r="I52" s="93">
        <v>0</v>
      </c>
      <c r="J52" s="93">
        <v>0</v>
      </c>
      <c r="K52" s="35">
        <v>0</v>
      </c>
      <c r="L52" s="35">
        <v>0</v>
      </c>
      <c r="M52" s="35">
        <v>109.07</v>
      </c>
      <c r="N52" s="35">
        <v>0</v>
      </c>
      <c r="O52"/>
      <c r="P52"/>
      <c r="Q52"/>
    </row>
    <row r="53" spans="3:17" ht="36" x14ac:dyDescent="0.3">
      <c r="C53" s="90"/>
      <c r="D53" s="87" t="s">
        <v>338</v>
      </c>
      <c r="E53" s="90"/>
      <c r="F53" s="92"/>
      <c r="G53" s="94"/>
      <c r="H53" s="93"/>
      <c r="I53" s="93"/>
      <c r="J53" s="93"/>
      <c r="K53" s="35"/>
      <c r="L53" s="35"/>
      <c r="M53" s="35"/>
      <c r="N53" s="35"/>
      <c r="O53"/>
      <c r="P53"/>
      <c r="Q53"/>
    </row>
    <row r="54" spans="3:17" ht="36" x14ac:dyDescent="0.3">
      <c r="C54" s="90" t="s">
        <v>339</v>
      </c>
      <c r="D54" s="87" t="s">
        <v>340</v>
      </c>
      <c r="E54" s="90" t="s">
        <v>68</v>
      </c>
      <c r="F54" s="92">
        <v>4</v>
      </c>
      <c r="G54" s="94">
        <v>11.59</v>
      </c>
      <c r="H54" s="93">
        <v>46.36</v>
      </c>
      <c r="I54" s="93">
        <v>0</v>
      </c>
      <c r="J54" s="93">
        <v>0</v>
      </c>
      <c r="K54" s="35">
        <v>0</v>
      </c>
      <c r="L54" s="35">
        <v>0</v>
      </c>
      <c r="M54" s="35">
        <v>46.36</v>
      </c>
      <c r="N54" s="35">
        <v>0</v>
      </c>
      <c r="O54"/>
      <c r="P54"/>
      <c r="Q54"/>
    </row>
    <row r="55" spans="3:17" ht="36" x14ac:dyDescent="0.3">
      <c r="C55" s="90" t="s">
        <v>342</v>
      </c>
      <c r="D55" s="87" t="s">
        <v>343</v>
      </c>
      <c r="E55" s="90" t="s">
        <v>68</v>
      </c>
      <c r="F55" s="92">
        <v>30</v>
      </c>
      <c r="G55" s="94">
        <v>30.94</v>
      </c>
      <c r="H55" s="93">
        <v>928.2</v>
      </c>
      <c r="I55" s="93">
        <v>0</v>
      </c>
      <c r="J55" s="93">
        <v>0</v>
      </c>
      <c r="K55" s="35">
        <v>0</v>
      </c>
      <c r="L55" s="35">
        <v>0</v>
      </c>
      <c r="M55" s="35">
        <v>618.79999999999995</v>
      </c>
      <c r="N55" s="35">
        <v>309.39999999999998</v>
      </c>
      <c r="O55"/>
      <c r="P55"/>
      <c r="Q55"/>
    </row>
    <row r="56" spans="3:17" ht="48" x14ac:dyDescent="0.3">
      <c r="C56" s="90" t="s">
        <v>345</v>
      </c>
      <c r="D56" s="87" t="s">
        <v>346</v>
      </c>
      <c r="E56" s="90" t="s">
        <v>68</v>
      </c>
      <c r="F56" s="92">
        <v>16</v>
      </c>
      <c r="G56" s="94">
        <v>21.14</v>
      </c>
      <c r="H56" s="93">
        <v>338.24</v>
      </c>
      <c r="I56" s="93">
        <v>0</v>
      </c>
      <c r="J56" s="93">
        <v>0</v>
      </c>
      <c r="K56" s="35">
        <v>0</v>
      </c>
      <c r="L56" s="35">
        <v>0</v>
      </c>
      <c r="M56" s="35">
        <v>338.24</v>
      </c>
      <c r="N56" s="35">
        <v>0</v>
      </c>
      <c r="O56"/>
      <c r="P56"/>
      <c r="Q56"/>
    </row>
    <row r="57" spans="3:17" ht="36" x14ac:dyDescent="0.3">
      <c r="C57" s="90"/>
      <c r="D57" s="87" t="s">
        <v>357</v>
      </c>
      <c r="E57" s="90"/>
      <c r="F57" s="92"/>
      <c r="G57" s="94"/>
      <c r="H57" s="93"/>
      <c r="I57" s="93"/>
      <c r="J57" s="93"/>
      <c r="K57" s="35"/>
      <c r="L57" s="35"/>
      <c r="M57" s="35"/>
      <c r="N57" s="35"/>
      <c r="O57"/>
      <c r="P57"/>
      <c r="Q57"/>
    </row>
    <row r="58" spans="3:17" ht="48" x14ac:dyDescent="0.3">
      <c r="C58" s="90" t="s">
        <v>358</v>
      </c>
      <c r="D58" s="87" t="s">
        <v>359</v>
      </c>
      <c r="E58" s="90" t="s">
        <v>68</v>
      </c>
      <c r="F58" s="92">
        <v>6</v>
      </c>
      <c r="G58" s="94">
        <v>21.14</v>
      </c>
      <c r="H58" s="93">
        <v>126.84</v>
      </c>
      <c r="I58" s="93">
        <v>0</v>
      </c>
      <c r="J58" s="93">
        <v>0</v>
      </c>
      <c r="K58" s="35">
        <v>0</v>
      </c>
      <c r="L58" s="35">
        <v>0</v>
      </c>
      <c r="M58" s="35">
        <v>126.84</v>
      </c>
      <c r="N58" s="35">
        <v>0</v>
      </c>
      <c r="O58"/>
      <c r="P58"/>
      <c r="Q58"/>
    </row>
    <row r="59" spans="3:17" ht="36" x14ac:dyDescent="0.3">
      <c r="C59" s="90"/>
      <c r="D59" s="87" t="s">
        <v>360</v>
      </c>
      <c r="E59" s="90"/>
      <c r="F59" s="92"/>
      <c r="G59" s="94"/>
      <c r="H59" s="93"/>
      <c r="I59" s="93"/>
      <c r="J59" s="93"/>
      <c r="K59" s="35"/>
      <c r="L59" s="35"/>
      <c r="M59" s="35"/>
      <c r="N59" s="35"/>
      <c r="O59"/>
      <c r="P59"/>
      <c r="Q59"/>
    </row>
    <row r="60" spans="3:17" ht="48" x14ac:dyDescent="0.3">
      <c r="C60" s="90" t="s">
        <v>361</v>
      </c>
      <c r="D60" s="87" t="s">
        <v>362</v>
      </c>
      <c r="E60" s="90" t="s">
        <v>68</v>
      </c>
      <c r="F60" s="92">
        <v>50</v>
      </c>
      <c r="G60" s="94">
        <v>35.700000000000003</v>
      </c>
      <c r="H60" s="93">
        <v>1785</v>
      </c>
      <c r="I60" s="93">
        <v>0</v>
      </c>
      <c r="J60" s="93">
        <v>0</v>
      </c>
      <c r="K60" s="35">
        <v>0</v>
      </c>
      <c r="L60" s="35">
        <v>0</v>
      </c>
      <c r="M60" s="35">
        <v>1071</v>
      </c>
      <c r="N60" s="35">
        <v>714</v>
      </c>
      <c r="O60"/>
      <c r="P60"/>
      <c r="Q60"/>
    </row>
    <row r="61" spans="3:17" ht="48" x14ac:dyDescent="0.3">
      <c r="C61" s="90" t="s">
        <v>364</v>
      </c>
      <c r="D61" s="87" t="s">
        <v>365</v>
      </c>
      <c r="E61" s="90" t="s">
        <v>68</v>
      </c>
      <c r="F61" s="92">
        <v>86</v>
      </c>
      <c r="G61" s="94">
        <v>27.36</v>
      </c>
      <c r="H61" s="93">
        <v>2352.96</v>
      </c>
      <c r="I61" s="93">
        <v>0</v>
      </c>
      <c r="J61" s="93">
        <v>0</v>
      </c>
      <c r="K61" s="35">
        <v>0</v>
      </c>
      <c r="L61" s="35">
        <v>0</v>
      </c>
      <c r="M61" s="35">
        <v>1532.16</v>
      </c>
      <c r="N61" s="35">
        <v>820.8</v>
      </c>
      <c r="O61"/>
      <c r="P61"/>
      <c r="Q61"/>
    </row>
    <row r="62" spans="3:17" ht="36" x14ac:dyDescent="0.3">
      <c r="C62" s="90"/>
      <c r="D62" s="87" t="s">
        <v>367</v>
      </c>
      <c r="E62" s="90"/>
      <c r="F62" s="92"/>
      <c r="G62" s="94"/>
      <c r="H62" s="93"/>
      <c r="I62" s="93"/>
      <c r="J62" s="93"/>
      <c r="K62" s="35"/>
      <c r="L62" s="35"/>
      <c r="M62" s="35"/>
      <c r="N62" s="35"/>
      <c r="O62"/>
      <c r="P62"/>
      <c r="Q62"/>
    </row>
    <row r="63" spans="3:17" ht="36" x14ac:dyDescent="0.3">
      <c r="C63" s="90"/>
      <c r="D63" s="87" t="s">
        <v>393</v>
      </c>
      <c r="E63" s="90"/>
      <c r="F63" s="92"/>
      <c r="G63" s="94"/>
      <c r="H63" s="93"/>
      <c r="I63" s="93"/>
      <c r="J63" s="93"/>
      <c r="K63" s="35"/>
      <c r="L63" s="35"/>
      <c r="M63" s="35"/>
      <c r="N63" s="35"/>
      <c r="O63"/>
      <c r="P63"/>
      <c r="Q63"/>
    </row>
    <row r="64" spans="3:17" ht="48" x14ac:dyDescent="0.3">
      <c r="C64" s="90" t="s">
        <v>394</v>
      </c>
      <c r="D64" s="87" t="s">
        <v>395</v>
      </c>
      <c r="E64" s="90" t="s">
        <v>68</v>
      </c>
      <c r="F64" s="92">
        <v>8</v>
      </c>
      <c r="G64" s="94">
        <v>21.14</v>
      </c>
      <c r="H64" s="93">
        <v>169.12</v>
      </c>
      <c r="I64" s="93">
        <v>0</v>
      </c>
      <c r="J64" s="93">
        <v>0</v>
      </c>
      <c r="K64" s="35">
        <v>0</v>
      </c>
      <c r="L64" s="35">
        <v>0</v>
      </c>
      <c r="M64" s="35">
        <v>169.12</v>
      </c>
      <c r="N64" s="35">
        <v>0</v>
      </c>
      <c r="O64"/>
      <c r="P64"/>
      <c r="Q64"/>
    </row>
    <row r="65" spans="3:17" ht="36" x14ac:dyDescent="0.3">
      <c r="C65" s="90"/>
      <c r="D65" s="87" t="s">
        <v>411</v>
      </c>
      <c r="E65" s="90"/>
      <c r="F65" s="92"/>
      <c r="G65" s="94"/>
      <c r="H65" s="93"/>
      <c r="I65" s="93"/>
      <c r="J65" s="93"/>
      <c r="K65" s="35"/>
      <c r="L65" s="35"/>
      <c r="M65" s="35"/>
      <c r="N65" s="35"/>
      <c r="O65"/>
      <c r="P65"/>
      <c r="Q65"/>
    </row>
    <row r="66" spans="3:17" ht="72" x14ac:dyDescent="0.3">
      <c r="C66" s="90" t="s">
        <v>412</v>
      </c>
      <c r="D66" s="87" t="s">
        <v>413</v>
      </c>
      <c r="E66" s="90" t="s">
        <v>68</v>
      </c>
      <c r="F66" s="92">
        <v>25</v>
      </c>
      <c r="G66" s="94">
        <v>42.29</v>
      </c>
      <c r="H66" s="93">
        <v>1057.25</v>
      </c>
      <c r="I66" s="93">
        <v>0</v>
      </c>
      <c r="J66" s="93">
        <v>0</v>
      </c>
      <c r="K66" s="35">
        <v>0</v>
      </c>
      <c r="L66" s="35">
        <v>0</v>
      </c>
      <c r="M66" s="35">
        <v>1057.25</v>
      </c>
      <c r="N66" s="35">
        <v>0</v>
      </c>
      <c r="O66"/>
      <c r="P66"/>
      <c r="Q66"/>
    </row>
    <row r="67" spans="3:17" ht="36" x14ac:dyDescent="0.3">
      <c r="C67" s="90"/>
      <c r="D67" s="87" t="s">
        <v>477</v>
      </c>
      <c r="E67" s="90"/>
      <c r="F67" s="92"/>
      <c r="G67" s="94"/>
      <c r="H67" s="93"/>
      <c r="I67" s="93"/>
      <c r="J67" s="93"/>
      <c r="K67" s="35"/>
      <c r="L67" s="35"/>
      <c r="M67" s="35"/>
      <c r="N67" s="35"/>
      <c r="O67"/>
      <c r="P67"/>
      <c r="Q67"/>
    </row>
    <row r="68" spans="3:17" ht="36" x14ac:dyDescent="0.3">
      <c r="C68" s="90" t="s">
        <v>478</v>
      </c>
      <c r="D68" s="87" t="s">
        <v>479</v>
      </c>
      <c r="E68" s="90" t="s">
        <v>41</v>
      </c>
      <c r="F68" s="92">
        <v>15</v>
      </c>
      <c r="G68" s="94">
        <v>4641.68</v>
      </c>
      <c r="H68" s="93">
        <v>69625.2</v>
      </c>
      <c r="I68" s="93">
        <v>0</v>
      </c>
      <c r="J68" s="93">
        <v>0</v>
      </c>
      <c r="K68" s="35">
        <v>0</v>
      </c>
      <c r="L68" s="35">
        <v>0</v>
      </c>
      <c r="M68" s="35">
        <v>69625.2</v>
      </c>
      <c r="N68" s="35">
        <v>0</v>
      </c>
      <c r="O68"/>
      <c r="P68"/>
      <c r="Q68"/>
    </row>
    <row r="69" spans="3:17" ht="36" x14ac:dyDescent="0.3">
      <c r="C69" s="90" t="s">
        <v>481</v>
      </c>
      <c r="D69" s="87" t="s">
        <v>482</v>
      </c>
      <c r="E69" s="90" t="s">
        <v>41</v>
      </c>
      <c r="F69" s="92">
        <v>15</v>
      </c>
      <c r="G69" s="94">
        <v>4023.53</v>
      </c>
      <c r="H69" s="93">
        <v>60352.95</v>
      </c>
      <c r="I69" s="93">
        <v>0</v>
      </c>
      <c r="J69" s="93">
        <v>0</v>
      </c>
      <c r="K69" s="35">
        <v>0</v>
      </c>
      <c r="L69" s="35">
        <v>0</v>
      </c>
      <c r="M69" s="35">
        <v>60352.95</v>
      </c>
      <c r="N69" s="35">
        <v>0</v>
      </c>
      <c r="O69"/>
      <c r="P69"/>
      <c r="Q69"/>
    </row>
    <row r="70" spans="3:17" ht="36" x14ac:dyDescent="0.3">
      <c r="C70" s="90"/>
      <c r="D70" s="87" t="s">
        <v>484</v>
      </c>
      <c r="E70" s="90"/>
      <c r="F70" s="92"/>
      <c r="G70" s="94"/>
      <c r="H70" s="93">
        <v>153015.85</v>
      </c>
      <c r="I70" s="93">
        <v>0</v>
      </c>
      <c r="J70" s="93">
        <v>0</v>
      </c>
      <c r="K70" s="35">
        <v>0</v>
      </c>
      <c r="L70" s="35">
        <v>0</v>
      </c>
      <c r="M70" s="35">
        <v>136836.67000000001</v>
      </c>
      <c r="N70" s="35">
        <v>16179.18</v>
      </c>
      <c r="O70"/>
      <c r="P70"/>
      <c r="Q70"/>
    </row>
    <row r="71" spans="3:17" ht="36" x14ac:dyDescent="0.3">
      <c r="C71" s="90"/>
      <c r="D71" s="87" t="s">
        <v>648</v>
      </c>
      <c r="E71" s="90"/>
      <c r="F71" s="92"/>
      <c r="G71" s="94"/>
      <c r="H71" s="93"/>
      <c r="I71" s="93"/>
      <c r="J71" s="93"/>
      <c r="K71" s="35"/>
      <c r="L71" s="35"/>
      <c r="M71" s="35"/>
      <c r="N71" s="35"/>
      <c r="O71"/>
      <c r="P71"/>
      <c r="Q71"/>
    </row>
    <row r="72" spans="3:17" ht="36" x14ac:dyDescent="0.3">
      <c r="C72" s="90" t="s">
        <v>649</v>
      </c>
      <c r="D72" s="87" t="s">
        <v>650</v>
      </c>
      <c r="E72" s="90" t="s">
        <v>41</v>
      </c>
      <c r="F72" s="92">
        <v>16</v>
      </c>
      <c r="G72" s="94">
        <v>11718.75</v>
      </c>
      <c r="H72" s="93">
        <v>187500</v>
      </c>
      <c r="I72" s="93">
        <v>0</v>
      </c>
      <c r="J72" s="93">
        <v>0</v>
      </c>
      <c r="K72" s="35">
        <v>0</v>
      </c>
      <c r="L72" s="35">
        <v>0</v>
      </c>
      <c r="M72" s="35">
        <v>187500</v>
      </c>
      <c r="N72" s="35">
        <v>0</v>
      </c>
      <c r="O72"/>
      <c r="P72"/>
      <c r="Q72"/>
    </row>
    <row r="73" spans="3:17" ht="48" x14ac:dyDescent="0.3">
      <c r="C73" s="90"/>
      <c r="D73" s="87" t="s">
        <v>694</v>
      </c>
      <c r="E73" s="90"/>
      <c r="F73" s="92"/>
      <c r="G73" s="94"/>
      <c r="H73" s="93"/>
      <c r="I73" s="93"/>
      <c r="J73" s="93"/>
      <c r="K73" s="35"/>
      <c r="L73" s="35"/>
      <c r="M73" s="35"/>
      <c r="N73" s="35"/>
      <c r="O73"/>
      <c r="P73" t="s">
        <v>695</v>
      </c>
      <c r="Q73" t="s">
        <v>696</v>
      </c>
    </row>
    <row r="74" spans="3:17" ht="60" x14ac:dyDescent="0.3">
      <c r="C74" s="90" t="s">
        <v>701</v>
      </c>
      <c r="D74" s="87" t="s">
        <v>702</v>
      </c>
      <c r="E74" s="90" t="s">
        <v>50</v>
      </c>
      <c r="F74" s="92">
        <v>1.8808</v>
      </c>
      <c r="G74" s="94">
        <v>867.83</v>
      </c>
      <c r="H74" s="93">
        <v>1632.21</v>
      </c>
      <c r="I74" s="93">
        <v>0</v>
      </c>
      <c r="J74" s="93">
        <v>0</v>
      </c>
      <c r="K74" s="35">
        <v>1632.21</v>
      </c>
      <c r="L74" s="35">
        <v>0</v>
      </c>
      <c r="M74" s="35">
        <v>0</v>
      </c>
      <c r="N74" s="35">
        <v>0</v>
      </c>
      <c r="O74"/>
      <c r="P74">
        <v>1632.21</v>
      </c>
      <c r="Q74">
        <v>1632.21</v>
      </c>
    </row>
    <row r="75" spans="3:17" ht="60" x14ac:dyDescent="0.3">
      <c r="C75" s="90" t="s">
        <v>704</v>
      </c>
      <c r="D75" s="87" t="s">
        <v>705</v>
      </c>
      <c r="E75" s="90" t="s">
        <v>50</v>
      </c>
      <c r="F75" s="92">
        <v>4.4328000000000003</v>
      </c>
      <c r="G75" s="94">
        <v>624.83000000000004</v>
      </c>
      <c r="H75" s="93">
        <v>2769.75</v>
      </c>
      <c r="I75" s="93">
        <v>0</v>
      </c>
      <c r="J75" s="93">
        <v>2769.75</v>
      </c>
      <c r="K75" s="35">
        <v>0</v>
      </c>
      <c r="L75" s="35">
        <v>0</v>
      </c>
      <c r="M75" s="35">
        <v>0</v>
      </c>
      <c r="N75" s="35">
        <v>0</v>
      </c>
      <c r="O75"/>
      <c r="P75">
        <v>4401.96</v>
      </c>
      <c r="Q75">
        <v>4401.96</v>
      </c>
    </row>
    <row r="76" spans="3:17" ht="48" x14ac:dyDescent="0.3">
      <c r="C76" s="90" t="s">
        <v>714</v>
      </c>
      <c r="D76" s="87" t="s">
        <v>715</v>
      </c>
      <c r="E76" s="90" t="s">
        <v>58</v>
      </c>
      <c r="F76" s="92">
        <v>42.57</v>
      </c>
      <c r="G76" s="94">
        <v>3899.01</v>
      </c>
      <c r="H76" s="93">
        <v>165980.85999999999</v>
      </c>
      <c r="I76" s="93">
        <v>0</v>
      </c>
      <c r="J76" s="93">
        <v>0</v>
      </c>
      <c r="K76" s="35">
        <v>0</v>
      </c>
      <c r="L76" s="35">
        <v>165980.85999999999</v>
      </c>
      <c r="M76" s="35">
        <v>0</v>
      </c>
      <c r="N76" s="35">
        <v>0</v>
      </c>
      <c r="O76"/>
      <c r="P76">
        <v>170382.82</v>
      </c>
      <c r="Q76">
        <v>170382.82</v>
      </c>
    </row>
    <row r="77" spans="3:17" ht="60" x14ac:dyDescent="0.3">
      <c r="C77" s="90" t="s">
        <v>717</v>
      </c>
      <c r="D77" s="87" t="s">
        <v>718</v>
      </c>
      <c r="E77" s="90" t="s">
        <v>58</v>
      </c>
      <c r="F77" s="92">
        <v>31.5</v>
      </c>
      <c r="G77" s="94">
        <v>5870.23</v>
      </c>
      <c r="H77" s="93">
        <v>184912.25</v>
      </c>
      <c r="I77" s="93">
        <v>0</v>
      </c>
      <c r="J77" s="93">
        <v>184912.25</v>
      </c>
      <c r="K77" s="35">
        <v>0</v>
      </c>
      <c r="L77" s="35">
        <v>0</v>
      </c>
      <c r="M77" s="35">
        <v>0</v>
      </c>
      <c r="N77" s="35">
        <v>0</v>
      </c>
      <c r="O77"/>
      <c r="P77">
        <v>355295.07</v>
      </c>
      <c r="Q77">
        <v>355295.07</v>
      </c>
    </row>
    <row r="78" spans="3:17" ht="72" x14ac:dyDescent="0.3">
      <c r="C78" s="90" t="s">
        <v>720</v>
      </c>
      <c r="D78" s="87" t="s">
        <v>721</v>
      </c>
      <c r="E78" s="90" t="s">
        <v>68</v>
      </c>
      <c r="F78" s="92">
        <v>1</v>
      </c>
      <c r="G78" s="94">
        <v>78.099999999999994</v>
      </c>
      <c r="H78" s="93">
        <v>78.099999999999994</v>
      </c>
      <c r="I78" s="93">
        <v>0</v>
      </c>
      <c r="J78" s="93">
        <v>78.099999999999994</v>
      </c>
      <c r="K78" s="35">
        <v>0</v>
      </c>
      <c r="L78" s="35">
        <v>0</v>
      </c>
      <c r="M78" s="35">
        <v>0</v>
      </c>
      <c r="N78" s="35">
        <v>0</v>
      </c>
      <c r="O78"/>
      <c r="P78">
        <v>355373.17</v>
      </c>
      <c r="Q78">
        <v>355373.17</v>
      </c>
    </row>
    <row r="79" spans="3:17" ht="60" x14ac:dyDescent="0.3">
      <c r="C79" s="90" t="s">
        <v>723</v>
      </c>
      <c r="D79" s="87" t="s">
        <v>724</v>
      </c>
      <c r="E79" s="90" t="s">
        <v>68</v>
      </c>
      <c r="F79" s="92">
        <v>6</v>
      </c>
      <c r="G79" s="94">
        <v>173.56</v>
      </c>
      <c r="H79" s="93">
        <v>1041.3599999999999</v>
      </c>
      <c r="I79" s="93">
        <v>0</v>
      </c>
      <c r="J79" s="93">
        <v>1041.3599999999999</v>
      </c>
      <c r="K79" s="35">
        <v>0</v>
      </c>
      <c r="L79" s="35">
        <v>0</v>
      </c>
      <c r="M79" s="35">
        <v>0</v>
      </c>
      <c r="N79" s="35">
        <v>0</v>
      </c>
      <c r="O79"/>
      <c r="P79">
        <v>356414.53</v>
      </c>
      <c r="Q79">
        <v>356414.53</v>
      </c>
    </row>
    <row r="80" spans="3:17" ht="60" x14ac:dyDescent="0.3">
      <c r="C80" s="90" t="s">
        <v>776</v>
      </c>
      <c r="D80" s="87" t="s">
        <v>777</v>
      </c>
      <c r="E80" s="90" t="s">
        <v>50</v>
      </c>
      <c r="F80" s="92">
        <v>3.8559999999999999</v>
      </c>
      <c r="G80" s="94">
        <v>624.83000000000004</v>
      </c>
      <c r="H80" s="93">
        <v>2409.34</v>
      </c>
      <c r="I80" s="93">
        <v>0</v>
      </c>
      <c r="J80" s="93">
        <v>2409.34</v>
      </c>
      <c r="K80" s="35">
        <v>0</v>
      </c>
      <c r="L80" s="35">
        <v>0</v>
      </c>
      <c r="M80" s="35">
        <v>0</v>
      </c>
      <c r="N80" s="35">
        <v>0</v>
      </c>
      <c r="O80"/>
      <c r="P80">
        <v>358823.87</v>
      </c>
      <c r="Q80">
        <v>358823.87</v>
      </c>
    </row>
    <row r="81" spans="1:17" ht="72" x14ac:dyDescent="0.3">
      <c r="A81" s="90"/>
      <c r="B81" s="90"/>
      <c r="C81" s="90" t="s">
        <v>788</v>
      </c>
      <c r="D81" s="87" t="s">
        <v>789</v>
      </c>
      <c r="E81" s="90" t="s">
        <v>68</v>
      </c>
      <c r="F81" s="92">
        <v>1</v>
      </c>
      <c r="G81" s="94">
        <v>13.01</v>
      </c>
      <c r="H81" s="93">
        <v>13.01</v>
      </c>
      <c r="I81" s="93">
        <v>0</v>
      </c>
      <c r="J81" s="93">
        <v>0</v>
      </c>
      <c r="K81" s="35">
        <v>13.01</v>
      </c>
      <c r="L81" s="35">
        <v>0</v>
      </c>
      <c r="M81" s="35">
        <v>0</v>
      </c>
      <c r="N81" s="35">
        <v>0</v>
      </c>
      <c r="O81"/>
      <c r="P81">
        <v>358836.88</v>
      </c>
      <c r="Q81">
        <v>358836.88</v>
      </c>
    </row>
    <row r="82" spans="1:17" ht="72" x14ac:dyDescent="0.3">
      <c r="A82" s="90"/>
      <c r="B82" s="90"/>
      <c r="C82" s="90" t="s">
        <v>794</v>
      </c>
      <c r="D82" s="87" t="s">
        <v>795</v>
      </c>
      <c r="E82" s="90" t="s">
        <v>68</v>
      </c>
      <c r="F82" s="92">
        <v>3</v>
      </c>
      <c r="G82" s="94">
        <v>39.049999999999997</v>
      </c>
      <c r="H82" s="93">
        <v>117.15</v>
      </c>
      <c r="I82" s="93">
        <v>0</v>
      </c>
      <c r="J82" s="93">
        <v>0</v>
      </c>
      <c r="K82" s="35">
        <v>117.15</v>
      </c>
      <c r="L82" s="35">
        <v>0</v>
      </c>
      <c r="M82" s="35">
        <v>0</v>
      </c>
      <c r="N82" s="35">
        <v>0</v>
      </c>
      <c r="O82"/>
      <c r="P82">
        <v>358954.03</v>
      </c>
      <c r="Q82">
        <v>358954.03</v>
      </c>
    </row>
    <row r="83" spans="1:17" ht="72" x14ac:dyDescent="0.3">
      <c r="A83" s="37"/>
      <c r="B83" s="37"/>
      <c r="C83" s="90" t="s">
        <v>797</v>
      </c>
      <c r="D83" s="87" t="s">
        <v>798</v>
      </c>
      <c r="E83" s="90" t="s">
        <v>68</v>
      </c>
      <c r="F83" s="92">
        <v>6</v>
      </c>
      <c r="G83" s="94">
        <v>52.07</v>
      </c>
      <c r="H83" s="93">
        <v>312.42</v>
      </c>
      <c r="I83" s="93">
        <v>0</v>
      </c>
      <c r="J83" s="93">
        <v>312.42</v>
      </c>
      <c r="K83" s="35">
        <v>0</v>
      </c>
      <c r="L83" s="35">
        <v>0</v>
      </c>
      <c r="M83" s="35">
        <v>0</v>
      </c>
      <c r="N83" s="35">
        <v>0</v>
      </c>
      <c r="O83"/>
      <c r="P83">
        <v>359266.45</v>
      </c>
      <c r="Q83">
        <v>359266.45</v>
      </c>
    </row>
    <row r="84" spans="1:17" ht="72" x14ac:dyDescent="0.3">
      <c r="A84" s="90"/>
      <c r="B84" s="90"/>
      <c r="C84" s="90" t="s">
        <v>800</v>
      </c>
      <c r="D84" s="87" t="s">
        <v>801</v>
      </c>
      <c r="E84" s="90" t="s">
        <v>68</v>
      </c>
      <c r="F84" s="92">
        <v>2</v>
      </c>
      <c r="G84" s="94">
        <v>39.049999999999997</v>
      </c>
      <c r="H84" s="93">
        <v>78.099999999999994</v>
      </c>
      <c r="I84" s="93">
        <v>0</v>
      </c>
      <c r="J84" s="93">
        <v>0</v>
      </c>
      <c r="K84" s="35">
        <v>78.099999999999994</v>
      </c>
      <c r="L84" s="35">
        <v>0</v>
      </c>
      <c r="M84" s="35">
        <v>0</v>
      </c>
      <c r="N84" s="35">
        <v>0</v>
      </c>
      <c r="O84"/>
      <c r="P84">
        <v>359344.55</v>
      </c>
      <c r="Q84">
        <v>359344.55</v>
      </c>
    </row>
    <row r="85" spans="1:17" ht="72" x14ac:dyDescent="0.3">
      <c r="A85" s="90"/>
      <c r="B85" s="90"/>
      <c r="C85" s="90" t="s">
        <v>809</v>
      </c>
      <c r="D85" s="87" t="s">
        <v>810</v>
      </c>
      <c r="E85" s="90" t="s">
        <v>68</v>
      </c>
      <c r="F85" s="92">
        <v>4</v>
      </c>
      <c r="G85" s="94">
        <v>52.07</v>
      </c>
      <c r="H85" s="93">
        <v>208.28</v>
      </c>
      <c r="I85" s="93">
        <v>0</v>
      </c>
      <c r="J85" s="93">
        <v>0</v>
      </c>
      <c r="K85" s="35">
        <v>208.28</v>
      </c>
      <c r="L85" s="35">
        <v>0</v>
      </c>
      <c r="M85" s="35">
        <v>0</v>
      </c>
      <c r="N85" s="35">
        <v>0</v>
      </c>
      <c r="O85"/>
      <c r="P85">
        <v>359552.83</v>
      </c>
      <c r="Q85">
        <v>359552.83</v>
      </c>
    </row>
    <row r="86" spans="1:17" ht="72" x14ac:dyDescent="0.3">
      <c r="A86" s="37"/>
      <c r="B86" s="37"/>
      <c r="C86" s="90" t="s">
        <v>812</v>
      </c>
      <c r="D86" s="87" t="s">
        <v>813</v>
      </c>
      <c r="E86" s="90" t="s">
        <v>68</v>
      </c>
      <c r="F86" s="92">
        <v>1</v>
      </c>
      <c r="G86" s="94">
        <v>4641.21</v>
      </c>
      <c r="H86" s="93">
        <v>4641.21</v>
      </c>
      <c r="I86" s="93">
        <v>0</v>
      </c>
      <c r="J86" s="93">
        <v>4641.21</v>
      </c>
      <c r="K86" s="35">
        <v>0</v>
      </c>
      <c r="L86" s="35">
        <v>0</v>
      </c>
      <c r="M86" s="35">
        <v>0</v>
      </c>
      <c r="N86" s="35">
        <v>0</v>
      </c>
      <c r="O86"/>
      <c r="P86">
        <v>364194.04</v>
      </c>
      <c r="Q86">
        <v>364194.04</v>
      </c>
    </row>
    <row r="87" spans="1:17" ht="48" x14ac:dyDescent="0.3">
      <c r="A87" s="5"/>
      <c r="B87" s="5"/>
      <c r="C87" s="90" t="s">
        <v>833</v>
      </c>
      <c r="D87" s="87" t="s">
        <v>834</v>
      </c>
      <c r="E87" s="90" t="s">
        <v>68</v>
      </c>
      <c r="F87" s="92">
        <v>2</v>
      </c>
      <c r="G87" s="94">
        <v>286</v>
      </c>
      <c r="H87" s="93">
        <v>572</v>
      </c>
      <c r="I87" s="93">
        <v>0</v>
      </c>
      <c r="J87" s="93">
        <v>0</v>
      </c>
      <c r="K87" s="35">
        <v>0</v>
      </c>
      <c r="L87" s="35">
        <v>572</v>
      </c>
      <c r="M87" s="35">
        <v>0</v>
      </c>
      <c r="N87" s="35">
        <v>0</v>
      </c>
      <c r="O87"/>
      <c r="P87">
        <v>364766.04</v>
      </c>
      <c r="Q87">
        <v>364766.04</v>
      </c>
    </row>
    <row r="88" spans="1:17" ht="48" x14ac:dyDescent="0.3">
      <c r="A88" s="5"/>
      <c r="B88" s="5"/>
      <c r="C88" s="90" t="s">
        <v>908</v>
      </c>
      <c r="D88" s="87" t="s">
        <v>909</v>
      </c>
      <c r="E88" s="90" t="s">
        <v>50</v>
      </c>
      <c r="F88" s="92">
        <v>3.282</v>
      </c>
      <c r="G88" s="94">
        <v>710.03</v>
      </c>
      <c r="H88" s="93">
        <v>2330.3200000000002</v>
      </c>
      <c r="I88" s="93">
        <v>0</v>
      </c>
      <c r="J88" s="93">
        <v>2330.3200000000002</v>
      </c>
      <c r="K88" s="35">
        <v>0</v>
      </c>
      <c r="L88" s="35">
        <v>0</v>
      </c>
      <c r="M88" s="35">
        <v>0</v>
      </c>
      <c r="N88" s="35">
        <v>0</v>
      </c>
      <c r="O88"/>
      <c r="P88">
        <v>367096.36</v>
      </c>
      <c r="Q88">
        <v>367096.36</v>
      </c>
    </row>
    <row r="89" spans="1:17" ht="60" x14ac:dyDescent="0.3">
      <c r="A89" s="5"/>
      <c r="B89" s="5"/>
      <c r="C89" s="90" t="s">
        <v>911</v>
      </c>
      <c r="D89" s="87" t="s">
        <v>912</v>
      </c>
      <c r="E89" s="90" t="s">
        <v>50</v>
      </c>
      <c r="F89" s="92">
        <v>5.9669999999999996</v>
      </c>
      <c r="G89" s="94">
        <v>624.83000000000004</v>
      </c>
      <c r="H89" s="93">
        <v>3728.36</v>
      </c>
      <c r="I89" s="93">
        <v>0</v>
      </c>
      <c r="J89" s="93">
        <v>0</v>
      </c>
      <c r="K89" s="35">
        <v>3728.36</v>
      </c>
      <c r="L89" s="35">
        <v>0</v>
      </c>
      <c r="M89" s="35">
        <v>0</v>
      </c>
      <c r="N89" s="35">
        <v>0</v>
      </c>
      <c r="O89"/>
      <c r="P89">
        <v>370824.72</v>
      </c>
      <c r="Q89">
        <v>370824.72</v>
      </c>
    </row>
    <row r="90" spans="1:17" ht="48" x14ac:dyDescent="0.3">
      <c r="A90" s="5"/>
      <c r="B90" s="5"/>
      <c r="C90" s="90" t="s">
        <v>914</v>
      </c>
      <c r="D90" s="87" t="s">
        <v>915</v>
      </c>
      <c r="E90" s="90" t="s">
        <v>50</v>
      </c>
      <c r="F90" s="92">
        <v>1.863</v>
      </c>
      <c r="G90" s="94">
        <v>624.83000000000004</v>
      </c>
      <c r="H90" s="93">
        <v>1164.06</v>
      </c>
      <c r="I90" s="93">
        <v>0</v>
      </c>
      <c r="J90" s="93">
        <v>0</v>
      </c>
      <c r="K90" s="35">
        <v>1164.06</v>
      </c>
      <c r="L90" s="35">
        <v>0</v>
      </c>
      <c r="M90" s="35">
        <v>0</v>
      </c>
      <c r="N90" s="35">
        <v>0</v>
      </c>
      <c r="O90"/>
      <c r="P90">
        <v>371988.78</v>
      </c>
      <c r="Q90">
        <v>371988.78</v>
      </c>
    </row>
    <row r="91" spans="1:17" ht="72" x14ac:dyDescent="0.3">
      <c r="A91" s="5"/>
      <c r="B91" s="5"/>
      <c r="C91" s="90" t="s">
        <v>920</v>
      </c>
      <c r="D91" s="87" t="s">
        <v>921</v>
      </c>
      <c r="E91" s="90" t="s">
        <v>68</v>
      </c>
      <c r="F91" s="92">
        <v>1</v>
      </c>
      <c r="G91" s="94">
        <v>156.21</v>
      </c>
      <c r="H91" s="93">
        <v>156.21</v>
      </c>
      <c r="I91" s="93">
        <v>0</v>
      </c>
      <c r="J91" s="93">
        <v>0</v>
      </c>
      <c r="K91" s="35">
        <v>156.21</v>
      </c>
      <c r="L91" s="35">
        <v>0</v>
      </c>
      <c r="M91" s="35">
        <v>0</v>
      </c>
      <c r="N91" s="35">
        <v>0</v>
      </c>
      <c r="O91"/>
      <c r="P91">
        <v>372144.99</v>
      </c>
      <c r="Q91">
        <v>372144.99</v>
      </c>
    </row>
    <row r="92" spans="1:17" ht="48" x14ac:dyDescent="0.3">
      <c r="A92" s="5"/>
      <c r="B92" s="5"/>
      <c r="C92" s="90" t="s">
        <v>932</v>
      </c>
      <c r="D92" s="87" t="s">
        <v>933</v>
      </c>
      <c r="E92" s="90" t="s">
        <v>68</v>
      </c>
      <c r="F92" s="92">
        <v>1</v>
      </c>
      <c r="G92" s="94">
        <v>35.049999999999997</v>
      </c>
      <c r="H92" s="93">
        <v>35.049999999999997</v>
      </c>
      <c r="I92" s="93">
        <v>0</v>
      </c>
      <c r="J92" s="93">
        <v>0</v>
      </c>
      <c r="K92" s="35">
        <v>0</v>
      </c>
      <c r="L92" s="35">
        <v>35.049999999999997</v>
      </c>
      <c r="M92" s="35">
        <v>0</v>
      </c>
      <c r="N92" s="35">
        <v>0</v>
      </c>
      <c r="O92"/>
      <c r="P92">
        <v>372180.04</v>
      </c>
      <c r="Q92">
        <v>372180.04</v>
      </c>
    </row>
    <row r="93" spans="1:17" ht="48" x14ac:dyDescent="0.3">
      <c r="A93" s="5"/>
      <c r="B93" s="5"/>
      <c r="C93" s="90" t="s">
        <v>938</v>
      </c>
      <c r="D93" s="87" t="s">
        <v>939</v>
      </c>
      <c r="E93" s="90" t="s">
        <v>940</v>
      </c>
      <c r="F93" s="92">
        <v>55</v>
      </c>
      <c r="G93" s="94">
        <v>5.54</v>
      </c>
      <c r="H93" s="93">
        <v>304.7</v>
      </c>
      <c r="I93" s="93">
        <v>0</v>
      </c>
      <c r="J93" s="93">
        <v>0</v>
      </c>
      <c r="K93" s="35">
        <v>0</v>
      </c>
      <c r="L93" s="35">
        <v>304.7</v>
      </c>
      <c r="M93" s="35">
        <v>0</v>
      </c>
      <c r="N93" s="35">
        <v>0</v>
      </c>
      <c r="O93"/>
      <c r="P93">
        <v>372484.74</v>
      </c>
      <c r="Q93">
        <v>372484.74</v>
      </c>
    </row>
    <row r="94" spans="1:17" ht="48" x14ac:dyDescent="0.3">
      <c r="A94" s="5"/>
      <c r="B94" s="5"/>
      <c r="C94" s="90" t="s">
        <v>942</v>
      </c>
      <c r="D94" s="87" t="s">
        <v>943</v>
      </c>
      <c r="E94" s="90" t="s">
        <v>940</v>
      </c>
      <c r="F94" s="92">
        <v>26</v>
      </c>
      <c r="G94" s="94">
        <v>16.84</v>
      </c>
      <c r="H94" s="93">
        <v>437.84</v>
      </c>
      <c r="I94" s="93">
        <v>0</v>
      </c>
      <c r="J94" s="93">
        <v>0</v>
      </c>
      <c r="K94" s="35">
        <v>0</v>
      </c>
      <c r="L94" s="35">
        <v>437.84</v>
      </c>
      <c r="M94" s="35">
        <v>0</v>
      </c>
      <c r="N94" s="35">
        <v>0</v>
      </c>
      <c r="O94"/>
      <c r="P94">
        <v>372922.58</v>
      </c>
      <c r="Q94">
        <v>372922.58</v>
      </c>
    </row>
    <row r="95" spans="1:17" ht="36" x14ac:dyDescent="0.3">
      <c r="A95" s="5"/>
      <c r="B95" s="5"/>
      <c r="C95" s="90"/>
      <c r="D95" s="87" t="s">
        <v>954</v>
      </c>
      <c r="E95" s="90"/>
      <c r="F95" s="92"/>
      <c r="G95" s="94"/>
      <c r="H95" s="93">
        <v>372922.58</v>
      </c>
      <c r="I95" s="93">
        <v>0</v>
      </c>
      <c r="J95" s="93">
        <v>198494.75</v>
      </c>
      <c r="K95" s="35">
        <v>7097.38</v>
      </c>
      <c r="L95" s="35">
        <v>167330.45000000001</v>
      </c>
      <c r="M95" s="35">
        <v>0</v>
      </c>
      <c r="N95" s="35">
        <v>0</v>
      </c>
      <c r="O95"/>
      <c r="P95"/>
      <c r="Q95"/>
    </row>
    <row r="96" spans="1:17" ht="48" x14ac:dyDescent="0.3">
      <c r="A96" s="5"/>
      <c r="B96" s="5"/>
      <c r="C96" s="90"/>
      <c r="D96" s="87" t="s">
        <v>955</v>
      </c>
      <c r="E96" s="90"/>
      <c r="F96" s="92"/>
      <c r="G96" s="94"/>
      <c r="H96" s="93"/>
      <c r="I96" s="93"/>
      <c r="J96" s="93"/>
      <c r="K96" s="35"/>
      <c r="L96" s="35"/>
      <c r="M96" s="35"/>
      <c r="N96" s="35"/>
      <c r="O96"/>
      <c r="P96"/>
      <c r="Q96"/>
    </row>
    <row r="97" spans="1:17" ht="60" x14ac:dyDescent="0.3">
      <c r="A97" s="5"/>
      <c r="B97" s="5"/>
      <c r="C97" s="90" t="s">
        <v>984</v>
      </c>
      <c r="D97" s="87" t="s">
        <v>985</v>
      </c>
      <c r="E97" s="90" t="s">
        <v>68</v>
      </c>
      <c r="F97" s="92">
        <v>1</v>
      </c>
      <c r="G97" s="94">
        <v>18.63</v>
      </c>
      <c r="H97" s="93">
        <v>18.63</v>
      </c>
      <c r="I97" s="93">
        <v>0</v>
      </c>
      <c r="J97" s="93">
        <v>0</v>
      </c>
      <c r="K97" s="35">
        <v>0</v>
      </c>
      <c r="L97" s="35">
        <v>0</v>
      </c>
      <c r="M97" s="35">
        <v>18.63</v>
      </c>
      <c r="N97" s="35">
        <v>0</v>
      </c>
      <c r="O97"/>
      <c r="P97"/>
      <c r="Q97"/>
    </row>
    <row r="98" spans="1:17" ht="36" x14ac:dyDescent="0.3">
      <c r="A98" s="5"/>
      <c r="B98" s="5"/>
      <c r="C98" s="90" t="s">
        <v>993</v>
      </c>
      <c r="D98" s="87" t="s">
        <v>994</v>
      </c>
      <c r="E98" s="90" t="s">
        <v>995</v>
      </c>
      <c r="F98" s="92">
        <v>2</v>
      </c>
      <c r="G98" s="94">
        <v>75667.8</v>
      </c>
      <c r="H98" s="93">
        <v>151335.6</v>
      </c>
      <c r="I98" s="93">
        <v>0</v>
      </c>
      <c r="J98" s="93">
        <v>0</v>
      </c>
      <c r="K98" s="35">
        <v>0</v>
      </c>
      <c r="L98" s="35">
        <v>0</v>
      </c>
      <c r="M98" s="35">
        <v>151335.6</v>
      </c>
      <c r="N98" s="35">
        <v>0</v>
      </c>
      <c r="O98"/>
      <c r="P98"/>
      <c r="Q98"/>
    </row>
    <row r="99" spans="1:17" ht="36" x14ac:dyDescent="0.3">
      <c r="A99" s="5"/>
      <c r="B99" s="5"/>
      <c r="C99" s="90" t="s">
        <v>997</v>
      </c>
      <c r="D99" s="87" t="s">
        <v>998</v>
      </c>
      <c r="E99" s="90" t="s">
        <v>995</v>
      </c>
      <c r="F99" s="92">
        <v>2</v>
      </c>
      <c r="G99" s="94">
        <v>65657.53</v>
      </c>
      <c r="H99" s="93">
        <v>131315.06</v>
      </c>
      <c r="I99" s="93">
        <v>0</v>
      </c>
      <c r="J99" s="93">
        <v>0</v>
      </c>
      <c r="K99" s="35">
        <v>0</v>
      </c>
      <c r="L99" s="35">
        <v>0</v>
      </c>
      <c r="M99" s="35">
        <v>131315.06</v>
      </c>
      <c r="N99" s="35">
        <v>0</v>
      </c>
      <c r="O99"/>
      <c r="P99"/>
      <c r="Q99"/>
    </row>
    <row r="100" spans="1:17" ht="72" x14ac:dyDescent="0.3">
      <c r="A100" s="5"/>
      <c r="B100" s="5"/>
      <c r="C100" s="90" t="s">
        <v>1015</v>
      </c>
      <c r="D100" s="87" t="s">
        <v>1016</v>
      </c>
      <c r="E100" s="90" t="s">
        <v>68</v>
      </c>
      <c r="F100" s="92">
        <v>24</v>
      </c>
      <c r="G100" s="94">
        <v>39</v>
      </c>
      <c r="H100" s="93">
        <v>936</v>
      </c>
      <c r="I100" s="93">
        <v>0</v>
      </c>
      <c r="J100" s="93">
        <v>0</v>
      </c>
      <c r="K100" s="35">
        <v>0</v>
      </c>
      <c r="L100" s="35">
        <v>0</v>
      </c>
      <c r="M100" s="35">
        <v>0</v>
      </c>
      <c r="N100" s="35">
        <v>936</v>
      </c>
      <c r="O100"/>
      <c r="P100"/>
      <c r="Q100"/>
    </row>
    <row r="101" spans="1:17" ht="72" x14ac:dyDescent="0.3">
      <c r="A101" s="5"/>
      <c r="B101" s="5"/>
      <c r="C101" s="90" t="s">
        <v>1018</v>
      </c>
      <c r="D101" s="87" t="s">
        <v>1019</v>
      </c>
      <c r="E101" s="90" t="s">
        <v>68</v>
      </c>
      <c r="F101" s="92">
        <v>24</v>
      </c>
      <c r="G101" s="94">
        <v>52</v>
      </c>
      <c r="H101" s="93">
        <v>1248</v>
      </c>
      <c r="I101" s="93">
        <v>0</v>
      </c>
      <c r="J101" s="93">
        <v>0</v>
      </c>
      <c r="K101" s="35">
        <v>0</v>
      </c>
      <c r="L101" s="35">
        <v>0</v>
      </c>
      <c r="M101" s="35">
        <v>0</v>
      </c>
      <c r="N101" s="35">
        <v>1248</v>
      </c>
      <c r="O101"/>
      <c r="P101"/>
      <c r="Q101"/>
    </row>
    <row r="102" spans="1:17" ht="72" x14ac:dyDescent="0.3">
      <c r="A102" s="5"/>
      <c r="B102" s="5"/>
      <c r="C102" s="90" t="s">
        <v>1021</v>
      </c>
      <c r="D102" s="87" t="s">
        <v>1022</v>
      </c>
      <c r="E102" s="90" t="s">
        <v>68</v>
      </c>
      <c r="F102" s="92">
        <v>72</v>
      </c>
      <c r="G102" s="94">
        <v>52</v>
      </c>
      <c r="H102" s="93">
        <v>3744</v>
      </c>
      <c r="I102" s="93">
        <v>0</v>
      </c>
      <c r="J102" s="93">
        <v>0</v>
      </c>
      <c r="K102" s="35">
        <v>0</v>
      </c>
      <c r="L102" s="35">
        <v>0</v>
      </c>
      <c r="M102" s="35">
        <v>0</v>
      </c>
      <c r="N102" s="35">
        <v>3744</v>
      </c>
      <c r="O102"/>
      <c r="P102"/>
      <c r="Q102"/>
    </row>
    <row r="103" spans="1:17" ht="108" x14ac:dyDescent="0.3">
      <c r="A103" s="5"/>
      <c r="B103" s="5"/>
      <c r="C103" s="90" t="s">
        <v>1092</v>
      </c>
      <c r="D103" s="87" t="s">
        <v>1093</v>
      </c>
      <c r="E103" s="90" t="s">
        <v>68</v>
      </c>
      <c r="F103" s="92">
        <v>3</v>
      </c>
      <c r="G103" s="94">
        <v>1300</v>
      </c>
      <c r="H103" s="93">
        <v>3900</v>
      </c>
      <c r="I103" s="93">
        <v>0</v>
      </c>
      <c r="J103" s="93">
        <v>0</v>
      </c>
      <c r="K103" s="35">
        <v>0</v>
      </c>
      <c r="L103" s="35">
        <v>0</v>
      </c>
      <c r="M103" s="35">
        <v>3900</v>
      </c>
      <c r="N103" s="35">
        <v>0</v>
      </c>
      <c r="O103"/>
      <c r="P103"/>
      <c r="Q103"/>
    </row>
    <row r="104" spans="1:17" ht="108" x14ac:dyDescent="0.3">
      <c r="A104" s="5"/>
      <c r="B104" s="5"/>
      <c r="C104" s="90" t="s">
        <v>1095</v>
      </c>
      <c r="D104" s="87" t="s">
        <v>1096</v>
      </c>
      <c r="E104" s="90" t="s">
        <v>68</v>
      </c>
      <c r="F104" s="92">
        <v>10</v>
      </c>
      <c r="G104" s="94">
        <v>3554.54</v>
      </c>
      <c r="H104" s="93">
        <v>35545.4</v>
      </c>
      <c r="I104" s="93">
        <v>0</v>
      </c>
      <c r="J104" s="93">
        <v>0</v>
      </c>
      <c r="K104" s="35">
        <v>0</v>
      </c>
      <c r="L104" s="35">
        <v>0</v>
      </c>
      <c r="M104" s="35">
        <v>0</v>
      </c>
      <c r="N104" s="35">
        <v>35545.4</v>
      </c>
      <c r="O104"/>
      <c r="P104"/>
      <c r="Q104"/>
    </row>
    <row r="105" spans="1:17" ht="228" x14ac:dyDescent="0.3">
      <c r="A105" s="5"/>
      <c r="B105" s="5"/>
      <c r="C105" s="90" t="s">
        <v>1098</v>
      </c>
      <c r="D105" s="87" t="s">
        <v>1099</v>
      </c>
      <c r="E105" s="90" t="s">
        <v>68</v>
      </c>
      <c r="F105" s="92">
        <v>14</v>
      </c>
      <c r="G105" s="94">
        <v>37443.839999999997</v>
      </c>
      <c r="H105" s="93">
        <v>524213.76000000001</v>
      </c>
      <c r="I105" s="93">
        <v>0</v>
      </c>
      <c r="J105" s="93">
        <v>0</v>
      </c>
      <c r="K105" s="35">
        <v>0</v>
      </c>
      <c r="L105" s="35">
        <v>0</v>
      </c>
      <c r="M105" s="35">
        <v>0</v>
      </c>
      <c r="N105" s="35">
        <v>524213.76000000001</v>
      </c>
      <c r="O105"/>
      <c r="P105"/>
      <c r="Q105"/>
    </row>
    <row r="106" spans="1:17" ht="72" x14ac:dyDescent="0.3">
      <c r="A106" s="5"/>
      <c r="B106" s="5"/>
      <c r="C106" s="90" t="s">
        <v>1101</v>
      </c>
      <c r="D106" s="87" t="s">
        <v>1102</v>
      </c>
      <c r="E106" s="90" t="s">
        <v>68</v>
      </c>
      <c r="F106" s="92">
        <v>6</v>
      </c>
      <c r="G106" s="94">
        <v>1240.54</v>
      </c>
      <c r="H106" s="93">
        <v>7443.24</v>
      </c>
      <c r="I106" s="93">
        <v>0</v>
      </c>
      <c r="J106" s="93">
        <v>0</v>
      </c>
      <c r="K106" s="35">
        <v>0</v>
      </c>
      <c r="L106" s="35">
        <v>0</v>
      </c>
      <c r="M106" s="35">
        <v>0</v>
      </c>
      <c r="N106" s="35">
        <v>7443.24</v>
      </c>
      <c r="O106"/>
      <c r="P106"/>
      <c r="Q106"/>
    </row>
    <row r="107" spans="1:17" ht="96" x14ac:dyDescent="0.3">
      <c r="A107" s="5"/>
      <c r="B107" s="5"/>
      <c r="C107" s="90" t="s">
        <v>1104</v>
      </c>
      <c r="D107" s="87" t="s">
        <v>1105</v>
      </c>
      <c r="E107" s="90" t="s">
        <v>68</v>
      </c>
      <c r="F107" s="92">
        <v>19</v>
      </c>
      <c r="G107" s="94">
        <v>441.82</v>
      </c>
      <c r="H107" s="93">
        <v>8394.58</v>
      </c>
      <c r="I107" s="93">
        <v>0</v>
      </c>
      <c r="J107" s="93">
        <v>0</v>
      </c>
      <c r="K107" s="35">
        <v>0</v>
      </c>
      <c r="L107" s="35">
        <v>0</v>
      </c>
      <c r="M107" s="35">
        <v>0</v>
      </c>
      <c r="N107" s="35">
        <v>8394.58</v>
      </c>
      <c r="O107"/>
      <c r="P107"/>
      <c r="Q107"/>
    </row>
    <row r="108" spans="1:17" ht="96" x14ac:dyDescent="0.3">
      <c r="A108" s="5"/>
      <c r="B108" s="5"/>
      <c r="C108" s="90" t="s">
        <v>1107</v>
      </c>
      <c r="D108" s="87" t="s">
        <v>1108</v>
      </c>
      <c r="E108" s="90" t="s">
        <v>68</v>
      </c>
      <c r="F108" s="92">
        <v>6</v>
      </c>
      <c r="G108" s="94">
        <v>872.64</v>
      </c>
      <c r="H108" s="93">
        <v>5235.84</v>
      </c>
      <c r="I108" s="93">
        <v>0</v>
      </c>
      <c r="J108" s="93">
        <v>0</v>
      </c>
      <c r="K108" s="35">
        <v>0</v>
      </c>
      <c r="L108" s="35">
        <v>0</v>
      </c>
      <c r="M108" s="35">
        <v>0</v>
      </c>
      <c r="N108" s="35">
        <v>5235.84</v>
      </c>
      <c r="O108"/>
      <c r="P108"/>
      <c r="Q108"/>
    </row>
    <row r="109" spans="1:17" ht="96" x14ac:dyDescent="0.3">
      <c r="A109" s="5"/>
      <c r="B109" s="5"/>
      <c r="C109" s="90" t="s">
        <v>1110</v>
      </c>
      <c r="D109" s="87" t="s">
        <v>1111</v>
      </c>
      <c r="E109" s="90" t="s">
        <v>68</v>
      </c>
      <c r="F109" s="92">
        <v>3</v>
      </c>
      <c r="G109" s="94">
        <v>2885.04</v>
      </c>
      <c r="H109" s="93">
        <v>8655.1200000000008</v>
      </c>
      <c r="I109" s="93">
        <v>0</v>
      </c>
      <c r="J109" s="93">
        <v>0</v>
      </c>
      <c r="K109" s="35">
        <v>0</v>
      </c>
      <c r="L109" s="35">
        <v>0</v>
      </c>
      <c r="M109" s="35">
        <v>0</v>
      </c>
      <c r="N109" s="35">
        <v>8655.1200000000008</v>
      </c>
      <c r="O109"/>
      <c r="P109"/>
      <c r="Q109"/>
    </row>
    <row r="110" spans="1:17" ht="96" x14ac:dyDescent="0.3">
      <c r="A110" s="5"/>
      <c r="B110" s="5"/>
      <c r="C110" s="90" t="s">
        <v>1113</v>
      </c>
      <c r="D110" s="87" t="s">
        <v>1114</v>
      </c>
      <c r="E110" s="90" t="s">
        <v>68</v>
      </c>
      <c r="F110" s="92">
        <v>3</v>
      </c>
      <c r="G110" s="94">
        <v>4185.04</v>
      </c>
      <c r="H110" s="93">
        <v>12555.12</v>
      </c>
      <c r="I110" s="93">
        <v>0</v>
      </c>
      <c r="J110" s="93">
        <v>0</v>
      </c>
      <c r="K110" s="35">
        <v>0</v>
      </c>
      <c r="L110" s="35">
        <v>0</v>
      </c>
      <c r="M110" s="35">
        <v>0</v>
      </c>
      <c r="N110" s="35">
        <v>12555.12</v>
      </c>
      <c r="O110"/>
      <c r="P110"/>
      <c r="Q110"/>
    </row>
    <row r="111" spans="1:17" ht="84" x14ac:dyDescent="0.3">
      <c r="A111" s="5"/>
      <c r="B111" s="5"/>
      <c r="C111" s="90" t="s">
        <v>1116</v>
      </c>
      <c r="D111" s="87" t="s">
        <v>1117</v>
      </c>
      <c r="E111" s="90" t="s">
        <v>68</v>
      </c>
      <c r="F111" s="92">
        <v>12</v>
      </c>
      <c r="G111" s="94">
        <v>14680.84</v>
      </c>
      <c r="H111" s="93">
        <v>176170.08</v>
      </c>
      <c r="I111" s="93">
        <v>0</v>
      </c>
      <c r="J111" s="93">
        <v>0</v>
      </c>
      <c r="K111" s="35">
        <v>0</v>
      </c>
      <c r="L111" s="35">
        <v>0</v>
      </c>
      <c r="M111" s="35">
        <v>0</v>
      </c>
      <c r="N111" s="35">
        <v>176170.08</v>
      </c>
      <c r="O111"/>
      <c r="P111"/>
      <c r="Q111"/>
    </row>
    <row r="112" spans="1:17" ht="108" x14ac:dyDescent="0.3">
      <c r="A112" s="5"/>
      <c r="B112" s="5"/>
      <c r="C112" s="90" t="s">
        <v>1119</v>
      </c>
      <c r="D112" s="87" t="s">
        <v>1120</v>
      </c>
      <c r="E112" s="90" t="s">
        <v>68</v>
      </c>
      <c r="F112" s="92">
        <v>1</v>
      </c>
      <c r="G112" s="94">
        <v>55951.95</v>
      </c>
      <c r="H112" s="93">
        <v>55951.95</v>
      </c>
      <c r="I112" s="93">
        <v>0</v>
      </c>
      <c r="J112" s="93">
        <v>0</v>
      </c>
      <c r="K112" s="35">
        <v>0</v>
      </c>
      <c r="L112" s="35">
        <v>0</v>
      </c>
      <c r="M112" s="35">
        <v>0</v>
      </c>
      <c r="N112" s="35">
        <v>55951.95</v>
      </c>
      <c r="O112"/>
      <c r="P112"/>
      <c r="Q112"/>
    </row>
    <row r="113" spans="1:17" ht="60" x14ac:dyDescent="0.3">
      <c r="A113" s="5"/>
      <c r="B113" s="5"/>
      <c r="C113" s="90" t="s">
        <v>1122</v>
      </c>
      <c r="D113" s="87" t="s">
        <v>1123</v>
      </c>
      <c r="E113" s="90" t="s">
        <v>68</v>
      </c>
      <c r="F113" s="92">
        <v>2</v>
      </c>
      <c r="G113" s="94">
        <v>4370.29</v>
      </c>
      <c r="H113" s="93">
        <v>8740.58</v>
      </c>
      <c r="I113" s="93">
        <v>0</v>
      </c>
      <c r="J113" s="93">
        <v>0</v>
      </c>
      <c r="K113" s="35">
        <v>0</v>
      </c>
      <c r="L113" s="35">
        <v>0</v>
      </c>
      <c r="M113" s="35">
        <v>0</v>
      </c>
      <c r="N113" s="35">
        <v>8740.58</v>
      </c>
      <c r="O113"/>
      <c r="P113"/>
      <c r="Q113"/>
    </row>
    <row r="114" spans="1:17" ht="84" x14ac:dyDescent="0.3">
      <c r="A114" s="5"/>
      <c r="B114" s="5"/>
      <c r="C114" s="90" t="s">
        <v>1125</v>
      </c>
      <c r="D114" s="87" t="s">
        <v>1126</v>
      </c>
      <c r="E114" s="90" t="s">
        <v>68</v>
      </c>
      <c r="F114" s="92">
        <v>3</v>
      </c>
      <c r="G114" s="94">
        <v>4741.4399999999996</v>
      </c>
      <c r="H114" s="93">
        <v>14224.32</v>
      </c>
      <c r="I114" s="93">
        <v>0</v>
      </c>
      <c r="J114" s="93">
        <v>0</v>
      </c>
      <c r="K114" s="35">
        <v>0</v>
      </c>
      <c r="L114" s="35">
        <v>0</v>
      </c>
      <c r="M114" s="35">
        <v>0</v>
      </c>
      <c r="N114" s="35">
        <v>14224.32</v>
      </c>
      <c r="O114"/>
      <c r="P114"/>
      <c r="Q114"/>
    </row>
    <row r="115" spans="1:17" ht="48" x14ac:dyDescent="0.3">
      <c r="A115" s="5"/>
      <c r="B115" s="5"/>
      <c r="C115" s="90" t="s">
        <v>1140</v>
      </c>
      <c r="D115" s="87" t="s">
        <v>1141</v>
      </c>
      <c r="E115" s="90" t="s">
        <v>68</v>
      </c>
      <c r="F115" s="92">
        <v>2</v>
      </c>
      <c r="G115" s="94">
        <v>58.5</v>
      </c>
      <c r="H115" s="93">
        <v>117</v>
      </c>
      <c r="I115" s="93">
        <v>0</v>
      </c>
      <c r="J115" s="93">
        <v>0</v>
      </c>
      <c r="K115" s="35">
        <v>0</v>
      </c>
      <c r="L115" s="35">
        <v>0</v>
      </c>
      <c r="M115" s="35">
        <v>117</v>
      </c>
      <c r="N115" s="35">
        <v>0</v>
      </c>
      <c r="O115"/>
      <c r="P115"/>
      <c r="Q115"/>
    </row>
    <row r="116" spans="1:17" ht="60" x14ac:dyDescent="0.3">
      <c r="A116" s="5"/>
      <c r="B116" s="5"/>
      <c r="C116" s="90" t="s">
        <v>1158</v>
      </c>
      <c r="D116" s="87" t="s">
        <v>1159</v>
      </c>
      <c r="E116" s="90" t="s">
        <v>712</v>
      </c>
      <c r="F116" s="92">
        <v>4.5</v>
      </c>
      <c r="G116" s="94">
        <v>19929</v>
      </c>
      <c r="H116" s="93">
        <v>89680.5</v>
      </c>
      <c r="I116" s="93">
        <v>0</v>
      </c>
      <c r="J116" s="93">
        <v>0</v>
      </c>
      <c r="K116" s="35">
        <v>0</v>
      </c>
      <c r="L116" s="35">
        <v>0</v>
      </c>
      <c r="M116" s="35">
        <v>89680.5</v>
      </c>
      <c r="N116" s="35">
        <v>0</v>
      </c>
      <c r="O116"/>
      <c r="P116"/>
      <c r="Q116"/>
    </row>
    <row r="117" spans="1:17" ht="60" x14ac:dyDescent="0.3">
      <c r="A117" s="5"/>
      <c r="B117" s="5"/>
      <c r="C117" s="90" t="s">
        <v>1161</v>
      </c>
      <c r="D117" s="87" t="s">
        <v>1162</v>
      </c>
      <c r="E117" s="90" t="s">
        <v>712</v>
      </c>
      <c r="F117" s="92">
        <v>2.5</v>
      </c>
      <c r="G117" s="94">
        <v>17062.5</v>
      </c>
      <c r="H117" s="93">
        <v>42656.25</v>
      </c>
      <c r="I117" s="93">
        <v>0</v>
      </c>
      <c r="J117" s="93">
        <v>0</v>
      </c>
      <c r="K117" s="35">
        <v>0</v>
      </c>
      <c r="L117" s="35">
        <v>0</v>
      </c>
      <c r="M117" s="35">
        <v>42656.25</v>
      </c>
      <c r="N117" s="35">
        <v>0</v>
      </c>
      <c r="O117"/>
      <c r="P117"/>
      <c r="Q117"/>
    </row>
    <row r="118" spans="1:17" ht="180" x14ac:dyDescent="0.3">
      <c r="A118" s="5"/>
      <c r="B118" s="5"/>
      <c r="C118" s="90" t="s">
        <v>1164</v>
      </c>
      <c r="D118" s="87" t="s">
        <v>1165</v>
      </c>
      <c r="E118" s="90" t="s">
        <v>1166</v>
      </c>
      <c r="F118" s="92">
        <v>1</v>
      </c>
      <c r="G118" s="94">
        <v>533000</v>
      </c>
      <c r="H118" s="93">
        <v>533000</v>
      </c>
      <c r="I118" s="93">
        <v>0</v>
      </c>
      <c r="J118" s="93">
        <v>0</v>
      </c>
      <c r="K118" s="35">
        <v>0</v>
      </c>
      <c r="L118" s="35">
        <v>0</v>
      </c>
      <c r="M118" s="35">
        <v>0</v>
      </c>
      <c r="N118" s="35">
        <v>533000</v>
      </c>
      <c r="O118"/>
      <c r="P118"/>
      <c r="Q118"/>
    </row>
    <row r="119" spans="1:17" ht="348" x14ac:dyDescent="0.3">
      <c r="A119" s="5"/>
      <c r="B119" s="5"/>
      <c r="C119" s="90" t="s">
        <v>1168</v>
      </c>
      <c r="D119" s="87" t="s">
        <v>1169</v>
      </c>
      <c r="E119" s="90" t="s">
        <v>1170</v>
      </c>
      <c r="F119" s="92">
        <v>1</v>
      </c>
      <c r="G119" s="94">
        <v>318500</v>
      </c>
      <c r="H119" s="93">
        <v>318500</v>
      </c>
      <c r="I119" s="93">
        <v>0</v>
      </c>
      <c r="J119" s="93">
        <v>0</v>
      </c>
      <c r="K119" s="35">
        <v>0</v>
      </c>
      <c r="L119" s="35">
        <v>0</v>
      </c>
      <c r="M119" s="35">
        <v>0</v>
      </c>
      <c r="N119" s="35">
        <v>318500</v>
      </c>
      <c r="O119"/>
      <c r="P119"/>
      <c r="Q119"/>
    </row>
    <row r="120" spans="1:17" ht="180" x14ac:dyDescent="0.3">
      <c r="A120" s="5"/>
      <c r="B120" s="5"/>
      <c r="C120" s="90" t="s">
        <v>1172</v>
      </c>
      <c r="D120" s="87" t="s">
        <v>1173</v>
      </c>
      <c r="E120" s="90" t="s">
        <v>68</v>
      </c>
      <c r="F120" s="92">
        <v>1</v>
      </c>
      <c r="G120" s="94">
        <v>454000.01</v>
      </c>
      <c r="H120" s="93">
        <v>454000.01</v>
      </c>
      <c r="I120" s="93">
        <v>0</v>
      </c>
      <c r="J120" s="93">
        <v>0</v>
      </c>
      <c r="K120" s="35">
        <v>0</v>
      </c>
      <c r="L120" s="35">
        <v>0</v>
      </c>
      <c r="M120" s="35">
        <v>0</v>
      </c>
      <c r="N120" s="35">
        <v>454000.01</v>
      </c>
      <c r="O120"/>
      <c r="P120"/>
      <c r="Q120"/>
    </row>
    <row r="121" spans="1:17" ht="48" x14ac:dyDescent="0.3">
      <c r="A121" s="5"/>
      <c r="B121" s="5"/>
      <c r="C121" s="90" t="s">
        <v>1224</v>
      </c>
      <c r="D121" s="87" t="s">
        <v>1225</v>
      </c>
      <c r="E121" s="90" t="s">
        <v>58</v>
      </c>
      <c r="F121" s="92">
        <v>35</v>
      </c>
      <c r="G121" s="94">
        <v>157.30000000000001</v>
      </c>
      <c r="H121" s="93">
        <v>5505.5</v>
      </c>
      <c r="I121" s="93">
        <v>0</v>
      </c>
      <c r="J121" s="93">
        <v>0</v>
      </c>
      <c r="K121" s="35">
        <v>0</v>
      </c>
      <c r="L121" s="35">
        <v>0</v>
      </c>
      <c r="M121" s="35">
        <v>0</v>
      </c>
      <c r="N121" s="35">
        <v>5505.5</v>
      </c>
      <c r="O121"/>
      <c r="P121"/>
      <c r="Q121"/>
    </row>
    <row r="122" spans="1:17" ht="132" x14ac:dyDescent="0.3">
      <c r="A122" s="5"/>
      <c r="B122" s="5"/>
      <c r="C122" s="90" t="s">
        <v>1227</v>
      </c>
      <c r="D122" s="87" t="s">
        <v>1228</v>
      </c>
      <c r="E122" s="90" t="s">
        <v>68</v>
      </c>
      <c r="F122" s="92">
        <v>1</v>
      </c>
      <c r="G122" s="94">
        <v>1282188.1399999999</v>
      </c>
      <c r="H122" s="93">
        <v>1282188.1399999999</v>
      </c>
      <c r="I122" s="93">
        <v>0</v>
      </c>
      <c r="J122" s="93">
        <v>0</v>
      </c>
      <c r="K122" s="35">
        <v>0</v>
      </c>
      <c r="L122" s="35">
        <v>0</v>
      </c>
      <c r="M122" s="35">
        <v>0</v>
      </c>
      <c r="N122" s="35">
        <v>1282188.1399999999</v>
      </c>
      <c r="O122"/>
      <c r="P122"/>
      <c r="Q122"/>
    </row>
    <row r="123" spans="1:17" ht="264" x14ac:dyDescent="0.3">
      <c r="A123" s="5"/>
      <c r="B123" s="5"/>
      <c r="C123" s="90" t="s">
        <v>1230</v>
      </c>
      <c r="D123" s="87" t="s">
        <v>1231</v>
      </c>
      <c r="E123" s="90" t="s">
        <v>68</v>
      </c>
      <c r="F123" s="92">
        <v>9</v>
      </c>
      <c r="G123" s="94">
        <v>16967.28</v>
      </c>
      <c r="H123" s="93">
        <v>152705.51999999999</v>
      </c>
      <c r="I123" s="93">
        <v>0</v>
      </c>
      <c r="J123" s="93">
        <v>0</v>
      </c>
      <c r="K123" s="35">
        <v>0</v>
      </c>
      <c r="L123" s="35">
        <v>0</v>
      </c>
      <c r="M123" s="35">
        <v>0</v>
      </c>
      <c r="N123" s="35">
        <v>152705.51999999999</v>
      </c>
      <c r="O123"/>
      <c r="P123"/>
      <c r="Q123"/>
    </row>
    <row r="124" spans="1:17" ht="264" x14ac:dyDescent="0.3">
      <c r="A124" s="5"/>
      <c r="B124" s="5"/>
      <c r="C124" s="90" t="s">
        <v>1233</v>
      </c>
      <c r="D124" s="87" t="s">
        <v>1234</v>
      </c>
      <c r="E124" s="90" t="s">
        <v>68</v>
      </c>
      <c r="F124" s="92">
        <v>3</v>
      </c>
      <c r="G124" s="94">
        <v>16967.28</v>
      </c>
      <c r="H124" s="93">
        <v>50901.84</v>
      </c>
      <c r="I124" s="93">
        <v>0</v>
      </c>
      <c r="J124" s="93">
        <v>0</v>
      </c>
      <c r="K124" s="35">
        <v>0</v>
      </c>
      <c r="L124" s="35">
        <v>0</v>
      </c>
      <c r="M124" s="35">
        <v>0</v>
      </c>
      <c r="N124" s="35">
        <v>50901.84</v>
      </c>
      <c r="O124"/>
      <c r="P124"/>
      <c r="Q124"/>
    </row>
    <row r="125" spans="1:17" ht="228" x14ac:dyDescent="0.3">
      <c r="A125" s="5"/>
      <c r="B125" s="5"/>
      <c r="C125" s="90" t="s">
        <v>1235</v>
      </c>
      <c r="D125" s="87" t="s">
        <v>1236</v>
      </c>
      <c r="E125" s="90" t="s">
        <v>68</v>
      </c>
      <c r="F125" s="92">
        <v>6</v>
      </c>
      <c r="G125" s="94">
        <v>53167.27</v>
      </c>
      <c r="H125" s="93">
        <v>319003.62</v>
      </c>
      <c r="I125" s="93">
        <v>0</v>
      </c>
      <c r="J125" s="93">
        <v>0</v>
      </c>
      <c r="K125" s="35">
        <v>0</v>
      </c>
      <c r="L125" s="35">
        <v>0</v>
      </c>
      <c r="M125" s="35">
        <v>0</v>
      </c>
      <c r="N125" s="35">
        <v>319003.62</v>
      </c>
      <c r="O125"/>
      <c r="P125"/>
      <c r="Q125"/>
    </row>
    <row r="126" spans="1:17" ht="120" x14ac:dyDescent="0.3">
      <c r="A126" s="5"/>
      <c r="B126" s="5"/>
      <c r="C126" s="90" t="s">
        <v>1238</v>
      </c>
      <c r="D126" s="87" t="s">
        <v>1239</v>
      </c>
      <c r="E126" s="90" t="s">
        <v>68</v>
      </c>
      <c r="F126" s="92">
        <v>9</v>
      </c>
      <c r="G126" s="94">
        <v>7236.74</v>
      </c>
      <c r="H126" s="93">
        <v>65130.66</v>
      </c>
      <c r="I126" s="93">
        <v>0</v>
      </c>
      <c r="J126" s="93">
        <v>0</v>
      </c>
      <c r="K126" s="35">
        <v>0</v>
      </c>
      <c r="L126" s="35">
        <v>0</v>
      </c>
      <c r="M126" s="35">
        <v>0</v>
      </c>
      <c r="N126" s="35">
        <v>65130.66</v>
      </c>
      <c r="O126"/>
      <c r="P126"/>
      <c r="Q126"/>
    </row>
    <row r="127" spans="1:17" ht="120" x14ac:dyDescent="0.3">
      <c r="A127" s="5"/>
      <c r="B127" s="5"/>
      <c r="C127" s="90" t="s">
        <v>1241</v>
      </c>
      <c r="D127" s="87" t="s">
        <v>1242</v>
      </c>
      <c r="E127" s="90" t="s">
        <v>68</v>
      </c>
      <c r="F127" s="92">
        <v>3</v>
      </c>
      <c r="G127" s="94">
        <v>6281.73</v>
      </c>
      <c r="H127" s="93">
        <v>18845.189999999999</v>
      </c>
      <c r="I127" s="93">
        <v>0</v>
      </c>
      <c r="J127" s="93">
        <v>0</v>
      </c>
      <c r="K127" s="35">
        <v>0</v>
      </c>
      <c r="L127" s="35">
        <v>0</v>
      </c>
      <c r="M127" s="35">
        <v>0</v>
      </c>
      <c r="N127" s="35">
        <v>18845.189999999999</v>
      </c>
      <c r="O127"/>
      <c r="P127"/>
      <c r="Q127"/>
    </row>
    <row r="128" spans="1:17" ht="120" x14ac:dyDescent="0.3">
      <c r="A128" s="5"/>
      <c r="B128" s="5"/>
      <c r="C128" s="90" t="s">
        <v>1244</v>
      </c>
      <c r="D128" s="87" t="s">
        <v>1245</v>
      </c>
      <c r="E128" s="90" t="s">
        <v>68</v>
      </c>
      <c r="F128" s="92">
        <v>2</v>
      </c>
      <c r="G128" s="94">
        <v>6057.73</v>
      </c>
      <c r="H128" s="93">
        <v>12115.46</v>
      </c>
      <c r="I128" s="93">
        <v>0</v>
      </c>
      <c r="J128" s="93">
        <v>0</v>
      </c>
      <c r="K128" s="35">
        <v>0</v>
      </c>
      <c r="L128" s="35">
        <v>0</v>
      </c>
      <c r="M128" s="35">
        <v>0</v>
      </c>
      <c r="N128" s="35">
        <v>12115.46</v>
      </c>
      <c r="O128"/>
      <c r="P128"/>
      <c r="Q128"/>
    </row>
    <row r="129" spans="1:17" ht="96" x14ac:dyDescent="0.3">
      <c r="A129" s="5"/>
      <c r="B129" s="5"/>
      <c r="C129" s="90" t="s">
        <v>1247</v>
      </c>
      <c r="D129" s="87" t="s">
        <v>1248</v>
      </c>
      <c r="E129" s="90" t="s">
        <v>68</v>
      </c>
      <c r="F129" s="92">
        <v>3</v>
      </c>
      <c r="G129" s="94">
        <v>80034.570000000007</v>
      </c>
      <c r="H129" s="93">
        <v>240103.71</v>
      </c>
      <c r="I129" s="93">
        <v>0</v>
      </c>
      <c r="J129" s="93">
        <v>0</v>
      </c>
      <c r="K129" s="35">
        <v>0</v>
      </c>
      <c r="L129" s="35">
        <v>0</v>
      </c>
      <c r="M129" s="35">
        <v>0</v>
      </c>
      <c r="N129" s="35">
        <v>240103.71</v>
      </c>
      <c r="O129"/>
      <c r="P129"/>
      <c r="Q129"/>
    </row>
    <row r="130" spans="1:17" ht="180" x14ac:dyDescent="0.3">
      <c r="A130" s="5"/>
      <c r="B130" s="5"/>
      <c r="C130" s="90" t="s">
        <v>1250</v>
      </c>
      <c r="D130" s="87" t="s">
        <v>1251</v>
      </c>
      <c r="E130" s="90" t="s">
        <v>68</v>
      </c>
      <c r="F130" s="92">
        <v>3</v>
      </c>
      <c r="G130" s="94">
        <v>50534.58</v>
      </c>
      <c r="H130" s="93">
        <v>151603.74</v>
      </c>
      <c r="I130" s="93">
        <v>0</v>
      </c>
      <c r="J130" s="93">
        <v>0</v>
      </c>
      <c r="K130" s="35">
        <v>0</v>
      </c>
      <c r="L130" s="35">
        <v>0</v>
      </c>
      <c r="M130" s="35">
        <v>0</v>
      </c>
      <c r="N130" s="35">
        <v>151603.74</v>
      </c>
      <c r="O130"/>
      <c r="P130"/>
      <c r="Q130"/>
    </row>
    <row r="131" spans="1:17" ht="120" x14ac:dyDescent="0.3">
      <c r="A131" s="5"/>
      <c r="B131" s="5"/>
      <c r="C131" s="90" t="s">
        <v>1253</v>
      </c>
      <c r="D131" s="87" t="s">
        <v>1254</v>
      </c>
      <c r="E131" s="90" t="s">
        <v>68</v>
      </c>
      <c r="F131" s="92">
        <v>3</v>
      </c>
      <c r="G131" s="94">
        <v>34500</v>
      </c>
      <c r="H131" s="93">
        <v>103500</v>
      </c>
      <c r="I131" s="93">
        <v>0</v>
      </c>
      <c r="J131" s="93">
        <v>0</v>
      </c>
      <c r="K131" s="35">
        <v>0</v>
      </c>
      <c r="L131" s="35">
        <v>0</v>
      </c>
      <c r="M131" s="35">
        <v>0</v>
      </c>
      <c r="N131" s="35">
        <v>103500</v>
      </c>
      <c r="O131"/>
      <c r="P131"/>
      <c r="Q131"/>
    </row>
    <row r="132" spans="1:17" ht="120" x14ac:dyDescent="0.3">
      <c r="A132" s="5"/>
      <c r="B132" s="5"/>
      <c r="C132" s="90" t="s">
        <v>1256</v>
      </c>
      <c r="D132" s="87" t="s">
        <v>1257</v>
      </c>
      <c r="E132" s="90" t="s">
        <v>68</v>
      </c>
      <c r="F132" s="92">
        <v>3</v>
      </c>
      <c r="G132" s="94">
        <v>9620</v>
      </c>
      <c r="H132" s="93">
        <v>28860</v>
      </c>
      <c r="I132" s="93">
        <v>0</v>
      </c>
      <c r="J132" s="93">
        <v>0</v>
      </c>
      <c r="K132" s="35">
        <v>0</v>
      </c>
      <c r="L132" s="35">
        <v>0</v>
      </c>
      <c r="M132" s="35">
        <v>0</v>
      </c>
      <c r="N132" s="35">
        <v>28860</v>
      </c>
      <c r="O132"/>
      <c r="P132"/>
      <c r="Q132"/>
    </row>
    <row r="133" spans="1:17" ht="228" x14ac:dyDescent="0.3">
      <c r="A133" s="5"/>
      <c r="B133" s="5"/>
      <c r="C133" s="90" t="s">
        <v>1259</v>
      </c>
      <c r="D133" s="87" t="s">
        <v>1260</v>
      </c>
      <c r="E133" s="90" t="s">
        <v>68</v>
      </c>
      <c r="F133" s="92">
        <v>1</v>
      </c>
      <c r="G133" s="94">
        <v>37250.01</v>
      </c>
      <c r="H133" s="93">
        <v>37250.01</v>
      </c>
      <c r="I133" s="93">
        <v>0</v>
      </c>
      <c r="J133" s="93">
        <v>0</v>
      </c>
      <c r="K133" s="35">
        <v>0</v>
      </c>
      <c r="L133" s="35">
        <v>0</v>
      </c>
      <c r="M133" s="35">
        <v>0</v>
      </c>
      <c r="N133" s="35">
        <v>37250.01</v>
      </c>
      <c r="O133"/>
      <c r="P133"/>
      <c r="Q133"/>
    </row>
    <row r="134" spans="1:17" ht="60" x14ac:dyDescent="0.3">
      <c r="A134" s="5"/>
      <c r="B134" s="5"/>
      <c r="C134" s="90" t="s">
        <v>1262</v>
      </c>
      <c r="D134" s="87" t="s">
        <v>1263</v>
      </c>
      <c r="E134" s="90" t="s">
        <v>58</v>
      </c>
      <c r="F134" s="92">
        <v>525</v>
      </c>
      <c r="G134" s="94">
        <v>116.03</v>
      </c>
      <c r="H134" s="93">
        <v>60915.75</v>
      </c>
      <c r="I134" s="93">
        <v>0</v>
      </c>
      <c r="J134" s="93">
        <v>0</v>
      </c>
      <c r="K134" s="35">
        <v>0</v>
      </c>
      <c r="L134" s="35">
        <v>0</v>
      </c>
      <c r="M134" s="35">
        <v>46412</v>
      </c>
      <c r="N134" s="35">
        <v>14503.75</v>
      </c>
      <c r="O134"/>
      <c r="P134"/>
      <c r="Q134"/>
    </row>
    <row r="135" spans="1:17" ht="48" x14ac:dyDescent="0.3">
      <c r="A135" s="5"/>
      <c r="B135" s="5"/>
      <c r="C135" s="90" t="s">
        <v>1280</v>
      </c>
      <c r="D135" s="87" t="s">
        <v>1281</v>
      </c>
      <c r="E135" s="90" t="s">
        <v>68</v>
      </c>
      <c r="F135" s="92">
        <v>12</v>
      </c>
      <c r="G135" s="94">
        <v>149.5</v>
      </c>
      <c r="H135" s="93">
        <v>1794</v>
      </c>
      <c r="I135" s="93">
        <v>0</v>
      </c>
      <c r="J135" s="93">
        <v>0</v>
      </c>
      <c r="K135" s="35">
        <v>0</v>
      </c>
      <c r="L135" s="35">
        <v>0</v>
      </c>
      <c r="M135" s="35">
        <v>1794</v>
      </c>
      <c r="N135" s="35">
        <v>0</v>
      </c>
      <c r="O135"/>
      <c r="P135"/>
      <c r="Q135"/>
    </row>
    <row r="136" spans="1:17" ht="48" x14ac:dyDescent="0.3">
      <c r="A136" s="5"/>
      <c r="B136" s="5"/>
      <c r="C136" s="90" t="s">
        <v>1295</v>
      </c>
      <c r="D136" s="87" t="s">
        <v>1296</v>
      </c>
      <c r="E136" s="90" t="s">
        <v>68</v>
      </c>
      <c r="F136" s="92">
        <v>9</v>
      </c>
      <c r="G136" s="94">
        <v>132.6</v>
      </c>
      <c r="H136" s="93">
        <v>1193.4000000000001</v>
      </c>
      <c r="I136" s="93">
        <v>0</v>
      </c>
      <c r="J136" s="93">
        <v>0</v>
      </c>
      <c r="K136" s="35">
        <v>0</v>
      </c>
      <c r="L136" s="35">
        <v>0</v>
      </c>
      <c r="M136" s="35">
        <v>1193.4000000000001</v>
      </c>
      <c r="N136" s="35">
        <v>0</v>
      </c>
      <c r="O136"/>
      <c r="P136"/>
      <c r="Q136"/>
    </row>
    <row r="137" spans="1:17" ht="60" x14ac:dyDescent="0.3">
      <c r="A137" s="5"/>
      <c r="B137" s="5"/>
      <c r="C137" s="90" t="s">
        <v>1332</v>
      </c>
      <c r="D137" s="87" t="s">
        <v>1333</v>
      </c>
      <c r="E137" s="90" t="s">
        <v>68</v>
      </c>
      <c r="F137" s="92">
        <v>33</v>
      </c>
      <c r="G137" s="94">
        <v>84.5</v>
      </c>
      <c r="H137" s="93">
        <v>2788.5</v>
      </c>
      <c r="I137" s="93">
        <v>0</v>
      </c>
      <c r="J137" s="93">
        <v>0</v>
      </c>
      <c r="K137" s="35">
        <v>0</v>
      </c>
      <c r="L137" s="35">
        <v>0</v>
      </c>
      <c r="M137" s="35">
        <v>0</v>
      </c>
      <c r="N137" s="35">
        <v>2788.5</v>
      </c>
      <c r="O137"/>
      <c r="P137"/>
      <c r="Q137"/>
    </row>
    <row r="138" spans="1:17" ht="36" x14ac:dyDescent="0.3">
      <c r="A138" s="5"/>
      <c r="B138" s="5"/>
      <c r="C138" s="90" t="s">
        <v>1335</v>
      </c>
      <c r="D138" s="87" t="s">
        <v>1336</v>
      </c>
      <c r="E138" s="90" t="s">
        <v>495</v>
      </c>
      <c r="F138" s="92">
        <v>8</v>
      </c>
      <c r="G138" s="94">
        <v>9750</v>
      </c>
      <c r="H138" s="93">
        <v>78000</v>
      </c>
      <c r="I138" s="93">
        <v>0</v>
      </c>
      <c r="J138" s="93">
        <v>0</v>
      </c>
      <c r="K138" s="35">
        <v>0</v>
      </c>
      <c r="L138" s="35">
        <v>0</v>
      </c>
      <c r="M138" s="35">
        <v>0</v>
      </c>
      <c r="N138" s="35">
        <v>78000</v>
      </c>
      <c r="O138"/>
      <c r="P138"/>
      <c r="Q138"/>
    </row>
    <row r="139" spans="1:17" ht="72" x14ac:dyDescent="0.3">
      <c r="A139" s="5"/>
      <c r="B139" s="5"/>
      <c r="C139" s="90" t="s">
        <v>1341</v>
      </c>
      <c r="D139" s="87" t="s">
        <v>1342</v>
      </c>
      <c r="E139" s="90" t="s">
        <v>68</v>
      </c>
      <c r="F139" s="92">
        <v>6</v>
      </c>
      <c r="G139" s="94">
        <v>364</v>
      </c>
      <c r="H139" s="93">
        <v>2184</v>
      </c>
      <c r="I139" s="93">
        <v>0</v>
      </c>
      <c r="J139" s="93">
        <v>0</v>
      </c>
      <c r="K139" s="35">
        <v>0</v>
      </c>
      <c r="L139" s="35">
        <v>0</v>
      </c>
      <c r="M139" s="35">
        <v>0</v>
      </c>
      <c r="N139" s="35">
        <v>2184</v>
      </c>
      <c r="O139"/>
      <c r="P139"/>
      <c r="Q139"/>
    </row>
    <row r="140" spans="1:17" ht="36" x14ac:dyDescent="0.3">
      <c r="A140" s="5"/>
      <c r="B140" s="5"/>
      <c r="C140" s="90" t="s">
        <v>1353</v>
      </c>
      <c r="D140" s="87" t="s">
        <v>1354</v>
      </c>
      <c r="E140" s="90" t="s">
        <v>995</v>
      </c>
      <c r="F140" s="92">
        <v>2</v>
      </c>
      <c r="G140" s="94">
        <v>70657.47</v>
      </c>
      <c r="H140" s="93">
        <v>141314.94</v>
      </c>
      <c r="I140" s="93">
        <v>0</v>
      </c>
      <c r="J140" s="93">
        <v>0</v>
      </c>
      <c r="K140" s="35">
        <v>0</v>
      </c>
      <c r="L140" s="35">
        <v>0</v>
      </c>
      <c r="M140" s="35">
        <v>141314.94</v>
      </c>
      <c r="N140" s="35">
        <v>0</v>
      </c>
      <c r="O140"/>
      <c r="P140"/>
      <c r="Q140"/>
    </row>
    <row r="141" spans="1:17" ht="36" x14ac:dyDescent="0.3">
      <c r="A141" s="5"/>
      <c r="B141" s="5"/>
      <c r="C141" s="90" t="s">
        <v>1356</v>
      </c>
      <c r="D141" s="87" t="s">
        <v>1357</v>
      </c>
      <c r="E141" s="90" t="s">
        <v>995</v>
      </c>
      <c r="F141" s="92">
        <v>2</v>
      </c>
      <c r="G141" s="94">
        <v>40050.75</v>
      </c>
      <c r="H141" s="93">
        <v>80101.5</v>
      </c>
      <c r="I141" s="93">
        <v>0</v>
      </c>
      <c r="J141" s="93">
        <v>0</v>
      </c>
      <c r="K141" s="35">
        <v>0</v>
      </c>
      <c r="L141" s="35">
        <v>0</v>
      </c>
      <c r="M141" s="35">
        <v>80101.5</v>
      </c>
      <c r="N141" s="35">
        <v>0</v>
      </c>
      <c r="O141"/>
      <c r="P141"/>
      <c r="Q141"/>
    </row>
    <row r="142" spans="1:17" ht="276" x14ac:dyDescent="0.3">
      <c r="A142" s="5"/>
      <c r="B142" s="5"/>
      <c r="C142" s="90" t="s">
        <v>1359</v>
      </c>
      <c r="D142" s="87" t="s">
        <v>1360</v>
      </c>
      <c r="E142" s="90" t="s">
        <v>68</v>
      </c>
      <c r="F142" s="92">
        <v>6</v>
      </c>
      <c r="G142" s="94">
        <v>16967.28</v>
      </c>
      <c r="H142" s="93">
        <v>101803.68</v>
      </c>
      <c r="I142" s="93">
        <v>0</v>
      </c>
      <c r="J142" s="93">
        <v>0</v>
      </c>
      <c r="K142" s="35">
        <v>0</v>
      </c>
      <c r="L142" s="35">
        <v>0</v>
      </c>
      <c r="M142" s="35">
        <v>0</v>
      </c>
      <c r="N142" s="35">
        <v>101803.68</v>
      </c>
      <c r="O142"/>
      <c r="P142"/>
      <c r="Q142"/>
    </row>
    <row r="143" spans="1:17" ht="120" x14ac:dyDescent="0.3">
      <c r="A143" s="5"/>
      <c r="B143" s="5"/>
      <c r="C143" s="90" t="s">
        <v>1362</v>
      </c>
      <c r="D143" s="87" t="s">
        <v>1363</v>
      </c>
      <c r="E143" s="90" t="s">
        <v>68</v>
      </c>
      <c r="F143" s="92">
        <v>4</v>
      </c>
      <c r="G143" s="94">
        <v>6057.73</v>
      </c>
      <c r="H143" s="93">
        <v>24230.92</v>
      </c>
      <c r="I143" s="93">
        <v>0</v>
      </c>
      <c r="J143" s="93">
        <v>0</v>
      </c>
      <c r="K143" s="35">
        <v>0</v>
      </c>
      <c r="L143" s="35">
        <v>0</v>
      </c>
      <c r="M143" s="35">
        <v>0</v>
      </c>
      <c r="N143" s="35">
        <v>24230.92</v>
      </c>
      <c r="O143"/>
      <c r="P143"/>
      <c r="Q143"/>
    </row>
    <row r="144" spans="1:17" ht="132" x14ac:dyDescent="0.3">
      <c r="A144" s="5"/>
      <c r="B144" s="5"/>
      <c r="C144" s="90" t="s">
        <v>1372</v>
      </c>
      <c r="D144" s="87" t="s">
        <v>1373</v>
      </c>
      <c r="E144" s="90" t="s">
        <v>1370</v>
      </c>
      <c r="F144" s="92">
        <v>1</v>
      </c>
      <c r="G144" s="94">
        <v>123500</v>
      </c>
      <c r="H144" s="93">
        <v>123500</v>
      </c>
      <c r="I144" s="93">
        <v>0</v>
      </c>
      <c r="J144" s="93">
        <v>0</v>
      </c>
      <c r="K144" s="35">
        <v>0</v>
      </c>
      <c r="L144" s="35">
        <v>0</v>
      </c>
      <c r="M144" s="35">
        <v>0</v>
      </c>
      <c r="N144" s="35">
        <v>123500</v>
      </c>
      <c r="O144"/>
      <c r="P144"/>
      <c r="Q144"/>
    </row>
    <row r="145" spans="1:17" ht="60" x14ac:dyDescent="0.3">
      <c r="A145" s="5"/>
      <c r="B145" s="5"/>
      <c r="C145" s="90" t="s">
        <v>1387</v>
      </c>
      <c r="D145" s="87" t="s">
        <v>1388</v>
      </c>
      <c r="E145" s="90" t="s">
        <v>495</v>
      </c>
      <c r="F145" s="92">
        <v>10</v>
      </c>
      <c r="G145" s="94">
        <v>30550</v>
      </c>
      <c r="H145" s="93">
        <v>305500</v>
      </c>
      <c r="I145" s="93">
        <v>0</v>
      </c>
      <c r="J145" s="93">
        <v>0</v>
      </c>
      <c r="K145" s="35">
        <v>0</v>
      </c>
      <c r="L145" s="35">
        <v>0</v>
      </c>
      <c r="M145" s="35">
        <v>0</v>
      </c>
      <c r="N145" s="35">
        <v>305500</v>
      </c>
      <c r="O145"/>
      <c r="P145"/>
      <c r="Q145"/>
    </row>
    <row r="146" spans="1:17" ht="60" x14ac:dyDescent="0.3">
      <c r="A146" s="5"/>
      <c r="B146" s="5"/>
      <c r="C146" s="90" t="s">
        <v>1390</v>
      </c>
      <c r="D146" s="87" t="s">
        <v>1391</v>
      </c>
      <c r="E146" s="90" t="s">
        <v>1370</v>
      </c>
      <c r="F146" s="92">
        <v>2</v>
      </c>
      <c r="G146" s="94">
        <v>29250</v>
      </c>
      <c r="H146" s="93">
        <v>58500</v>
      </c>
      <c r="I146" s="93">
        <v>0</v>
      </c>
      <c r="J146" s="93">
        <v>0</v>
      </c>
      <c r="K146" s="35">
        <v>0</v>
      </c>
      <c r="L146" s="35">
        <v>0</v>
      </c>
      <c r="M146" s="35">
        <v>0</v>
      </c>
      <c r="N146" s="35">
        <v>58500</v>
      </c>
      <c r="O146"/>
      <c r="P146"/>
      <c r="Q146"/>
    </row>
    <row r="147" spans="1:17" ht="36" x14ac:dyDescent="0.3">
      <c r="A147" s="5"/>
      <c r="B147" s="5"/>
      <c r="C147" s="90"/>
      <c r="D147" s="87" t="s">
        <v>1393</v>
      </c>
      <c r="E147" s="90"/>
      <c r="F147" s="92"/>
      <c r="G147" s="94"/>
      <c r="H147" s="93">
        <v>6037121.1200000001</v>
      </c>
      <c r="I147" s="93">
        <v>0</v>
      </c>
      <c r="J147" s="93">
        <v>0</v>
      </c>
      <c r="K147" s="35">
        <v>0</v>
      </c>
      <c r="L147" s="35">
        <v>0</v>
      </c>
      <c r="M147" s="35">
        <v>689838.88</v>
      </c>
      <c r="N147" s="35">
        <v>5347282.24</v>
      </c>
      <c r="O147"/>
      <c r="P147"/>
      <c r="Q147"/>
    </row>
    <row r="148" spans="1:17" ht="36" x14ac:dyDescent="0.3">
      <c r="A148" s="5"/>
      <c r="B148" s="5"/>
      <c r="C148" s="90"/>
      <c r="D148" s="87" t="s">
        <v>1394</v>
      </c>
      <c r="E148" s="90"/>
      <c r="F148" s="92"/>
      <c r="G148" s="94"/>
      <c r="H148" s="93">
        <v>10212885.1</v>
      </c>
      <c r="I148" s="93">
        <v>0</v>
      </c>
      <c r="J148" s="93">
        <v>201558.83</v>
      </c>
      <c r="K148" s="35">
        <v>20838.37</v>
      </c>
      <c r="L148" s="35">
        <v>170449.93</v>
      </c>
      <c r="M148" s="35">
        <v>3188323.55</v>
      </c>
      <c r="N148" s="35">
        <v>6631714.4199999999</v>
      </c>
      <c r="O148"/>
      <c r="P148"/>
      <c r="Q148"/>
    </row>
    <row r="149" spans="1:17" x14ac:dyDescent="0.3">
      <c r="A149" s="5"/>
      <c r="B149" s="5"/>
      <c r="C149" s="90"/>
      <c r="D149" s="87"/>
      <c r="E149" s="90"/>
      <c r="F149" s="92"/>
      <c r="G149" s="94"/>
      <c r="H149" s="93"/>
      <c r="I149" s="93"/>
      <c r="J149" s="93"/>
      <c r="K149" s="93"/>
      <c r="L149" s="93"/>
      <c r="M149" s="93"/>
      <c r="N149" s="93"/>
      <c r="O149" s="93"/>
      <c r="P149" s="93"/>
      <c r="Q149" s="93"/>
    </row>
    <row r="150" spans="1:17" x14ac:dyDescent="0.3">
      <c r="A150" s="5"/>
      <c r="B150" s="5"/>
      <c r="C150" s="90"/>
      <c r="D150" s="87"/>
      <c r="E150" s="90"/>
      <c r="F150" s="92"/>
      <c r="G150" s="94"/>
      <c r="H150" s="93"/>
      <c r="I150" s="93"/>
      <c r="J150" s="93"/>
      <c r="K150" s="93"/>
      <c r="L150" s="93"/>
      <c r="M150" s="93"/>
      <c r="N150" s="93"/>
      <c r="O150" s="93"/>
      <c r="P150" s="93"/>
      <c r="Q150" s="93"/>
    </row>
    <row r="151" spans="1:17" x14ac:dyDescent="0.3">
      <c r="A151" s="5"/>
      <c r="B151" s="5"/>
      <c r="C151" s="90"/>
      <c r="D151" s="87"/>
      <c r="E151" s="90"/>
      <c r="F151" s="92"/>
      <c r="G151" s="94"/>
      <c r="H151" s="93"/>
      <c r="I151" s="93"/>
      <c r="J151" s="93"/>
      <c r="K151" s="93"/>
      <c r="L151" s="93"/>
      <c r="M151" s="93"/>
      <c r="N151" s="93"/>
      <c r="O151" s="93"/>
      <c r="P151" s="93"/>
      <c r="Q151" s="93"/>
    </row>
    <row r="152" spans="1:17" x14ac:dyDescent="0.3">
      <c r="A152" s="5"/>
      <c r="B152" s="5"/>
      <c r="C152" s="90"/>
      <c r="D152" s="87"/>
      <c r="E152" s="90"/>
      <c r="F152" s="92"/>
      <c r="G152" s="94"/>
      <c r="H152" s="93"/>
      <c r="I152" s="93"/>
      <c r="J152" s="93"/>
      <c r="K152" s="93"/>
      <c r="L152" s="93"/>
      <c r="M152" s="93"/>
      <c r="N152" s="93"/>
      <c r="O152" s="93"/>
      <c r="P152" s="93"/>
      <c r="Q152" s="93"/>
    </row>
    <row r="153" spans="1:17" x14ac:dyDescent="0.3">
      <c r="A153" s="5"/>
      <c r="B153" s="5"/>
      <c r="C153" s="90"/>
      <c r="D153" s="87"/>
      <c r="E153" s="90"/>
      <c r="F153" s="92"/>
      <c r="G153" s="94"/>
      <c r="H153" s="93"/>
      <c r="I153" s="93"/>
      <c r="J153" s="93"/>
      <c r="K153" s="93"/>
      <c r="L153" s="93"/>
      <c r="M153" s="93"/>
      <c r="N153" s="93"/>
      <c r="O153" s="93"/>
      <c r="P153" s="93"/>
      <c r="Q153" s="93"/>
    </row>
    <row r="154" spans="1:17" x14ac:dyDescent="0.3">
      <c r="A154" s="5"/>
      <c r="B154" s="5"/>
      <c r="C154" s="90"/>
      <c r="D154" s="87"/>
      <c r="E154" s="90"/>
      <c r="F154" s="92"/>
      <c r="G154" s="94"/>
      <c r="H154" s="93"/>
      <c r="I154" s="93"/>
      <c r="J154" s="93"/>
      <c r="K154" s="93"/>
      <c r="L154" s="93"/>
      <c r="M154" s="93"/>
      <c r="N154" s="93"/>
      <c r="O154" s="93"/>
      <c r="P154" s="93"/>
      <c r="Q154" s="93"/>
    </row>
    <row r="155" spans="1:17" x14ac:dyDescent="0.3">
      <c r="A155" s="5"/>
      <c r="B155" s="5"/>
      <c r="C155" s="90"/>
      <c r="D155" s="87"/>
      <c r="E155" s="90"/>
      <c r="F155" s="92"/>
      <c r="G155" s="94"/>
      <c r="H155" s="93"/>
      <c r="I155" s="93"/>
      <c r="J155" s="93"/>
      <c r="K155" s="93"/>
      <c r="L155" s="93"/>
      <c r="M155" s="93"/>
      <c r="N155" s="93"/>
      <c r="O155" s="93"/>
      <c r="P155" s="93"/>
      <c r="Q155" s="93"/>
    </row>
    <row r="156" spans="1:17" x14ac:dyDescent="0.3">
      <c r="A156" s="5"/>
      <c r="B156" s="5"/>
      <c r="C156" s="90"/>
      <c r="D156" s="87"/>
      <c r="E156" s="90"/>
      <c r="F156" s="92"/>
      <c r="G156" s="94"/>
      <c r="H156" s="93"/>
      <c r="I156" s="93"/>
      <c r="J156" s="93"/>
      <c r="K156" s="93"/>
      <c r="L156" s="93"/>
      <c r="M156" s="93"/>
      <c r="N156" s="93"/>
      <c r="O156" s="93"/>
      <c r="P156" s="93"/>
      <c r="Q156" s="93"/>
    </row>
    <row r="157" spans="1:17" x14ac:dyDescent="0.3">
      <c r="A157" s="5"/>
      <c r="B157" s="5"/>
      <c r="C157" s="90"/>
      <c r="D157" s="87"/>
      <c r="E157" s="90"/>
      <c r="F157" s="92"/>
      <c r="G157" s="94"/>
      <c r="H157" s="93"/>
      <c r="I157" s="93"/>
      <c r="J157" s="93"/>
      <c r="K157" s="93"/>
      <c r="L157" s="93"/>
      <c r="M157" s="93"/>
      <c r="N157" s="93"/>
      <c r="O157" s="93"/>
      <c r="P157" s="93"/>
      <c r="Q157" s="93"/>
    </row>
    <row r="158" spans="1:17" x14ac:dyDescent="0.3">
      <c r="A158" s="5"/>
      <c r="B158" s="5"/>
      <c r="C158" s="90"/>
      <c r="D158" s="87"/>
      <c r="E158" s="90"/>
      <c r="F158" s="92"/>
      <c r="G158" s="94"/>
      <c r="H158" s="93"/>
      <c r="I158" s="93"/>
      <c r="J158" s="93"/>
      <c r="K158" s="93"/>
      <c r="L158" s="93"/>
      <c r="M158" s="93"/>
      <c r="N158" s="93"/>
      <c r="O158" s="93"/>
      <c r="P158" s="93"/>
      <c r="Q158" s="93"/>
    </row>
    <row r="159" spans="1:17" x14ac:dyDescent="0.3">
      <c r="A159" s="5"/>
      <c r="B159" s="5"/>
      <c r="C159" s="90"/>
      <c r="D159" s="87"/>
      <c r="E159" s="90"/>
      <c r="F159" s="92"/>
      <c r="G159" s="94"/>
      <c r="H159" s="93"/>
      <c r="I159" s="93"/>
      <c r="J159" s="93"/>
      <c r="K159" s="93"/>
      <c r="L159" s="93"/>
      <c r="M159" s="93"/>
      <c r="N159" s="93"/>
      <c r="O159" s="93"/>
      <c r="P159" s="93"/>
      <c r="Q159" s="93"/>
    </row>
    <row r="160" spans="1:17" x14ac:dyDescent="0.3">
      <c r="A160" s="5"/>
      <c r="B160" s="5"/>
      <c r="C160" s="90"/>
      <c r="D160" s="87"/>
      <c r="E160" s="90"/>
      <c r="F160" s="92"/>
      <c r="G160" s="94"/>
      <c r="H160" s="93"/>
      <c r="I160" s="93"/>
      <c r="J160" s="93"/>
      <c r="K160" s="93"/>
      <c r="L160" s="93"/>
      <c r="M160" s="93"/>
      <c r="N160" s="93"/>
      <c r="O160" s="93"/>
      <c r="P160" s="93"/>
      <c r="Q160" s="93"/>
    </row>
    <row r="161" spans="1:17" x14ac:dyDescent="0.3">
      <c r="A161" s="5"/>
      <c r="B161" s="5"/>
      <c r="C161" s="90"/>
      <c r="D161" s="87"/>
      <c r="E161" s="90"/>
      <c r="F161" s="92"/>
      <c r="G161" s="94"/>
      <c r="H161" s="93"/>
      <c r="I161" s="93"/>
      <c r="J161" s="93"/>
      <c r="K161" s="93"/>
      <c r="L161" s="93"/>
      <c r="M161" s="93"/>
      <c r="N161" s="93"/>
      <c r="O161" s="93"/>
      <c r="P161" s="93"/>
      <c r="Q161" s="93"/>
    </row>
    <row r="162" spans="1:17" x14ac:dyDescent="0.3">
      <c r="A162" s="5"/>
      <c r="B162" s="5"/>
      <c r="C162" s="90"/>
      <c r="D162" s="87"/>
      <c r="E162" s="90"/>
      <c r="F162" s="92"/>
      <c r="G162" s="94"/>
      <c r="H162" s="93"/>
      <c r="I162" s="93"/>
      <c r="J162" s="93"/>
      <c r="K162" s="93"/>
      <c r="L162" s="93"/>
      <c r="M162" s="93"/>
      <c r="N162" s="93"/>
      <c r="O162" s="93"/>
      <c r="P162" s="93"/>
      <c r="Q162" s="93"/>
    </row>
    <row r="163" spans="1:17" x14ac:dyDescent="0.3">
      <c r="A163" s="5"/>
      <c r="B163" s="5"/>
      <c r="C163" s="90"/>
      <c r="D163" s="87"/>
      <c r="E163" s="90"/>
      <c r="F163" s="92"/>
      <c r="G163" s="94"/>
      <c r="H163" s="93"/>
      <c r="I163" s="93"/>
      <c r="J163" s="93"/>
      <c r="K163" s="93"/>
      <c r="L163" s="93"/>
      <c r="M163" s="93"/>
      <c r="N163" s="93"/>
      <c r="O163" s="93"/>
      <c r="P163" s="93"/>
      <c r="Q163" s="93"/>
    </row>
    <row r="164" spans="1:17" x14ac:dyDescent="0.3">
      <c r="A164" s="5"/>
      <c r="B164" s="5"/>
      <c r="C164" s="90"/>
      <c r="D164" s="87"/>
      <c r="E164" s="90"/>
      <c r="F164" s="92"/>
      <c r="G164" s="94"/>
      <c r="H164" s="93"/>
      <c r="I164" s="93"/>
      <c r="J164" s="93"/>
      <c r="K164" s="93"/>
      <c r="L164" s="93"/>
      <c r="M164" s="93"/>
      <c r="N164" s="93"/>
      <c r="O164" s="93"/>
      <c r="P164" s="93"/>
      <c r="Q164" s="93"/>
    </row>
    <row r="165" spans="1:17" x14ac:dyDescent="0.3">
      <c r="A165" s="5"/>
      <c r="B165" s="5"/>
      <c r="C165" s="90"/>
      <c r="D165" s="87"/>
      <c r="E165" s="90"/>
      <c r="F165" s="92"/>
      <c r="G165" s="94"/>
      <c r="H165" s="93"/>
      <c r="I165" s="93"/>
      <c r="J165" s="93"/>
      <c r="K165" s="93"/>
      <c r="L165" s="93"/>
      <c r="M165" s="93"/>
      <c r="N165" s="93"/>
      <c r="O165" s="93"/>
      <c r="P165" s="93"/>
      <c r="Q165" s="93"/>
    </row>
    <row r="166" spans="1:17" x14ac:dyDescent="0.3">
      <c r="A166" s="5"/>
      <c r="B166" s="5"/>
      <c r="C166" s="90"/>
      <c r="D166" s="87"/>
      <c r="E166" s="90"/>
      <c r="F166" s="92"/>
      <c r="G166" s="94"/>
      <c r="H166" s="93"/>
      <c r="I166" s="93"/>
      <c r="J166" s="93"/>
      <c r="K166" s="93"/>
      <c r="L166" s="93"/>
      <c r="M166" s="93"/>
      <c r="N166" s="93"/>
      <c r="O166" s="93"/>
      <c r="P166" s="93"/>
      <c r="Q166" s="93"/>
    </row>
    <row r="167" spans="1:17" x14ac:dyDescent="0.3">
      <c r="A167" s="5"/>
      <c r="B167" s="5"/>
      <c r="C167" s="90"/>
      <c r="D167" s="87"/>
      <c r="E167" s="90"/>
      <c r="F167" s="92"/>
      <c r="G167" s="94"/>
      <c r="H167" s="93"/>
      <c r="I167" s="93"/>
      <c r="J167" s="93"/>
      <c r="K167" s="93"/>
      <c r="L167" s="93"/>
      <c r="M167" s="93"/>
      <c r="N167" s="93"/>
      <c r="O167" s="93"/>
      <c r="P167" s="93"/>
      <c r="Q167" s="93"/>
    </row>
    <row r="168" spans="1:17" x14ac:dyDescent="0.3">
      <c r="A168" s="5"/>
      <c r="B168" s="5"/>
      <c r="C168" s="90"/>
      <c r="D168" s="87"/>
      <c r="E168" s="90"/>
      <c r="F168" s="92"/>
      <c r="G168" s="94"/>
      <c r="H168" s="93"/>
      <c r="I168" s="93"/>
      <c r="J168" s="93"/>
      <c r="K168" s="93"/>
      <c r="L168" s="93"/>
      <c r="M168" s="93"/>
      <c r="N168" s="93"/>
      <c r="O168" s="93"/>
      <c r="P168" s="93"/>
      <c r="Q168" s="93"/>
    </row>
    <row r="169" spans="1:17" x14ac:dyDescent="0.3">
      <c r="A169" s="5"/>
      <c r="B169" s="5"/>
      <c r="C169" s="90"/>
      <c r="D169" s="87"/>
      <c r="E169" s="90"/>
      <c r="F169" s="92"/>
      <c r="G169" s="94"/>
      <c r="H169" s="93"/>
      <c r="I169" s="93"/>
      <c r="J169" s="93"/>
      <c r="K169" s="93"/>
      <c r="L169" s="93"/>
      <c r="M169" s="93"/>
      <c r="N169" s="93"/>
      <c r="O169" s="93"/>
      <c r="P169" s="93"/>
      <c r="Q169" s="93"/>
    </row>
    <row r="170" spans="1:17" x14ac:dyDescent="0.3">
      <c r="A170" s="5"/>
      <c r="B170" s="5"/>
      <c r="C170" s="90"/>
      <c r="D170" s="87"/>
      <c r="E170" s="90"/>
      <c r="F170" s="92"/>
      <c r="G170" s="94"/>
      <c r="H170" s="93"/>
      <c r="I170" s="93"/>
      <c r="J170" s="93"/>
      <c r="K170" s="93"/>
      <c r="L170" s="93"/>
      <c r="M170" s="93"/>
      <c r="N170" s="93"/>
      <c r="O170" s="93"/>
      <c r="P170" s="93"/>
      <c r="Q170" s="93"/>
    </row>
    <row r="171" spans="1:17" x14ac:dyDescent="0.3">
      <c r="A171" s="5"/>
      <c r="B171" s="5"/>
      <c r="C171" s="90"/>
      <c r="D171" s="87"/>
      <c r="E171" s="90"/>
      <c r="F171" s="92"/>
      <c r="G171" s="94"/>
      <c r="H171" s="93"/>
      <c r="I171" s="93"/>
      <c r="J171" s="93"/>
      <c r="K171" s="93"/>
      <c r="L171" s="93"/>
      <c r="M171" s="93"/>
      <c r="N171" s="93"/>
      <c r="O171" s="93"/>
      <c r="P171" s="93"/>
      <c r="Q171" s="93"/>
    </row>
    <row r="172" spans="1:17" x14ac:dyDescent="0.3">
      <c r="A172" s="5"/>
      <c r="B172" s="5"/>
      <c r="C172" s="90"/>
      <c r="D172" s="87"/>
      <c r="E172" s="90"/>
      <c r="F172" s="92"/>
      <c r="G172" s="94"/>
      <c r="H172" s="93"/>
      <c r="I172" s="93"/>
      <c r="J172" s="93"/>
      <c r="K172" s="93"/>
      <c r="L172" s="93"/>
      <c r="M172" s="93"/>
      <c r="N172" s="93"/>
      <c r="O172" s="93"/>
      <c r="P172" s="93"/>
      <c r="Q172" s="93"/>
    </row>
    <row r="173" spans="1:17" x14ac:dyDescent="0.3">
      <c r="A173" s="5"/>
      <c r="B173" s="5"/>
      <c r="C173" s="90"/>
      <c r="D173" s="87"/>
      <c r="E173" s="90"/>
      <c r="F173" s="92"/>
      <c r="G173" s="94"/>
      <c r="H173" s="93"/>
      <c r="I173" s="93"/>
      <c r="J173" s="93"/>
      <c r="K173" s="93"/>
      <c r="L173" s="93"/>
      <c r="M173" s="93"/>
      <c r="N173" s="93"/>
      <c r="O173" s="93"/>
      <c r="P173" s="93"/>
      <c r="Q173" s="93"/>
    </row>
    <row r="174" spans="1:17" x14ac:dyDescent="0.3">
      <c r="A174" s="5"/>
      <c r="B174" s="5"/>
      <c r="C174" s="90"/>
      <c r="D174" s="87"/>
      <c r="E174" s="90"/>
      <c r="F174" s="92"/>
      <c r="G174" s="94"/>
      <c r="H174" s="93"/>
      <c r="I174" s="93"/>
      <c r="J174" s="93"/>
      <c r="K174" s="93"/>
      <c r="L174" s="93"/>
      <c r="M174" s="93"/>
      <c r="N174" s="93"/>
      <c r="O174" s="93"/>
      <c r="P174" s="93"/>
      <c r="Q174" s="93"/>
    </row>
    <row r="175" spans="1:17" x14ac:dyDescent="0.3">
      <c r="A175" s="5"/>
      <c r="B175" s="5"/>
      <c r="C175" s="90"/>
      <c r="D175" s="87"/>
      <c r="E175" s="90"/>
      <c r="F175" s="92"/>
      <c r="G175" s="94"/>
      <c r="H175" s="93"/>
      <c r="I175" s="93"/>
      <c r="J175" s="93"/>
      <c r="K175" s="93"/>
      <c r="L175" s="93"/>
      <c r="M175" s="93"/>
      <c r="N175" s="93"/>
      <c r="O175" s="93"/>
      <c r="P175" s="93"/>
      <c r="Q175" s="93"/>
    </row>
    <row r="176" spans="1:17" x14ac:dyDescent="0.3">
      <c r="A176" s="5"/>
      <c r="B176" s="5"/>
      <c r="C176" s="90"/>
      <c r="D176" s="87"/>
      <c r="E176" s="90"/>
      <c r="F176" s="92"/>
      <c r="G176" s="94"/>
      <c r="H176" s="93"/>
      <c r="I176" s="93"/>
      <c r="J176" s="93"/>
      <c r="K176" s="93"/>
      <c r="L176" s="93"/>
      <c r="M176" s="93"/>
      <c r="N176" s="93"/>
      <c r="O176" s="93"/>
      <c r="P176" s="93"/>
      <c r="Q176" s="93"/>
    </row>
    <row r="177" spans="1:17" x14ac:dyDescent="0.3">
      <c r="A177" s="29"/>
      <c r="B177" s="29"/>
      <c r="C177" s="90"/>
      <c r="D177" s="87"/>
      <c r="E177" s="90"/>
      <c r="F177" s="92"/>
      <c r="G177" s="94"/>
      <c r="H177" s="93"/>
      <c r="I177" s="93"/>
      <c r="J177" s="93"/>
      <c r="K177" s="93"/>
      <c r="L177" s="93"/>
      <c r="M177" s="93"/>
      <c r="N177" s="93"/>
      <c r="O177" s="93"/>
      <c r="P177" s="93"/>
      <c r="Q177" s="93"/>
    </row>
    <row r="178" spans="1:17" x14ac:dyDescent="0.3">
      <c r="A178" s="90"/>
      <c r="B178" s="90"/>
      <c r="C178" s="90"/>
      <c r="D178" s="87"/>
      <c r="E178" s="90"/>
      <c r="F178" s="92"/>
      <c r="G178" s="94"/>
      <c r="H178" s="93"/>
      <c r="I178" s="93"/>
      <c r="J178" s="93"/>
      <c r="K178" s="93"/>
      <c r="L178" s="93"/>
      <c r="M178" s="93"/>
      <c r="N178" s="93"/>
      <c r="O178" s="93"/>
      <c r="P178" s="93"/>
      <c r="Q178" s="93"/>
    </row>
    <row r="179" spans="1:17" x14ac:dyDescent="0.3">
      <c r="A179" s="90"/>
      <c r="B179" s="90"/>
      <c r="C179" s="90"/>
      <c r="D179" s="87"/>
      <c r="E179" s="90"/>
      <c r="F179" s="92"/>
      <c r="G179" s="94"/>
      <c r="H179" s="93"/>
      <c r="I179" s="93"/>
      <c r="J179" s="93"/>
      <c r="K179" s="93"/>
      <c r="L179" s="93"/>
      <c r="M179" s="93"/>
      <c r="N179" s="93"/>
      <c r="O179" s="93"/>
      <c r="P179" s="93"/>
      <c r="Q179" s="93"/>
    </row>
    <row r="180" spans="1:17" x14ac:dyDescent="0.3">
      <c r="A180" s="36"/>
      <c r="B180" s="36"/>
      <c r="C180" s="90"/>
      <c r="D180" s="87"/>
      <c r="E180" s="90"/>
      <c r="F180" s="92"/>
      <c r="G180" s="94"/>
      <c r="H180" s="93"/>
      <c r="I180" s="93"/>
      <c r="J180" s="93"/>
      <c r="K180" s="93"/>
      <c r="L180" s="93"/>
      <c r="M180" s="93"/>
      <c r="N180" s="93"/>
      <c r="O180" s="93"/>
      <c r="P180" s="93"/>
      <c r="Q180" s="93"/>
    </row>
    <row r="181" spans="1:17" x14ac:dyDescent="0.3">
      <c r="A181" s="90"/>
      <c r="B181" s="90"/>
      <c r="C181" s="90"/>
      <c r="D181" s="87"/>
      <c r="E181" s="90"/>
      <c r="F181" s="92"/>
      <c r="G181" s="94"/>
      <c r="H181" s="93"/>
      <c r="I181" s="93"/>
      <c r="J181" s="93"/>
      <c r="K181" s="93"/>
      <c r="L181" s="93"/>
      <c r="M181" s="93"/>
      <c r="N181" s="93"/>
      <c r="O181" s="93"/>
      <c r="P181" s="93"/>
      <c r="Q181" s="93"/>
    </row>
    <row r="182" spans="1:17" x14ac:dyDescent="0.3">
      <c r="A182" s="90"/>
      <c r="B182" s="90"/>
      <c r="C182" s="90"/>
      <c r="D182" s="87"/>
      <c r="E182" s="90"/>
      <c r="F182" s="92"/>
      <c r="G182" s="94"/>
      <c r="H182" s="93"/>
      <c r="I182" s="93"/>
      <c r="J182" s="93"/>
      <c r="K182" s="93"/>
      <c r="L182" s="93"/>
      <c r="M182" s="93"/>
      <c r="N182" s="93"/>
      <c r="O182" s="93"/>
      <c r="P182" s="93"/>
      <c r="Q182" s="93"/>
    </row>
    <row r="183" spans="1:17" x14ac:dyDescent="0.3">
      <c r="A183" s="90"/>
      <c r="B183" s="90"/>
      <c r="C183" s="90"/>
      <c r="D183" s="87"/>
      <c r="E183" s="90"/>
      <c r="F183" s="92"/>
      <c r="G183" s="94"/>
      <c r="H183" s="93"/>
      <c r="I183" s="93"/>
      <c r="J183" s="93"/>
      <c r="K183" s="93"/>
      <c r="L183" s="93"/>
      <c r="M183" s="93"/>
      <c r="N183" s="93"/>
      <c r="O183" s="93"/>
      <c r="P183" s="93"/>
      <c r="Q183" s="93"/>
    </row>
    <row r="184" spans="1:17" x14ac:dyDescent="0.3">
      <c r="A184" s="90"/>
      <c r="B184" s="90"/>
      <c r="C184" s="90"/>
      <c r="D184" s="87"/>
      <c r="E184" s="90"/>
      <c r="F184" s="92"/>
      <c r="G184" s="94"/>
      <c r="H184" s="93"/>
      <c r="I184" s="93"/>
      <c r="J184" s="93"/>
      <c r="K184" s="93"/>
      <c r="L184" s="93"/>
      <c r="M184" s="93"/>
      <c r="N184" s="93"/>
      <c r="O184" s="93"/>
      <c r="P184" s="93"/>
      <c r="Q184" s="93"/>
    </row>
    <row r="185" spans="1:17" x14ac:dyDescent="0.3">
      <c r="A185" s="90"/>
      <c r="B185" s="90"/>
      <c r="C185" s="90"/>
      <c r="D185" s="87"/>
      <c r="E185" s="90"/>
      <c r="F185" s="92"/>
      <c r="G185" s="94"/>
      <c r="H185" s="93"/>
      <c r="I185" s="93"/>
      <c r="J185" s="93"/>
      <c r="K185" s="93"/>
      <c r="L185" s="93"/>
      <c r="M185" s="93"/>
      <c r="N185" s="93"/>
      <c r="O185" s="93"/>
      <c r="P185" s="93"/>
      <c r="Q185" s="93"/>
    </row>
    <row r="186" spans="1:17" x14ac:dyDescent="0.3">
      <c r="A186" s="36"/>
      <c r="B186" s="36"/>
      <c r="C186" s="90"/>
      <c r="D186" s="87"/>
      <c r="E186" s="90"/>
      <c r="F186" s="92"/>
      <c r="G186" s="94"/>
      <c r="H186" s="93"/>
      <c r="I186" s="93"/>
      <c r="J186" s="93"/>
      <c r="K186" s="93"/>
      <c r="L186" s="93"/>
      <c r="M186" s="93"/>
      <c r="N186" s="93"/>
      <c r="O186" s="93"/>
      <c r="P186" s="93"/>
      <c r="Q186" s="93"/>
    </row>
    <row r="187" spans="1:17" x14ac:dyDescent="0.3">
      <c r="A187" s="90"/>
      <c r="B187" s="90"/>
      <c r="C187" s="90"/>
      <c r="D187" s="87"/>
      <c r="E187" s="90"/>
      <c r="F187" s="92"/>
      <c r="G187" s="94"/>
      <c r="H187" s="93"/>
      <c r="I187" s="93"/>
      <c r="J187" s="93"/>
      <c r="K187" s="93"/>
      <c r="L187" s="93"/>
      <c r="M187" s="93"/>
      <c r="N187" s="93"/>
      <c r="O187" s="93"/>
      <c r="P187" s="93"/>
      <c r="Q187" s="93"/>
    </row>
    <row r="188" spans="1:17" x14ac:dyDescent="0.3">
      <c r="A188" s="90"/>
      <c r="B188" s="90"/>
      <c r="C188" s="90"/>
      <c r="D188" s="87"/>
      <c r="E188" s="90"/>
      <c r="F188" s="92"/>
      <c r="G188" s="94"/>
      <c r="H188" s="93"/>
      <c r="I188" s="93"/>
      <c r="J188" s="93"/>
      <c r="K188" s="93"/>
      <c r="L188" s="93"/>
      <c r="M188" s="93"/>
      <c r="N188" s="93"/>
      <c r="O188" s="93"/>
      <c r="P188" s="93"/>
      <c r="Q188" s="93"/>
    </row>
    <row r="189" spans="1:17" x14ac:dyDescent="0.3">
      <c r="A189" s="90"/>
      <c r="B189" s="90"/>
      <c r="C189" s="90"/>
      <c r="D189" s="87"/>
      <c r="E189" s="90"/>
      <c r="F189" s="92"/>
      <c r="G189" s="94"/>
      <c r="H189" s="93"/>
      <c r="I189" s="93"/>
      <c r="J189" s="93"/>
      <c r="K189" s="93"/>
      <c r="L189" s="93"/>
      <c r="M189" s="93"/>
      <c r="N189" s="93"/>
      <c r="O189" s="93"/>
      <c r="P189" s="93"/>
      <c r="Q189" s="93"/>
    </row>
    <row r="190" spans="1:17" x14ac:dyDescent="0.3">
      <c r="A190" s="36"/>
      <c r="B190" s="36"/>
      <c r="C190" s="90"/>
      <c r="D190" s="87"/>
      <c r="E190" s="90"/>
      <c r="F190" s="92"/>
      <c r="G190" s="94"/>
      <c r="H190" s="93"/>
      <c r="I190" s="93"/>
      <c r="J190" s="93"/>
      <c r="K190" s="93"/>
      <c r="L190" s="93"/>
      <c r="M190" s="93"/>
      <c r="N190" s="93"/>
      <c r="O190" s="93"/>
      <c r="P190" s="93"/>
      <c r="Q190" s="93"/>
    </row>
    <row r="191" spans="1:17" x14ac:dyDescent="0.3">
      <c r="A191" s="36"/>
      <c r="B191" s="36"/>
      <c r="C191" s="90"/>
      <c r="D191" s="87"/>
      <c r="E191" s="90"/>
      <c r="F191" s="92"/>
      <c r="G191" s="94"/>
      <c r="H191" s="93"/>
      <c r="I191" s="93"/>
      <c r="J191" s="93"/>
      <c r="K191" s="93"/>
      <c r="L191" s="93"/>
      <c r="M191" s="93"/>
      <c r="N191" s="93"/>
      <c r="O191" s="93"/>
      <c r="P191" s="93"/>
      <c r="Q191" s="93"/>
    </row>
    <row r="192" spans="1:17" x14ac:dyDescent="0.3">
      <c r="A192" s="90"/>
      <c r="B192" s="90"/>
      <c r="C192" s="90"/>
      <c r="D192" s="87"/>
      <c r="E192" s="90"/>
      <c r="F192" s="92"/>
      <c r="G192" s="94"/>
      <c r="H192" s="93"/>
      <c r="I192" s="93"/>
      <c r="J192" s="93"/>
      <c r="K192" s="93"/>
      <c r="L192" s="93"/>
      <c r="M192" s="93"/>
      <c r="N192" s="93"/>
      <c r="O192" s="93"/>
      <c r="P192" s="93"/>
      <c r="Q192" s="93"/>
    </row>
    <row r="193" spans="1:17" x14ac:dyDescent="0.3">
      <c r="A193" s="90"/>
      <c r="B193" s="90"/>
      <c r="C193" s="90"/>
      <c r="D193" s="87"/>
      <c r="E193" s="90"/>
      <c r="F193" s="92"/>
      <c r="G193" s="94"/>
      <c r="H193" s="93"/>
      <c r="I193" s="93"/>
      <c r="J193" s="93"/>
      <c r="K193" s="93"/>
      <c r="L193" s="93"/>
      <c r="M193" s="93"/>
      <c r="N193" s="93"/>
      <c r="O193" s="93"/>
      <c r="P193" s="93"/>
      <c r="Q193" s="93"/>
    </row>
    <row r="194" spans="1:17" x14ac:dyDescent="0.3">
      <c r="A194" s="90"/>
      <c r="B194" s="90"/>
      <c r="C194" s="90"/>
      <c r="D194" s="87"/>
      <c r="E194" s="90"/>
      <c r="F194" s="92"/>
      <c r="G194" s="94"/>
      <c r="H194" s="93"/>
      <c r="I194" s="93"/>
      <c r="J194" s="93"/>
      <c r="K194" s="93"/>
      <c r="L194" s="93"/>
      <c r="M194" s="93"/>
      <c r="N194" s="93"/>
      <c r="O194" s="93"/>
      <c r="P194" s="93"/>
      <c r="Q194" s="93"/>
    </row>
    <row r="195" spans="1:17" x14ac:dyDescent="0.3">
      <c r="A195" s="36"/>
      <c r="B195" s="36"/>
      <c r="C195" s="90"/>
      <c r="D195" s="87"/>
      <c r="E195" s="90"/>
      <c r="F195" s="92"/>
      <c r="G195" s="94"/>
      <c r="H195" s="93"/>
      <c r="I195" s="93"/>
      <c r="J195" s="93"/>
      <c r="K195" s="93"/>
      <c r="L195" s="93"/>
      <c r="M195" s="93"/>
      <c r="N195" s="93"/>
      <c r="O195" s="93"/>
      <c r="P195" s="93"/>
      <c r="Q195" s="93"/>
    </row>
    <row r="196" spans="1:17" x14ac:dyDescent="0.3">
      <c r="A196" s="36"/>
      <c r="B196" s="36"/>
      <c r="C196" s="90"/>
      <c r="D196" s="87"/>
      <c r="E196" s="90"/>
      <c r="F196" s="92"/>
      <c r="G196" s="94"/>
      <c r="H196" s="93"/>
      <c r="I196" s="93"/>
      <c r="J196" s="93"/>
      <c r="K196" s="93"/>
      <c r="L196" s="93"/>
      <c r="M196" s="93"/>
      <c r="N196" s="93"/>
      <c r="O196" s="93"/>
      <c r="P196" s="93"/>
      <c r="Q196" s="93"/>
    </row>
    <row r="197" spans="1:17" x14ac:dyDescent="0.3">
      <c r="A197" s="90"/>
      <c r="B197" s="90"/>
      <c r="C197" s="90"/>
      <c r="D197" s="87"/>
      <c r="E197" s="90"/>
      <c r="F197" s="92"/>
      <c r="G197" s="94"/>
      <c r="H197" s="93"/>
      <c r="I197" s="93"/>
      <c r="J197" s="93"/>
      <c r="K197" s="93"/>
      <c r="L197" s="93"/>
      <c r="M197" s="93"/>
      <c r="N197" s="93"/>
      <c r="O197" s="93"/>
      <c r="P197" s="93"/>
      <c r="Q197" s="93"/>
    </row>
    <row r="198" spans="1:17" x14ac:dyDescent="0.3">
      <c r="A198" s="90"/>
      <c r="B198" s="90"/>
      <c r="C198" s="90"/>
      <c r="D198" s="87"/>
      <c r="E198" s="90"/>
      <c r="F198" s="92"/>
      <c r="G198" s="94"/>
      <c r="H198" s="93"/>
      <c r="I198" s="93"/>
      <c r="J198" s="93"/>
      <c r="K198" s="93"/>
      <c r="L198" s="93"/>
      <c r="M198" s="93"/>
      <c r="N198" s="93"/>
      <c r="O198" s="93"/>
      <c r="P198" s="93"/>
      <c r="Q198" s="93"/>
    </row>
    <row r="199" spans="1:17" x14ac:dyDescent="0.3">
      <c r="A199" s="90"/>
      <c r="B199" s="90"/>
      <c r="C199" s="90"/>
      <c r="D199" s="87"/>
      <c r="E199" s="90"/>
      <c r="F199" s="92"/>
      <c r="G199" s="94"/>
      <c r="H199" s="93"/>
      <c r="I199" s="93"/>
      <c r="J199" s="93"/>
      <c r="K199" s="93"/>
      <c r="L199" s="93"/>
      <c r="M199" s="93"/>
      <c r="N199" s="93"/>
      <c r="O199" s="93"/>
      <c r="P199" s="93"/>
      <c r="Q199" s="93"/>
    </row>
    <row r="200" spans="1:17" x14ac:dyDescent="0.3">
      <c r="A200" s="90"/>
      <c r="B200" s="90"/>
      <c r="C200" s="90"/>
      <c r="D200" s="87"/>
      <c r="E200" s="90"/>
      <c r="F200" s="92"/>
      <c r="G200" s="94"/>
      <c r="H200" s="93"/>
      <c r="I200" s="93"/>
      <c r="J200" s="93"/>
      <c r="K200" s="93"/>
      <c r="L200" s="93"/>
      <c r="M200" s="93"/>
      <c r="N200" s="93"/>
      <c r="O200" s="93"/>
      <c r="P200" s="93"/>
      <c r="Q200" s="93"/>
    </row>
    <row r="201" spans="1:17" x14ac:dyDescent="0.3">
      <c r="A201" s="90"/>
      <c r="B201" s="90"/>
      <c r="C201" s="90"/>
      <c r="D201" s="87"/>
      <c r="E201" s="90"/>
      <c r="F201" s="92"/>
      <c r="G201" s="94"/>
      <c r="H201" s="93"/>
      <c r="I201" s="93"/>
      <c r="J201" s="93"/>
      <c r="K201" s="93"/>
      <c r="L201" s="93"/>
      <c r="M201" s="93"/>
      <c r="N201" s="93"/>
      <c r="O201" s="93"/>
      <c r="P201" s="93"/>
      <c r="Q201" s="93"/>
    </row>
    <row r="202" spans="1:17" x14ac:dyDescent="0.3">
      <c r="A202" s="90"/>
      <c r="B202" s="90"/>
      <c r="C202" s="90"/>
      <c r="D202" s="87"/>
      <c r="E202" s="90"/>
      <c r="F202" s="92"/>
      <c r="G202" s="94"/>
      <c r="H202" s="93"/>
      <c r="I202" s="93"/>
      <c r="J202" s="93"/>
      <c r="K202" s="93"/>
      <c r="L202" s="93"/>
      <c r="M202" s="93"/>
      <c r="N202" s="93"/>
      <c r="O202" s="93"/>
      <c r="P202" s="93"/>
      <c r="Q202" s="93"/>
    </row>
    <row r="203" spans="1:17" x14ac:dyDescent="0.3">
      <c r="A203" s="90"/>
      <c r="B203" s="90"/>
      <c r="C203" s="90"/>
      <c r="D203" s="87"/>
      <c r="E203" s="90"/>
      <c r="F203" s="92"/>
      <c r="G203" s="94"/>
      <c r="H203" s="93"/>
      <c r="I203" s="93"/>
      <c r="J203" s="93"/>
      <c r="K203" s="93"/>
      <c r="L203" s="93"/>
      <c r="M203" s="93"/>
      <c r="N203" s="93"/>
      <c r="O203" s="93"/>
      <c r="P203" s="93"/>
      <c r="Q203" s="93"/>
    </row>
    <row r="204" spans="1:17" x14ac:dyDescent="0.3">
      <c r="A204" s="37"/>
      <c r="B204" s="37"/>
      <c r="C204" s="90"/>
      <c r="D204" s="87"/>
      <c r="E204" s="90"/>
      <c r="F204" s="92"/>
      <c r="G204" s="94"/>
      <c r="H204" s="93"/>
      <c r="I204" s="93"/>
      <c r="J204" s="93"/>
      <c r="K204" s="93"/>
      <c r="L204" s="93"/>
      <c r="M204" s="93"/>
      <c r="N204" s="93"/>
      <c r="O204" s="93"/>
      <c r="P204" s="93"/>
      <c r="Q204" s="93"/>
    </row>
    <row r="205" spans="1:17" x14ac:dyDescent="0.3">
      <c r="A205" s="90"/>
      <c r="B205" s="90"/>
      <c r="C205" s="90"/>
      <c r="D205" s="87"/>
      <c r="E205" s="90"/>
      <c r="F205" s="92"/>
      <c r="G205" s="94"/>
      <c r="H205" s="93"/>
      <c r="I205" s="93"/>
      <c r="J205" s="93"/>
      <c r="K205" s="93"/>
      <c r="L205" s="93"/>
      <c r="M205" s="93"/>
      <c r="N205" s="93"/>
      <c r="O205" s="93"/>
      <c r="P205" s="93"/>
      <c r="Q205" s="93"/>
    </row>
    <row r="206" spans="1:17" x14ac:dyDescent="0.3">
      <c r="A206" s="90"/>
      <c r="B206" s="90"/>
      <c r="C206" s="90"/>
      <c r="D206" s="87"/>
      <c r="E206" s="90"/>
      <c r="F206" s="92"/>
      <c r="G206" s="94"/>
      <c r="H206" s="93"/>
      <c r="I206" s="93"/>
      <c r="J206" s="93"/>
      <c r="K206" s="93"/>
      <c r="L206" s="93"/>
      <c r="M206" s="93"/>
      <c r="N206" s="93"/>
      <c r="O206" s="93"/>
      <c r="P206" s="93"/>
      <c r="Q206" s="93"/>
    </row>
    <row r="207" spans="1:17" x14ac:dyDescent="0.3">
      <c r="A207" s="90"/>
      <c r="B207" s="90"/>
      <c r="C207" s="90"/>
      <c r="D207" s="87"/>
      <c r="E207" s="90"/>
      <c r="F207" s="92"/>
      <c r="G207" s="94"/>
      <c r="H207" s="93"/>
      <c r="I207" s="93"/>
      <c r="J207" s="93"/>
      <c r="K207" s="93"/>
      <c r="L207" s="93"/>
      <c r="M207" s="93"/>
      <c r="N207" s="93"/>
      <c r="O207" s="93"/>
      <c r="P207" s="93"/>
      <c r="Q207" s="93"/>
    </row>
    <row r="208" spans="1:17" x14ac:dyDescent="0.3">
      <c r="A208" s="90"/>
      <c r="B208" s="90"/>
      <c r="C208" s="90"/>
      <c r="D208" s="87"/>
      <c r="E208" s="90"/>
      <c r="F208" s="92"/>
      <c r="G208" s="94"/>
      <c r="H208" s="93"/>
      <c r="I208" s="93"/>
      <c r="J208" s="93"/>
      <c r="K208" s="93"/>
      <c r="L208" s="93"/>
      <c r="M208" s="93"/>
      <c r="N208" s="93"/>
      <c r="O208" s="93"/>
      <c r="P208" s="93"/>
      <c r="Q208" s="93"/>
    </row>
    <row r="209" spans="6:17" x14ac:dyDescent="0.3">
      <c r="F209" s="92"/>
      <c r="G209" s="94"/>
      <c r="H209" s="93"/>
      <c r="I209" s="93"/>
      <c r="J209" s="93"/>
      <c r="K209" s="93"/>
      <c r="L209" s="93"/>
      <c r="M209" s="93"/>
      <c r="N209" s="93"/>
      <c r="O209" s="93"/>
      <c r="P209" s="93"/>
      <c r="Q209" s="93"/>
    </row>
    <row r="210" spans="6:17" x14ac:dyDescent="0.3">
      <c r="F210" s="92"/>
      <c r="G210" s="94"/>
      <c r="H210" s="93"/>
      <c r="I210" s="93"/>
      <c r="J210" s="93"/>
      <c r="K210" s="93"/>
      <c r="L210" s="93"/>
      <c r="M210" s="93"/>
      <c r="N210" s="93"/>
      <c r="O210" s="93"/>
      <c r="P210" s="93"/>
      <c r="Q210" s="93"/>
    </row>
    <row r="211" spans="6:17" x14ac:dyDescent="0.3">
      <c r="F211" s="92"/>
      <c r="G211" s="94"/>
      <c r="H211" s="93"/>
      <c r="I211" s="93"/>
      <c r="J211" s="93"/>
      <c r="K211" s="93"/>
      <c r="L211" s="93"/>
      <c r="M211" s="93"/>
      <c r="N211" s="93"/>
      <c r="O211" s="93"/>
      <c r="P211" s="93"/>
      <c r="Q211" s="93"/>
    </row>
    <row r="212" spans="6:17" x14ac:dyDescent="0.3">
      <c r="F212" s="92"/>
      <c r="G212" s="94"/>
      <c r="H212" s="93"/>
      <c r="I212" s="93"/>
      <c r="J212" s="93"/>
      <c r="K212" s="93"/>
      <c r="L212" s="93"/>
      <c r="M212" s="93"/>
      <c r="N212" s="93"/>
      <c r="O212" s="93"/>
      <c r="P212" s="93"/>
      <c r="Q212" s="93"/>
    </row>
    <row r="213" spans="6:17" x14ac:dyDescent="0.3">
      <c r="F213" s="92"/>
      <c r="G213" s="94"/>
      <c r="H213" s="93"/>
      <c r="I213" s="93"/>
      <c r="J213" s="93"/>
      <c r="K213" s="93"/>
      <c r="L213" s="93"/>
      <c r="M213" s="93"/>
      <c r="N213" s="93"/>
      <c r="O213" s="93"/>
      <c r="P213" s="93"/>
      <c r="Q213" s="93"/>
    </row>
    <row r="214" spans="6:17" x14ac:dyDescent="0.3">
      <c r="F214" s="92"/>
      <c r="G214" s="94"/>
      <c r="H214" s="93"/>
      <c r="I214" s="93"/>
      <c r="J214" s="93"/>
      <c r="K214" s="93"/>
      <c r="L214" s="93"/>
      <c r="M214" s="93"/>
      <c r="N214" s="93"/>
      <c r="O214" s="93"/>
      <c r="P214" s="93"/>
      <c r="Q214" s="93"/>
    </row>
    <row r="215" spans="6:17" x14ac:dyDescent="0.3">
      <c r="F215" s="92"/>
      <c r="G215" s="94"/>
      <c r="H215" s="93"/>
      <c r="I215" s="93"/>
      <c r="J215" s="93"/>
      <c r="K215" s="93"/>
      <c r="L215" s="93"/>
      <c r="M215" s="93"/>
      <c r="N215" s="93"/>
      <c r="O215" s="93"/>
      <c r="P215" s="93"/>
      <c r="Q215" s="93"/>
    </row>
    <row r="216" spans="6:17" x14ac:dyDescent="0.3">
      <c r="F216" s="92"/>
      <c r="G216" s="94"/>
      <c r="H216" s="93"/>
      <c r="I216" s="93"/>
      <c r="J216" s="93"/>
      <c r="K216" s="93"/>
      <c r="L216" s="93"/>
      <c r="M216" s="93"/>
      <c r="N216" s="93"/>
      <c r="O216" s="93"/>
      <c r="P216" s="93"/>
      <c r="Q216" s="93"/>
    </row>
    <row r="217" spans="6:17" x14ac:dyDescent="0.3">
      <c r="F217" s="92"/>
      <c r="G217" s="94"/>
      <c r="H217" s="93"/>
      <c r="I217" s="93"/>
      <c r="J217" s="93"/>
      <c r="K217" s="93"/>
      <c r="L217" s="93"/>
      <c r="M217" s="93"/>
      <c r="N217" s="93"/>
      <c r="O217" s="93"/>
      <c r="P217" s="93"/>
      <c r="Q217" s="93"/>
    </row>
    <row r="218" spans="6:17" x14ac:dyDescent="0.3">
      <c r="F218" s="92"/>
      <c r="G218" s="94"/>
      <c r="H218" s="93"/>
      <c r="I218" s="93"/>
      <c r="J218" s="93"/>
      <c r="K218" s="93"/>
      <c r="L218" s="93"/>
      <c r="M218" s="93"/>
      <c r="N218" s="93"/>
      <c r="O218" s="93"/>
      <c r="P218" s="93"/>
      <c r="Q218" s="93"/>
    </row>
    <row r="219" spans="6:17" x14ac:dyDescent="0.3">
      <c r="F219" s="92"/>
      <c r="G219" s="94"/>
      <c r="H219" s="93"/>
      <c r="I219" s="93"/>
      <c r="J219" s="93"/>
      <c r="K219" s="93"/>
      <c r="L219" s="93"/>
      <c r="M219" s="93"/>
      <c r="N219" s="93"/>
      <c r="O219" s="93"/>
      <c r="P219" s="93"/>
      <c r="Q219" s="93"/>
    </row>
    <row r="220" spans="6:17" x14ac:dyDescent="0.3">
      <c r="F220" s="92"/>
      <c r="G220" s="94"/>
      <c r="H220" s="93"/>
      <c r="I220" s="93"/>
      <c r="J220" s="93"/>
      <c r="K220" s="93"/>
      <c r="L220" s="93"/>
      <c r="M220" s="93"/>
      <c r="N220" s="93"/>
      <c r="O220" s="93"/>
      <c r="P220" s="93"/>
      <c r="Q220" s="93"/>
    </row>
    <row r="221" spans="6:17" x14ac:dyDescent="0.3">
      <c r="F221" s="92"/>
      <c r="G221" s="94"/>
      <c r="H221" s="93"/>
      <c r="I221" s="93"/>
      <c r="J221" s="93"/>
      <c r="K221" s="93"/>
      <c r="L221" s="93"/>
      <c r="M221" s="93"/>
      <c r="N221" s="93"/>
      <c r="O221" s="93"/>
      <c r="P221" s="93"/>
      <c r="Q221" s="93"/>
    </row>
    <row r="222" spans="6:17" x14ac:dyDescent="0.3">
      <c r="F222" s="92"/>
      <c r="G222" s="94"/>
      <c r="H222" s="93"/>
      <c r="I222" s="93"/>
      <c r="J222" s="93"/>
      <c r="K222" s="93"/>
      <c r="L222" s="93"/>
      <c r="M222" s="93"/>
      <c r="N222" s="93"/>
      <c r="O222" s="93"/>
      <c r="P222" s="93"/>
      <c r="Q222" s="93"/>
    </row>
    <row r="223" spans="6:17" x14ac:dyDescent="0.3">
      <c r="F223" s="92"/>
      <c r="G223" s="94"/>
      <c r="H223" s="93"/>
      <c r="I223" s="93"/>
      <c r="J223" s="93"/>
      <c r="K223" s="93"/>
      <c r="L223" s="93"/>
      <c r="M223" s="93"/>
      <c r="N223" s="93"/>
      <c r="O223" s="93"/>
      <c r="P223" s="93"/>
      <c r="Q223" s="93"/>
    </row>
    <row r="224" spans="6:17" x14ac:dyDescent="0.3">
      <c r="F224" s="92"/>
      <c r="G224" s="94"/>
      <c r="H224" s="93"/>
      <c r="I224" s="93"/>
      <c r="J224" s="93"/>
      <c r="K224" s="93"/>
      <c r="L224" s="93"/>
      <c r="M224" s="93"/>
      <c r="N224" s="93"/>
      <c r="O224" s="93"/>
      <c r="P224" s="93"/>
      <c r="Q224" s="93"/>
    </row>
    <row r="225" spans="6:17" x14ac:dyDescent="0.3">
      <c r="F225" s="92"/>
      <c r="G225" s="94"/>
      <c r="H225" s="93"/>
      <c r="I225" s="93"/>
      <c r="J225" s="93"/>
      <c r="K225" s="93"/>
      <c r="L225" s="93"/>
      <c r="M225" s="93"/>
      <c r="N225" s="93"/>
      <c r="O225" s="93"/>
      <c r="P225" s="93"/>
      <c r="Q225" s="93"/>
    </row>
    <row r="226" spans="6:17" x14ac:dyDescent="0.3">
      <c r="F226" s="92"/>
      <c r="G226" s="94"/>
      <c r="H226" s="93"/>
      <c r="I226" s="93"/>
      <c r="J226" s="93"/>
      <c r="K226" s="93"/>
      <c r="L226" s="93"/>
      <c r="M226" s="93"/>
      <c r="N226" s="93"/>
      <c r="O226" s="93"/>
      <c r="P226" s="93"/>
      <c r="Q226" s="93"/>
    </row>
    <row r="227" spans="6:17" x14ac:dyDescent="0.3">
      <c r="F227" s="92"/>
      <c r="G227" s="94"/>
      <c r="H227" s="93"/>
      <c r="I227" s="93"/>
      <c r="J227" s="93"/>
      <c r="K227" s="93"/>
      <c r="L227" s="93"/>
      <c r="M227" s="93"/>
      <c r="N227" s="93"/>
      <c r="O227" s="93"/>
      <c r="P227" s="93"/>
      <c r="Q227" s="93"/>
    </row>
    <row r="228" spans="6:17" x14ac:dyDescent="0.3">
      <c r="F228" s="92"/>
      <c r="G228" s="94"/>
      <c r="H228" s="93"/>
      <c r="I228" s="93"/>
      <c r="J228" s="93"/>
      <c r="K228" s="93"/>
      <c r="L228" s="93"/>
      <c r="M228" s="93"/>
      <c r="N228" s="93"/>
      <c r="O228" s="93"/>
      <c r="P228" s="93"/>
      <c r="Q228" s="93"/>
    </row>
    <row r="229" spans="6:17" x14ac:dyDescent="0.3">
      <c r="F229" s="92"/>
      <c r="G229" s="94"/>
      <c r="H229" s="93"/>
      <c r="I229" s="93"/>
      <c r="J229" s="93"/>
      <c r="K229" s="93"/>
      <c r="L229" s="93"/>
      <c r="M229" s="93"/>
      <c r="N229" s="93"/>
      <c r="O229" s="93"/>
      <c r="P229" s="93"/>
      <c r="Q229" s="93"/>
    </row>
    <row r="230" spans="6:17" x14ac:dyDescent="0.3">
      <c r="F230" s="92"/>
      <c r="G230" s="94"/>
      <c r="H230" s="93"/>
      <c r="I230" s="93"/>
      <c r="J230" s="93"/>
      <c r="K230" s="93"/>
      <c r="L230" s="93"/>
      <c r="M230" s="93"/>
      <c r="N230" s="93"/>
      <c r="O230" s="93"/>
      <c r="P230" s="93"/>
      <c r="Q230" s="93"/>
    </row>
    <row r="231" spans="6:17" x14ac:dyDescent="0.3">
      <c r="F231" s="92"/>
      <c r="G231" s="94"/>
      <c r="H231" s="93"/>
      <c r="I231" s="93"/>
      <c r="J231" s="93"/>
      <c r="K231" s="93"/>
      <c r="L231" s="93"/>
      <c r="M231" s="93"/>
      <c r="N231" s="93"/>
      <c r="O231" s="93"/>
      <c r="P231" s="93"/>
      <c r="Q231" s="93"/>
    </row>
    <row r="232" spans="6:17" x14ac:dyDescent="0.3">
      <c r="F232" s="92"/>
      <c r="G232" s="94"/>
      <c r="H232" s="93"/>
      <c r="I232" s="93"/>
      <c r="J232" s="93"/>
      <c r="K232" s="93"/>
      <c r="L232" s="93"/>
      <c r="M232" s="93"/>
      <c r="N232" s="93"/>
      <c r="O232" s="93"/>
      <c r="P232" s="93"/>
      <c r="Q232" s="93"/>
    </row>
    <row r="233" spans="6:17" x14ac:dyDescent="0.3">
      <c r="F233" s="92"/>
      <c r="G233" s="94"/>
      <c r="H233" s="93"/>
      <c r="I233" s="93"/>
      <c r="J233" s="93"/>
      <c r="K233" s="93"/>
      <c r="L233" s="93"/>
      <c r="M233" s="93"/>
      <c r="N233" s="93"/>
      <c r="O233" s="93"/>
      <c r="P233" s="93"/>
      <c r="Q233" s="93"/>
    </row>
    <row r="234" spans="6:17" x14ac:dyDescent="0.3">
      <c r="F234" s="92"/>
      <c r="G234" s="94"/>
      <c r="H234" s="93"/>
      <c r="I234" s="93"/>
      <c r="J234" s="93"/>
      <c r="K234" s="93"/>
      <c r="L234" s="93"/>
      <c r="M234" s="93"/>
      <c r="N234" s="93"/>
      <c r="O234" s="93"/>
      <c r="P234" s="93"/>
      <c r="Q234" s="93"/>
    </row>
    <row r="235" spans="6:17" x14ac:dyDescent="0.3">
      <c r="F235" s="92"/>
      <c r="G235" s="94"/>
      <c r="H235" s="93"/>
      <c r="I235" s="93"/>
      <c r="J235" s="93"/>
      <c r="K235" s="93"/>
      <c r="L235" s="93"/>
      <c r="M235" s="93"/>
      <c r="N235" s="93"/>
      <c r="O235" s="93"/>
      <c r="P235" s="93"/>
      <c r="Q235" s="93"/>
    </row>
    <row r="236" spans="6:17" x14ac:dyDescent="0.3">
      <c r="F236" s="92"/>
      <c r="G236" s="94"/>
      <c r="H236" s="93"/>
      <c r="I236" s="93"/>
      <c r="J236" s="93"/>
      <c r="K236" s="93"/>
      <c r="L236" s="93"/>
      <c r="M236" s="93"/>
      <c r="N236" s="93"/>
      <c r="O236" s="93"/>
      <c r="P236" s="93"/>
      <c r="Q236" s="93"/>
    </row>
    <row r="237" spans="6:17" x14ac:dyDescent="0.3">
      <c r="F237" s="92"/>
      <c r="G237" s="94"/>
      <c r="H237" s="93"/>
      <c r="I237" s="93"/>
      <c r="J237" s="93"/>
      <c r="K237" s="93"/>
      <c r="L237" s="93"/>
      <c r="M237" s="93"/>
      <c r="N237" s="93"/>
      <c r="O237" s="93"/>
      <c r="P237" s="93"/>
      <c r="Q237" s="93"/>
    </row>
    <row r="238" spans="6:17" x14ac:dyDescent="0.3">
      <c r="F238" s="92"/>
      <c r="G238" s="94"/>
      <c r="H238" s="93"/>
      <c r="I238" s="93"/>
      <c r="J238" s="93"/>
      <c r="K238" s="93"/>
      <c r="L238" s="93"/>
      <c r="M238" s="93"/>
      <c r="N238" s="93"/>
      <c r="O238" s="93"/>
      <c r="P238" s="93"/>
      <c r="Q238" s="93"/>
    </row>
    <row r="239" spans="6:17" x14ac:dyDescent="0.3">
      <c r="F239" s="92"/>
      <c r="G239" s="94"/>
      <c r="H239" s="93"/>
      <c r="I239" s="93"/>
      <c r="J239" s="93"/>
      <c r="K239" s="93"/>
      <c r="L239" s="93"/>
      <c r="M239" s="93"/>
      <c r="N239" s="93"/>
      <c r="O239" s="93"/>
      <c r="P239" s="93"/>
      <c r="Q239" s="93"/>
    </row>
    <row r="240" spans="6:17" x14ac:dyDescent="0.3">
      <c r="F240" s="92"/>
      <c r="G240" s="94"/>
      <c r="H240" s="93"/>
      <c r="I240" s="93"/>
      <c r="J240" s="93"/>
      <c r="K240" s="93"/>
      <c r="L240" s="93"/>
      <c r="M240" s="93"/>
      <c r="N240" s="93"/>
      <c r="O240" s="93"/>
      <c r="P240" s="93"/>
      <c r="Q240" s="93"/>
    </row>
    <row r="241" spans="1:17" x14ac:dyDescent="0.3">
      <c r="A241" s="90"/>
      <c r="B241" s="90"/>
      <c r="C241" s="90"/>
      <c r="D241" s="87"/>
      <c r="E241" s="90"/>
      <c r="F241" s="92"/>
      <c r="G241" s="94"/>
      <c r="H241" s="93"/>
      <c r="I241" s="93"/>
      <c r="J241" s="93"/>
      <c r="K241" s="93"/>
      <c r="L241" s="93"/>
      <c r="M241" s="93"/>
      <c r="N241" s="93"/>
      <c r="O241" s="93"/>
      <c r="P241" s="93"/>
      <c r="Q241" s="93"/>
    </row>
    <row r="242" spans="1:17" x14ac:dyDescent="0.3">
      <c r="A242" s="90"/>
      <c r="B242" s="90"/>
      <c r="C242" s="90"/>
      <c r="D242" s="87"/>
      <c r="E242" s="90"/>
      <c r="F242" s="92"/>
      <c r="G242" s="94"/>
      <c r="H242" s="93"/>
      <c r="I242" s="93"/>
      <c r="J242" s="93"/>
      <c r="K242" s="93"/>
      <c r="L242" s="93"/>
      <c r="M242" s="93"/>
      <c r="N242" s="93"/>
      <c r="O242" s="93"/>
      <c r="P242" s="93"/>
      <c r="Q242" s="93"/>
    </row>
    <row r="243" spans="1:17" x14ac:dyDescent="0.3">
      <c r="A243" s="90"/>
      <c r="B243" s="90"/>
      <c r="C243" s="90"/>
      <c r="D243" s="87"/>
      <c r="E243" s="90"/>
      <c r="F243" s="92"/>
      <c r="G243" s="94"/>
      <c r="H243" s="93"/>
      <c r="I243" s="93"/>
      <c r="J243" s="93"/>
      <c r="K243" s="93"/>
      <c r="L243" s="93"/>
      <c r="M243" s="93"/>
      <c r="N243" s="93"/>
      <c r="O243" s="93"/>
      <c r="P243" s="93"/>
      <c r="Q243" s="93"/>
    </row>
    <row r="244" spans="1:17" x14ac:dyDescent="0.3">
      <c r="A244" s="90"/>
      <c r="B244" s="90"/>
      <c r="C244" s="90"/>
      <c r="D244" s="87"/>
      <c r="E244" s="90"/>
      <c r="F244" s="92"/>
      <c r="G244" s="94"/>
      <c r="H244" s="93"/>
      <c r="I244" s="93"/>
      <c r="J244" s="93"/>
      <c r="K244" s="93"/>
      <c r="L244" s="93"/>
      <c r="M244" s="93"/>
      <c r="N244" s="93"/>
      <c r="O244" s="93"/>
      <c r="P244" s="93"/>
      <c r="Q244" s="93"/>
    </row>
    <row r="245" spans="1:17" x14ac:dyDescent="0.3">
      <c r="A245" s="90"/>
      <c r="B245" s="90"/>
      <c r="C245" s="90"/>
      <c r="D245" s="87"/>
      <c r="E245" s="90"/>
      <c r="F245" s="92"/>
      <c r="G245" s="94"/>
      <c r="H245" s="93"/>
      <c r="I245" s="93"/>
      <c r="J245" s="93"/>
      <c r="K245" s="93"/>
      <c r="L245" s="93"/>
      <c r="M245" s="93"/>
      <c r="N245" s="93"/>
      <c r="O245" s="93"/>
      <c r="P245" s="93"/>
      <c r="Q245" s="93"/>
    </row>
    <row r="246" spans="1:17" x14ac:dyDescent="0.3">
      <c r="A246" s="90"/>
      <c r="B246" s="90"/>
      <c r="C246" s="90"/>
      <c r="D246" s="87"/>
      <c r="E246" s="90"/>
      <c r="F246" s="92"/>
      <c r="G246" s="94"/>
      <c r="H246" s="93"/>
      <c r="I246" s="93"/>
      <c r="J246" s="93"/>
      <c r="K246" s="93"/>
      <c r="L246" s="93"/>
      <c r="M246" s="93"/>
      <c r="N246" s="93"/>
      <c r="O246" s="93"/>
      <c r="P246" s="93"/>
      <c r="Q246" s="93"/>
    </row>
    <row r="247" spans="1:17" x14ac:dyDescent="0.3">
      <c r="A247" s="90"/>
      <c r="B247" s="90"/>
      <c r="C247" s="90"/>
      <c r="D247" s="87"/>
      <c r="E247" s="90"/>
      <c r="F247" s="92"/>
      <c r="G247" s="94"/>
      <c r="H247" s="93"/>
      <c r="I247" s="93"/>
      <c r="J247" s="93"/>
      <c r="K247" s="93"/>
      <c r="L247" s="93"/>
      <c r="M247" s="93"/>
      <c r="N247" s="93"/>
      <c r="O247" s="93"/>
      <c r="P247" s="93"/>
      <c r="Q247" s="93"/>
    </row>
    <row r="248" spans="1:17" x14ac:dyDescent="0.3">
      <c r="A248" s="90"/>
      <c r="B248" s="90"/>
      <c r="C248" s="90"/>
      <c r="D248" s="87"/>
      <c r="E248" s="90"/>
      <c r="F248" s="92"/>
      <c r="G248" s="94"/>
      <c r="H248" s="93"/>
      <c r="I248" s="93"/>
      <c r="J248" s="93"/>
      <c r="K248" s="93"/>
      <c r="L248" s="93"/>
      <c r="M248" s="93"/>
      <c r="N248" s="93"/>
      <c r="O248" s="93"/>
      <c r="P248" s="93"/>
      <c r="Q248" s="93"/>
    </row>
    <row r="249" spans="1:17" x14ac:dyDescent="0.3">
      <c r="A249" s="90"/>
      <c r="B249" s="90"/>
      <c r="C249" s="90"/>
      <c r="D249" s="87"/>
      <c r="E249" s="90"/>
      <c r="F249" s="92"/>
      <c r="G249" s="94"/>
      <c r="H249" s="93"/>
      <c r="I249" s="93"/>
      <c r="J249" s="93"/>
      <c r="K249" s="93"/>
      <c r="L249" s="93"/>
      <c r="M249" s="93"/>
      <c r="N249" s="93"/>
      <c r="O249" s="93"/>
      <c r="P249" s="93"/>
      <c r="Q249" s="93"/>
    </row>
    <row r="250" spans="1:17" x14ac:dyDescent="0.3">
      <c r="A250" s="37"/>
      <c r="B250" s="37"/>
      <c r="C250" s="90"/>
      <c r="D250" s="87"/>
      <c r="E250" s="90"/>
      <c r="F250" s="92"/>
      <c r="G250" s="94"/>
      <c r="H250" s="93"/>
      <c r="I250" s="93"/>
      <c r="J250" s="93"/>
      <c r="K250" s="93"/>
      <c r="L250" s="93"/>
      <c r="M250" s="93"/>
      <c r="N250" s="93"/>
      <c r="O250" s="93"/>
      <c r="P250" s="93"/>
      <c r="Q250" s="93"/>
    </row>
    <row r="251" spans="1:17" x14ac:dyDescent="0.3">
      <c r="A251" s="90"/>
      <c r="B251" s="90"/>
      <c r="C251" s="90"/>
      <c r="D251" s="87"/>
      <c r="E251" s="90"/>
      <c r="F251" s="92"/>
      <c r="G251" s="94"/>
      <c r="H251" s="93"/>
      <c r="I251" s="93"/>
      <c r="J251" s="93"/>
      <c r="K251" s="93"/>
      <c r="L251" s="93"/>
      <c r="M251" s="93"/>
      <c r="N251" s="93"/>
      <c r="O251" s="93"/>
      <c r="P251" s="93"/>
      <c r="Q251" s="93"/>
    </row>
    <row r="252" spans="1:17" x14ac:dyDescent="0.3">
      <c r="A252" s="90"/>
      <c r="B252" s="90"/>
      <c r="C252" s="90"/>
      <c r="D252" s="87"/>
      <c r="E252" s="90"/>
      <c r="F252" s="92"/>
      <c r="G252" s="94"/>
      <c r="H252" s="93"/>
      <c r="I252" s="93"/>
      <c r="J252" s="93"/>
      <c r="K252" s="93"/>
      <c r="L252" s="93"/>
      <c r="M252" s="93"/>
      <c r="N252" s="93"/>
      <c r="O252" s="93"/>
      <c r="P252" s="93"/>
      <c r="Q252" s="93"/>
    </row>
    <row r="253" spans="1:17" x14ac:dyDescent="0.3">
      <c r="A253" s="37"/>
      <c r="B253" s="37"/>
      <c r="C253" s="90"/>
      <c r="D253" s="87"/>
      <c r="E253" s="90"/>
      <c r="F253" s="92"/>
      <c r="G253" s="94"/>
      <c r="H253" s="93"/>
      <c r="I253" s="93"/>
      <c r="J253" s="93"/>
      <c r="K253" s="93"/>
      <c r="L253" s="93"/>
      <c r="M253" s="93"/>
      <c r="N253" s="93"/>
      <c r="O253" s="93"/>
      <c r="P253" s="93"/>
      <c r="Q253" s="93"/>
    </row>
    <row r="254" spans="1:17" x14ac:dyDescent="0.3">
      <c r="A254" s="5"/>
      <c r="B254" s="5"/>
      <c r="C254" s="90"/>
      <c r="D254" s="87"/>
      <c r="E254" s="90"/>
      <c r="F254" s="92"/>
      <c r="G254" s="94"/>
      <c r="H254" s="93"/>
      <c r="I254" s="93"/>
      <c r="J254" s="93"/>
      <c r="K254" s="93"/>
      <c r="L254" s="93"/>
      <c r="M254" s="93"/>
      <c r="N254" s="93"/>
      <c r="O254" s="93"/>
      <c r="P254" s="93"/>
      <c r="Q254" s="93"/>
    </row>
    <row r="255" spans="1:17" x14ac:dyDescent="0.3">
      <c r="A255" s="5"/>
      <c r="B255" s="5"/>
      <c r="C255" s="90"/>
      <c r="D255" s="87"/>
      <c r="E255" s="90"/>
      <c r="F255" s="92"/>
      <c r="G255" s="94"/>
      <c r="H255" s="93"/>
      <c r="I255" s="93"/>
      <c r="J255" s="93"/>
      <c r="K255" s="93"/>
      <c r="L255" s="93"/>
      <c r="M255" s="93"/>
      <c r="N255" s="93"/>
      <c r="O255" s="93"/>
      <c r="P255" s="93"/>
      <c r="Q255" s="93"/>
    </row>
    <row r="256" spans="1:17" x14ac:dyDescent="0.3">
      <c r="A256" s="5"/>
      <c r="B256" s="5"/>
      <c r="C256" s="90"/>
      <c r="D256" s="87"/>
      <c r="E256" s="90"/>
      <c r="F256" s="92"/>
      <c r="G256" s="94"/>
      <c r="H256" s="93"/>
      <c r="I256" s="93"/>
      <c r="J256" s="93"/>
      <c r="K256" s="93"/>
      <c r="L256" s="93"/>
      <c r="M256" s="93"/>
      <c r="N256" s="93"/>
      <c r="O256" s="93"/>
      <c r="P256" s="93"/>
      <c r="Q256" s="93"/>
    </row>
    <row r="257" spans="1:17" x14ac:dyDescent="0.3">
      <c r="A257" s="5"/>
      <c r="B257" s="5"/>
      <c r="C257" s="90"/>
      <c r="D257" s="87"/>
      <c r="E257" s="90"/>
      <c r="F257" s="92"/>
      <c r="G257" s="94"/>
      <c r="H257" s="93"/>
      <c r="I257" s="93"/>
      <c r="J257" s="93"/>
      <c r="K257" s="93"/>
      <c r="L257" s="93"/>
      <c r="M257" s="93"/>
      <c r="N257" s="93"/>
      <c r="O257" s="93"/>
      <c r="P257" s="93"/>
      <c r="Q257" s="93"/>
    </row>
    <row r="258" spans="1:17" x14ac:dyDescent="0.3">
      <c r="A258" s="5"/>
      <c r="B258" s="5"/>
      <c r="C258" s="90"/>
      <c r="D258" s="87"/>
      <c r="E258" s="90"/>
      <c r="F258" s="92"/>
      <c r="G258" s="94"/>
      <c r="H258" s="93"/>
      <c r="I258" s="93"/>
      <c r="J258" s="93"/>
      <c r="K258" s="93"/>
      <c r="L258" s="93"/>
      <c r="M258" s="93"/>
      <c r="N258" s="93"/>
      <c r="O258" s="93"/>
      <c r="P258" s="93"/>
      <c r="Q258" s="93"/>
    </row>
    <row r="259" spans="1:17" x14ac:dyDescent="0.3">
      <c r="A259" s="5"/>
      <c r="B259" s="5"/>
      <c r="C259" s="90"/>
      <c r="D259" s="87"/>
      <c r="E259" s="90"/>
      <c r="F259" s="92"/>
      <c r="G259" s="94"/>
      <c r="H259" s="93"/>
      <c r="I259" s="93"/>
      <c r="J259" s="93"/>
      <c r="K259" s="93"/>
      <c r="L259" s="93"/>
      <c r="M259" s="93"/>
      <c r="N259" s="93"/>
      <c r="O259" s="93"/>
      <c r="P259" s="93"/>
      <c r="Q259" s="93"/>
    </row>
    <row r="260" spans="1:17" x14ac:dyDescent="0.3">
      <c r="A260" s="5"/>
      <c r="B260" s="5"/>
      <c r="C260" s="90"/>
      <c r="D260" s="87"/>
      <c r="E260" s="90"/>
      <c r="F260" s="92"/>
      <c r="G260" s="94"/>
      <c r="H260" s="93"/>
      <c r="I260" s="93"/>
      <c r="J260" s="93"/>
      <c r="K260" s="93"/>
      <c r="L260" s="93"/>
      <c r="M260" s="93"/>
      <c r="N260" s="93"/>
      <c r="O260" s="93"/>
      <c r="P260" s="93"/>
      <c r="Q260" s="93"/>
    </row>
    <row r="261" spans="1:17" x14ac:dyDescent="0.3">
      <c r="A261" s="5"/>
      <c r="B261" s="5"/>
      <c r="C261" s="90"/>
      <c r="D261" s="87"/>
      <c r="E261" s="90"/>
      <c r="F261" s="92"/>
      <c r="G261" s="94"/>
      <c r="H261" s="93"/>
      <c r="I261" s="93"/>
      <c r="J261" s="93"/>
      <c r="K261" s="93"/>
      <c r="L261" s="93"/>
      <c r="M261" s="93"/>
      <c r="N261" s="93"/>
      <c r="O261" s="93"/>
      <c r="P261" s="93"/>
      <c r="Q261" s="93"/>
    </row>
    <row r="262" spans="1:17" x14ac:dyDescent="0.3">
      <c r="A262" s="5"/>
      <c r="B262" s="5"/>
      <c r="C262" s="90"/>
      <c r="D262" s="87"/>
      <c r="E262" s="90"/>
      <c r="F262" s="92"/>
      <c r="G262" s="94"/>
      <c r="H262" s="93"/>
      <c r="I262" s="93"/>
      <c r="J262" s="93"/>
      <c r="K262" s="93"/>
      <c r="L262" s="93"/>
      <c r="M262" s="93"/>
      <c r="N262" s="93"/>
      <c r="O262" s="93"/>
      <c r="P262" s="93"/>
      <c r="Q262" s="93"/>
    </row>
    <row r="263" spans="1:17" x14ac:dyDescent="0.3">
      <c r="A263" s="5"/>
      <c r="B263" s="5"/>
      <c r="C263" s="90"/>
      <c r="D263" s="87"/>
      <c r="E263" s="90"/>
      <c r="F263" s="92"/>
      <c r="G263" s="94"/>
      <c r="H263" s="93"/>
      <c r="I263" s="93"/>
      <c r="J263" s="93"/>
      <c r="K263" s="93"/>
      <c r="L263" s="93"/>
      <c r="M263" s="93"/>
      <c r="N263" s="93"/>
      <c r="O263" s="93"/>
      <c r="P263" s="93"/>
      <c r="Q263" s="93"/>
    </row>
    <row r="264" spans="1:17" x14ac:dyDescent="0.3">
      <c r="A264" s="5"/>
      <c r="B264" s="5"/>
      <c r="C264" s="90"/>
      <c r="D264" s="87"/>
      <c r="E264" s="90"/>
      <c r="F264" s="92"/>
      <c r="G264" s="94"/>
      <c r="H264" s="93"/>
      <c r="I264" s="93"/>
      <c r="J264" s="93"/>
      <c r="K264" s="93"/>
      <c r="L264" s="93"/>
      <c r="M264" s="93"/>
      <c r="N264" s="93"/>
      <c r="O264" s="93"/>
      <c r="P264" s="93"/>
      <c r="Q264" s="93"/>
    </row>
    <row r="265" spans="1:17" x14ac:dyDescent="0.3">
      <c r="A265" s="5"/>
      <c r="B265" s="5"/>
      <c r="C265" s="90"/>
      <c r="D265" s="87"/>
      <c r="E265" s="90"/>
      <c r="F265" s="92"/>
      <c r="G265" s="94"/>
      <c r="H265" s="93"/>
      <c r="I265" s="93"/>
      <c r="J265" s="93"/>
      <c r="K265" s="93"/>
      <c r="L265" s="93"/>
      <c r="M265" s="93"/>
      <c r="N265" s="93"/>
      <c r="O265" s="93"/>
      <c r="P265" s="93"/>
      <c r="Q265" s="93"/>
    </row>
    <row r="266" spans="1:17" x14ac:dyDescent="0.3">
      <c r="A266" s="5"/>
      <c r="B266" s="5"/>
      <c r="C266" s="90"/>
      <c r="D266" s="87"/>
      <c r="E266" s="90"/>
      <c r="F266" s="92"/>
      <c r="G266" s="94"/>
      <c r="H266" s="93"/>
      <c r="I266" s="93"/>
      <c r="J266" s="93"/>
      <c r="K266" s="93"/>
      <c r="L266" s="93"/>
      <c r="M266" s="93"/>
      <c r="N266" s="93"/>
      <c r="O266" s="93"/>
      <c r="P266" s="93"/>
      <c r="Q266" s="93"/>
    </row>
    <row r="267" spans="1:17" x14ac:dyDescent="0.3">
      <c r="A267" s="5"/>
      <c r="B267" s="5"/>
      <c r="C267" s="90"/>
      <c r="D267" s="87"/>
      <c r="E267" s="90"/>
      <c r="F267" s="92"/>
      <c r="G267" s="94"/>
      <c r="H267" s="93"/>
      <c r="I267" s="93"/>
      <c r="J267" s="93"/>
      <c r="K267" s="93"/>
      <c r="L267" s="93"/>
      <c r="M267" s="93"/>
      <c r="N267" s="93"/>
      <c r="O267" s="93"/>
      <c r="P267" s="93"/>
      <c r="Q267" s="93"/>
    </row>
    <row r="268" spans="1:17" x14ac:dyDescent="0.3">
      <c r="A268" s="5"/>
      <c r="B268" s="5"/>
      <c r="C268" s="90"/>
      <c r="D268" s="87"/>
      <c r="E268" s="90"/>
      <c r="F268" s="92"/>
      <c r="G268" s="94"/>
      <c r="H268" s="93"/>
      <c r="I268" s="93"/>
      <c r="J268" s="93"/>
      <c r="K268" s="93"/>
      <c r="L268" s="93"/>
      <c r="M268" s="93"/>
      <c r="N268" s="93"/>
      <c r="O268" s="93"/>
      <c r="P268" s="93"/>
      <c r="Q268" s="93"/>
    </row>
    <row r="269" spans="1:17" x14ac:dyDescent="0.3">
      <c r="A269" s="5"/>
      <c r="B269" s="5"/>
      <c r="C269" s="90"/>
      <c r="D269" s="87"/>
      <c r="E269" s="90"/>
      <c r="F269" s="92"/>
      <c r="G269" s="94"/>
      <c r="H269" s="93"/>
      <c r="I269" s="93"/>
      <c r="J269" s="93"/>
      <c r="K269" s="93"/>
      <c r="L269" s="93"/>
      <c r="M269" s="93"/>
      <c r="N269" s="93"/>
      <c r="O269" s="93"/>
      <c r="P269" s="93"/>
      <c r="Q269" s="93"/>
    </row>
    <row r="270" spans="1:17" x14ac:dyDescent="0.3">
      <c r="A270" s="5"/>
      <c r="B270" s="5"/>
      <c r="C270" s="90"/>
      <c r="D270" s="87"/>
      <c r="E270" s="90"/>
      <c r="F270" s="92"/>
      <c r="G270" s="94"/>
      <c r="H270" s="93"/>
      <c r="I270" s="93"/>
      <c r="J270" s="93"/>
      <c r="K270" s="93"/>
      <c r="L270" s="93"/>
      <c r="M270" s="93"/>
      <c r="N270" s="93"/>
      <c r="O270" s="93"/>
      <c r="P270" s="93"/>
      <c r="Q270" s="93"/>
    </row>
    <row r="271" spans="1:17" x14ac:dyDescent="0.3">
      <c r="A271" s="5"/>
      <c r="B271" s="5"/>
      <c r="C271" s="90"/>
      <c r="D271" s="87"/>
      <c r="E271" s="90"/>
      <c r="F271" s="92"/>
      <c r="G271" s="94"/>
      <c r="H271" s="93"/>
      <c r="I271" s="93"/>
      <c r="J271" s="93"/>
      <c r="K271" s="93"/>
      <c r="L271" s="93"/>
      <c r="M271" s="93"/>
      <c r="N271" s="93"/>
      <c r="O271" s="93"/>
      <c r="P271" s="93"/>
      <c r="Q271" s="93"/>
    </row>
    <row r="272" spans="1:17" x14ac:dyDescent="0.3">
      <c r="A272" s="5"/>
      <c r="B272" s="5"/>
      <c r="C272" s="90"/>
      <c r="D272" s="87"/>
      <c r="E272" s="90"/>
      <c r="F272" s="92"/>
      <c r="G272" s="94"/>
      <c r="H272" s="93"/>
      <c r="I272" s="93"/>
      <c r="J272" s="93"/>
      <c r="K272" s="93"/>
      <c r="L272" s="93"/>
      <c r="M272" s="93"/>
      <c r="N272" s="93"/>
      <c r="O272" s="93"/>
      <c r="P272" s="93"/>
      <c r="Q272" s="93"/>
    </row>
    <row r="273" spans="1:17" x14ac:dyDescent="0.3">
      <c r="A273" s="5"/>
      <c r="B273" s="5"/>
      <c r="C273" s="90"/>
      <c r="D273" s="87"/>
      <c r="E273" s="90"/>
      <c r="F273" s="92"/>
      <c r="G273" s="94"/>
      <c r="H273" s="93"/>
      <c r="I273" s="93"/>
      <c r="J273" s="93"/>
      <c r="K273" s="93"/>
      <c r="L273" s="93"/>
      <c r="M273" s="93"/>
      <c r="N273" s="93"/>
      <c r="O273" s="93"/>
      <c r="P273" s="93"/>
      <c r="Q273" s="93"/>
    </row>
    <row r="274" spans="1:17" x14ac:dyDescent="0.3">
      <c r="A274" s="5"/>
      <c r="B274" s="5"/>
      <c r="C274" s="90"/>
      <c r="D274" s="87"/>
      <c r="E274" s="90"/>
      <c r="F274" s="92"/>
      <c r="G274" s="94"/>
      <c r="H274" s="93"/>
      <c r="I274" s="93"/>
      <c r="J274" s="93"/>
      <c r="K274" s="93"/>
      <c r="L274" s="93"/>
      <c r="M274" s="93"/>
      <c r="N274" s="93"/>
      <c r="O274" s="93"/>
      <c r="P274" s="93"/>
      <c r="Q274" s="93"/>
    </row>
    <row r="275" spans="1:17" x14ac:dyDescent="0.3">
      <c r="A275" s="5"/>
      <c r="B275" s="5"/>
      <c r="C275" s="90"/>
      <c r="D275" s="87"/>
      <c r="E275" s="90"/>
      <c r="F275" s="92"/>
      <c r="G275" s="94"/>
      <c r="H275" s="93"/>
      <c r="I275" s="93"/>
      <c r="J275" s="93"/>
      <c r="K275" s="93"/>
      <c r="L275" s="93"/>
      <c r="M275" s="93"/>
      <c r="N275" s="93"/>
      <c r="O275" s="93"/>
      <c r="P275" s="93"/>
      <c r="Q275" s="93"/>
    </row>
    <row r="276" spans="1:17" x14ac:dyDescent="0.3">
      <c r="A276" s="5"/>
      <c r="B276" s="5"/>
      <c r="C276" s="90"/>
      <c r="D276" s="87"/>
      <c r="E276" s="90"/>
      <c r="F276" s="92"/>
      <c r="G276" s="94"/>
      <c r="H276" s="93"/>
      <c r="I276" s="93"/>
      <c r="J276" s="93"/>
      <c r="K276" s="93"/>
      <c r="L276" s="93"/>
      <c r="M276" s="93"/>
      <c r="N276" s="93"/>
      <c r="O276" s="93"/>
      <c r="P276" s="93"/>
      <c r="Q276" s="93"/>
    </row>
    <row r="277" spans="1:17" x14ac:dyDescent="0.3">
      <c r="A277" s="5"/>
      <c r="B277" s="5"/>
      <c r="C277" s="90"/>
      <c r="D277" s="87"/>
      <c r="E277" s="90"/>
      <c r="F277" s="92"/>
      <c r="G277" s="94"/>
      <c r="H277" s="93"/>
      <c r="I277" s="93"/>
      <c r="J277" s="93"/>
      <c r="K277" s="93"/>
      <c r="L277" s="93"/>
      <c r="M277" s="93"/>
      <c r="N277" s="93"/>
      <c r="O277" s="93"/>
      <c r="P277" s="93"/>
      <c r="Q277" s="93"/>
    </row>
    <row r="278" spans="1:17" x14ac:dyDescent="0.3">
      <c r="A278" s="5"/>
      <c r="B278" s="5"/>
      <c r="C278" s="90"/>
      <c r="D278" s="87"/>
      <c r="E278" s="90"/>
      <c r="F278" s="92"/>
      <c r="G278" s="94"/>
      <c r="H278" s="93"/>
      <c r="I278" s="93"/>
      <c r="J278" s="93"/>
      <c r="K278" s="93"/>
      <c r="L278" s="93"/>
      <c r="M278" s="93"/>
      <c r="N278" s="93"/>
      <c r="O278" s="93"/>
      <c r="P278" s="93"/>
      <c r="Q278" s="93"/>
    </row>
    <row r="279" spans="1:17" x14ac:dyDescent="0.3">
      <c r="A279" s="5"/>
      <c r="B279" s="5"/>
      <c r="C279" s="90"/>
      <c r="D279" s="87"/>
      <c r="E279" s="90"/>
      <c r="F279" s="92"/>
      <c r="G279" s="94"/>
      <c r="H279" s="93"/>
      <c r="I279" s="93"/>
      <c r="J279" s="93"/>
      <c r="K279" s="93"/>
      <c r="L279" s="93"/>
      <c r="M279" s="93"/>
      <c r="N279" s="93"/>
      <c r="O279" s="93"/>
      <c r="P279" s="93"/>
      <c r="Q279" s="93"/>
    </row>
    <row r="280" spans="1:17" x14ac:dyDescent="0.3">
      <c r="A280" s="5"/>
      <c r="B280" s="5"/>
      <c r="C280" s="90"/>
      <c r="D280" s="87"/>
      <c r="E280" s="90"/>
      <c r="F280" s="92"/>
      <c r="G280" s="94"/>
      <c r="H280" s="93"/>
      <c r="I280" s="93"/>
      <c r="J280" s="93"/>
      <c r="K280" s="93"/>
      <c r="L280" s="93"/>
      <c r="M280" s="93"/>
      <c r="N280" s="93"/>
      <c r="O280" s="93"/>
      <c r="P280" s="93"/>
      <c r="Q280" s="93"/>
    </row>
    <row r="281" spans="1:17" x14ac:dyDescent="0.3">
      <c r="A281" s="5"/>
      <c r="B281" s="5"/>
      <c r="C281" s="90"/>
      <c r="D281" s="87"/>
      <c r="E281" s="90"/>
      <c r="F281" s="92"/>
      <c r="G281" s="94"/>
      <c r="H281" s="93"/>
      <c r="I281" s="93"/>
      <c r="J281" s="93"/>
      <c r="K281" s="93"/>
      <c r="L281" s="93"/>
      <c r="M281" s="93"/>
      <c r="N281" s="93"/>
      <c r="O281" s="93"/>
      <c r="P281" s="93"/>
      <c r="Q281" s="93"/>
    </row>
    <row r="282" spans="1:17" x14ac:dyDescent="0.3">
      <c r="A282" s="5"/>
      <c r="B282" s="5"/>
      <c r="C282" s="90"/>
      <c r="D282" s="87"/>
      <c r="E282" s="90"/>
      <c r="F282" s="92"/>
      <c r="G282" s="94"/>
      <c r="H282" s="93"/>
      <c r="I282" s="93"/>
      <c r="J282" s="93"/>
      <c r="K282" s="93"/>
      <c r="L282" s="93"/>
      <c r="M282" s="93"/>
      <c r="N282" s="93"/>
      <c r="O282" s="93"/>
      <c r="P282" s="93"/>
      <c r="Q282" s="93"/>
    </row>
    <row r="283" spans="1:17" x14ac:dyDescent="0.3">
      <c r="A283" s="5"/>
      <c r="B283" s="5"/>
      <c r="C283" s="90"/>
      <c r="D283" s="87"/>
      <c r="E283" s="90"/>
      <c r="F283" s="92"/>
      <c r="G283" s="94"/>
      <c r="H283" s="93"/>
      <c r="I283" s="93"/>
      <c r="J283" s="93"/>
      <c r="K283" s="93"/>
      <c r="L283" s="93"/>
      <c r="M283" s="93"/>
      <c r="N283" s="93"/>
      <c r="O283" s="93"/>
      <c r="P283" s="93"/>
      <c r="Q283" s="93"/>
    </row>
    <row r="284" spans="1:17" x14ac:dyDescent="0.3">
      <c r="A284" s="5"/>
      <c r="B284" s="5"/>
      <c r="C284" s="90"/>
      <c r="D284" s="87"/>
      <c r="E284" s="90"/>
      <c r="F284" s="92"/>
      <c r="G284" s="94"/>
      <c r="H284" s="93"/>
      <c r="I284" s="93"/>
      <c r="J284" s="93"/>
      <c r="K284" s="93"/>
      <c r="L284" s="93"/>
      <c r="M284" s="93"/>
      <c r="N284" s="93"/>
      <c r="O284" s="93"/>
      <c r="P284" s="93"/>
      <c r="Q284" s="93"/>
    </row>
    <row r="285" spans="1:17" x14ac:dyDescent="0.3">
      <c r="A285" s="5"/>
      <c r="B285" s="5"/>
      <c r="C285" s="90"/>
      <c r="D285" s="87"/>
      <c r="E285" s="90"/>
      <c r="F285" s="92"/>
      <c r="G285" s="94"/>
      <c r="H285" s="93"/>
      <c r="I285" s="93"/>
      <c r="J285" s="93"/>
      <c r="K285" s="93"/>
      <c r="L285" s="93"/>
      <c r="M285" s="93"/>
      <c r="N285" s="93"/>
      <c r="O285" s="93"/>
      <c r="P285" s="93"/>
      <c r="Q285" s="93"/>
    </row>
    <row r="286" spans="1:17" x14ac:dyDescent="0.3">
      <c r="A286" s="5"/>
      <c r="B286" s="5"/>
      <c r="C286" s="90"/>
      <c r="D286" s="87"/>
      <c r="E286" s="90"/>
      <c r="F286" s="92"/>
      <c r="G286" s="94"/>
      <c r="H286" s="93"/>
      <c r="I286" s="93"/>
      <c r="J286" s="93"/>
      <c r="K286" s="93"/>
      <c r="L286" s="93"/>
      <c r="M286" s="93"/>
      <c r="N286" s="93"/>
      <c r="O286" s="93"/>
      <c r="P286" s="93"/>
      <c r="Q286" s="93"/>
    </row>
    <row r="287" spans="1:17" x14ac:dyDescent="0.3">
      <c r="A287" s="5"/>
      <c r="B287" s="5"/>
      <c r="C287" s="90"/>
      <c r="D287" s="87"/>
      <c r="E287" s="90"/>
      <c r="F287" s="92"/>
      <c r="G287" s="94"/>
      <c r="H287" s="93"/>
      <c r="I287" s="93"/>
      <c r="J287" s="93"/>
      <c r="K287" s="93"/>
      <c r="L287" s="93"/>
      <c r="M287" s="93"/>
      <c r="N287" s="93"/>
      <c r="O287" s="93"/>
      <c r="P287" s="93"/>
      <c r="Q287" s="93"/>
    </row>
    <row r="288" spans="1:17" x14ac:dyDescent="0.3">
      <c r="A288" s="5"/>
      <c r="B288" s="5"/>
      <c r="C288" s="90"/>
      <c r="D288" s="87"/>
      <c r="E288" s="90"/>
      <c r="F288" s="92"/>
      <c r="G288" s="94"/>
      <c r="H288" s="93"/>
      <c r="I288" s="93"/>
      <c r="J288" s="93"/>
      <c r="K288" s="93"/>
      <c r="L288" s="93"/>
      <c r="M288" s="93"/>
      <c r="N288" s="93"/>
      <c r="O288" s="93"/>
      <c r="P288" s="93"/>
      <c r="Q288" s="93"/>
    </row>
    <row r="289" spans="1:17" x14ac:dyDescent="0.3">
      <c r="A289" s="5"/>
      <c r="B289" s="5"/>
      <c r="C289" s="90"/>
      <c r="D289" s="87"/>
      <c r="E289" s="90"/>
      <c r="F289" s="92"/>
      <c r="G289" s="94"/>
      <c r="H289" s="93"/>
      <c r="I289" s="93"/>
      <c r="J289" s="93"/>
      <c r="K289" s="93"/>
      <c r="L289" s="93"/>
      <c r="M289" s="93"/>
      <c r="N289" s="93"/>
      <c r="O289" s="93"/>
      <c r="P289" s="93"/>
      <c r="Q289" s="93"/>
    </row>
    <row r="290" spans="1:17" x14ac:dyDescent="0.3">
      <c r="A290" s="5"/>
      <c r="B290" s="5"/>
      <c r="C290" s="90"/>
      <c r="D290" s="87"/>
      <c r="E290" s="90"/>
      <c r="F290" s="92"/>
      <c r="G290" s="94"/>
      <c r="H290" s="93"/>
      <c r="I290" s="93"/>
      <c r="J290" s="93"/>
      <c r="K290" s="93"/>
      <c r="L290" s="93"/>
      <c r="M290" s="93"/>
      <c r="N290" s="93"/>
      <c r="O290" s="93"/>
      <c r="P290" s="93"/>
      <c r="Q290" s="93"/>
    </row>
    <row r="291" spans="1:17" x14ac:dyDescent="0.3">
      <c r="A291" s="5"/>
      <c r="B291" s="5"/>
      <c r="C291" s="90"/>
      <c r="D291" s="87"/>
      <c r="E291" s="90"/>
      <c r="F291" s="92"/>
      <c r="G291" s="94"/>
      <c r="H291" s="93"/>
      <c r="I291" s="93"/>
      <c r="J291" s="93"/>
      <c r="K291" s="93"/>
      <c r="L291" s="93"/>
      <c r="M291" s="93"/>
      <c r="N291" s="93"/>
      <c r="O291" s="93"/>
      <c r="P291" s="93"/>
      <c r="Q291" s="93"/>
    </row>
    <row r="292" spans="1:17" x14ac:dyDescent="0.3">
      <c r="A292" s="5"/>
      <c r="B292" s="5"/>
      <c r="C292" s="90"/>
      <c r="D292" s="87"/>
      <c r="E292" s="90"/>
      <c r="F292" s="92"/>
      <c r="G292" s="94"/>
      <c r="H292" s="93"/>
      <c r="I292" s="93"/>
      <c r="J292" s="93"/>
      <c r="K292" s="93"/>
      <c r="L292" s="93"/>
      <c r="M292" s="93"/>
      <c r="N292" s="93"/>
      <c r="O292" s="93"/>
      <c r="P292" s="93"/>
      <c r="Q292" s="93"/>
    </row>
    <row r="293" spans="1:17" x14ac:dyDescent="0.3">
      <c r="A293" s="5"/>
      <c r="B293" s="5"/>
      <c r="C293" s="90"/>
      <c r="D293" s="87"/>
      <c r="E293" s="90"/>
      <c r="F293" s="92"/>
      <c r="G293" s="94"/>
      <c r="H293" s="93"/>
      <c r="I293" s="93"/>
      <c r="J293" s="93"/>
      <c r="K293" s="93"/>
      <c r="L293" s="93"/>
      <c r="M293" s="93"/>
      <c r="N293" s="93"/>
      <c r="O293" s="93"/>
      <c r="P293" s="93"/>
      <c r="Q293" s="93"/>
    </row>
    <row r="294" spans="1:17" x14ac:dyDescent="0.3">
      <c r="A294" s="5"/>
      <c r="B294" s="5"/>
      <c r="C294" s="90"/>
      <c r="D294" s="87"/>
      <c r="E294" s="90"/>
      <c r="F294" s="92"/>
      <c r="G294" s="94"/>
      <c r="H294" s="93"/>
      <c r="I294" s="93"/>
      <c r="J294" s="93"/>
      <c r="K294" s="93"/>
      <c r="L294" s="93"/>
      <c r="M294" s="93"/>
      <c r="N294" s="93"/>
      <c r="O294" s="93"/>
      <c r="P294" s="93"/>
      <c r="Q294" s="93"/>
    </row>
    <row r="295" spans="1:17" x14ac:dyDescent="0.3">
      <c r="A295" s="5"/>
      <c r="B295" s="5"/>
      <c r="C295" s="90"/>
      <c r="D295" s="87"/>
      <c r="E295" s="90"/>
      <c r="F295" s="92"/>
      <c r="G295" s="94"/>
      <c r="H295" s="93"/>
      <c r="I295" s="93"/>
      <c r="J295" s="93"/>
      <c r="K295" s="93"/>
      <c r="L295" s="93"/>
      <c r="M295" s="93"/>
      <c r="N295" s="93"/>
      <c r="O295" s="93"/>
      <c r="P295" s="93"/>
      <c r="Q295" s="93"/>
    </row>
    <row r="296" spans="1:17" x14ac:dyDescent="0.3">
      <c r="A296" s="5"/>
      <c r="B296" s="5"/>
      <c r="C296" s="90"/>
      <c r="D296" s="87"/>
      <c r="E296" s="90"/>
      <c r="F296" s="92"/>
      <c r="G296" s="94"/>
      <c r="H296" s="93"/>
      <c r="I296" s="93"/>
      <c r="J296" s="93"/>
      <c r="K296" s="93"/>
      <c r="L296" s="93"/>
      <c r="M296" s="93"/>
      <c r="N296" s="93"/>
      <c r="O296" s="93"/>
      <c r="P296" s="93"/>
      <c r="Q296" s="93"/>
    </row>
    <row r="297" spans="1:17" x14ac:dyDescent="0.3">
      <c r="A297" s="5"/>
      <c r="B297" s="5"/>
      <c r="C297" s="90"/>
      <c r="D297" s="87"/>
      <c r="E297" s="90"/>
      <c r="F297" s="92"/>
      <c r="G297" s="94"/>
      <c r="H297" s="93"/>
      <c r="I297" s="93"/>
      <c r="J297" s="93"/>
      <c r="K297" s="93"/>
      <c r="L297" s="93"/>
      <c r="M297" s="93"/>
      <c r="N297" s="93"/>
      <c r="O297" s="93"/>
      <c r="P297" s="93"/>
      <c r="Q297" s="93"/>
    </row>
    <row r="298" spans="1:17" x14ac:dyDescent="0.3">
      <c r="A298" s="5"/>
      <c r="B298" s="5"/>
      <c r="C298" s="30"/>
      <c r="D298" s="31"/>
      <c r="E298" s="32"/>
      <c r="F298" s="33"/>
      <c r="G298" s="34"/>
      <c r="H298" s="34"/>
      <c r="I298" s="38"/>
      <c r="J298" s="38"/>
      <c r="K298" s="38"/>
      <c r="L298" s="38"/>
      <c r="M298" s="38"/>
      <c r="N298" s="38"/>
      <c r="O298" s="38"/>
      <c r="P298" s="38"/>
      <c r="Q298" s="38"/>
    </row>
    <row r="299" spans="1:17" x14ac:dyDescent="0.3">
      <c r="A299" s="5"/>
      <c r="B299" s="5"/>
      <c r="C299" s="90"/>
      <c r="D299" s="87"/>
      <c r="E299" s="90"/>
      <c r="F299" s="92"/>
      <c r="G299" s="94"/>
      <c r="H299" s="93"/>
      <c r="I299" s="93"/>
      <c r="J299" s="93"/>
      <c r="K299" s="93"/>
      <c r="L299" s="93"/>
      <c r="M299" s="93"/>
      <c r="N299" s="93"/>
      <c r="O299" s="93"/>
      <c r="P299" s="93"/>
      <c r="Q299" s="93"/>
    </row>
    <row r="300" spans="1:17" x14ac:dyDescent="0.3">
      <c r="A300" s="5"/>
      <c r="B300" s="5"/>
      <c r="C300" s="90"/>
      <c r="D300" s="87"/>
      <c r="E300" s="90"/>
      <c r="F300" s="92"/>
      <c r="G300" s="94"/>
      <c r="H300" s="93"/>
      <c r="I300" s="93"/>
      <c r="J300" s="93"/>
      <c r="K300" s="93"/>
      <c r="L300" s="93"/>
      <c r="M300" s="93"/>
      <c r="N300" s="93"/>
      <c r="O300" s="93"/>
      <c r="P300" s="93"/>
      <c r="Q300" s="93"/>
    </row>
    <row r="301" spans="1:17" x14ac:dyDescent="0.3">
      <c r="A301" s="5"/>
      <c r="B301" s="5"/>
      <c r="C301" s="90"/>
      <c r="D301" s="87"/>
      <c r="E301" s="90"/>
      <c r="F301" s="92"/>
      <c r="G301" s="94"/>
      <c r="H301" s="93"/>
      <c r="I301" s="93"/>
      <c r="J301" s="93"/>
      <c r="K301" s="93"/>
      <c r="L301" s="93"/>
      <c r="M301" s="93"/>
      <c r="N301" s="93"/>
      <c r="O301" s="93"/>
      <c r="P301" s="93"/>
      <c r="Q301" s="93"/>
    </row>
    <row r="302" spans="1:17" x14ac:dyDescent="0.3">
      <c r="A302" s="5"/>
      <c r="B302" s="5"/>
      <c r="C302" s="90"/>
      <c r="D302" s="87"/>
      <c r="E302" s="90"/>
      <c r="F302" s="92"/>
      <c r="G302" s="94"/>
      <c r="H302" s="93"/>
      <c r="I302" s="93"/>
      <c r="J302" s="93"/>
      <c r="K302" s="93"/>
      <c r="L302" s="93"/>
      <c r="M302" s="93"/>
      <c r="N302" s="93"/>
      <c r="O302" s="93"/>
      <c r="P302" s="93"/>
      <c r="Q302" s="93"/>
    </row>
    <row r="303" spans="1:17" x14ac:dyDescent="0.3">
      <c r="A303" s="5"/>
      <c r="B303" s="5"/>
      <c r="C303" s="90"/>
      <c r="D303" s="87"/>
      <c r="E303" s="90"/>
      <c r="F303" s="92"/>
      <c r="G303" s="94"/>
      <c r="H303" s="93"/>
      <c r="I303" s="93"/>
      <c r="J303" s="93"/>
      <c r="K303" s="93"/>
      <c r="L303" s="93"/>
      <c r="M303" s="93"/>
      <c r="N303" s="93"/>
      <c r="O303" s="93"/>
      <c r="P303" s="93"/>
      <c r="Q303" s="93"/>
    </row>
    <row r="304" spans="1:17" x14ac:dyDescent="0.3">
      <c r="A304" s="5"/>
      <c r="B304" s="5"/>
      <c r="C304" s="90"/>
      <c r="D304" s="87"/>
      <c r="E304" s="90"/>
      <c r="F304" s="92"/>
      <c r="G304" s="94"/>
      <c r="H304" s="93"/>
      <c r="I304" s="93"/>
      <c r="J304" s="93"/>
      <c r="K304" s="93"/>
      <c r="L304" s="93"/>
      <c r="M304" s="93"/>
      <c r="N304" s="93"/>
      <c r="O304" s="93"/>
      <c r="P304" s="93"/>
      <c r="Q304" s="93"/>
    </row>
    <row r="305" spans="1:17" x14ac:dyDescent="0.3">
      <c r="A305" s="5"/>
      <c r="B305" s="5"/>
      <c r="C305" s="90"/>
      <c r="D305" s="87"/>
      <c r="E305" s="90"/>
      <c r="F305" s="92"/>
      <c r="G305" s="94"/>
      <c r="H305" s="93"/>
      <c r="I305" s="93"/>
      <c r="J305" s="93"/>
      <c r="K305" s="93"/>
      <c r="L305" s="93"/>
      <c r="M305" s="93"/>
      <c r="N305" s="93"/>
      <c r="O305" s="93"/>
      <c r="P305" s="93"/>
      <c r="Q305" s="93"/>
    </row>
    <row r="306" spans="1:17" x14ac:dyDescent="0.3">
      <c r="A306" s="5"/>
      <c r="B306" s="5"/>
      <c r="C306" s="90"/>
      <c r="D306" s="87"/>
      <c r="E306" s="90"/>
      <c r="F306" s="92"/>
      <c r="G306" s="94"/>
      <c r="H306" s="93"/>
      <c r="I306" s="93"/>
      <c r="J306" s="93"/>
      <c r="K306" s="93"/>
      <c r="L306" s="93"/>
      <c r="M306" s="93"/>
      <c r="N306" s="93"/>
      <c r="O306" s="93"/>
      <c r="P306" s="93"/>
      <c r="Q306" s="93"/>
    </row>
    <row r="307" spans="1:17" x14ac:dyDescent="0.3">
      <c r="A307" s="5"/>
      <c r="B307" s="5"/>
      <c r="C307" s="90"/>
      <c r="D307" s="87"/>
      <c r="E307" s="90"/>
      <c r="F307" s="92"/>
      <c r="G307" s="94"/>
      <c r="H307" s="93"/>
      <c r="I307" s="93"/>
      <c r="J307" s="93"/>
      <c r="K307" s="93"/>
      <c r="L307" s="93"/>
      <c r="M307" s="93"/>
      <c r="N307" s="93"/>
      <c r="O307" s="93"/>
      <c r="P307" s="93"/>
      <c r="Q307" s="93"/>
    </row>
    <row r="308" spans="1:17" x14ac:dyDescent="0.3">
      <c r="A308" s="5"/>
      <c r="B308" s="5"/>
      <c r="C308" s="90"/>
      <c r="D308" s="87"/>
      <c r="E308" s="90"/>
      <c r="F308" s="92"/>
      <c r="G308" s="94"/>
      <c r="H308" s="93"/>
      <c r="I308" s="93"/>
      <c r="J308" s="93"/>
      <c r="K308" s="93"/>
      <c r="L308" s="93"/>
      <c r="M308" s="93"/>
      <c r="N308" s="93"/>
      <c r="O308" s="93"/>
      <c r="P308" s="93"/>
      <c r="Q308" s="93"/>
    </row>
    <row r="309" spans="1:17" x14ac:dyDescent="0.3">
      <c r="A309" s="5"/>
      <c r="B309" s="5"/>
      <c r="C309" s="90"/>
      <c r="D309" s="87"/>
      <c r="E309" s="90"/>
      <c r="F309" s="92"/>
      <c r="G309" s="94"/>
      <c r="H309" s="93"/>
      <c r="I309" s="93"/>
      <c r="J309" s="93"/>
      <c r="K309" s="93"/>
      <c r="L309" s="93"/>
      <c r="M309" s="93"/>
      <c r="N309" s="93"/>
      <c r="O309" s="93"/>
      <c r="P309" s="93"/>
      <c r="Q309" s="93"/>
    </row>
    <row r="310" spans="1:17" x14ac:dyDescent="0.3">
      <c r="A310" s="5"/>
      <c r="B310" s="5"/>
      <c r="C310" s="90"/>
      <c r="D310" s="87"/>
      <c r="E310" s="90"/>
      <c r="F310" s="92"/>
      <c r="G310" s="94"/>
      <c r="H310" s="93"/>
      <c r="I310" s="93"/>
      <c r="J310" s="93"/>
      <c r="K310" s="93"/>
      <c r="L310" s="93"/>
      <c r="M310" s="93"/>
      <c r="N310" s="93"/>
      <c r="O310" s="93"/>
      <c r="P310" s="93"/>
      <c r="Q310" s="93"/>
    </row>
    <row r="311" spans="1:17" x14ac:dyDescent="0.3">
      <c r="A311" s="5"/>
      <c r="B311" s="5"/>
      <c r="C311" s="90"/>
      <c r="D311" s="87"/>
      <c r="E311" s="90"/>
      <c r="F311" s="92"/>
      <c r="G311" s="94"/>
      <c r="H311" s="93"/>
      <c r="I311" s="93"/>
      <c r="J311" s="93"/>
      <c r="K311" s="93"/>
      <c r="L311" s="93"/>
      <c r="M311" s="93"/>
      <c r="N311" s="93"/>
      <c r="O311" s="93"/>
      <c r="P311" s="93"/>
      <c r="Q311" s="93"/>
    </row>
    <row r="312" spans="1:17" x14ac:dyDescent="0.3">
      <c r="A312" s="5"/>
      <c r="B312" s="5"/>
      <c r="C312" s="90"/>
      <c r="D312" s="87"/>
      <c r="E312" s="90"/>
      <c r="F312" s="92"/>
      <c r="G312" s="94"/>
      <c r="H312" s="93"/>
      <c r="I312" s="93"/>
      <c r="J312" s="93"/>
      <c r="K312" s="93"/>
      <c r="L312" s="93"/>
      <c r="M312" s="93"/>
      <c r="N312" s="93"/>
      <c r="O312" s="93"/>
      <c r="P312" s="93"/>
      <c r="Q312" s="93"/>
    </row>
    <row r="313" spans="1:17" x14ac:dyDescent="0.3">
      <c r="A313" s="5"/>
      <c r="B313" s="5"/>
      <c r="C313" s="90"/>
      <c r="D313" s="87"/>
      <c r="E313" s="90"/>
      <c r="F313" s="92"/>
      <c r="G313" s="94"/>
      <c r="H313" s="93"/>
      <c r="I313" s="93"/>
      <c r="J313" s="93"/>
      <c r="K313" s="93"/>
      <c r="L313" s="93"/>
      <c r="M313" s="93"/>
      <c r="N313" s="93"/>
      <c r="O313" s="93"/>
      <c r="P313" s="93"/>
      <c r="Q313" s="93"/>
    </row>
    <row r="314" spans="1:17" x14ac:dyDescent="0.3">
      <c r="A314" s="5"/>
      <c r="B314" s="5"/>
      <c r="C314" s="90"/>
      <c r="D314" s="87"/>
      <c r="E314" s="90"/>
      <c r="F314" s="92"/>
      <c r="G314" s="94"/>
      <c r="H314" s="93"/>
      <c r="I314" s="93"/>
      <c r="J314" s="93"/>
      <c r="K314" s="93"/>
      <c r="L314" s="93"/>
      <c r="M314" s="93"/>
      <c r="N314" s="93"/>
      <c r="O314" s="93"/>
      <c r="P314" s="93"/>
      <c r="Q314" s="93"/>
    </row>
    <row r="315" spans="1:17" x14ac:dyDescent="0.3">
      <c r="A315" s="5"/>
      <c r="B315" s="5"/>
      <c r="C315" s="90"/>
      <c r="D315" s="87"/>
      <c r="E315" s="90"/>
      <c r="F315" s="92"/>
      <c r="G315" s="94"/>
      <c r="H315" s="93"/>
      <c r="I315" s="93"/>
      <c r="J315" s="93"/>
      <c r="K315" s="93"/>
      <c r="L315" s="93"/>
      <c r="M315" s="93"/>
      <c r="N315" s="93"/>
      <c r="O315" s="93"/>
      <c r="P315" s="93"/>
      <c r="Q315" s="93"/>
    </row>
    <row r="316" spans="1:17" x14ac:dyDescent="0.3">
      <c r="A316" s="5"/>
      <c r="B316" s="5"/>
      <c r="C316" s="90"/>
      <c r="D316" s="87"/>
      <c r="E316" s="90"/>
      <c r="F316" s="92"/>
      <c r="G316" s="94"/>
      <c r="H316" s="93"/>
      <c r="I316" s="93"/>
      <c r="J316" s="93"/>
      <c r="K316" s="93"/>
      <c r="L316" s="93"/>
      <c r="M316" s="93"/>
      <c r="N316" s="93"/>
      <c r="O316" s="93"/>
      <c r="P316" s="93"/>
      <c r="Q316" s="93"/>
    </row>
    <row r="317" spans="1:17" x14ac:dyDescent="0.3">
      <c r="A317" s="5"/>
      <c r="B317" s="5"/>
      <c r="C317" s="90"/>
      <c r="D317" s="87"/>
      <c r="E317" s="90"/>
      <c r="F317" s="92"/>
      <c r="G317" s="94"/>
      <c r="H317" s="93"/>
      <c r="I317" s="93"/>
      <c r="J317" s="93"/>
      <c r="K317" s="93"/>
      <c r="L317" s="93"/>
      <c r="M317" s="93"/>
      <c r="N317" s="93"/>
      <c r="O317" s="93"/>
      <c r="P317" s="93"/>
      <c r="Q317" s="93"/>
    </row>
    <row r="318" spans="1:17" x14ac:dyDescent="0.3">
      <c r="A318" s="5"/>
      <c r="B318" s="5"/>
      <c r="C318" s="90"/>
      <c r="D318" s="87"/>
      <c r="E318" s="90"/>
      <c r="F318" s="92"/>
      <c r="G318" s="94"/>
      <c r="H318" s="93"/>
      <c r="I318" s="93"/>
      <c r="J318" s="93"/>
      <c r="K318" s="93"/>
      <c r="L318" s="93"/>
      <c r="M318" s="93"/>
      <c r="N318" s="93"/>
      <c r="O318" s="93"/>
      <c r="P318" s="93"/>
      <c r="Q318" s="93"/>
    </row>
    <row r="319" spans="1:17" x14ac:dyDescent="0.3">
      <c r="A319" s="5"/>
      <c r="B319" s="5"/>
      <c r="C319" s="90"/>
      <c r="D319" s="87"/>
      <c r="E319" s="90"/>
      <c r="F319" s="92"/>
      <c r="G319" s="94"/>
      <c r="H319" s="93"/>
      <c r="I319" s="93"/>
      <c r="J319" s="93"/>
      <c r="K319" s="93"/>
      <c r="L319" s="93"/>
      <c r="M319" s="93"/>
      <c r="N319" s="93"/>
      <c r="O319" s="93"/>
      <c r="P319" s="93"/>
      <c r="Q319" s="93"/>
    </row>
    <row r="320" spans="1:17" x14ac:dyDescent="0.3">
      <c r="A320" s="5"/>
      <c r="B320" s="5"/>
      <c r="C320" s="90"/>
      <c r="D320" s="87"/>
      <c r="E320" s="90"/>
      <c r="F320" s="92"/>
      <c r="G320" s="94"/>
      <c r="H320" s="93"/>
      <c r="I320" s="93"/>
      <c r="J320" s="93"/>
      <c r="K320" s="93"/>
      <c r="L320" s="93"/>
      <c r="M320" s="93"/>
      <c r="N320" s="93"/>
      <c r="O320" s="93"/>
      <c r="P320" s="93"/>
      <c r="Q320" s="93"/>
    </row>
    <row r="321" spans="1:17" x14ac:dyDescent="0.3">
      <c r="A321" s="5"/>
      <c r="B321" s="5"/>
      <c r="C321" s="90"/>
      <c r="D321" s="87"/>
      <c r="E321" s="90"/>
      <c r="F321" s="92"/>
      <c r="G321" s="94"/>
      <c r="H321" s="93"/>
      <c r="I321" s="93"/>
      <c r="J321" s="93"/>
      <c r="K321" s="93"/>
      <c r="L321" s="93"/>
      <c r="M321" s="93"/>
      <c r="N321" s="93"/>
      <c r="O321" s="93"/>
      <c r="P321" s="93"/>
      <c r="Q321" s="93"/>
    </row>
    <row r="322" spans="1:17" x14ac:dyDescent="0.3">
      <c r="A322" s="5"/>
      <c r="B322" s="5"/>
      <c r="C322" s="90"/>
      <c r="D322" s="87"/>
      <c r="E322" s="90"/>
      <c r="F322" s="92"/>
      <c r="G322" s="94"/>
      <c r="H322" s="93"/>
      <c r="I322" s="93"/>
      <c r="J322" s="93"/>
      <c r="K322" s="93"/>
      <c r="L322" s="93"/>
      <c r="M322" s="93"/>
      <c r="N322" s="93"/>
      <c r="O322" s="93"/>
      <c r="P322" s="93"/>
      <c r="Q322" s="93"/>
    </row>
    <row r="323" spans="1:17" x14ac:dyDescent="0.3">
      <c r="A323" s="5"/>
      <c r="B323" s="5"/>
      <c r="C323" s="90"/>
      <c r="D323" s="87"/>
      <c r="E323" s="90"/>
      <c r="F323" s="92"/>
      <c r="G323" s="94"/>
      <c r="H323" s="93"/>
      <c r="I323" s="93"/>
      <c r="J323" s="93"/>
      <c r="K323" s="93"/>
      <c r="L323" s="93"/>
      <c r="M323" s="93"/>
      <c r="N323" s="93"/>
      <c r="O323" s="93"/>
      <c r="P323" s="93"/>
      <c r="Q323" s="93"/>
    </row>
    <row r="324" spans="1:17" x14ac:dyDescent="0.3">
      <c r="A324" s="5"/>
      <c r="B324" s="5"/>
      <c r="C324" s="90"/>
      <c r="D324" s="87"/>
      <c r="E324" s="90"/>
      <c r="F324" s="92"/>
      <c r="G324" s="94"/>
      <c r="H324" s="93"/>
      <c r="I324" s="93"/>
      <c r="J324" s="93"/>
      <c r="K324" s="93"/>
      <c r="L324" s="93"/>
      <c r="M324" s="93"/>
      <c r="N324" s="93"/>
      <c r="O324" s="93"/>
      <c r="P324" s="93"/>
      <c r="Q324" s="93"/>
    </row>
    <row r="325" spans="1:17" x14ac:dyDescent="0.3">
      <c r="A325" s="5"/>
      <c r="B325" s="5"/>
      <c r="C325" s="90"/>
      <c r="D325" s="87"/>
      <c r="E325" s="90"/>
      <c r="F325" s="92"/>
      <c r="G325" s="94"/>
      <c r="H325" s="93"/>
      <c r="I325" s="93"/>
      <c r="J325" s="93"/>
      <c r="K325" s="93"/>
      <c r="L325" s="93"/>
      <c r="M325" s="93"/>
      <c r="N325" s="93"/>
      <c r="O325" s="93"/>
      <c r="P325" s="93"/>
      <c r="Q325" s="93"/>
    </row>
    <row r="326" spans="1:17" x14ac:dyDescent="0.3">
      <c r="A326" s="5"/>
      <c r="B326" s="5"/>
      <c r="C326" s="90"/>
      <c r="D326" s="87"/>
      <c r="E326" s="90"/>
      <c r="F326" s="92"/>
      <c r="G326" s="94"/>
      <c r="H326" s="93"/>
      <c r="I326" s="93"/>
      <c r="J326" s="93"/>
      <c r="K326" s="93"/>
      <c r="L326" s="93"/>
      <c r="M326" s="93"/>
      <c r="N326" s="93"/>
      <c r="O326" s="93"/>
      <c r="P326" s="93"/>
      <c r="Q326" s="93"/>
    </row>
    <row r="327" spans="1:17" x14ac:dyDescent="0.3">
      <c r="A327" s="5"/>
      <c r="B327" s="5"/>
      <c r="C327" s="90"/>
      <c r="D327" s="87"/>
      <c r="E327" s="90"/>
      <c r="F327" s="92"/>
      <c r="G327" s="94"/>
      <c r="H327" s="93"/>
      <c r="I327" s="93"/>
      <c r="J327" s="93"/>
      <c r="K327" s="93"/>
      <c r="L327" s="93"/>
      <c r="M327" s="93"/>
      <c r="N327" s="93"/>
      <c r="O327" s="93"/>
      <c r="P327" s="93"/>
      <c r="Q327" s="93"/>
    </row>
    <row r="328" spans="1:17" x14ac:dyDescent="0.3">
      <c r="A328" s="5"/>
      <c r="B328" s="5"/>
      <c r="C328" s="90"/>
      <c r="D328" s="87"/>
      <c r="E328" s="90"/>
      <c r="F328" s="92"/>
      <c r="G328" s="94"/>
      <c r="H328" s="93"/>
      <c r="I328" s="93"/>
      <c r="J328" s="93"/>
      <c r="K328" s="93"/>
      <c r="L328" s="93"/>
      <c r="M328" s="93"/>
      <c r="N328" s="93"/>
      <c r="O328" s="93"/>
      <c r="P328" s="93"/>
      <c r="Q328" s="93"/>
    </row>
    <row r="329" spans="1:17" x14ac:dyDescent="0.3">
      <c r="A329" s="5"/>
      <c r="B329" s="5"/>
      <c r="C329" s="90"/>
      <c r="D329" s="87"/>
      <c r="E329" s="90"/>
      <c r="F329" s="92"/>
      <c r="G329" s="94"/>
      <c r="H329" s="93"/>
      <c r="I329" s="93"/>
      <c r="J329" s="93"/>
      <c r="K329" s="93"/>
      <c r="L329" s="93"/>
      <c r="M329" s="93"/>
      <c r="N329" s="93"/>
      <c r="O329" s="93"/>
      <c r="P329" s="93"/>
      <c r="Q329" s="93"/>
    </row>
    <row r="330" spans="1:17" x14ac:dyDescent="0.3">
      <c r="A330" s="5"/>
      <c r="B330" s="5"/>
      <c r="C330" s="90"/>
      <c r="D330" s="87"/>
      <c r="E330" s="90"/>
      <c r="F330" s="92"/>
      <c r="G330" s="94"/>
      <c r="H330" s="93"/>
      <c r="I330" s="93"/>
      <c r="J330" s="93"/>
      <c r="K330" s="93"/>
      <c r="L330" s="93"/>
      <c r="M330" s="93"/>
      <c r="N330" s="93"/>
      <c r="O330" s="93"/>
      <c r="P330" s="93"/>
      <c r="Q330" s="93"/>
    </row>
    <row r="331" spans="1:17" x14ac:dyDescent="0.3">
      <c r="A331" s="5"/>
      <c r="B331" s="5"/>
      <c r="C331" s="90"/>
      <c r="D331" s="87"/>
      <c r="E331" s="90"/>
      <c r="F331" s="92"/>
      <c r="G331" s="94"/>
      <c r="H331" s="93"/>
      <c r="I331" s="93"/>
      <c r="J331" s="93"/>
      <c r="K331" s="93"/>
      <c r="L331" s="93"/>
      <c r="M331" s="93"/>
      <c r="N331" s="93"/>
      <c r="O331" s="93"/>
      <c r="P331" s="93"/>
      <c r="Q331" s="93"/>
    </row>
    <row r="332" spans="1:17" x14ac:dyDescent="0.3">
      <c r="A332" s="5"/>
      <c r="B332" s="5"/>
      <c r="C332" s="90"/>
      <c r="D332" s="87"/>
      <c r="E332" s="90"/>
      <c r="F332" s="92"/>
      <c r="G332" s="94"/>
      <c r="H332" s="93"/>
      <c r="I332" s="93"/>
      <c r="J332" s="93"/>
      <c r="K332" s="93"/>
      <c r="L332" s="93"/>
      <c r="M332" s="93"/>
      <c r="N332" s="93"/>
      <c r="O332" s="93"/>
      <c r="P332" s="93"/>
      <c r="Q332" s="93"/>
    </row>
    <row r="333" spans="1:17" x14ac:dyDescent="0.3">
      <c r="A333" s="5"/>
      <c r="B333" s="5"/>
      <c r="C333" s="90"/>
      <c r="D333" s="87"/>
      <c r="E333" s="90"/>
      <c r="F333" s="92"/>
      <c r="G333" s="94"/>
      <c r="H333" s="93"/>
      <c r="I333" s="93"/>
      <c r="J333" s="93"/>
      <c r="K333" s="93"/>
      <c r="L333" s="93"/>
      <c r="M333" s="93"/>
      <c r="N333" s="93"/>
      <c r="O333" s="93"/>
      <c r="P333" s="93"/>
      <c r="Q333" s="93"/>
    </row>
    <row r="334" spans="1:17" x14ac:dyDescent="0.3">
      <c r="A334" s="5"/>
      <c r="B334" s="5"/>
      <c r="C334" s="90"/>
      <c r="D334" s="87"/>
      <c r="E334" s="90"/>
      <c r="F334" s="92"/>
      <c r="G334" s="94"/>
      <c r="H334" s="93"/>
      <c r="I334" s="93"/>
      <c r="J334" s="93"/>
      <c r="K334" s="93"/>
      <c r="L334" s="93"/>
      <c r="M334" s="93"/>
      <c r="N334" s="93"/>
      <c r="O334" s="93"/>
      <c r="P334" s="93"/>
      <c r="Q334" s="93"/>
    </row>
    <row r="335" spans="1:17" x14ac:dyDescent="0.3">
      <c r="A335" s="5"/>
      <c r="B335" s="5"/>
      <c r="C335" s="90"/>
      <c r="D335" s="87"/>
      <c r="E335" s="90"/>
      <c r="F335" s="92"/>
      <c r="G335" s="94"/>
      <c r="H335" s="93"/>
      <c r="I335" s="93"/>
      <c r="J335" s="93"/>
      <c r="K335" s="93"/>
      <c r="L335" s="93"/>
      <c r="M335" s="93"/>
      <c r="N335" s="93"/>
      <c r="O335" s="93"/>
      <c r="P335" s="93"/>
      <c r="Q335" s="93"/>
    </row>
    <row r="336" spans="1:17" x14ac:dyDescent="0.3">
      <c r="A336" s="5"/>
      <c r="B336" s="5"/>
      <c r="C336" s="90"/>
      <c r="D336" s="87"/>
      <c r="E336" s="90"/>
      <c r="F336" s="92"/>
      <c r="G336" s="94"/>
      <c r="H336" s="93"/>
      <c r="I336" s="93"/>
      <c r="J336" s="93"/>
      <c r="K336" s="93"/>
      <c r="L336" s="93"/>
      <c r="M336" s="93"/>
      <c r="N336" s="93"/>
      <c r="O336" s="93"/>
      <c r="P336" s="93"/>
      <c r="Q336" s="93"/>
    </row>
    <row r="337" spans="1:17" x14ac:dyDescent="0.3">
      <c r="A337" s="5"/>
      <c r="B337" s="5"/>
      <c r="C337" s="90"/>
      <c r="D337" s="87"/>
      <c r="E337" s="90"/>
      <c r="F337" s="92"/>
      <c r="G337" s="94"/>
      <c r="H337" s="93"/>
      <c r="I337" s="93"/>
      <c r="J337" s="93"/>
      <c r="K337" s="93"/>
      <c r="L337" s="93"/>
      <c r="M337" s="93"/>
      <c r="N337" s="93"/>
      <c r="O337" s="93"/>
      <c r="P337" s="93"/>
      <c r="Q337" s="93"/>
    </row>
    <row r="338" spans="1:17" x14ac:dyDescent="0.3">
      <c r="A338" s="5"/>
      <c r="B338" s="5"/>
      <c r="C338" s="90"/>
      <c r="D338" s="87"/>
      <c r="E338" s="90"/>
      <c r="F338" s="92"/>
      <c r="G338" s="94"/>
      <c r="H338" s="93"/>
      <c r="I338" s="93"/>
      <c r="J338" s="93"/>
      <c r="K338" s="93"/>
      <c r="L338" s="93"/>
      <c r="M338" s="93"/>
      <c r="N338" s="93"/>
      <c r="O338" s="93"/>
      <c r="P338" s="93"/>
      <c r="Q338" s="93"/>
    </row>
    <row r="339" spans="1:17" x14ac:dyDescent="0.3">
      <c r="A339" s="5"/>
      <c r="B339" s="5"/>
      <c r="C339" s="90"/>
      <c r="D339" s="87"/>
      <c r="E339" s="90"/>
      <c r="F339" s="92"/>
      <c r="G339" s="94"/>
      <c r="H339" s="93"/>
      <c r="I339" s="93"/>
      <c r="J339" s="93"/>
      <c r="K339" s="93"/>
      <c r="L339" s="93"/>
      <c r="M339" s="93"/>
      <c r="N339" s="93"/>
      <c r="O339" s="93"/>
      <c r="P339" s="93"/>
      <c r="Q339" s="93"/>
    </row>
    <row r="340" spans="1:17" x14ac:dyDescent="0.3">
      <c r="A340" s="5"/>
      <c r="B340" s="5"/>
      <c r="C340" s="90"/>
      <c r="D340" s="87"/>
      <c r="E340" s="90"/>
      <c r="F340" s="92"/>
      <c r="G340" s="94"/>
      <c r="H340" s="93"/>
      <c r="I340" s="93"/>
      <c r="J340" s="93"/>
      <c r="K340" s="93"/>
      <c r="L340" s="93"/>
      <c r="M340" s="93"/>
      <c r="N340" s="93"/>
      <c r="O340" s="93"/>
      <c r="P340" s="93"/>
      <c r="Q340" s="93"/>
    </row>
    <row r="341" spans="1:17" x14ac:dyDescent="0.3">
      <c r="A341" s="5"/>
      <c r="B341" s="5"/>
      <c r="C341" s="90"/>
      <c r="D341" s="87"/>
      <c r="E341" s="90"/>
      <c r="F341" s="92"/>
      <c r="G341" s="94"/>
      <c r="H341" s="93"/>
      <c r="I341" s="93"/>
      <c r="J341" s="93"/>
      <c r="K341" s="93"/>
      <c r="L341" s="93"/>
      <c r="M341" s="93"/>
      <c r="N341" s="93"/>
      <c r="O341" s="93"/>
      <c r="P341" s="93"/>
      <c r="Q341" s="93"/>
    </row>
    <row r="342" spans="1:17" x14ac:dyDescent="0.3">
      <c r="A342" s="5"/>
      <c r="B342" s="5"/>
      <c r="C342" s="90"/>
      <c r="D342" s="87"/>
      <c r="E342" s="90"/>
      <c r="F342" s="92"/>
      <c r="G342" s="94"/>
      <c r="H342" s="93"/>
      <c r="I342" s="93"/>
      <c r="J342" s="93"/>
      <c r="K342" s="93"/>
      <c r="L342" s="93"/>
      <c r="M342" s="93"/>
      <c r="N342" s="93"/>
      <c r="O342" s="93"/>
      <c r="P342" s="93"/>
      <c r="Q342" s="93"/>
    </row>
    <row r="343" spans="1:17" x14ac:dyDescent="0.3">
      <c r="A343" s="5"/>
      <c r="B343" s="5"/>
      <c r="C343" s="90"/>
      <c r="D343" s="87"/>
      <c r="E343" s="90"/>
      <c r="F343" s="92"/>
      <c r="G343" s="94"/>
      <c r="H343" s="93"/>
      <c r="I343" s="93"/>
      <c r="J343" s="93"/>
      <c r="K343" s="93"/>
      <c r="L343" s="93"/>
      <c r="M343" s="93"/>
      <c r="N343" s="93"/>
      <c r="O343" s="93"/>
      <c r="P343" s="93"/>
      <c r="Q343" s="93"/>
    </row>
    <row r="344" spans="1:17" x14ac:dyDescent="0.3">
      <c r="A344" s="29"/>
      <c r="B344" s="29"/>
      <c r="C344" s="90"/>
      <c r="D344" s="87"/>
      <c r="E344" s="90"/>
      <c r="F344" s="92"/>
      <c r="G344" s="94"/>
      <c r="H344" s="93"/>
      <c r="I344" s="93"/>
      <c r="J344" s="93"/>
      <c r="K344" s="93"/>
      <c r="L344" s="93"/>
      <c r="M344" s="93"/>
      <c r="N344" s="93"/>
      <c r="O344" s="93"/>
      <c r="P344" s="93"/>
      <c r="Q344" s="93"/>
    </row>
    <row r="345" spans="1:17" x14ac:dyDescent="0.3">
      <c r="A345" s="90"/>
      <c r="B345" s="90"/>
      <c r="C345" s="90"/>
      <c r="D345" s="87"/>
      <c r="E345" s="90"/>
      <c r="F345" s="92"/>
      <c r="G345" s="94"/>
      <c r="H345" s="93"/>
      <c r="I345" s="93"/>
      <c r="J345" s="93"/>
      <c r="K345" s="93"/>
      <c r="L345" s="93"/>
      <c r="M345" s="93"/>
      <c r="N345" s="93"/>
      <c r="O345" s="93"/>
      <c r="P345" s="93"/>
      <c r="Q345" s="93"/>
    </row>
    <row r="346" spans="1:17" x14ac:dyDescent="0.3">
      <c r="A346" s="90"/>
      <c r="B346" s="90"/>
      <c r="C346" s="90"/>
      <c r="D346" s="87"/>
      <c r="E346" s="90"/>
      <c r="F346" s="92"/>
      <c r="G346" s="94"/>
      <c r="H346" s="93"/>
      <c r="I346" s="93"/>
      <c r="J346" s="93"/>
      <c r="K346" s="93"/>
      <c r="L346" s="93"/>
      <c r="M346" s="93"/>
      <c r="N346" s="93"/>
      <c r="O346" s="93"/>
      <c r="P346" s="93"/>
      <c r="Q346" s="93"/>
    </row>
    <row r="347" spans="1:17" x14ac:dyDescent="0.3">
      <c r="A347" s="36"/>
      <c r="B347" s="36"/>
      <c r="C347" s="90"/>
      <c r="D347" s="87"/>
      <c r="E347" s="90"/>
      <c r="F347" s="92"/>
      <c r="G347" s="94"/>
      <c r="H347" s="93"/>
      <c r="I347" s="93"/>
      <c r="J347" s="93"/>
      <c r="K347" s="93"/>
      <c r="L347" s="93"/>
      <c r="M347" s="93"/>
      <c r="N347" s="93"/>
      <c r="O347" s="93"/>
      <c r="P347" s="93"/>
      <c r="Q347" s="93"/>
    </row>
    <row r="348" spans="1:17" x14ac:dyDescent="0.3">
      <c r="A348" s="90"/>
      <c r="B348" s="90"/>
      <c r="C348" s="90"/>
      <c r="D348" s="87"/>
      <c r="E348" s="90"/>
      <c r="F348" s="92"/>
      <c r="G348" s="94"/>
      <c r="H348" s="93"/>
      <c r="I348" s="93"/>
      <c r="J348" s="93"/>
      <c r="K348" s="93"/>
      <c r="L348" s="93"/>
      <c r="M348" s="93"/>
      <c r="N348" s="93"/>
      <c r="O348" s="93"/>
      <c r="P348" s="93"/>
      <c r="Q348" s="93"/>
    </row>
    <row r="349" spans="1:17" x14ac:dyDescent="0.3">
      <c r="A349" s="90"/>
      <c r="B349" s="90"/>
      <c r="C349" s="90"/>
      <c r="D349" s="87"/>
      <c r="E349" s="90"/>
      <c r="F349" s="92"/>
      <c r="G349" s="94"/>
      <c r="H349" s="93"/>
      <c r="I349" s="93"/>
      <c r="J349" s="93"/>
      <c r="K349" s="93"/>
      <c r="L349" s="93"/>
      <c r="M349" s="93"/>
      <c r="N349" s="93"/>
      <c r="O349" s="93"/>
      <c r="P349" s="93"/>
      <c r="Q349" s="93"/>
    </row>
    <row r="350" spans="1:17" x14ac:dyDescent="0.3">
      <c r="A350" s="90"/>
      <c r="B350" s="90"/>
      <c r="C350" s="90"/>
      <c r="D350" s="87"/>
      <c r="E350" s="90"/>
      <c r="F350" s="92"/>
      <c r="G350" s="94"/>
      <c r="H350" s="93"/>
      <c r="I350" s="93"/>
      <c r="J350" s="93"/>
      <c r="K350" s="93"/>
      <c r="L350" s="93"/>
      <c r="M350" s="93"/>
      <c r="N350" s="93"/>
      <c r="O350" s="93"/>
      <c r="P350" s="93"/>
      <c r="Q350" s="93"/>
    </row>
    <row r="351" spans="1:17" x14ac:dyDescent="0.3">
      <c r="A351" s="90"/>
      <c r="B351" s="90"/>
      <c r="C351" s="90"/>
      <c r="D351" s="87"/>
      <c r="E351" s="90"/>
      <c r="F351" s="92"/>
      <c r="G351" s="94"/>
      <c r="H351" s="93"/>
      <c r="I351" s="93"/>
      <c r="J351" s="93"/>
      <c r="K351" s="93"/>
      <c r="L351" s="93"/>
      <c r="M351" s="93"/>
      <c r="N351" s="93"/>
      <c r="O351" s="93"/>
      <c r="P351" s="93"/>
      <c r="Q351" s="93"/>
    </row>
    <row r="352" spans="1:17" x14ac:dyDescent="0.3">
      <c r="A352" s="90"/>
      <c r="B352" s="90"/>
      <c r="C352" s="90"/>
      <c r="D352" s="87"/>
      <c r="E352" s="90"/>
      <c r="F352" s="92"/>
      <c r="G352" s="94"/>
      <c r="H352" s="93"/>
      <c r="I352" s="93"/>
      <c r="J352" s="93"/>
      <c r="K352" s="93"/>
      <c r="L352" s="93"/>
      <c r="M352" s="93"/>
      <c r="N352" s="93"/>
      <c r="O352" s="93"/>
      <c r="P352" s="93"/>
      <c r="Q352" s="93"/>
    </row>
    <row r="353" spans="1:17" x14ac:dyDescent="0.3">
      <c r="A353" s="36"/>
      <c r="B353" s="36"/>
      <c r="C353" s="90"/>
      <c r="D353" s="87"/>
      <c r="E353" s="90"/>
      <c r="F353" s="92"/>
      <c r="G353" s="94"/>
      <c r="H353" s="93"/>
      <c r="I353" s="93"/>
      <c r="J353" s="93"/>
      <c r="K353" s="93"/>
      <c r="L353" s="93"/>
      <c r="M353" s="93"/>
      <c r="N353" s="93"/>
      <c r="O353" s="93"/>
      <c r="P353" s="93"/>
      <c r="Q353" s="93"/>
    </row>
    <row r="354" spans="1:17" x14ac:dyDescent="0.3">
      <c r="A354" s="90"/>
      <c r="B354" s="90"/>
      <c r="C354" s="90"/>
      <c r="D354" s="87"/>
      <c r="E354" s="90"/>
      <c r="F354" s="92"/>
      <c r="G354" s="94"/>
      <c r="H354" s="93"/>
      <c r="I354" s="93"/>
      <c r="J354" s="93"/>
      <c r="K354" s="93"/>
      <c r="L354" s="93"/>
      <c r="M354" s="93"/>
      <c r="N354" s="93"/>
      <c r="O354" s="93"/>
      <c r="P354" s="93"/>
      <c r="Q354" s="93"/>
    </row>
    <row r="355" spans="1:17" x14ac:dyDescent="0.3">
      <c r="A355" s="90"/>
      <c r="B355" s="90"/>
      <c r="C355" s="90"/>
      <c r="D355" s="87"/>
      <c r="E355" s="90"/>
      <c r="F355" s="92"/>
      <c r="G355" s="94"/>
      <c r="H355" s="93"/>
      <c r="I355" s="93"/>
      <c r="J355" s="93"/>
      <c r="K355" s="93"/>
      <c r="L355" s="93"/>
      <c r="M355" s="93"/>
      <c r="N355" s="93"/>
      <c r="O355" s="93"/>
      <c r="P355" s="93"/>
      <c r="Q355" s="93"/>
    </row>
    <row r="356" spans="1:17" x14ac:dyDescent="0.3">
      <c r="A356" s="90"/>
      <c r="B356" s="90"/>
      <c r="C356" s="90"/>
      <c r="D356" s="87"/>
      <c r="E356" s="90"/>
      <c r="F356" s="92"/>
      <c r="G356" s="94"/>
      <c r="H356" s="93"/>
      <c r="I356" s="93"/>
      <c r="J356" s="93"/>
      <c r="K356" s="93"/>
      <c r="L356" s="93"/>
      <c r="M356" s="93"/>
      <c r="N356" s="93"/>
      <c r="O356" s="93"/>
      <c r="P356" s="93"/>
      <c r="Q356" s="93"/>
    </row>
    <row r="357" spans="1:17" x14ac:dyDescent="0.3">
      <c r="A357" s="36"/>
      <c r="B357" s="36"/>
      <c r="C357" s="90"/>
      <c r="D357" s="87"/>
      <c r="E357" s="90"/>
      <c r="F357" s="92"/>
      <c r="G357" s="94"/>
      <c r="H357" s="93"/>
      <c r="I357" s="93"/>
      <c r="J357" s="93"/>
      <c r="K357" s="93"/>
      <c r="L357" s="93"/>
      <c r="M357" s="93"/>
      <c r="N357" s="93"/>
      <c r="O357" s="93"/>
      <c r="P357" s="93"/>
      <c r="Q357" s="93"/>
    </row>
    <row r="358" spans="1:17" x14ac:dyDescent="0.3">
      <c r="A358" s="36"/>
      <c r="B358" s="36"/>
      <c r="C358" s="90"/>
      <c r="D358" s="87"/>
      <c r="E358" s="90"/>
      <c r="F358" s="92"/>
      <c r="G358" s="94"/>
      <c r="H358" s="93"/>
      <c r="I358" s="93"/>
      <c r="J358" s="93"/>
      <c r="K358" s="93"/>
      <c r="L358" s="93"/>
      <c r="M358" s="93"/>
      <c r="N358" s="93"/>
      <c r="O358" s="93"/>
      <c r="P358" s="93"/>
      <c r="Q358" s="93"/>
    </row>
    <row r="359" spans="1:17" x14ac:dyDescent="0.3">
      <c r="A359" s="90"/>
      <c r="B359" s="90"/>
      <c r="C359" s="90"/>
      <c r="D359" s="87"/>
      <c r="E359" s="90"/>
      <c r="F359" s="92"/>
      <c r="G359" s="94"/>
      <c r="H359" s="93"/>
      <c r="I359" s="93"/>
      <c r="J359" s="93"/>
      <c r="K359" s="93"/>
      <c r="L359" s="93"/>
      <c r="M359" s="93"/>
      <c r="N359" s="93"/>
      <c r="O359" s="93"/>
      <c r="P359" s="93"/>
      <c r="Q359" s="93"/>
    </row>
    <row r="360" spans="1:17" x14ac:dyDescent="0.3">
      <c r="A360" s="90"/>
      <c r="B360" s="90"/>
      <c r="C360" s="90"/>
      <c r="D360" s="87"/>
      <c r="E360" s="90"/>
      <c r="F360" s="92"/>
      <c r="G360" s="94"/>
      <c r="H360" s="93"/>
      <c r="I360" s="93"/>
      <c r="J360" s="93"/>
      <c r="K360" s="93"/>
      <c r="L360" s="93"/>
      <c r="M360" s="93"/>
      <c r="N360" s="93"/>
      <c r="O360" s="93"/>
      <c r="P360" s="93"/>
      <c r="Q360" s="93"/>
    </row>
    <row r="361" spans="1:17" x14ac:dyDescent="0.3">
      <c r="A361" s="90"/>
      <c r="B361" s="90"/>
      <c r="C361" s="90"/>
      <c r="D361" s="87"/>
      <c r="E361" s="90"/>
      <c r="F361" s="92"/>
      <c r="G361" s="94"/>
      <c r="H361" s="93"/>
      <c r="I361" s="93"/>
      <c r="J361" s="93"/>
      <c r="K361" s="93"/>
      <c r="L361" s="93"/>
      <c r="M361" s="93"/>
      <c r="N361" s="93"/>
      <c r="O361" s="93"/>
      <c r="P361" s="93"/>
      <c r="Q361" s="93"/>
    </row>
    <row r="362" spans="1:17" x14ac:dyDescent="0.3">
      <c r="A362" s="36"/>
      <c r="B362" s="36"/>
      <c r="C362" s="90"/>
      <c r="D362" s="87"/>
      <c r="E362" s="90"/>
      <c r="F362" s="92"/>
      <c r="G362" s="94"/>
      <c r="H362" s="93"/>
      <c r="I362" s="93"/>
      <c r="J362" s="93"/>
      <c r="K362" s="93"/>
      <c r="L362" s="93"/>
      <c r="M362" s="93"/>
      <c r="N362" s="93"/>
      <c r="O362" s="93"/>
      <c r="P362" s="93"/>
      <c r="Q362" s="93"/>
    </row>
    <row r="363" spans="1:17" x14ac:dyDescent="0.3">
      <c r="A363" s="36"/>
      <c r="B363" s="36"/>
      <c r="C363" s="90"/>
      <c r="D363" s="87"/>
      <c r="E363" s="90"/>
      <c r="F363" s="92"/>
      <c r="G363" s="94"/>
      <c r="H363" s="93"/>
      <c r="I363" s="93"/>
      <c r="J363" s="93"/>
      <c r="K363" s="93"/>
      <c r="L363" s="93"/>
      <c r="M363" s="93"/>
      <c r="N363" s="93"/>
      <c r="O363" s="93"/>
      <c r="P363" s="93"/>
      <c r="Q363" s="93"/>
    </row>
    <row r="364" spans="1:17" x14ac:dyDescent="0.3">
      <c r="A364" s="90"/>
      <c r="B364" s="90"/>
      <c r="C364" s="90"/>
      <c r="D364" s="87"/>
      <c r="E364" s="90"/>
      <c r="F364" s="92"/>
      <c r="G364" s="94"/>
      <c r="H364" s="93"/>
      <c r="I364" s="93"/>
      <c r="J364" s="93"/>
      <c r="K364" s="93"/>
      <c r="L364" s="93"/>
      <c r="M364" s="93"/>
      <c r="N364" s="93"/>
      <c r="O364" s="93"/>
      <c r="P364" s="93"/>
      <c r="Q364" s="93"/>
    </row>
    <row r="365" spans="1:17" x14ac:dyDescent="0.3">
      <c r="A365" s="90"/>
      <c r="B365" s="90"/>
      <c r="C365" s="90"/>
      <c r="D365" s="87"/>
      <c r="E365" s="90"/>
      <c r="F365" s="92"/>
      <c r="G365" s="94"/>
      <c r="H365" s="93"/>
      <c r="I365" s="93"/>
      <c r="J365" s="93"/>
      <c r="K365" s="93"/>
      <c r="L365" s="93"/>
      <c r="M365" s="93"/>
      <c r="N365" s="93"/>
      <c r="O365" s="93"/>
      <c r="P365" s="93"/>
      <c r="Q365" s="93"/>
    </row>
    <row r="366" spans="1:17" x14ac:dyDescent="0.3">
      <c r="A366" s="90"/>
      <c r="B366" s="90"/>
      <c r="C366" s="90"/>
      <c r="D366" s="87"/>
      <c r="E366" s="90"/>
      <c r="F366" s="92"/>
      <c r="G366" s="94"/>
      <c r="H366" s="93"/>
      <c r="I366" s="93"/>
      <c r="J366" s="93"/>
      <c r="K366" s="93"/>
      <c r="L366" s="93"/>
      <c r="M366" s="93"/>
      <c r="N366" s="93"/>
      <c r="O366" s="93"/>
      <c r="P366" s="93"/>
      <c r="Q366" s="93"/>
    </row>
    <row r="367" spans="1:17" x14ac:dyDescent="0.3">
      <c r="A367" s="90"/>
      <c r="B367" s="90"/>
      <c r="C367" s="90"/>
      <c r="D367" s="87"/>
      <c r="E367" s="90"/>
      <c r="F367" s="92"/>
      <c r="G367" s="94"/>
      <c r="H367" s="93"/>
      <c r="I367" s="93"/>
      <c r="J367" s="93"/>
      <c r="K367" s="93"/>
      <c r="L367" s="93"/>
      <c r="M367" s="93"/>
      <c r="N367" s="93"/>
      <c r="O367" s="93"/>
      <c r="P367" s="93"/>
      <c r="Q367" s="93"/>
    </row>
    <row r="368" spans="1:17" x14ac:dyDescent="0.3">
      <c r="A368" s="90"/>
      <c r="B368" s="90"/>
      <c r="C368" s="90"/>
      <c r="D368" s="87"/>
      <c r="E368" s="90"/>
      <c r="F368" s="92"/>
      <c r="G368" s="94"/>
      <c r="H368" s="93"/>
      <c r="I368" s="93"/>
      <c r="J368" s="93"/>
      <c r="K368" s="93"/>
      <c r="L368" s="93"/>
      <c r="M368" s="93"/>
      <c r="N368" s="93"/>
      <c r="O368" s="93"/>
      <c r="P368" s="93"/>
      <c r="Q368" s="93"/>
    </row>
    <row r="369" spans="1:17" x14ac:dyDescent="0.3">
      <c r="A369" s="90"/>
      <c r="B369" s="90"/>
      <c r="C369" s="90"/>
      <c r="D369" s="87"/>
      <c r="E369" s="90"/>
      <c r="F369" s="92"/>
      <c r="G369" s="94"/>
      <c r="H369" s="93"/>
      <c r="I369" s="93"/>
      <c r="J369" s="93"/>
      <c r="K369" s="93"/>
      <c r="L369" s="93"/>
      <c r="M369" s="93"/>
      <c r="N369" s="93"/>
      <c r="O369" s="93"/>
      <c r="P369" s="93"/>
      <c r="Q369" s="93"/>
    </row>
    <row r="370" spans="1:17" x14ac:dyDescent="0.3">
      <c r="A370" s="90"/>
      <c r="B370" s="90"/>
      <c r="C370" s="90"/>
      <c r="D370" s="87"/>
      <c r="E370" s="90"/>
      <c r="F370" s="92"/>
      <c r="G370" s="94"/>
      <c r="H370" s="93"/>
      <c r="I370" s="93"/>
      <c r="J370" s="93"/>
      <c r="K370" s="93"/>
      <c r="L370" s="93"/>
      <c r="M370" s="93"/>
      <c r="N370" s="93"/>
      <c r="O370" s="93"/>
      <c r="P370" s="93"/>
      <c r="Q370" s="93"/>
    </row>
    <row r="371" spans="1:17" x14ac:dyDescent="0.3">
      <c r="A371" s="37"/>
      <c r="B371" s="37"/>
      <c r="C371" s="90"/>
      <c r="D371" s="87"/>
      <c r="E371" s="90"/>
      <c r="F371" s="92"/>
      <c r="G371" s="94"/>
      <c r="H371" s="93"/>
      <c r="I371" s="93"/>
      <c r="J371" s="93"/>
      <c r="K371" s="93"/>
      <c r="L371" s="93"/>
      <c r="M371" s="93"/>
      <c r="N371" s="93"/>
      <c r="O371" s="93"/>
      <c r="P371" s="93"/>
      <c r="Q371" s="93"/>
    </row>
    <row r="372" spans="1:17" x14ac:dyDescent="0.3">
      <c r="A372" s="90"/>
      <c r="B372" s="90"/>
      <c r="C372" s="90"/>
      <c r="D372" s="87"/>
      <c r="E372" s="90"/>
      <c r="F372" s="92"/>
      <c r="G372" s="94"/>
      <c r="H372" s="93"/>
      <c r="I372" s="93"/>
      <c r="J372" s="93"/>
      <c r="K372" s="93"/>
      <c r="L372" s="93"/>
      <c r="M372" s="93"/>
      <c r="N372" s="93"/>
      <c r="O372" s="93"/>
      <c r="P372" s="93"/>
      <c r="Q372" s="93"/>
    </row>
    <row r="373" spans="1:17" x14ac:dyDescent="0.3">
      <c r="A373" s="90"/>
      <c r="B373" s="90"/>
      <c r="C373" s="90"/>
      <c r="D373" s="87"/>
      <c r="E373" s="90"/>
      <c r="F373" s="92"/>
      <c r="G373" s="94"/>
      <c r="H373" s="93"/>
      <c r="I373" s="93"/>
      <c r="J373" s="93"/>
      <c r="K373" s="93"/>
      <c r="L373" s="93"/>
      <c r="M373" s="93"/>
      <c r="N373" s="93"/>
      <c r="O373" s="93"/>
      <c r="P373" s="93"/>
      <c r="Q373" s="93"/>
    </row>
    <row r="374" spans="1:17" x14ac:dyDescent="0.3">
      <c r="A374" s="90"/>
      <c r="B374" s="90"/>
      <c r="C374" s="90"/>
      <c r="D374" s="87"/>
      <c r="E374" s="90"/>
      <c r="F374" s="92"/>
      <c r="G374" s="94"/>
      <c r="H374" s="93"/>
      <c r="I374" s="93"/>
      <c r="J374" s="93"/>
      <c r="K374" s="93"/>
      <c r="L374" s="93"/>
      <c r="M374" s="93"/>
      <c r="N374" s="93"/>
      <c r="O374" s="93"/>
      <c r="P374" s="93"/>
      <c r="Q374" s="93"/>
    </row>
    <row r="375" spans="1:17" x14ac:dyDescent="0.3">
      <c r="A375" s="90"/>
      <c r="B375" s="90"/>
      <c r="C375" s="90"/>
      <c r="D375" s="87"/>
      <c r="E375" s="90"/>
      <c r="F375" s="92"/>
      <c r="G375" s="94"/>
      <c r="H375" s="93"/>
      <c r="I375" s="93"/>
      <c r="J375" s="93"/>
      <c r="K375" s="93"/>
      <c r="L375" s="93"/>
      <c r="M375" s="93"/>
      <c r="N375" s="93"/>
      <c r="O375" s="93"/>
      <c r="P375" s="93"/>
      <c r="Q375" s="93"/>
    </row>
    <row r="376" spans="1:17" x14ac:dyDescent="0.3">
      <c r="A376" s="90"/>
      <c r="B376" s="90"/>
      <c r="C376" s="90"/>
      <c r="D376" s="87"/>
      <c r="E376" s="90"/>
      <c r="F376" s="92"/>
      <c r="G376" s="94"/>
      <c r="H376" s="93"/>
      <c r="I376" s="93"/>
      <c r="J376" s="93"/>
      <c r="K376" s="93"/>
      <c r="L376" s="93"/>
      <c r="M376" s="93"/>
      <c r="N376" s="93"/>
      <c r="O376" s="93"/>
      <c r="P376" s="93"/>
      <c r="Q376" s="93"/>
    </row>
    <row r="377" spans="1:17" x14ac:dyDescent="0.3">
      <c r="A377" s="90"/>
      <c r="B377" s="90"/>
      <c r="C377" s="90"/>
      <c r="D377" s="87"/>
      <c r="E377" s="90"/>
      <c r="F377" s="92"/>
      <c r="G377" s="94"/>
      <c r="H377" s="93"/>
      <c r="I377" s="93"/>
      <c r="J377" s="93"/>
      <c r="K377" s="93"/>
      <c r="L377" s="93"/>
      <c r="M377" s="93"/>
      <c r="N377" s="93"/>
      <c r="O377" s="93"/>
      <c r="P377" s="93"/>
      <c r="Q377" s="93"/>
    </row>
    <row r="378" spans="1:17" x14ac:dyDescent="0.3">
      <c r="A378" s="90"/>
      <c r="B378" s="90"/>
      <c r="C378" s="90"/>
      <c r="D378" s="87"/>
      <c r="E378" s="90"/>
      <c r="F378" s="92"/>
      <c r="G378" s="94"/>
      <c r="H378" s="93"/>
      <c r="I378" s="93"/>
      <c r="J378" s="93"/>
      <c r="K378" s="93"/>
      <c r="L378" s="93"/>
      <c r="M378" s="93"/>
      <c r="N378" s="93"/>
      <c r="O378" s="93"/>
      <c r="P378" s="93"/>
      <c r="Q378" s="93"/>
    </row>
    <row r="379" spans="1:17" x14ac:dyDescent="0.3">
      <c r="A379" s="90"/>
      <c r="B379" s="90"/>
      <c r="C379" s="90"/>
      <c r="D379" s="87"/>
      <c r="E379" s="90"/>
      <c r="F379" s="92"/>
      <c r="G379" s="94"/>
      <c r="H379" s="93"/>
      <c r="I379" s="93"/>
      <c r="J379" s="93"/>
      <c r="K379" s="93"/>
      <c r="L379" s="93"/>
      <c r="M379" s="93"/>
      <c r="N379" s="93"/>
      <c r="O379" s="93"/>
      <c r="P379" s="93"/>
      <c r="Q379" s="93"/>
    </row>
    <row r="380" spans="1:17" x14ac:dyDescent="0.3">
      <c r="A380" s="90"/>
      <c r="B380" s="90"/>
      <c r="C380" s="90"/>
      <c r="D380" s="87"/>
      <c r="E380" s="90"/>
      <c r="F380" s="92"/>
      <c r="G380" s="94"/>
      <c r="H380" s="93"/>
      <c r="I380" s="93"/>
      <c r="J380" s="93"/>
      <c r="K380" s="93"/>
      <c r="L380" s="93"/>
      <c r="M380" s="93"/>
      <c r="N380" s="93"/>
      <c r="O380" s="93"/>
      <c r="P380" s="93"/>
      <c r="Q380" s="93"/>
    </row>
    <row r="381" spans="1:17" x14ac:dyDescent="0.3">
      <c r="A381" s="90"/>
      <c r="B381" s="90"/>
      <c r="C381" s="90"/>
      <c r="D381" s="87"/>
      <c r="E381" s="90"/>
      <c r="F381" s="92"/>
      <c r="G381" s="94"/>
      <c r="H381" s="93"/>
      <c r="I381" s="93"/>
      <c r="J381" s="93"/>
      <c r="K381" s="93"/>
      <c r="L381" s="93"/>
      <c r="M381" s="93"/>
      <c r="N381" s="93"/>
      <c r="O381" s="93"/>
      <c r="P381" s="93"/>
      <c r="Q381" s="93"/>
    </row>
    <row r="382" spans="1:17" x14ac:dyDescent="0.3">
      <c r="A382" s="90"/>
      <c r="B382" s="90"/>
      <c r="C382" s="90"/>
      <c r="D382" s="87"/>
      <c r="E382" s="90"/>
      <c r="F382" s="92"/>
      <c r="G382" s="94"/>
      <c r="H382" s="93"/>
      <c r="I382" s="93"/>
      <c r="J382" s="93"/>
      <c r="K382" s="93"/>
      <c r="L382" s="93"/>
      <c r="M382" s="93"/>
      <c r="N382" s="93"/>
      <c r="O382" s="93"/>
      <c r="P382" s="93"/>
      <c r="Q382" s="93"/>
    </row>
    <row r="383" spans="1:17" x14ac:dyDescent="0.3">
      <c r="A383" s="90"/>
      <c r="B383" s="90"/>
      <c r="C383" s="90"/>
      <c r="D383" s="87"/>
      <c r="E383" s="90"/>
      <c r="F383" s="92"/>
      <c r="G383" s="94"/>
      <c r="H383" s="93"/>
      <c r="I383" s="93"/>
      <c r="J383" s="93"/>
      <c r="K383" s="93"/>
      <c r="L383" s="93"/>
      <c r="M383" s="93"/>
      <c r="N383" s="93"/>
      <c r="O383" s="93"/>
      <c r="P383" s="93"/>
      <c r="Q383" s="93"/>
    </row>
    <row r="384" spans="1:17" x14ac:dyDescent="0.3">
      <c r="A384" s="90"/>
      <c r="B384" s="90"/>
      <c r="C384" s="90"/>
      <c r="D384" s="87"/>
      <c r="E384" s="90"/>
      <c r="F384" s="92"/>
      <c r="G384" s="94"/>
      <c r="H384" s="93"/>
      <c r="I384" s="93"/>
      <c r="J384" s="93"/>
      <c r="K384" s="93"/>
      <c r="L384" s="93"/>
      <c r="M384" s="93"/>
      <c r="N384" s="93"/>
      <c r="O384" s="93"/>
      <c r="P384" s="93"/>
      <c r="Q384" s="93"/>
    </row>
    <row r="385" spans="6:17" x14ac:dyDescent="0.3">
      <c r="F385" s="92"/>
      <c r="G385" s="94"/>
      <c r="H385" s="93"/>
      <c r="I385" s="93"/>
      <c r="J385" s="93"/>
      <c r="K385" s="93"/>
      <c r="L385" s="93"/>
      <c r="M385" s="93"/>
      <c r="N385" s="93"/>
      <c r="O385" s="93"/>
      <c r="P385" s="93"/>
      <c r="Q385" s="93"/>
    </row>
    <row r="386" spans="6:17" x14ac:dyDescent="0.3">
      <c r="F386" s="92"/>
      <c r="G386" s="94"/>
      <c r="H386" s="93"/>
      <c r="I386" s="93"/>
      <c r="J386" s="93"/>
      <c r="K386" s="93"/>
      <c r="L386" s="93"/>
      <c r="M386" s="93"/>
      <c r="N386" s="93"/>
      <c r="O386" s="93"/>
      <c r="P386" s="93"/>
      <c r="Q386" s="93"/>
    </row>
    <row r="387" spans="6:17" x14ac:dyDescent="0.3">
      <c r="F387" s="92"/>
      <c r="G387" s="94"/>
      <c r="H387" s="93"/>
      <c r="I387" s="93"/>
      <c r="J387" s="93"/>
      <c r="K387" s="93"/>
      <c r="L387" s="93"/>
      <c r="M387" s="93"/>
      <c r="N387" s="93"/>
      <c r="O387" s="93"/>
      <c r="P387" s="93"/>
      <c r="Q387" s="93"/>
    </row>
    <row r="388" spans="6:17" x14ac:dyDescent="0.3">
      <c r="F388" s="92"/>
      <c r="G388" s="94"/>
      <c r="H388" s="93"/>
      <c r="I388" s="93"/>
      <c r="J388" s="93"/>
      <c r="K388" s="93"/>
      <c r="L388" s="93"/>
      <c r="M388" s="93"/>
      <c r="N388" s="93"/>
      <c r="O388" s="93"/>
      <c r="P388" s="93"/>
      <c r="Q388" s="93"/>
    </row>
    <row r="389" spans="6:17" x14ac:dyDescent="0.3">
      <c r="F389" s="92"/>
      <c r="G389" s="94"/>
      <c r="H389" s="93"/>
      <c r="I389" s="93"/>
      <c r="J389" s="93"/>
      <c r="K389" s="93"/>
      <c r="L389" s="93"/>
      <c r="M389" s="93"/>
      <c r="N389" s="93"/>
      <c r="O389" s="93"/>
      <c r="P389" s="93"/>
      <c r="Q389" s="93"/>
    </row>
    <row r="390" spans="6:17" x14ac:dyDescent="0.3">
      <c r="F390" s="92"/>
      <c r="G390" s="94"/>
      <c r="H390" s="93"/>
      <c r="I390" s="93"/>
      <c r="J390" s="93"/>
      <c r="K390" s="93"/>
      <c r="L390" s="93"/>
      <c r="M390" s="93"/>
      <c r="N390" s="93"/>
      <c r="O390" s="93"/>
      <c r="P390" s="93"/>
      <c r="Q390" s="93"/>
    </row>
    <row r="391" spans="6:17" x14ac:dyDescent="0.3">
      <c r="F391" s="92"/>
      <c r="G391" s="94"/>
      <c r="H391" s="93"/>
      <c r="I391" s="93"/>
      <c r="J391" s="93"/>
      <c r="K391" s="93"/>
      <c r="L391" s="93"/>
      <c r="M391" s="93"/>
      <c r="N391" s="93"/>
      <c r="O391" s="93"/>
      <c r="P391" s="93"/>
      <c r="Q391" s="93"/>
    </row>
    <row r="392" spans="6:17" x14ac:dyDescent="0.3">
      <c r="F392" s="92"/>
      <c r="G392" s="94"/>
      <c r="H392" s="93"/>
      <c r="I392" s="93"/>
      <c r="J392" s="93"/>
      <c r="K392" s="93"/>
      <c r="L392" s="93"/>
      <c r="M392" s="93"/>
      <c r="N392" s="93"/>
      <c r="O392" s="93"/>
      <c r="P392" s="93"/>
      <c r="Q392" s="93"/>
    </row>
    <row r="393" spans="6:17" x14ac:dyDescent="0.3">
      <c r="F393" s="92"/>
      <c r="G393" s="94"/>
      <c r="H393" s="93"/>
      <c r="I393" s="93"/>
      <c r="J393" s="93"/>
      <c r="K393" s="93"/>
      <c r="L393" s="93"/>
      <c r="M393" s="93"/>
      <c r="N393" s="93"/>
      <c r="O393" s="93"/>
      <c r="P393" s="93"/>
      <c r="Q393" s="93"/>
    </row>
    <row r="394" spans="6:17" x14ac:dyDescent="0.3">
      <c r="F394" s="92"/>
      <c r="G394" s="94"/>
      <c r="H394" s="93"/>
      <c r="I394" s="93"/>
      <c r="J394" s="93"/>
      <c r="K394" s="93"/>
      <c r="L394" s="93"/>
      <c r="M394" s="93"/>
      <c r="N394" s="93"/>
      <c r="O394" s="93"/>
      <c r="P394" s="93"/>
      <c r="Q394" s="93"/>
    </row>
    <row r="395" spans="6:17" x14ac:dyDescent="0.3">
      <c r="F395" s="92"/>
      <c r="G395" s="94"/>
      <c r="H395" s="93"/>
      <c r="I395" s="93"/>
      <c r="J395" s="93"/>
      <c r="K395" s="93"/>
      <c r="L395" s="93"/>
      <c r="M395" s="93"/>
      <c r="N395" s="93"/>
      <c r="O395" s="93"/>
      <c r="P395" s="93"/>
      <c r="Q395" s="93"/>
    </row>
    <row r="396" spans="6:17" x14ac:dyDescent="0.3">
      <c r="F396" s="92"/>
      <c r="G396" s="94"/>
      <c r="H396" s="93"/>
      <c r="I396" s="93"/>
      <c r="J396" s="93"/>
      <c r="K396" s="93"/>
      <c r="L396" s="93"/>
      <c r="M396" s="93"/>
      <c r="N396" s="93"/>
      <c r="O396" s="93"/>
      <c r="P396" s="93"/>
      <c r="Q396" s="93"/>
    </row>
    <row r="397" spans="6:17" x14ac:dyDescent="0.3">
      <c r="F397" s="92"/>
      <c r="G397" s="94"/>
      <c r="H397" s="93"/>
      <c r="I397" s="93"/>
      <c r="J397" s="93"/>
      <c r="K397" s="93"/>
      <c r="L397" s="93"/>
      <c r="M397" s="93"/>
      <c r="N397" s="93"/>
      <c r="O397" s="93"/>
      <c r="P397" s="93"/>
      <c r="Q397" s="93"/>
    </row>
    <row r="398" spans="6:17" x14ac:dyDescent="0.3">
      <c r="F398" s="92"/>
      <c r="G398" s="94"/>
      <c r="H398" s="93"/>
      <c r="I398" s="93"/>
      <c r="J398" s="93"/>
      <c r="K398" s="93"/>
      <c r="L398" s="93"/>
      <c r="M398" s="93"/>
      <c r="N398" s="93"/>
      <c r="O398" s="93"/>
      <c r="P398" s="93"/>
      <c r="Q398" s="93"/>
    </row>
    <row r="399" spans="6:17" x14ac:dyDescent="0.3">
      <c r="F399" s="92"/>
      <c r="G399" s="94"/>
      <c r="H399" s="93"/>
      <c r="I399" s="93"/>
      <c r="J399" s="93"/>
      <c r="K399" s="93"/>
      <c r="L399" s="93"/>
      <c r="M399" s="93"/>
      <c r="N399" s="93"/>
      <c r="O399" s="93"/>
      <c r="P399" s="93"/>
      <c r="Q399" s="93"/>
    </row>
    <row r="400" spans="6:17" x14ac:dyDescent="0.3">
      <c r="F400" s="92"/>
      <c r="G400" s="94"/>
      <c r="H400" s="93"/>
      <c r="I400" s="93"/>
      <c r="J400" s="93"/>
      <c r="K400" s="93"/>
      <c r="L400" s="93"/>
      <c r="M400" s="93"/>
      <c r="N400" s="93"/>
      <c r="O400" s="93"/>
      <c r="P400" s="93"/>
      <c r="Q400" s="93"/>
    </row>
    <row r="401" spans="6:17" x14ac:dyDescent="0.3">
      <c r="F401" s="92"/>
      <c r="G401" s="94"/>
      <c r="H401" s="93"/>
      <c r="I401" s="93"/>
      <c r="J401" s="93"/>
      <c r="K401" s="93"/>
      <c r="L401" s="93"/>
      <c r="M401" s="93"/>
      <c r="N401" s="93"/>
      <c r="O401" s="93"/>
      <c r="P401" s="93"/>
      <c r="Q401" s="93"/>
    </row>
    <row r="402" spans="6:17" x14ac:dyDescent="0.3">
      <c r="F402" s="92"/>
      <c r="G402" s="94"/>
      <c r="H402" s="93"/>
      <c r="I402" s="93"/>
      <c r="J402" s="93"/>
      <c r="K402" s="93"/>
      <c r="L402" s="93"/>
      <c r="M402" s="93"/>
      <c r="N402" s="93"/>
      <c r="O402" s="93"/>
      <c r="P402" s="93"/>
      <c r="Q402" s="93"/>
    </row>
    <row r="403" spans="6:17" x14ac:dyDescent="0.3">
      <c r="F403" s="92"/>
      <c r="G403" s="94"/>
      <c r="H403" s="93"/>
      <c r="I403" s="93"/>
      <c r="J403" s="93"/>
      <c r="K403" s="93"/>
      <c r="L403" s="93"/>
      <c r="M403" s="93"/>
      <c r="N403" s="93"/>
      <c r="O403" s="93"/>
      <c r="P403" s="93"/>
      <c r="Q403" s="93"/>
    </row>
    <row r="404" spans="6:17" x14ac:dyDescent="0.3">
      <c r="F404" s="92"/>
      <c r="G404" s="94"/>
      <c r="H404" s="93"/>
      <c r="I404" s="93"/>
      <c r="J404" s="93"/>
      <c r="K404" s="93"/>
      <c r="L404" s="93"/>
      <c r="M404" s="93"/>
      <c r="N404" s="93"/>
      <c r="O404" s="93"/>
      <c r="P404" s="93"/>
      <c r="Q404" s="93"/>
    </row>
    <row r="405" spans="6:17" x14ac:dyDescent="0.3">
      <c r="F405" s="92"/>
      <c r="G405" s="94"/>
      <c r="H405" s="93"/>
      <c r="I405" s="93"/>
      <c r="J405" s="93"/>
      <c r="K405" s="93"/>
      <c r="L405" s="93"/>
      <c r="M405" s="93"/>
      <c r="N405" s="93"/>
      <c r="O405" s="93"/>
      <c r="P405" s="93"/>
      <c r="Q405" s="93"/>
    </row>
    <row r="406" spans="6:17" x14ac:dyDescent="0.3">
      <c r="F406" s="92"/>
      <c r="G406" s="94"/>
      <c r="H406" s="93"/>
      <c r="I406" s="93"/>
      <c r="J406" s="93"/>
      <c r="K406" s="93"/>
      <c r="L406" s="93"/>
      <c r="M406" s="93"/>
      <c r="N406" s="93"/>
      <c r="O406" s="93"/>
      <c r="P406" s="93"/>
      <c r="Q406" s="93"/>
    </row>
    <row r="407" spans="6:17" x14ac:dyDescent="0.3">
      <c r="F407" s="92"/>
      <c r="G407" s="94"/>
      <c r="H407" s="93"/>
      <c r="I407" s="93"/>
      <c r="J407" s="93"/>
      <c r="K407" s="93"/>
      <c r="L407" s="93"/>
      <c r="M407" s="93"/>
      <c r="N407" s="93"/>
      <c r="O407" s="93"/>
      <c r="P407" s="93"/>
      <c r="Q407" s="93"/>
    </row>
    <row r="408" spans="6:17" x14ac:dyDescent="0.3">
      <c r="F408" s="92"/>
      <c r="G408" s="94"/>
      <c r="H408" s="93"/>
      <c r="I408" s="93"/>
      <c r="J408" s="93"/>
      <c r="K408" s="93"/>
      <c r="L408" s="93"/>
      <c r="M408" s="93"/>
      <c r="N408" s="93"/>
      <c r="O408" s="93"/>
      <c r="P408" s="93"/>
      <c r="Q408" s="93"/>
    </row>
    <row r="409" spans="6:17" x14ac:dyDescent="0.3">
      <c r="F409" s="92"/>
      <c r="G409" s="94"/>
      <c r="H409" s="93"/>
      <c r="I409" s="93"/>
      <c r="J409" s="93"/>
      <c r="K409" s="93"/>
      <c r="L409" s="93"/>
      <c r="M409" s="93"/>
      <c r="N409" s="93"/>
      <c r="O409" s="93"/>
      <c r="P409" s="93"/>
      <c r="Q409" s="93"/>
    </row>
    <row r="410" spans="6:17" x14ac:dyDescent="0.3">
      <c r="F410" s="92"/>
      <c r="G410" s="94"/>
      <c r="H410" s="93"/>
      <c r="I410" s="93"/>
      <c r="J410" s="93"/>
      <c r="K410" s="93"/>
      <c r="L410" s="93"/>
      <c r="M410" s="93"/>
      <c r="N410" s="93"/>
      <c r="O410" s="93"/>
      <c r="P410" s="93"/>
      <c r="Q410" s="93"/>
    </row>
    <row r="411" spans="6:17" x14ac:dyDescent="0.3">
      <c r="F411" s="92"/>
      <c r="G411" s="94"/>
      <c r="H411" s="93"/>
      <c r="I411" s="93"/>
      <c r="J411" s="93"/>
      <c r="K411" s="93"/>
      <c r="L411" s="93"/>
      <c r="M411" s="93"/>
      <c r="N411" s="93"/>
      <c r="O411" s="93"/>
      <c r="P411" s="93"/>
      <c r="Q411" s="93"/>
    </row>
    <row r="412" spans="6:17" x14ac:dyDescent="0.3">
      <c r="F412" s="92"/>
      <c r="G412" s="94"/>
      <c r="H412" s="93"/>
      <c r="I412" s="93"/>
      <c r="J412" s="93"/>
      <c r="K412" s="93"/>
      <c r="L412" s="93"/>
      <c r="M412" s="93"/>
      <c r="N412" s="93"/>
      <c r="O412" s="93"/>
      <c r="P412" s="93"/>
      <c r="Q412" s="93"/>
    </row>
    <row r="413" spans="6:17" x14ac:dyDescent="0.3">
      <c r="F413" s="92"/>
      <c r="G413" s="94"/>
      <c r="H413" s="93"/>
      <c r="I413" s="93"/>
      <c r="J413" s="93"/>
      <c r="K413" s="93"/>
      <c r="L413" s="93"/>
      <c r="M413" s="93"/>
      <c r="N413" s="93"/>
      <c r="O413" s="93"/>
      <c r="P413" s="93"/>
      <c r="Q413" s="93"/>
    </row>
    <row r="414" spans="6:17" x14ac:dyDescent="0.3">
      <c r="F414" s="92"/>
      <c r="G414" s="94"/>
      <c r="H414" s="93"/>
      <c r="I414" s="93"/>
      <c r="J414" s="93"/>
      <c r="K414" s="93"/>
      <c r="L414" s="93"/>
      <c r="M414" s="93"/>
      <c r="N414" s="93"/>
      <c r="O414" s="93"/>
      <c r="P414" s="93"/>
      <c r="Q414" s="93"/>
    </row>
    <row r="415" spans="6:17" x14ac:dyDescent="0.3">
      <c r="F415" s="92"/>
      <c r="G415" s="94"/>
      <c r="H415" s="93"/>
      <c r="I415" s="93"/>
      <c r="J415" s="93"/>
      <c r="K415" s="93"/>
      <c r="L415" s="93"/>
      <c r="M415" s="93"/>
      <c r="N415" s="93"/>
      <c r="O415" s="93"/>
      <c r="P415" s="93"/>
      <c r="Q415" s="93"/>
    </row>
    <row r="416" spans="6:17" x14ac:dyDescent="0.3">
      <c r="F416" s="92"/>
      <c r="G416" s="94"/>
      <c r="H416" s="93"/>
      <c r="I416" s="93"/>
      <c r="J416" s="93"/>
      <c r="K416" s="93"/>
      <c r="L416" s="93"/>
      <c r="M416" s="93"/>
      <c r="N416" s="93"/>
      <c r="O416" s="93"/>
      <c r="P416" s="93"/>
      <c r="Q416" s="93"/>
    </row>
    <row r="417" spans="6:17" x14ac:dyDescent="0.3">
      <c r="F417" s="92"/>
      <c r="G417" s="94"/>
      <c r="H417" s="93"/>
      <c r="I417" s="93"/>
      <c r="J417" s="93"/>
      <c r="K417" s="93"/>
      <c r="L417" s="93"/>
      <c r="M417" s="93"/>
      <c r="N417" s="93"/>
      <c r="O417" s="93"/>
      <c r="P417" s="93"/>
      <c r="Q417" s="93"/>
    </row>
    <row r="418" spans="6:17" x14ac:dyDescent="0.3">
      <c r="F418" s="92"/>
      <c r="G418" s="94"/>
      <c r="H418" s="93"/>
      <c r="I418" s="93"/>
      <c r="J418" s="93"/>
      <c r="K418" s="93"/>
      <c r="L418" s="93"/>
      <c r="M418" s="93"/>
      <c r="N418" s="93"/>
      <c r="O418" s="93"/>
      <c r="P418" s="93"/>
      <c r="Q418" s="93"/>
    </row>
    <row r="419" spans="6:17" x14ac:dyDescent="0.3">
      <c r="F419" s="92"/>
      <c r="G419" s="94"/>
      <c r="H419" s="93"/>
      <c r="I419" s="93"/>
      <c r="J419" s="93"/>
      <c r="K419" s="93"/>
      <c r="L419" s="93"/>
      <c r="M419" s="93"/>
      <c r="N419" s="93"/>
      <c r="O419" s="93"/>
      <c r="P419" s="93"/>
      <c r="Q419" s="93"/>
    </row>
    <row r="420" spans="6:17" x14ac:dyDescent="0.3">
      <c r="F420" s="92"/>
      <c r="G420" s="94"/>
      <c r="H420" s="93"/>
      <c r="I420" s="93"/>
      <c r="J420" s="93"/>
      <c r="K420" s="93"/>
      <c r="L420" s="93"/>
      <c r="M420" s="93"/>
      <c r="N420" s="93"/>
      <c r="O420" s="93"/>
      <c r="P420" s="93"/>
      <c r="Q420" s="93"/>
    </row>
    <row r="421" spans="6:17" x14ac:dyDescent="0.3">
      <c r="F421" s="92"/>
      <c r="G421" s="94"/>
      <c r="H421" s="93"/>
      <c r="I421" s="93"/>
      <c r="J421" s="93"/>
      <c r="K421" s="93"/>
      <c r="L421" s="93"/>
      <c r="M421" s="93"/>
      <c r="N421" s="93"/>
      <c r="O421" s="93"/>
      <c r="P421" s="93"/>
      <c r="Q421" s="93"/>
    </row>
    <row r="422" spans="6:17" x14ac:dyDescent="0.3">
      <c r="F422" s="92"/>
      <c r="G422" s="94"/>
      <c r="H422" s="93"/>
      <c r="I422" s="93"/>
      <c r="J422" s="93"/>
      <c r="K422" s="93"/>
      <c r="L422" s="93"/>
      <c r="M422" s="93"/>
      <c r="N422" s="93"/>
      <c r="O422" s="93"/>
      <c r="P422" s="93"/>
      <c r="Q422" s="93"/>
    </row>
    <row r="423" spans="6:17" x14ac:dyDescent="0.3">
      <c r="F423" s="92"/>
      <c r="G423" s="94"/>
      <c r="H423" s="93"/>
      <c r="I423" s="93"/>
      <c r="J423" s="93"/>
      <c r="K423" s="93"/>
      <c r="L423" s="93"/>
      <c r="M423" s="93"/>
      <c r="N423" s="93"/>
      <c r="O423" s="93"/>
      <c r="P423" s="93"/>
      <c r="Q423" s="93"/>
    </row>
    <row r="424" spans="6:17" x14ac:dyDescent="0.3">
      <c r="F424" s="92"/>
      <c r="G424" s="94"/>
      <c r="H424" s="93"/>
      <c r="I424" s="93"/>
      <c r="J424" s="93"/>
      <c r="K424" s="93"/>
      <c r="L424" s="93"/>
      <c r="M424" s="93"/>
      <c r="N424" s="93"/>
      <c r="O424" s="93"/>
      <c r="P424" s="93"/>
      <c r="Q424" s="93"/>
    </row>
    <row r="425" spans="6:17" x14ac:dyDescent="0.3">
      <c r="F425" s="92"/>
      <c r="G425" s="94"/>
      <c r="H425" s="93"/>
      <c r="I425" s="93"/>
      <c r="J425" s="93"/>
      <c r="K425" s="93"/>
      <c r="L425" s="93"/>
      <c r="M425" s="93"/>
      <c r="N425" s="93"/>
      <c r="O425" s="93"/>
      <c r="P425" s="93"/>
      <c r="Q425" s="93"/>
    </row>
    <row r="426" spans="6:17" x14ac:dyDescent="0.3">
      <c r="F426" s="92"/>
      <c r="G426" s="94"/>
      <c r="H426" s="93"/>
      <c r="I426" s="93"/>
      <c r="J426" s="93"/>
      <c r="K426" s="93"/>
      <c r="L426" s="93"/>
      <c r="M426" s="93"/>
      <c r="N426" s="93"/>
      <c r="O426" s="93"/>
      <c r="P426" s="93"/>
      <c r="Q426" s="93"/>
    </row>
    <row r="427" spans="6:17" x14ac:dyDescent="0.3">
      <c r="F427" s="92"/>
      <c r="G427" s="94"/>
      <c r="H427" s="93"/>
      <c r="I427" s="93"/>
      <c r="J427" s="93"/>
      <c r="K427" s="93"/>
      <c r="L427" s="93"/>
      <c r="M427" s="93"/>
      <c r="N427" s="93"/>
      <c r="O427" s="93"/>
      <c r="P427" s="93"/>
      <c r="Q427" s="93"/>
    </row>
    <row r="428" spans="6:17" x14ac:dyDescent="0.3">
      <c r="F428" s="92"/>
      <c r="G428" s="94"/>
      <c r="H428" s="93"/>
      <c r="I428" s="93"/>
      <c r="J428" s="93"/>
      <c r="K428" s="93"/>
      <c r="L428" s="93"/>
      <c r="M428" s="93"/>
      <c r="N428" s="93"/>
      <c r="O428" s="93"/>
      <c r="P428" s="93"/>
      <c r="Q428" s="93"/>
    </row>
    <row r="429" spans="6:17" x14ac:dyDescent="0.3">
      <c r="F429" s="92"/>
      <c r="G429" s="94"/>
      <c r="H429" s="93"/>
      <c r="I429" s="93"/>
      <c r="J429" s="93"/>
      <c r="K429" s="93"/>
      <c r="L429" s="93"/>
      <c r="M429" s="93"/>
      <c r="N429" s="93"/>
      <c r="O429" s="93"/>
      <c r="P429" s="93"/>
      <c r="Q429" s="93"/>
    </row>
    <row r="430" spans="6:17" x14ac:dyDescent="0.3">
      <c r="F430" s="92"/>
      <c r="G430" s="94"/>
      <c r="H430" s="93"/>
      <c r="I430" s="93"/>
      <c r="J430" s="93"/>
      <c r="K430" s="93"/>
      <c r="L430" s="93"/>
      <c r="M430" s="93"/>
      <c r="N430" s="93"/>
      <c r="O430" s="93"/>
      <c r="P430" s="93"/>
      <c r="Q430" s="93"/>
    </row>
    <row r="431" spans="6:17" x14ac:dyDescent="0.3">
      <c r="F431" s="92"/>
      <c r="G431" s="94"/>
      <c r="H431" s="93"/>
      <c r="I431" s="93"/>
      <c r="J431" s="93"/>
      <c r="K431" s="93"/>
      <c r="L431" s="93"/>
      <c r="M431" s="93"/>
      <c r="N431" s="93"/>
      <c r="O431" s="93"/>
      <c r="P431" s="93"/>
      <c r="Q431" s="93"/>
    </row>
    <row r="432" spans="6:17" x14ac:dyDescent="0.3">
      <c r="F432" s="92"/>
      <c r="G432" s="94"/>
      <c r="H432" s="93"/>
      <c r="I432" s="93"/>
      <c r="J432" s="93"/>
      <c r="K432" s="93"/>
      <c r="L432" s="93"/>
      <c r="M432" s="93"/>
      <c r="N432" s="93"/>
      <c r="O432" s="93"/>
      <c r="P432" s="93"/>
      <c r="Q432" s="93"/>
    </row>
    <row r="433" spans="6:17" x14ac:dyDescent="0.3">
      <c r="F433" s="92"/>
      <c r="G433" s="94"/>
      <c r="H433" s="93"/>
      <c r="I433" s="93"/>
      <c r="J433" s="93"/>
      <c r="K433" s="93"/>
      <c r="L433" s="93"/>
      <c r="M433" s="93"/>
      <c r="N433" s="93"/>
      <c r="O433" s="93"/>
      <c r="P433" s="93"/>
      <c r="Q433" s="93"/>
    </row>
    <row r="434" spans="6:17" x14ac:dyDescent="0.3">
      <c r="F434" s="92"/>
      <c r="G434" s="94"/>
      <c r="H434" s="93"/>
      <c r="I434" s="93"/>
      <c r="J434" s="93"/>
      <c r="K434" s="93"/>
      <c r="L434" s="93"/>
      <c r="M434" s="93"/>
      <c r="N434" s="93"/>
      <c r="O434" s="93"/>
      <c r="P434" s="93"/>
      <c r="Q434" s="93"/>
    </row>
    <row r="435" spans="6:17" x14ac:dyDescent="0.3">
      <c r="F435" s="92"/>
      <c r="G435" s="94"/>
      <c r="H435" s="93"/>
      <c r="I435" s="93"/>
      <c r="J435" s="93"/>
      <c r="K435" s="93"/>
      <c r="L435" s="93"/>
      <c r="M435" s="93"/>
      <c r="N435" s="93"/>
      <c r="O435" s="93"/>
      <c r="P435" s="93"/>
      <c r="Q435" s="93"/>
    </row>
    <row r="436" spans="6:17" x14ac:dyDescent="0.3">
      <c r="F436" s="92"/>
      <c r="G436" s="94"/>
      <c r="H436" s="93"/>
      <c r="I436" s="93"/>
      <c r="J436" s="93"/>
      <c r="K436" s="93"/>
      <c r="L436" s="93"/>
      <c r="M436" s="93"/>
      <c r="N436" s="93"/>
      <c r="O436" s="93"/>
      <c r="P436" s="93"/>
      <c r="Q436" s="93"/>
    </row>
    <row r="437" spans="6:17" x14ac:dyDescent="0.3">
      <c r="F437" s="92"/>
      <c r="G437" s="94"/>
      <c r="H437" s="93"/>
      <c r="I437" s="93"/>
      <c r="J437" s="93"/>
      <c r="K437" s="93"/>
      <c r="L437" s="93"/>
      <c r="M437" s="93"/>
      <c r="N437" s="93"/>
      <c r="O437" s="93"/>
      <c r="P437" s="93"/>
      <c r="Q437" s="93"/>
    </row>
    <row r="438" spans="6:17" x14ac:dyDescent="0.3">
      <c r="F438" s="92"/>
      <c r="G438" s="94"/>
      <c r="H438" s="93"/>
      <c r="I438" s="93"/>
      <c r="J438" s="93"/>
      <c r="K438" s="93"/>
      <c r="L438" s="93"/>
      <c r="M438" s="93"/>
      <c r="N438" s="93"/>
      <c r="O438" s="93"/>
      <c r="P438" s="93"/>
      <c r="Q438" s="93"/>
    </row>
    <row r="439" spans="6:17" x14ac:dyDescent="0.3">
      <c r="F439" s="92"/>
      <c r="G439" s="94"/>
      <c r="H439" s="93"/>
      <c r="I439" s="93"/>
      <c r="J439" s="93"/>
      <c r="K439" s="93"/>
      <c r="L439" s="93"/>
      <c r="M439" s="93"/>
      <c r="N439" s="93"/>
      <c r="O439" s="93"/>
      <c r="P439" s="93"/>
      <c r="Q439" s="93"/>
    </row>
    <row r="440" spans="6:17" x14ac:dyDescent="0.3">
      <c r="F440" s="92"/>
      <c r="G440" s="94"/>
      <c r="H440" s="93"/>
      <c r="I440" s="93"/>
      <c r="J440" s="93"/>
      <c r="K440" s="93"/>
      <c r="L440" s="93"/>
      <c r="M440" s="93"/>
      <c r="N440" s="93"/>
      <c r="O440" s="93"/>
      <c r="P440" s="93"/>
      <c r="Q440" s="93"/>
    </row>
    <row r="441" spans="6:17" x14ac:dyDescent="0.3">
      <c r="F441" s="92"/>
      <c r="G441" s="94"/>
      <c r="H441" s="93"/>
      <c r="I441" s="93"/>
      <c r="J441" s="93"/>
      <c r="K441" s="93"/>
      <c r="L441" s="93"/>
      <c r="M441" s="93"/>
      <c r="N441" s="93"/>
      <c r="O441" s="93"/>
      <c r="P441" s="93"/>
      <c r="Q441" s="93"/>
    </row>
    <row r="442" spans="6:17" x14ac:dyDescent="0.3">
      <c r="F442" s="92"/>
      <c r="G442" s="94"/>
      <c r="H442" s="93"/>
      <c r="I442" s="93"/>
      <c r="J442" s="93"/>
      <c r="K442" s="93"/>
      <c r="L442" s="93"/>
      <c r="M442" s="93"/>
      <c r="N442" s="93"/>
      <c r="O442" s="93"/>
      <c r="P442" s="93"/>
      <c r="Q442" s="93"/>
    </row>
    <row r="443" spans="6:17" x14ac:dyDescent="0.3">
      <c r="F443" s="92"/>
      <c r="G443" s="94"/>
      <c r="H443" s="93"/>
      <c r="I443" s="93"/>
      <c r="J443" s="93"/>
      <c r="K443" s="93"/>
      <c r="L443" s="93"/>
      <c r="M443" s="93"/>
      <c r="N443" s="93"/>
      <c r="O443" s="93"/>
      <c r="P443" s="93"/>
      <c r="Q443" s="93"/>
    </row>
    <row r="444" spans="6:17" x14ac:dyDescent="0.3">
      <c r="F444" s="92"/>
      <c r="G444" s="94"/>
      <c r="H444" s="93"/>
      <c r="I444" s="93"/>
      <c r="J444" s="93"/>
      <c r="K444" s="93"/>
      <c r="L444" s="93"/>
      <c r="M444" s="93"/>
      <c r="N444" s="93"/>
      <c r="O444" s="93"/>
      <c r="P444" s="93"/>
      <c r="Q444" s="93"/>
    </row>
    <row r="445" spans="6:17" x14ac:dyDescent="0.3">
      <c r="F445" s="92"/>
      <c r="G445" s="94"/>
      <c r="H445" s="93"/>
      <c r="I445" s="93"/>
      <c r="J445" s="93"/>
      <c r="K445" s="93"/>
      <c r="L445" s="93"/>
      <c r="M445" s="93"/>
      <c r="N445" s="93"/>
      <c r="O445" s="93"/>
      <c r="P445" s="93"/>
      <c r="Q445" s="93"/>
    </row>
    <row r="446" spans="6:17" x14ac:dyDescent="0.3">
      <c r="F446" s="92"/>
      <c r="G446" s="94"/>
      <c r="H446" s="93"/>
      <c r="I446" s="93"/>
      <c r="J446" s="93"/>
      <c r="K446" s="93"/>
      <c r="L446" s="93"/>
      <c r="M446" s="93"/>
      <c r="N446" s="93"/>
      <c r="O446" s="93"/>
      <c r="P446" s="93"/>
      <c r="Q446" s="93"/>
    </row>
    <row r="447" spans="6:17" x14ac:dyDescent="0.3">
      <c r="F447" s="92"/>
      <c r="G447" s="94"/>
      <c r="H447" s="93"/>
      <c r="I447" s="93"/>
      <c r="J447" s="93"/>
      <c r="K447" s="93"/>
      <c r="L447" s="93"/>
      <c r="M447" s="93"/>
      <c r="N447" s="93"/>
      <c r="O447" s="93"/>
      <c r="P447" s="93"/>
      <c r="Q447" s="93"/>
    </row>
    <row r="448" spans="6:17" x14ac:dyDescent="0.3">
      <c r="F448" s="92"/>
      <c r="G448" s="94"/>
      <c r="H448" s="93"/>
      <c r="I448" s="93"/>
      <c r="J448" s="93"/>
      <c r="K448" s="93"/>
      <c r="L448" s="93"/>
      <c r="M448" s="93"/>
      <c r="N448" s="93"/>
      <c r="O448" s="93"/>
      <c r="P448" s="93"/>
      <c r="Q448" s="93"/>
    </row>
    <row r="449" spans="6:17" x14ac:dyDescent="0.3">
      <c r="F449" s="92"/>
      <c r="G449" s="94"/>
      <c r="H449" s="93"/>
      <c r="I449" s="93"/>
      <c r="J449" s="93"/>
      <c r="K449" s="93"/>
      <c r="L449" s="93"/>
      <c r="M449" s="93"/>
      <c r="N449" s="93"/>
      <c r="O449" s="93"/>
      <c r="P449" s="93"/>
      <c r="Q449" s="93"/>
    </row>
    <row r="450" spans="6:17" x14ac:dyDescent="0.3">
      <c r="F450" s="92"/>
      <c r="G450" s="94"/>
      <c r="H450" s="93"/>
      <c r="I450" s="93"/>
      <c r="J450" s="93"/>
      <c r="K450" s="93"/>
      <c r="L450" s="93"/>
      <c r="M450" s="93"/>
      <c r="N450" s="93"/>
      <c r="O450" s="93"/>
      <c r="P450" s="93"/>
      <c r="Q450" s="93"/>
    </row>
    <row r="451" spans="6:17" x14ac:dyDescent="0.3">
      <c r="F451" s="92"/>
      <c r="G451" s="94"/>
      <c r="H451" s="93"/>
      <c r="I451" s="93"/>
      <c r="J451" s="93"/>
      <c r="K451" s="93"/>
      <c r="L451" s="93"/>
      <c r="M451" s="93"/>
      <c r="N451" s="93"/>
      <c r="O451" s="93"/>
      <c r="P451" s="93"/>
      <c r="Q451" s="93"/>
    </row>
    <row r="452" spans="6:17" x14ac:dyDescent="0.3">
      <c r="F452" s="92"/>
      <c r="G452" s="94"/>
      <c r="H452" s="93"/>
      <c r="I452" s="93"/>
      <c r="J452" s="93"/>
      <c r="K452" s="93"/>
      <c r="L452" s="93"/>
      <c r="M452" s="93"/>
      <c r="N452" s="93"/>
      <c r="O452" s="93"/>
      <c r="P452" s="93"/>
      <c r="Q452" s="93"/>
    </row>
    <row r="453" spans="6:17" x14ac:dyDescent="0.3">
      <c r="F453" s="92"/>
      <c r="G453" s="94"/>
      <c r="H453" s="93"/>
      <c r="I453" s="93"/>
      <c r="J453" s="93"/>
      <c r="K453" s="93"/>
      <c r="L453" s="93"/>
      <c r="M453" s="93"/>
      <c r="N453" s="93"/>
      <c r="O453" s="93"/>
      <c r="P453" s="93"/>
      <c r="Q453" s="93"/>
    </row>
    <row r="454" spans="6:17" x14ac:dyDescent="0.3">
      <c r="F454" s="92"/>
      <c r="G454" s="94"/>
      <c r="H454" s="93"/>
      <c r="I454" s="93"/>
      <c r="J454" s="93"/>
      <c r="K454" s="93"/>
      <c r="L454" s="93"/>
      <c r="M454" s="93"/>
      <c r="N454" s="93"/>
      <c r="O454" s="93"/>
      <c r="P454" s="93"/>
      <c r="Q454" s="93"/>
    </row>
    <row r="455" spans="6:17" x14ac:dyDescent="0.3">
      <c r="F455" s="92"/>
      <c r="G455" s="94"/>
      <c r="H455" s="93"/>
      <c r="I455" s="93"/>
      <c r="J455" s="93"/>
      <c r="K455" s="93"/>
      <c r="L455" s="93"/>
      <c r="M455" s="93"/>
      <c r="N455" s="93"/>
      <c r="O455" s="93"/>
      <c r="P455" s="93"/>
      <c r="Q455" s="93"/>
    </row>
    <row r="456" spans="6:17" x14ac:dyDescent="0.3">
      <c r="F456" s="92"/>
      <c r="G456" s="94"/>
      <c r="H456" s="93"/>
      <c r="I456" s="93"/>
      <c r="J456" s="93"/>
      <c r="K456" s="93"/>
      <c r="L456" s="93"/>
      <c r="M456" s="93"/>
      <c r="N456" s="93"/>
      <c r="O456" s="93"/>
      <c r="P456" s="93"/>
      <c r="Q456" s="93"/>
    </row>
    <row r="457" spans="6:17" x14ac:dyDescent="0.3">
      <c r="F457" s="92"/>
      <c r="G457" s="94"/>
      <c r="H457" s="93"/>
      <c r="I457" s="93"/>
      <c r="J457" s="93"/>
      <c r="K457" s="93"/>
      <c r="L457" s="93"/>
      <c r="M457" s="93"/>
      <c r="N457" s="93"/>
      <c r="O457" s="93"/>
      <c r="P457" s="93"/>
      <c r="Q457" s="93"/>
    </row>
    <row r="458" spans="6:17" x14ac:dyDescent="0.3">
      <c r="F458" s="92"/>
      <c r="G458" s="94"/>
      <c r="H458" s="93"/>
      <c r="I458" s="93"/>
      <c r="J458" s="93"/>
      <c r="K458" s="93"/>
      <c r="L458" s="93"/>
      <c r="M458" s="93"/>
      <c r="N458" s="93"/>
      <c r="O458" s="93"/>
      <c r="P458" s="93"/>
      <c r="Q458" s="93"/>
    </row>
    <row r="459" spans="6:17" x14ac:dyDescent="0.3">
      <c r="F459" s="92"/>
      <c r="G459" s="94"/>
      <c r="H459" s="93"/>
      <c r="I459" s="93"/>
      <c r="J459" s="93"/>
      <c r="K459" s="93"/>
      <c r="L459" s="93"/>
      <c r="M459" s="93"/>
      <c r="N459" s="93"/>
      <c r="O459" s="93"/>
      <c r="P459" s="93"/>
      <c r="Q459" s="93"/>
    </row>
    <row r="460" spans="6:17" x14ac:dyDescent="0.3">
      <c r="F460" s="92"/>
      <c r="G460" s="94"/>
      <c r="H460" s="93"/>
      <c r="I460" s="93"/>
      <c r="J460" s="93"/>
      <c r="K460" s="93"/>
      <c r="L460" s="93"/>
      <c r="M460" s="93"/>
      <c r="N460" s="93"/>
      <c r="O460" s="93"/>
      <c r="P460" s="93"/>
      <c r="Q460" s="93"/>
    </row>
    <row r="461" spans="6:17" x14ac:dyDescent="0.3">
      <c r="F461" s="92"/>
      <c r="G461" s="94"/>
      <c r="H461" s="93"/>
      <c r="I461" s="93"/>
      <c r="J461" s="93"/>
      <c r="K461" s="93"/>
      <c r="L461" s="93"/>
      <c r="M461" s="93"/>
      <c r="N461" s="93"/>
      <c r="O461" s="93"/>
      <c r="P461" s="93"/>
      <c r="Q461" s="93"/>
    </row>
    <row r="462" spans="6:17" x14ac:dyDescent="0.3">
      <c r="F462" s="92"/>
      <c r="G462" s="94"/>
      <c r="H462" s="93"/>
      <c r="I462" s="93"/>
      <c r="J462" s="93"/>
      <c r="K462" s="93"/>
      <c r="L462" s="93"/>
      <c r="M462" s="93"/>
      <c r="N462" s="93"/>
      <c r="O462" s="93"/>
      <c r="P462" s="93"/>
      <c r="Q462" s="93"/>
    </row>
    <row r="463" spans="6:17" x14ac:dyDescent="0.3">
      <c r="F463" s="92"/>
      <c r="G463" s="94"/>
      <c r="H463" s="93"/>
      <c r="I463" s="93"/>
      <c r="J463" s="93"/>
      <c r="K463" s="93"/>
      <c r="L463" s="93"/>
      <c r="M463" s="93"/>
      <c r="N463" s="93"/>
      <c r="O463" s="93"/>
      <c r="P463" s="93"/>
      <c r="Q463" s="93"/>
    </row>
    <row r="464" spans="6:17" x14ac:dyDescent="0.3">
      <c r="F464" s="92"/>
      <c r="G464" s="94"/>
      <c r="H464" s="93"/>
      <c r="I464" s="93"/>
      <c r="J464" s="93"/>
      <c r="K464" s="93"/>
      <c r="L464" s="93"/>
      <c r="M464" s="93"/>
      <c r="N464" s="93"/>
      <c r="O464" s="93"/>
      <c r="P464" s="93"/>
      <c r="Q464" s="93"/>
    </row>
    <row r="465" spans="3:17" x14ac:dyDescent="0.3">
      <c r="C465" s="30"/>
      <c r="D465" s="31"/>
      <c r="E465" s="32"/>
      <c r="F465" s="33"/>
      <c r="G465" s="34"/>
      <c r="H465" s="34"/>
      <c r="I465" s="38"/>
      <c r="J465" s="38"/>
      <c r="K465" s="38"/>
      <c r="L465" s="38"/>
      <c r="M465" s="38"/>
      <c r="N465" s="38"/>
      <c r="O465" s="38"/>
      <c r="P465" s="38"/>
      <c r="Q465" s="38"/>
    </row>
    <row r="466" spans="3:17" x14ac:dyDescent="0.3">
      <c r="C466" s="90"/>
      <c r="D466" s="87"/>
      <c r="E466" s="90"/>
      <c r="F466" s="92"/>
      <c r="G466" s="94"/>
      <c r="H466" s="93"/>
      <c r="I466" s="93"/>
      <c r="J466" s="93"/>
      <c r="K466" s="93"/>
      <c r="L466" s="93"/>
      <c r="M466" s="93"/>
      <c r="N466" s="93"/>
      <c r="O466" s="93"/>
      <c r="P466" s="93"/>
      <c r="Q466" s="93"/>
    </row>
    <row r="467" spans="3:17" x14ac:dyDescent="0.3">
      <c r="C467" s="90"/>
      <c r="D467" s="87"/>
      <c r="E467" s="90"/>
      <c r="F467" s="92"/>
      <c r="G467" s="94"/>
      <c r="H467" s="93"/>
      <c r="I467" s="93"/>
      <c r="J467" s="93"/>
      <c r="K467" s="93"/>
      <c r="L467" s="93"/>
      <c r="M467" s="93"/>
      <c r="N467" s="93"/>
      <c r="O467" s="93"/>
      <c r="P467" s="93"/>
      <c r="Q467" s="93"/>
    </row>
    <row r="468" spans="3:17" x14ac:dyDescent="0.3">
      <c r="C468" s="90"/>
      <c r="D468" s="87"/>
      <c r="E468" s="90"/>
      <c r="F468" s="92"/>
      <c r="G468" s="94"/>
      <c r="H468" s="93"/>
      <c r="I468" s="93"/>
      <c r="J468" s="93"/>
      <c r="K468" s="93"/>
      <c r="L468" s="93"/>
      <c r="M468" s="93"/>
      <c r="N468" s="93"/>
      <c r="O468" s="93"/>
      <c r="P468" s="93"/>
      <c r="Q468" s="93"/>
    </row>
    <row r="469" spans="3:17" x14ac:dyDescent="0.3">
      <c r="C469" s="90"/>
      <c r="D469" s="87"/>
      <c r="E469" s="90"/>
      <c r="F469" s="92"/>
      <c r="G469" s="94"/>
      <c r="H469" s="93"/>
      <c r="I469" s="93"/>
      <c r="J469" s="93"/>
      <c r="K469" s="93"/>
      <c r="L469" s="93"/>
      <c r="M469" s="93"/>
      <c r="N469" s="93"/>
      <c r="O469" s="93"/>
      <c r="P469" s="93"/>
      <c r="Q469" s="93"/>
    </row>
    <row r="470" spans="3:17" x14ac:dyDescent="0.3">
      <c r="C470" s="90"/>
      <c r="D470" s="87"/>
      <c r="E470" s="90"/>
      <c r="F470" s="92"/>
      <c r="G470" s="94"/>
      <c r="H470" s="93"/>
      <c r="I470" s="93"/>
      <c r="J470" s="93"/>
      <c r="K470" s="93"/>
      <c r="L470" s="93"/>
      <c r="M470" s="93"/>
      <c r="N470" s="93"/>
      <c r="O470" s="93"/>
      <c r="P470" s="93"/>
      <c r="Q470" s="93"/>
    </row>
    <row r="471" spans="3:17" x14ac:dyDescent="0.3">
      <c r="C471" s="90"/>
      <c r="D471" s="87"/>
      <c r="E471" s="90"/>
      <c r="F471" s="92"/>
      <c r="G471" s="94"/>
      <c r="H471" s="93"/>
      <c r="I471" s="93"/>
      <c r="J471" s="93"/>
      <c r="K471" s="93"/>
      <c r="L471" s="93"/>
      <c r="M471" s="93"/>
      <c r="N471" s="93"/>
      <c r="O471" s="93"/>
      <c r="P471" s="93"/>
      <c r="Q471" s="93"/>
    </row>
    <row r="472" spans="3:17" x14ac:dyDescent="0.3">
      <c r="C472" s="90"/>
      <c r="D472" s="87"/>
      <c r="E472" s="90"/>
      <c r="F472" s="92"/>
      <c r="G472" s="94"/>
      <c r="H472" s="93"/>
      <c r="I472" s="93"/>
      <c r="J472" s="93"/>
      <c r="K472" s="93"/>
      <c r="L472" s="93"/>
      <c r="M472" s="93"/>
      <c r="N472" s="93"/>
      <c r="O472" s="93"/>
      <c r="P472" s="93"/>
      <c r="Q472" s="93"/>
    </row>
    <row r="473" spans="3:17" x14ac:dyDescent="0.3">
      <c r="C473" s="90"/>
      <c r="D473" s="87"/>
      <c r="E473" s="90"/>
      <c r="F473" s="92"/>
      <c r="G473" s="94"/>
      <c r="H473" s="93"/>
      <c r="I473" s="93"/>
      <c r="J473" s="93"/>
      <c r="K473" s="93"/>
      <c r="L473" s="93"/>
      <c r="M473" s="93"/>
      <c r="N473" s="93"/>
      <c r="O473" s="93"/>
      <c r="P473" s="93"/>
      <c r="Q473" s="93"/>
    </row>
    <row r="474" spans="3:17" x14ac:dyDescent="0.3">
      <c r="C474" s="90"/>
      <c r="D474" s="87"/>
      <c r="E474" s="90"/>
      <c r="F474" s="92"/>
      <c r="G474" s="94"/>
      <c r="H474" s="93"/>
      <c r="I474" s="93"/>
      <c r="J474" s="93"/>
      <c r="K474" s="93"/>
      <c r="L474" s="93"/>
      <c r="M474" s="93"/>
      <c r="N474" s="93"/>
      <c r="O474" s="93"/>
      <c r="P474" s="93"/>
      <c r="Q474" s="93"/>
    </row>
    <row r="475" spans="3:17" x14ac:dyDescent="0.3">
      <c r="C475" s="90"/>
      <c r="D475" s="87"/>
      <c r="E475" s="90"/>
      <c r="F475" s="92"/>
      <c r="G475" s="94"/>
      <c r="H475" s="93"/>
      <c r="I475" s="93"/>
      <c r="J475" s="93"/>
      <c r="K475" s="93"/>
      <c r="L475" s="93"/>
      <c r="M475" s="93"/>
      <c r="N475" s="93"/>
      <c r="O475" s="93"/>
      <c r="P475" s="93"/>
      <c r="Q475" s="93"/>
    </row>
    <row r="476" spans="3:17" x14ac:dyDescent="0.3">
      <c r="C476" s="90"/>
      <c r="D476" s="87"/>
      <c r="E476" s="90"/>
      <c r="F476" s="92"/>
      <c r="G476" s="94"/>
      <c r="H476" s="93"/>
      <c r="I476" s="93"/>
      <c r="J476" s="93"/>
      <c r="K476" s="93"/>
      <c r="L476" s="93"/>
      <c r="M476" s="93"/>
      <c r="N476" s="93"/>
      <c r="O476" s="93"/>
      <c r="P476" s="93"/>
      <c r="Q476" s="93"/>
    </row>
    <row r="477" spans="3:17" x14ac:dyDescent="0.3">
      <c r="C477" s="90"/>
      <c r="D477" s="87"/>
      <c r="E477" s="90"/>
      <c r="F477" s="92"/>
      <c r="G477" s="94"/>
      <c r="H477" s="93"/>
      <c r="I477" s="93"/>
      <c r="J477" s="93"/>
      <c r="K477" s="93"/>
      <c r="L477" s="93"/>
      <c r="M477" s="93"/>
      <c r="N477" s="93"/>
      <c r="O477" s="93"/>
      <c r="P477" s="93"/>
      <c r="Q477" s="93"/>
    </row>
    <row r="478" spans="3:17" x14ac:dyDescent="0.3">
      <c r="C478" s="90"/>
      <c r="D478" s="87"/>
      <c r="E478" s="90"/>
      <c r="F478" s="92"/>
      <c r="G478" s="94"/>
      <c r="H478" s="93"/>
      <c r="I478" s="93"/>
      <c r="J478" s="93"/>
      <c r="K478" s="93"/>
      <c r="L478" s="93"/>
      <c r="M478" s="93"/>
      <c r="N478" s="93"/>
      <c r="O478" s="93"/>
      <c r="P478" s="93"/>
      <c r="Q478" s="93"/>
    </row>
    <row r="479" spans="3:17" x14ac:dyDescent="0.3">
      <c r="C479" s="90"/>
      <c r="D479" s="87"/>
      <c r="E479" s="90"/>
      <c r="F479" s="92"/>
      <c r="G479" s="94"/>
      <c r="H479" s="93"/>
      <c r="I479" s="93"/>
      <c r="J479" s="93"/>
      <c r="K479" s="93"/>
      <c r="L479" s="93"/>
      <c r="M479" s="93"/>
      <c r="N479" s="93"/>
      <c r="O479" s="93"/>
      <c r="P479" s="93"/>
      <c r="Q479" s="93"/>
    </row>
    <row r="480" spans="3:17" x14ac:dyDescent="0.3">
      <c r="C480" s="90"/>
      <c r="D480" s="87"/>
      <c r="E480" s="90"/>
      <c r="F480" s="92"/>
      <c r="G480" s="94"/>
      <c r="H480" s="93"/>
      <c r="I480" s="93"/>
      <c r="J480" s="93"/>
      <c r="K480" s="93"/>
      <c r="L480" s="93"/>
      <c r="M480" s="93"/>
      <c r="N480" s="93"/>
      <c r="O480" s="93"/>
      <c r="P480" s="93"/>
      <c r="Q480" s="93"/>
    </row>
    <row r="481" spans="6:17" x14ac:dyDescent="0.3">
      <c r="F481" s="92"/>
      <c r="G481" s="94"/>
      <c r="H481" s="93"/>
      <c r="I481" s="93"/>
      <c r="J481" s="93"/>
      <c r="K481" s="93"/>
      <c r="L481" s="93"/>
      <c r="M481" s="93"/>
      <c r="N481" s="93"/>
      <c r="O481" s="93"/>
      <c r="P481" s="93"/>
      <c r="Q481" s="93"/>
    </row>
    <row r="482" spans="6:17" x14ac:dyDescent="0.3">
      <c r="F482" s="92"/>
      <c r="G482" s="94"/>
      <c r="H482" s="93"/>
      <c r="I482" s="93"/>
      <c r="J482" s="93"/>
      <c r="K482" s="93"/>
      <c r="L482" s="93"/>
      <c r="M482" s="93"/>
      <c r="N482" s="93"/>
      <c r="O482" s="93"/>
      <c r="P482" s="93"/>
      <c r="Q482" s="93"/>
    </row>
    <row r="483" spans="6:17" x14ac:dyDescent="0.3">
      <c r="F483" s="92"/>
      <c r="G483" s="94"/>
      <c r="H483" s="93"/>
      <c r="I483" s="93"/>
      <c r="J483" s="93"/>
      <c r="K483" s="93"/>
      <c r="L483" s="93"/>
      <c r="M483" s="93"/>
      <c r="N483" s="93"/>
      <c r="O483" s="93"/>
      <c r="P483" s="93"/>
      <c r="Q483" s="93"/>
    </row>
    <row r="484" spans="6:17" x14ac:dyDescent="0.3">
      <c r="F484" s="92"/>
      <c r="G484" s="94"/>
      <c r="H484" s="93"/>
      <c r="I484" s="93"/>
      <c r="J484" s="93"/>
      <c r="K484" s="93"/>
      <c r="L484" s="93"/>
      <c r="M484" s="93"/>
      <c r="N484" s="93"/>
      <c r="O484" s="93"/>
      <c r="P484" s="93"/>
      <c r="Q484" s="93"/>
    </row>
    <row r="485" spans="6:17" x14ac:dyDescent="0.3">
      <c r="F485" s="92"/>
      <c r="G485" s="94"/>
      <c r="H485" s="93"/>
      <c r="I485" s="93"/>
      <c r="J485" s="93"/>
      <c r="K485" s="93"/>
      <c r="L485" s="93"/>
      <c r="M485" s="93"/>
      <c r="N485" s="93"/>
      <c r="O485" s="93"/>
      <c r="P485" s="93"/>
      <c r="Q485" s="93"/>
    </row>
    <row r="486" spans="6:17" x14ac:dyDescent="0.3">
      <c r="F486" s="92"/>
      <c r="G486" s="94"/>
      <c r="H486" s="93"/>
      <c r="I486" s="93"/>
      <c r="J486" s="93"/>
      <c r="K486" s="93"/>
      <c r="L486" s="93"/>
      <c r="M486" s="93"/>
      <c r="N486" s="93"/>
      <c r="O486" s="93"/>
      <c r="P486" s="93"/>
      <c r="Q486" s="93"/>
    </row>
    <row r="487" spans="6:17" x14ac:dyDescent="0.3">
      <c r="F487" s="92"/>
      <c r="G487" s="94"/>
      <c r="H487" s="93"/>
      <c r="I487" s="93"/>
      <c r="J487" s="93"/>
      <c r="K487" s="93"/>
      <c r="L487" s="93"/>
      <c r="M487" s="93"/>
      <c r="N487" s="93"/>
      <c r="O487" s="93"/>
      <c r="P487" s="93"/>
      <c r="Q487" s="93"/>
    </row>
    <row r="488" spans="6:17" x14ac:dyDescent="0.3">
      <c r="F488" s="92"/>
      <c r="G488" s="94"/>
      <c r="H488" s="93"/>
      <c r="I488" s="93"/>
      <c r="J488" s="93"/>
      <c r="K488" s="93"/>
      <c r="L488" s="93"/>
      <c r="M488" s="93"/>
      <c r="N488" s="93"/>
      <c r="O488" s="93"/>
      <c r="P488" s="93"/>
      <c r="Q488" s="93"/>
    </row>
    <row r="489" spans="6:17" x14ac:dyDescent="0.3">
      <c r="F489" s="92"/>
      <c r="G489" s="94"/>
      <c r="H489" s="93"/>
      <c r="I489" s="93"/>
      <c r="J489" s="93"/>
      <c r="K489" s="93"/>
      <c r="L489" s="93"/>
      <c r="M489" s="93"/>
      <c r="N489" s="93"/>
      <c r="O489" s="93"/>
      <c r="P489" s="93"/>
      <c r="Q489" s="93"/>
    </row>
    <row r="490" spans="6:17" x14ac:dyDescent="0.3">
      <c r="F490" s="92"/>
      <c r="G490" s="94"/>
      <c r="H490" s="93"/>
      <c r="I490" s="93"/>
      <c r="J490" s="93"/>
      <c r="K490" s="93"/>
      <c r="L490" s="93"/>
      <c r="M490" s="93"/>
      <c r="N490" s="93"/>
      <c r="O490" s="93"/>
      <c r="P490" s="93"/>
      <c r="Q490" s="93"/>
    </row>
    <row r="491" spans="6:17" x14ac:dyDescent="0.3">
      <c r="F491" s="92"/>
      <c r="G491" s="94"/>
      <c r="H491" s="93"/>
      <c r="I491" s="93"/>
      <c r="J491" s="93"/>
      <c r="K491" s="93"/>
      <c r="L491" s="93"/>
      <c r="M491" s="93"/>
      <c r="N491" s="93"/>
      <c r="O491" s="93"/>
      <c r="P491" s="93"/>
      <c r="Q491" s="93"/>
    </row>
    <row r="492" spans="6:17" x14ac:dyDescent="0.3">
      <c r="F492" s="92"/>
      <c r="G492" s="94"/>
      <c r="H492" s="93"/>
      <c r="I492" s="93"/>
      <c r="J492" s="93"/>
      <c r="K492" s="93"/>
      <c r="L492" s="93"/>
      <c r="M492" s="93"/>
      <c r="N492" s="93"/>
      <c r="O492" s="93"/>
      <c r="P492" s="93"/>
      <c r="Q492" s="93"/>
    </row>
    <row r="493" spans="6:17" x14ac:dyDescent="0.3">
      <c r="F493" s="92"/>
      <c r="G493" s="94"/>
      <c r="H493" s="93"/>
      <c r="I493" s="93"/>
      <c r="J493" s="93"/>
      <c r="K493" s="93"/>
      <c r="L493" s="93"/>
      <c r="M493" s="93"/>
      <c r="N493" s="93"/>
      <c r="O493" s="93"/>
      <c r="P493" s="93"/>
      <c r="Q493" s="93"/>
    </row>
    <row r="494" spans="6:17" x14ac:dyDescent="0.3">
      <c r="F494" s="92"/>
      <c r="G494" s="94"/>
      <c r="H494" s="93"/>
      <c r="I494" s="93"/>
      <c r="J494" s="93"/>
      <c r="K494" s="93"/>
      <c r="L494" s="93"/>
      <c r="M494" s="93"/>
      <c r="N494" s="93"/>
      <c r="O494" s="93"/>
      <c r="P494" s="93"/>
      <c r="Q494" s="93"/>
    </row>
  </sheetData>
  <mergeCells count="7">
    <mergeCell ref="C6:N6"/>
    <mergeCell ref="C7:N7"/>
    <mergeCell ref="C1:N1"/>
    <mergeCell ref="C2:N2"/>
    <mergeCell ref="C3:N3"/>
    <mergeCell ref="C4:N4"/>
    <mergeCell ref="C5:N5"/>
  </mergeCells>
  <phoneticPr fontId="5" type="noConversion"/>
  <conditionalFormatting sqref="C299:Q464 C466:Q494 C149:Q297 C11:N148">
    <cfRule type="expression" dxfId="61" priority="1">
      <formula>$E11=""</formula>
    </cfRule>
  </conditionalFormatting>
  <printOptions horizontalCentered="1"/>
  <pageMargins left="0.31496062992125984" right="0.31496062992125984" top="0.59055118110236227" bottom="0.74803149606299213" header="0.31496062992125984" footer="0.31496062992125984"/>
  <pageSetup scale="49" fitToHeight="50" orientation="landscape" r:id="rId1"/>
  <headerFooter>
    <oddHeader>&amp;L&amp;G&amp;C&amp;"Arial Nova,Negrita"SUBDIRECCIÓN DE MANTENIMIENTO, LOGÍSTICA E INFRAESTRUCTURA COMPLEMENTARIA
GERENCIA DE MANTENIMIENTO E INFRAESTRUCTURA COMPLEMENTARIA MARINA &amp;"Arial Nova,Normal"
&amp;R&amp;G</oddHeader>
    <oddFooter>&amp;CPágina &amp;P de &amp;N&amp;RC. EMILIO JOSÉ SEGURA
REPRESENTANTE TÉCNICO-ADMINISTRATIVO 
BME SUBTEC S.A. de C.V.</oddFooter>
  </headerFooter>
  <rowBreaks count="3" manualBreakCount="3">
    <brk id="28" min="2" max="13" man="1"/>
    <brk id="46" min="2" max="13" man="1"/>
    <brk id="65" min="2" max="13" man="1"/>
  </rowBreaks>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AB681-B268-495C-90F3-AEC96797B199}">
  <dimension ref="A1:O551"/>
  <sheetViews>
    <sheetView view="pageBreakPreview" topLeftCell="A547" zoomScale="110" zoomScaleNormal="100" zoomScaleSheetLayoutView="110" workbookViewId="0">
      <selection activeCell="D541" sqref="D541"/>
    </sheetView>
  </sheetViews>
  <sheetFormatPr baseColWidth="10" defaultColWidth="11.44140625" defaultRowHeight="13.8" x14ac:dyDescent="0.3"/>
  <cols>
    <col min="1" max="2" width="11.44140625" style="5"/>
    <col min="3" max="3" width="12.44140625" style="5" bestFit="1" customWidth="1"/>
    <col min="4" max="4" width="81.109375" style="5" bestFit="1" customWidth="1"/>
    <col min="5" max="5" width="12" style="5" bestFit="1" customWidth="1"/>
    <col min="6" max="6" width="17" style="5" bestFit="1" customWidth="1"/>
    <col min="7" max="7" width="21.33203125" style="5" bestFit="1" customWidth="1"/>
    <col min="8" max="8" width="22.109375" style="5" bestFit="1" customWidth="1"/>
    <col min="9" max="9" width="23.44140625" style="5" bestFit="1" customWidth="1"/>
    <col min="10" max="10" width="22.109375" style="5" bestFit="1" customWidth="1"/>
    <col min="11" max="11" width="23.44140625" style="5" bestFit="1" customWidth="1"/>
    <col min="12" max="12" width="23.44140625" style="43" bestFit="1" customWidth="1"/>
    <col min="13" max="15" width="11.5546875" style="43" bestFit="1" customWidth="1"/>
    <col min="16" max="18" width="15.109375" bestFit="1" customWidth="1"/>
    <col min="19" max="21" width="16.33203125" bestFit="1" customWidth="1"/>
    <col min="22" max="22" width="21.5546875" bestFit="1" customWidth="1"/>
    <col min="23" max="23" width="22.5546875" bestFit="1" customWidth="1"/>
    <col min="24" max="24" width="23.88671875" bestFit="1" customWidth="1"/>
    <col min="25" max="25" width="21" bestFit="1" customWidth="1"/>
    <col min="26" max="26" width="21.6640625" bestFit="1" customWidth="1"/>
    <col min="27" max="28" width="10.44140625" bestFit="1" customWidth="1"/>
    <col min="29" max="29" width="11.109375" bestFit="1" customWidth="1"/>
    <col min="30" max="30" width="81.109375" bestFit="1" customWidth="1"/>
    <col min="32" max="32" width="14.33203125" bestFit="1" customWidth="1"/>
    <col min="34" max="34" width="12" bestFit="1" customWidth="1"/>
    <col min="35" max="35" width="81.109375" bestFit="1" customWidth="1"/>
    <col min="36" max="44" width="11.6640625" bestFit="1" customWidth="1"/>
    <col min="45" max="47" width="12.6640625" bestFit="1" customWidth="1"/>
    <col min="48" max="48" width="18.109375" bestFit="1" customWidth="1"/>
    <col min="49" max="49" width="18" bestFit="1" customWidth="1"/>
    <col min="50" max="50" width="21.88671875" bestFit="1" customWidth="1"/>
    <col min="51" max="51" width="21.6640625" bestFit="1" customWidth="1"/>
    <col min="52" max="52" width="21.88671875" bestFit="1" customWidth="1"/>
    <col min="53" max="53" width="21.6640625" bestFit="1" customWidth="1"/>
    <col min="54" max="54" width="21.88671875" bestFit="1" customWidth="1"/>
    <col min="55" max="55" width="21.6640625" bestFit="1" customWidth="1"/>
    <col min="56" max="56" width="21.88671875" bestFit="1" customWidth="1"/>
    <col min="57" max="57" width="21.6640625" bestFit="1" customWidth="1"/>
    <col min="58" max="58" width="21.88671875" bestFit="1" customWidth="1"/>
    <col min="59" max="59" width="21.6640625" bestFit="1" customWidth="1"/>
    <col min="60" max="60" width="21.88671875" bestFit="1" customWidth="1"/>
    <col min="61" max="61" width="21.6640625" bestFit="1" customWidth="1"/>
    <col min="62" max="62" width="21.88671875" bestFit="1" customWidth="1"/>
    <col min="63" max="63" width="21.6640625" bestFit="1" customWidth="1"/>
    <col min="64" max="64" width="21.88671875" bestFit="1" customWidth="1"/>
    <col min="65" max="65" width="21.6640625" bestFit="1" customWidth="1"/>
    <col min="66" max="66" width="21.88671875" bestFit="1" customWidth="1"/>
    <col min="67" max="67" width="21.6640625" bestFit="1" customWidth="1"/>
    <col min="68" max="68" width="22.88671875" bestFit="1" customWidth="1"/>
    <col min="69" max="69" width="22.6640625" bestFit="1" customWidth="1"/>
    <col min="70" max="70" width="22.88671875" bestFit="1" customWidth="1"/>
    <col min="71" max="71" width="22.6640625" bestFit="1" customWidth="1"/>
    <col min="72" max="72" width="22.88671875" bestFit="1" customWidth="1"/>
    <col min="73" max="73" width="22.6640625" bestFit="1" customWidth="1"/>
    <col min="74" max="74" width="23.33203125" bestFit="1" customWidth="1"/>
    <col min="75" max="75" width="23.109375" bestFit="1" customWidth="1"/>
    <col min="76" max="76" width="13.44140625" bestFit="1" customWidth="1"/>
    <col min="77" max="77" width="13.33203125" bestFit="1" customWidth="1"/>
    <col min="78" max="78" width="13.6640625" bestFit="1" customWidth="1"/>
    <col min="79" max="79" width="81" bestFit="1" customWidth="1"/>
    <col min="80" max="80" width="12.5546875" bestFit="1" customWidth="1"/>
    <col min="81" max="81" width="18.88671875" bestFit="1" customWidth="1"/>
    <col min="82" max="83" width="14" customWidth="1"/>
    <col min="84" max="84" width="16.6640625" bestFit="1" customWidth="1"/>
    <col min="85" max="85" width="15.109375" bestFit="1" customWidth="1"/>
    <col min="86" max="86" width="20" customWidth="1"/>
    <col min="87" max="87" width="21.88671875" customWidth="1"/>
    <col min="88" max="88" width="33.6640625" bestFit="1" customWidth="1"/>
    <col min="89" max="89" width="19.88671875" bestFit="1" customWidth="1"/>
    <col min="90" max="90" width="15.44140625" customWidth="1"/>
  </cols>
  <sheetData>
    <row r="1" spans="1:15" ht="20.100000000000001" customHeight="1" x14ac:dyDescent="0.25">
      <c r="A1" s="4"/>
      <c r="B1" s="4"/>
      <c r="C1" s="105" t="s">
        <v>15</v>
      </c>
      <c r="D1" s="105"/>
      <c r="E1" s="105"/>
      <c r="F1" s="105"/>
      <c r="G1" s="105"/>
      <c r="H1" s="105"/>
      <c r="I1" s="105"/>
      <c r="J1" s="105"/>
      <c r="K1" s="105"/>
      <c r="L1" s="105"/>
      <c r="M1" s="53"/>
      <c r="N1" s="53"/>
      <c r="O1" s="53"/>
    </row>
    <row r="2" spans="1:15" ht="20.100000000000001" customHeight="1" x14ac:dyDescent="0.25">
      <c r="A2" s="4"/>
      <c r="B2" s="4"/>
      <c r="C2" s="106" t="s">
        <v>16</v>
      </c>
      <c r="D2" s="106"/>
      <c r="E2" s="106"/>
      <c r="F2" s="106"/>
      <c r="G2" s="106"/>
      <c r="H2" s="106"/>
      <c r="I2" s="106"/>
      <c r="J2" s="106"/>
      <c r="K2" s="106"/>
      <c r="L2" s="106"/>
      <c r="M2" s="54"/>
      <c r="N2" s="54"/>
      <c r="O2" s="54"/>
    </row>
    <row r="3" spans="1:15" ht="20.100000000000001" customHeight="1" x14ac:dyDescent="0.25">
      <c r="A3" s="4"/>
      <c r="B3" s="4"/>
      <c r="C3" s="99" t="s">
        <v>5</v>
      </c>
      <c r="D3" s="99"/>
      <c r="E3" s="99"/>
      <c r="F3" s="99"/>
      <c r="G3" s="99"/>
      <c r="H3" s="99"/>
      <c r="I3" s="99"/>
      <c r="J3" s="99"/>
      <c r="K3" s="99"/>
      <c r="L3" s="99"/>
      <c r="M3" s="55"/>
      <c r="N3" s="55"/>
      <c r="O3" s="55"/>
    </row>
    <row r="4" spans="1:15" ht="37.200000000000003" customHeight="1" x14ac:dyDescent="0.25">
      <c r="A4" s="84"/>
      <c r="B4" s="84"/>
      <c r="C4" s="109" t="s">
        <v>1395</v>
      </c>
      <c r="D4" s="109"/>
      <c r="E4" s="109"/>
      <c r="F4" s="109"/>
      <c r="G4" s="109"/>
      <c r="H4" s="109"/>
      <c r="I4" s="109"/>
      <c r="J4" s="109"/>
      <c r="K4" s="109"/>
      <c r="L4" s="109"/>
      <c r="M4" s="6"/>
      <c r="N4" s="6"/>
      <c r="O4" s="6"/>
    </row>
    <row r="5" spans="1:15" ht="30.75" customHeight="1" x14ac:dyDescent="0.25">
      <c r="A5" s="4"/>
      <c r="B5" s="4"/>
      <c r="C5" s="106" t="s">
        <v>7</v>
      </c>
      <c r="D5" s="106"/>
      <c r="E5" s="106"/>
      <c r="F5" s="106"/>
      <c r="G5" s="106"/>
      <c r="H5" s="106"/>
      <c r="I5" s="106"/>
      <c r="J5" s="106"/>
      <c r="K5" s="106"/>
      <c r="L5" s="106"/>
      <c r="M5" s="54"/>
      <c r="N5" s="54"/>
      <c r="O5" s="54"/>
    </row>
    <row r="6" spans="1:15" ht="20.100000000000001" customHeight="1" x14ac:dyDescent="0.25">
      <c r="A6" s="4"/>
      <c r="B6" s="4"/>
      <c r="C6" s="109" t="s">
        <v>9</v>
      </c>
      <c r="D6" s="109"/>
      <c r="E6" s="109"/>
      <c r="F6" s="109"/>
      <c r="G6" s="109"/>
      <c r="H6" s="109"/>
      <c r="I6" s="109"/>
      <c r="J6" s="109"/>
      <c r="K6" s="109"/>
      <c r="L6" s="109"/>
      <c r="M6" s="6"/>
      <c r="N6" s="6"/>
      <c r="O6" s="6"/>
    </row>
    <row r="7" spans="1:15" ht="24.6" customHeight="1" x14ac:dyDescent="0.25">
      <c r="A7" s="95"/>
      <c r="B7" s="95"/>
      <c r="C7" s="102" t="s">
        <v>8</v>
      </c>
      <c r="D7" s="102"/>
      <c r="E7" s="102"/>
      <c r="F7" s="102"/>
      <c r="G7" s="102"/>
      <c r="H7" s="102"/>
      <c r="I7" s="102"/>
      <c r="J7" s="102"/>
      <c r="K7" s="102"/>
      <c r="L7" s="102"/>
      <c r="M7" s="64"/>
      <c r="N7" s="64"/>
      <c r="O7" s="64"/>
    </row>
    <row r="8" spans="1:15" ht="36.6" customHeight="1" x14ac:dyDescent="0.25">
      <c r="A8" s="95"/>
      <c r="B8" s="95"/>
      <c r="C8" s="17" t="s">
        <v>20</v>
      </c>
      <c r="D8" s="17" t="s">
        <v>21</v>
      </c>
      <c r="E8" s="17" t="s">
        <v>22</v>
      </c>
      <c r="F8" s="17" t="s">
        <v>23</v>
      </c>
      <c r="G8" s="17" t="s">
        <v>1399</v>
      </c>
      <c r="H8" s="17" t="s">
        <v>1400</v>
      </c>
      <c r="I8" s="17" t="s">
        <v>1401</v>
      </c>
      <c r="J8" s="17" t="s">
        <v>1402</v>
      </c>
      <c r="K8" s="17" t="s">
        <v>1403</v>
      </c>
      <c r="L8" s="17" t="s">
        <v>1404</v>
      </c>
      <c r="M8" s="66"/>
      <c r="N8" s="66"/>
      <c r="O8" s="66"/>
    </row>
    <row r="9" spans="1:15" ht="24" hidden="1" customHeight="1" x14ac:dyDescent="0.3"/>
    <row r="10" spans="1:15" hidden="1" x14ac:dyDescent="0.25">
      <c r="A10" s="95"/>
      <c r="B10" s="95"/>
      <c r="C10" s="39" t="s">
        <v>20</v>
      </c>
      <c r="D10" s="39" t="s">
        <v>21</v>
      </c>
      <c r="E10" s="39" t="s">
        <v>22</v>
      </c>
      <c r="F10" s="39" t="s">
        <v>29</v>
      </c>
      <c r="G10" s="39" t="s">
        <v>1419</v>
      </c>
      <c r="H10" s="39" t="s">
        <v>1420</v>
      </c>
      <c r="I10" s="39" t="s">
        <v>1421</v>
      </c>
      <c r="J10" s="39" t="s">
        <v>1422</v>
      </c>
      <c r="K10" s="39" t="s">
        <v>1423</v>
      </c>
      <c r="L10" s="44" t="s">
        <v>1424</v>
      </c>
      <c r="M10" t="s">
        <v>34</v>
      </c>
      <c r="N10" t="s">
        <v>35</v>
      </c>
      <c r="O10" t="s">
        <v>36</v>
      </c>
    </row>
    <row r="11" spans="1:15" ht="36" x14ac:dyDescent="0.25">
      <c r="A11" s="95"/>
      <c r="B11" s="95"/>
      <c r="C11" s="90" t="s">
        <v>37</v>
      </c>
      <c r="D11" s="40" t="s">
        <v>38</v>
      </c>
      <c r="E11" s="90"/>
      <c r="F11" s="89"/>
      <c r="G11" s="42"/>
      <c r="H11" s="42"/>
      <c r="I11" s="46"/>
      <c r="J11" s="46"/>
      <c r="K11" s="46"/>
      <c r="L11" s="47"/>
      <c r="M11"/>
      <c r="N11"/>
      <c r="O11"/>
    </row>
    <row r="12" spans="1:15" ht="48" x14ac:dyDescent="0.25">
      <c r="A12" s="95"/>
      <c r="B12" s="95"/>
      <c r="C12" s="90" t="s">
        <v>39</v>
      </c>
      <c r="D12" s="40" t="s">
        <v>40</v>
      </c>
      <c r="E12" s="90" t="s">
        <v>41</v>
      </c>
      <c r="F12" s="89">
        <v>38.248899999999999</v>
      </c>
      <c r="G12" s="42"/>
      <c r="H12" s="42"/>
      <c r="I12" s="46"/>
      <c r="J12" s="46"/>
      <c r="K12" s="42">
        <v>24.1572</v>
      </c>
      <c r="L12" s="45">
        <v>14.091699999999999</v>
      </c>
      <c r="M12"/>
      <c r="N12"/>
      <c r="O12"/>
    </row>
    <row r="13" spans="1:15" ht="48" x14ac:dyDescent="0.25">
      <c r="A13" s="95"/>
      <c r="B13" s="95"/>
      <c r="C13" s="90" t="s">
        <v>44</v>
      </c>
      <c r="D13" s="40" t="s">
        <v>45</v>
      </c>
      <c r="E13" s="90"/>
      <c r="F13" s="89"/>
      <c r="G13" s="42"/>
      <c r="H13" s="42"/>
      <c r="I13" s="46"/>
      <c r="J13" s="46"/>
      <c r="K13" s="46"/>
      <c r="L13" s="47"/>
      <c r="M13"/>
      <c r="N13"/>
      <c r="O13"/>
    </row>
    <row r="14" spans="1:15" ht="36" x14ac:dyDescent="0.25">
      <c r="A14" s="95"/>
      <c r="B14" s="95"/>
      <c r="C14" s="90"/>
      <c r="D14" s="87" t="s">
        <v>46</v>
      </c>
      <c r="E14" s="90"/>
      <c r="F14" s="89"/>
      <c r="G14" s="42"/>
      <c r="H14" s="42"/>
      <c r="I14" s="46"/>
      <c r="J14" s="46"/>
      <c r="K14" s="46"/>
      <c r="L14" s="47"/>
      <c r="M14"/>
      <c r="N14"/>
      <c r="O14"/>
    </row>
    <row r="15" spans="1:15" ht="72" x14ac:dyDescent="0.25">
      <c r="A15" s="95"/>
      <c r="B15" s="95"/>
      <c r="C15" s="90"/>
      <c r="D15" s="87" t="s">
        <v>47</v>
      </c>
      <c r="E15" s="90"/>
      <c r="F15" s="89"/>
      <c r="G15" s="42"/>
      <c r="H15" s="42"/>
      <c r="I15" s="46"/>
      <c r="J15" s="46"/>
      <c r="K15" s="46"/>
      <c r="L15" s="47"/>
      <c r="M15"/>
      <c r="N15"/>
      <c r="O15"/>
    </row>
    <row r="16" spans="1:15" ht="36" x14ac:dyDescent="0.25">
      <c r="A16" s="95"/>
      <c r="B16" s="95"/>
      <c r="C16" s="90" t="s">
        <v>48</v>
      </c>
      <c r="D16" s="87" t="s">
        <v>49</v>
      </c>
      <c r="E16" s="90" t="s">
        <v>50</v>
      </c>
      <c r="F16" s="89">
        <v>2.8889999999999998</v>
      </c>
      <c r="G16" s="42"/>
      <c r="H16" s="42"/>
      <c r="I16" s="46">
        <v>2.8889999999999998</v>
      </c>
      <c r="J16" s="46"/>
      <c r="K16" s="46"/>
      <c r="L16" s="47"/>
      <c r="M16"/>
      <c r="N16"/>
      <c r="O16"/>
    </row>
    <row r="17" spans="1:15" ht="36" x14ac:dyDescent="0.25">
      <c r="A17" s="95"/>
      <c r="B17" s="95"/>
      <c r="C17" s="90" t="s">
        <v>52</v>
      </c>
      <c r="D17" s="87" t="s">
        <v>53</v>
      </c>
      <c r="E17" s="90" t="s">
        <v>50</v>
      </c>
      <c r="F17" s="89">
        <v>18.3613</v>
      </c>
      <c r="G17" s="42"/>
      <c r="H17" s="42"/>
      <c r="I17" s="12">
        <v>18.3613</v>
      </c>
      <c r="J17" s="46"/>
      <c r="K17" s="46"/>
      <c r="L17" s="47"/>
      <c r="M17"/>
      <c r="N17"/>
      <c r="O17"/>
    </row>
    <row r="18" spans="1:15" ht="72" x14ac:dyDescent="0.25">
      <c r="A18" s="95"/>
      <c r="B18" s="95"/>
      <c r="C18" s="90"/>
      <c r="D18" s="87" t="s">
        <v>55</v>
      </c>
      <c r="E18" s="90"/>
      <c r="F18" s="89"/>
      <c r="G18" s="42"/>
      <c r="H18" s="42"/>
      <c r="I18" s="46"/>
      <c r="J18" s="46"/>
      <c r="K18" s="46"/>
      <c r="L18" s="47"/>
      <c r="M18"/>
      <c r="N18"/>
      <c r="O18"/>
    </row>
    <row r="19" spans="1:15" ht="36" x14ac:dyDescent="0.25">
      <c r="A19" s="95"/>
      <c r="B19" s="95"/>
      <c r="C19" s="90" t="s">
        <v>56</v>
      </c>
      <c r="D19" s="87" t="s">
        <v>57</v>
      </c>
      <c r="E19" s="90" t="s">
        <v>58</v>
      </c>
      <c r="F19" s="89">
        <v>12.2</v>
      </c>
      <c r="G19" s="42"/>
      <c r="H19" s="42"/>
      <c r="I19" s="46"/>
      <c r="J19" s="47">
        <v>12.2</v>
      </c>
      <c r="K19" s="46"/>
      <c r="L19" s="47"/>
      <c r="M19"/>
      <c r="N19"/>
      <c r="O19"/>
    </row>
    <row r="20" spans="1:15" ht="36" x14ac:dyDescent="0.25">
      <c r="A20" s="95"/>
      <c r="B20" s="95"/>
      <c r="C20" s="90" t="s">
        <v>60</v>
      </c>
      <c r="D20" s="87" t="s">
        <v>61</v>
      </c>
      <c r="E20" s="90" t="s">
        <v>58</v>
      </c>
      <c r="F20" s="89">
        <v>61</v>
      </c>
      <c r="G20" s="42"/>
      <c r="H20" s="42"/>
      <c r="I20" s="47">
        <v>61</v>
      </c>
      <c r="J20" s="46"/>
      <c r="K20" s="46"/>
      <c r="L20" s="47"/>
      <c r="M20"/>
      <c r="N20"/>
      <c r="O20"/>
    </row>
    <row r="21" spans="1:15" ht="36" x14ac:dyDescent="0.25">
      <c r="A21" s="95"/>
      <c r="B21" s="95"/>
      <c r="C21" s="90"/>
      <c r="D21" s="87" t="s">
        <v>63</v>
      </c>
      <c r="E21" s="90"/>
      <c r="F21" s="89"/>
      <c r="G21" s="42"/>
      <c r="H21" s="42"/>
      <c r="I21" s="46"/>
      <c r="J21" s="46"/>
      <c r="K21" s="46"/>
      <c r="L21" s="47"/>
      <c r="M21"/>
      <c r="N21"/>
      <c r="O21"/>
    </row>
    <row r="22" spans="1:15" ht="60" x14ac:dyDescent="0.25">
      <c r="A22" s="95"/>
      <c r="B22" s="95"/>
      <c r="C22" s="90"/>
      <c r="D22" s="87" t="s">
        <v>64</v>
      </c>
      <c r="E22" s="90"/>
      <c r="F22" s="89"/>
      <c r="G22" s="42"/>
      <c r="H22" s="42"/>
      <c r="I22" s="46"/>
      <c r="J22" s="46"/>
      <c r="K22" s="46"/>
      <c r="L22" s="47"/>
      <c r="M22"/>
      <c r="N22"/>
      <c r="O22"/>
    </row>
    <row r="23" spans="1:15" ht="48" x14ac:dyDescent="0.25">
      <c r="A23" s="95"/>
      <c r="B23" s="95"/>
      <c r="C23" s="90"/>
      <c r="D23" s="87" t="s">
        <v>65</v>
      </c>
      <c r="E23" s="90"/>
      <c r="F23" s="89"/>
      <c r="G23" s="42"/>
      <c r="H23" s="42"/>
      <c r="I23" s="46"/>
      <c r="J23" s="46"/>
      <c r="K23" s="46"/>
      <c r="L23" s="47"/>
      <c r="M23"/>
      <c r="N23"/>
      <c r="O23"/>
    </row>
    <row r="24" spans="1:15" ht="36" x14ac:dyDescent="0.25">
      <c r="A24" s="95"/>
      <c r="B24" s="95"/>
      <c r="C24" s="90" t="s">
        <v>66</v>
      </c>
      <c r="D24" s="87" t="s">
        <v>67</v>
      </c>
      <c r="E24" s="90" t="s">
        <v>68</v>
      </c>
      <c r="F24" s="89">
        <v>9</v>
      </c>
      <c r="G24" s="42"/>
      <c r="H24" s="42"/>
      <c r="I24" s="46"/>
      <c r="J24" s="12">
        <v>9</v>
      </c>
      <c r="K24" s="46"/>
      <c r="L24" s="47"/>
      <c r="M24"/>
      <c r="N24"/>
      <c r="O24"/>
    </row>
    <row r="25" spans="1:15" ht="60" x14ac:dyDescent="0.25">
      <c r="A25" s="95"/>
      <c r="B25" s="95"/>
      <c r="C25" s="90"/>
      <c r="D25" s="87" t="s">
        <v>70</v>
      </c>
      <c r="E25" s="90"/>
      <c r="F25" s="89"/>
      <c r="G25" s="42"/>
      <c r="H25" s="42"/>
      <c r="I25" s="46"/>
      <c r="J25" s="46"/>
      <c r="K25" s="46"/>
      <c r="L25" s="47"/>
      <c r="M25"/>
      <c r="N25"/>
      <c r="O25"/>
    </row>
    <row r="26" spans="1:15" ht="48" x14ac:dyDescent="0.25">
      <c r="A26" s="95"/>
      <c r="B26" s="95"/>
      <c r="C26" s="90" t="s">
        <v>71</v>
      </c>
      <c r="D26" s="87" t="s">
        <v>72</v>
      </c>
      <c r="E26" s="90" t="s">
        <v>68</v>
      </c>
      <c r="F26" s="89">
        <v>35</v>
      </c>
      <c r="G26" s="42"/>
      <c r="H26" s="45">
        <v>20</v>
      </c>
      <c r="I26" s="12">
        <v>15</v>
      </c>
      <c r="J26" s="46"/>
      <c r="K26" s="46"/>
      <c r="L26" s="47"/>
      <c r="M26"/>
      <c r="N26"/>
      <c r="O26"/>
    </row>
    <row r="27" spans="1:15" ht="48" x14ac:dyDescent="0.25">
      <c r="A27" s="95"/>
      <c r="B27" s="95"/>
      <c r="C27" s="90" t="s">
        <v>74</v>
      </c>
      <c r="D27" s="87" t="s">
        <v>75</v>
      </c>
      <c r="E27" s="90" t="s">
        <v>68</v>
      </c>
      <c r="F27" s="89">
        <v>1</v>
      </c>
      <c r="G27" s="42"/>
      <c r="H27" s="41">
        <v>1</v>
      </c>
      <c r="I27" s="46"/>
      <c r="J27" s="46"/>
      <c r="K27" s="46"/>
      <c r="L27" s="47"/>
      <c r="M27"/>
      <c r="N27"/>
      <c r="O27"/>
    </row>
    <row r="28" spans="1:15" ht="48" x14ac:dyDescent="0.25">
      <c r="A28" s="95"/>
      <c r="B28" s="95"/>
      <c r="C28" s="90"/>
      <c r="D28" s="87" t="s">
        <v>77</v>
      </c>
      <c r="E28" s="90"/>
      <c r="F28" s="89"/>
      <c r="G28" s="42"/>
      <c r="H28" s="42"/>
      <c r="I28" s="46"/>
      <c r="J28" s="46"/>
      <c r="K28" s="46"/>
      <c r="L28" s="47"/>
      <c r="M28"/>
      <c r="N28"/>
      <c r="O28"/>
    </row>
    <row r="29" spans="1:15" ht="60" x14ac:dyDescent="0.25">
      <c r="A29" s="95"/>
      <c r="B29" s="95"/>
      <c r="C29" s="90" t="s">
        <v>78</v>
      </c>
      <c r="D29" s="87" t="s">
        <v>79</v>
      </c>
      <c r="E29" s="90" t="s">
        <v>68</v>
      </c>
      <c r="F29" s="89">
        <v>35</v>
      </c>
      <c r="G29" s="42"/>
      <c r="H29" s="42"/>
      <c r="I29" s="47">
        <v>20</v>
      </c>
      <c r="J29" s="12">
        <v>15</v>
      </c>
      <c r="K29" s="46"/>
      <c r="L29" s="47"/>
      <c r="M29"/>
      <c r="N29"/>
      <c r="O29"/>
    </row>
    <row r="30" spans="1:15" ht="48" x14ac:dyDescent="0.25">
      <c r="A30" s="95"/>
      <c r="B30" s="95"/>
      <c r="C30" s="90"/>
      <c r="D30" s="87" t="s">
        <v>81</v>
      </c>
      <c r="E30" s="90"/>
      <c r="F30" s="89"/>
      <c r="G30" s="42"/>
      <c r="H30" s="42"/>
      <c r="I30" s="46"/>
      <c r="J30" s="46"/>
      <c r="K30" s="46"/>
      <c r="L30" s="47"/>
      <c r="M30"/>
      <c r="N30"/>
      <c r="O30"/>
    </row>
    <row r="31" spans="1:15" ht="36" x14ac:dyDescent="0.25">
      <c r="A31" s="95"/>
      <c r="B31" s="95"/>
      <c r="C31" s="90" t="s">
        <v>82</v>
      </c>
      <c r="D31" s="87" t="s">
        <v>83</v>
      </c>
      <c r="E31" s="90" t="s">
        <v>68</v>
      </c>
      <c r="F31" s="89">
        <v>28</v>
      </c>
      <c r="G31" s="42"/>
      <c r="H31" s="42"/>
      <c r="I31" s="47">
        <v>28</v>
      </c>
      <c r="J31" s="46"/>
      <c r="K31" s="46"/>
      <c r="L31" s="47"/>
      <c r="M31"/>
      <c r="N31"/>
      <c r="O31"/>
    </row>
    <row r="32" spans="1:15" ht="36" x14ac:dyDescent="0.25">
      <c r="A32" s="95"/>
      <c r="B32" s="95"/>
      <c r="C32" s="90" t="s">
        <v>85</v>
      </c>
      <c r="D32" s="87" t="s">
        <v>86</v>
      </c>
      <c r="E32" s="90" t="s">
        <v>68</v>
      </c>
      <c r="F32" s="89">
        <v>1</v>
      </c>
      <c r="G32" s="42"/>
      <c r="H32" s="42"/>
      <c r="I32" s="46">
        <v>1</v>
      </c>
      <c r="J32" s="46"/>
      <c r="K32" s="46"/>
      <c r="L32" s="47"/>
      <c r="M32"/>
      <c r="N32"/>
      <c r="O32"/>
    </row>
    <row r="33" spans="1:15" ht="48" x14ac:dyDescent="0.25">
      <c r="A33" s="95"/>
      <c r="B33" s="95"/>
      <c r="C33" s="90"/>
      <c r="D33" s="87" t="s">
        <v>88</v>
      </c>
      <c r="E33" s="90"/>
      <c r="F33" s="89"/>
      <c r="G33" s="42"/>
      <c r="H33" s="42"/>
      <c r="I33" s="46"/>
      <c r="J33" s="46"/>
      <c r="K33" s="46"/>
      <c r="L33" s="47"/>
      <c r="M33"/>
      <c r="N33"/>
      <c r="O33"/>
    </row>
    <row r="34" spans="1:15" ht="36" x14ac:dyDescent="0.25">
      <c r="A34" s="95"/>
      <c r="B34" s="95"/>
      <c r="C34" s="90" t="s">
        <v>89</v>
      </c>
      <c r="D34" s="87" t="s">
        <v>90</v>
      </c>
      <c r="E34" s="90" t="s">
        <v>68</v>
      </c>
      <c r="F34" s="89">
        <v>13</v>
      </c>
      <c r="G34" s="42"/>
      <c r="H34" s="42"/>
      <c r="I34" s="46"/>
      <c r="J34" s="12">
        <v>13</v>
      </c>
      <c r="K34" s="46"/>
      <c r="L34" s="47"/>
      <c r="M34"/>
      <c r="N34"/>
      <c r="O34"/>
    </row>
    <row r="35" spans="1:15" ht="36" x14ac:dyDescent="0.25">
      <c r="A35" s="95"/>
      <c r="B35" s="95"/>
      <c r="C35" s="90"/>
      <c r="D35" s="87" t="s">
        <v>92</v>
      </c>
      <c r="E35" s="90"/>
      <c r="F35" s="89"/>
      <c r="G35" s="42"/>
      <c r="H35" s="42"/>
      <c r="I35" s="46"/>
      <c r="J35" s="46"/>
      <c r="K35" s="46"/>
      <c r="L35" s="47"/>
      <c r="M35"/>
      <c r="N35"/>
      <c r="O35"/>
    </row>
    <row r="36" spans="1:15" ht="48" x14ac:dyDescent="0.25">
      <c r="A36" s="95"/>
      <c r="B36" s="95"/>
      <c r="C36" s="90" t="s">
        <v>93</v>
      </c>
      <c r="D36" s="87" t="s">
        <v>94</v>
      </c>
      <c r="E36" s="90" t="s">
        <v>68</v>
      </c>
      <c r="F36" s="89">
        <v>6</v>
      </c>
      <c r="G36" s="42"/>
      <c r="H36" s="42"/>
      <c r="I36" s="46"/>
      <c r="J36" s="46">
        <v>6</v>
      </c>
      <c r="K36" s="46"/>
      <c r="L36" s="47"/>
      <c r="M36"/>
      <c r="N36"/>
      <c r="O36"/>
    </row>
    <row r="37" spans="1:15" ht="48" x14ac:dyDescent="0.25">
      <c r="A37" s="95"/>
      <c r="B37" s="95"/>
      <c r="C37" s="90"/>
      <c r="D37" s="87" t="s">
        <v>96</v>
      </c>
      <c r="E37" s="90"/>
      <c r="F37" s="89"/>
      <c r="G37" s="42"/>
      <c r="H37" s="42"/>
      <c r="I37" s="46"/>
      <c r="J37" s="46"/>
      <c r="K37" s="46"/>
      <c r="L37" s="47"/>
      <c r="M37"/>
      <c r="N37"/>
      <c r="O37"/>
    </row>
    <row r="38" spans="1:15" ht="48" x14ac:dyDescent="0.25">
      <c r="A38" s="95"/>
      <c r="B38" s="95"/>
      <c r="C38" s="90" t="s">
        <v>97</v>
      </c>
      <c r="D38" s="87" t="s">
        <v>98</v>
      </c>
      <c r="E38" s="90" t="s">
        <v>68</v>
      </c>
      <c r="F38" s="89">
        <v>6</v>
      </c>
      <c r="G38" s="42"/>
      <c r="H38" s="42"/>
      <c r="I38" s="46"/>
      <c r="J38" s="46">
        <v>6</v>
      </c>
      <c r="K38" s="46"/>
      <c r="L38" s="47"/>
      <c r="M38"/>
      <c r="N38"/>
      <c r="O38"/>
    </row>
    <row r="39" spans="1:15" ht="48" x14ac:dyDescent="0.25">
      <c r="A39" s="95"/>
      <c r="B39" s="95"/>
      <c r="C39" s="90" t="s">
        <v>100</v>
      </c>
      <c r="D39" s="87" t="s">
        <v>101</v>
      </c>
      <c r="E39" s="90" t="s">
        <v>68</v>
      </c>
      <c r="F39" s="89">
        <v>4</v>
      </c>
      <c r="G39" s="42"/>
      <c r="H39" s="42"/>
      <c r="I39" s="46"/>
      <c r="J39" s="46">
        <v>4</v>
      </c>
      <c r="K39" s="46"/>
      <c r="L39" s="47"/>
      <c r="M39"/>
      <c r="N39"/>
      <c r="O39"/>
    </row>
    <row r="40" spans="1:15" ht="48" x14ac:dyDescent="0.25">
      <c r="A40" s="95"/>
      <c r="B40" s="95"/>
      <c r="C40" s="90"/>
      <c r="D40" s="87" t="s">
        <v>103</v>
      </c>
      <c r="E40" s="90"/>
      <c r="F40" s="89"/>
      <c r="G40" s="42"/>
      <c r="H40" s="42"/>
      <c r="I40" s="46"/>
      <c r="J40" s="46"/>
      <c r="K40" s="46"/>
      <c r="L40" s="47"/>
      <c r="M40"/>
      <c r="N40"/>
      <c r="O40"/>
    </row>
    <row r="41" spans="1:15" ht="60" x14ac:dyDescent="0.25">
      <c r="A41" s="95"/>
      <c r="B41" s="95"/>
      <c r="C41" s="90" t="s">
        <v>104</v>
      </c>
      <c r="D41" s="87" t="s">
        <v>105</v>
      </c>
      <c r="E41" s="90" t="s">
        <v>68</v>
      </c>
      <c r="F41" s="89">
        <v>18</v>
      </c>
      <c r="G41" s="42"/>
      <c r="H41" s="42"/>
      <c r="I41" s="46"/>
      <c r="J41" s="46">
        <v>18</v>
      </c>
      <c r="K41" s="46"/>
      <c r="L41" s="47"/>
      <c r="M41"/>
      <c r="N41"/>
      <c r="O41"/>
    </row>
    <row r="42" spans="1:15" ht="48" x14ac:dyDescent="0.25">
      <c r="A42" s="95"/>
      <c r="B42" s="95"/>
      <c r="C42" s="90"/>
      <c r="D42" s="87" t="s">
        <v>107</v>
      </c>
      <c r="E42" s="90"/>
      <c r="F42" s="89"/>
      <c r="G42" s="42"/>
      <c r="H42" s="42"/>
      <c r="I42" s="46"/>
      <c r="J42" s="46"/>
      <c r="K42" s="46"/>
      <c r="L42" s="47"/>
      <c r="M42"/>
      <c r="N42"/>
      <c r="O42"/>
    </row>
    <row r="43" spans="1:15" ht="36" x14ac:dyDescent="0.25">
      <c r="A43" s="95"/>
      <c r="B43" s="95"/>
      <c r="C43" s="90" t="s">
        <v>108</v>
      </c>
      <c r="D43" s="87" t="s">
        <v>109</v>
      </c>
      <c r="E43" s="90" t="s">
        <v>50</v>
      </c>
      <c r="F43" s="89">
        <v>2.15</v>
      </c>
      <c r="G43" s="45">
        <v>2.15</v>
      </c>
      <c r="H43" s="42"/>
      <c r="I43" s="46"/>
      <c r="J43" s="46"/>
      <c r="K43" s="46"/>
      <c r="L43" s="47"/>
      <c r="M43"/>
      <c r="N43"/>
      <c r="O43"/>
    </row>
    <row r="44" spans="1:15" ht="36" x14ac:dyDescent="0.25">
      <c r="A44" s="95"/>
      <c r="B44" s="95"/>
      <c r="C44" s="90" t="s">
        <v>111</v>
      </c>
      <c r="D44" s="87" t="s">
        <v>112</v>
      </c>
      <c r="E44" s="90" t="s">
        <v>50</v>
      </c>
      <c r="F44" s="89">
        <v>1.6420999999999999</v>
      </c>
      <c r="G44" s="42"/>
      <c r="H44" s="42">
        <v>1.6420999999999999</v>
      </c>
      <c r="I44" s="46"/>
      <c r="J44" s="46"/>
      <c r="K44" s="46"/>
      <c r="L44" s="47"/>
      <c r="M44"/>
      <c r="N44"/>
      <c r="O44"/>
    </row>
    <row r="45" spans="1:15" ht="48" x14ac:dyDescent="0.25">
      <c r="A45" s="95"/>
      <c r="B45" s="95"/>
      <c r="C45" s="90"/>
      <c r="D45" s="87" t="s">
        <v>114</v>
      </c>
      <c r="E45" s="90"/>
      <c r="F45" s="89"/>
      <c r="G45" s="42"/>
      <c r="H45" s="42"/>
      <c r="I45" s="46"/>
      <c r="J45" s="46"/>
      <c r="K45" s="46"/>
      <c r="L45" s="47"/>
      <c r="M45"/>
      <c r="N45"/>
      <c r="O45"/>
    </row>
    <row r="46" spans="1:15" ht="36" x14ac:dyDescent="0.25">
      <c r="A46" s="95"/>
      <c r="B46" s="95"/>
      <c r="C46" s="90" t="s">
        <v>115</v>
      </c>
      <c r="D46" s="87" t="s">
        <v>116</v>
      </c>
      <c r="E46" s="90" t="s">
        <v>50</v>
      </c>
      <c r="F46" s="89">
        <v>1.46</v>
      </c>
      <c r="G46" s="42"/>
      <c r="H46" s="42"/>
      <c r="I46" s="46"/>
      <c r="J46" s="46">
        <v>1.46</v>
      </c>
      <c r="K46" s="46"/>
      <c r="L46" s="47"/>
      <c r="M46"/>
      <c r="N46"/>
      <c r="O46"/>
    </row>
    <row r="47" spans="1:15" ht="36" x14ac:dyDescent="0.25">
      <c r="A47" s="95"/>
      <c r="B47" s="95"/>
      <c r="C47" s="90" t="s">
        <v>118</v>
      </c>
      <c r="D47" s="87" t="s">
        <v>119</v>
      </c>
      <c r="E47" s="90" t="s">
        <v>50</v>
      </c>
      <c r="F47" s="89">
        <v>0.25890000000000002</v>
      </c>
      <c r="G47" s="42"/>
      <c r="H47" s="42"/>
      <c r="I47" s="12">
        <v>0.25890000000000002</v>
      </c>
      <c r="J47" s="46"/>
      <c r="K47" s="46"/>
      <c r="L47" s="47"/>
      <c r="M47"/>
      <c r="N47"/>
      <c r="O47"/>
    </row>
    <row r="48" spans="1:15" ht="36" x14ac:dyDescent="0.25">
      <c r="A48" s="95"/>
      <c r="B48" s="95"/>
      <c r="C48" s="90" t="s">
        <v>121</v>
      </c>
      <c r="D48" s="87" t="s">
        <v>122</v>
      </c>
      <c r="E48" s="90" t="s">
        <v>50</v>
      </c>
      <c r="F48" s="89">
        <v>1.49E-2</v>
      </c>
      <c r="G48" s="42"/>
      <c r="H48" s="42"/>
      <c r="I48" s="12">
        <v>1.49E-2</v>
      </c>
      <c r="J48" s="46"/>
      <c r="K48" s="46"/>
      <c r="L48" s="47"/>
      <c r="M48"/>
      <c r="N48"/>
      <c r="O48"/>
    </row>
    <row r="49" spans="1:15" ht="36" x14ac:dyDescent="0.25">
      <c r="A49" s="95"/>
      <c r="B49" s="95"/>
      <c r="C49" s="90" t="s">
        <v>124</v>
      </c>
      <c r="D49" s="87" t="s">
        <v>125</v>
      </c>
      <c r="E49" s="90" t="s">
        <v>50</v>
      </c>
      <c r="F49" s="89">
        <v>0.2102</v>
      </c>
      <c r="G49" s="42"/>
      <c r="H49" s="42"/>
      <c r="I49" s="46">
        <v>0.2102</v>
      </c>
      <c r="J49" s="46"/>
      <c r="K49" s="46"/>
      <c r="L49" s="47"/>
      <c r="M49"/>
      <c r="N49"/>
      <c r="O49"/>
    </row>
    <row r="50" spans="1:15" ht="36" x14ac:dyDescent="0.25">
      <c r="A50" s="95"/>
      <c r="B50" s="95"/>
      <c r="C50" s="90" t="s">
        <v>127</v>
      </c>
      <c r="D50" s="87" t="s">
        <v>128</v>
      </c>
      <c r="E50" s="90" t="s">
        <v>50</v>
      </c>
      <c r="F50" s="89">
        <v>0.66600000000000004</v>
      </c>
      <c r="G50" s="42"/>
      <c r="H50" s="42"/>
      <c r="I50" s="47">
        <v>0.66600000000000004</v>
      </c>
      <c r="J50" s="46"/>
      <c r="K50" s="46"/>
      <c r="L50" s="47"/>
      <c r="M50"/>
      <c r="N50"/>
      <c r="O50"/>
    </row>
    <row r="51" spans="1:15" ht="36" x14ac:dyDescent="0.25">
      <c r="A51" s="95"/>
      <c r="B51" s="95"/>
      <c r="C51" s="90" t="s">
        <v>130</v>
      </c>
      <c r="D51" s="87" t="s">
        <v>131</v>
      </c>
      <c r="E51" s="90" t="s">
        <v>50</v>
      </c>
      <c r="F51" s="89">
        <v>1.46</v>
      </c>
      <c r="G51" s="42"/>
      <c r="H51" s="42">
        <v>1.46</v>
      </c>
      <c r="I51" s="46"/>
      <c r="J51" s="46"/>
      <c r="K51" s="46"/>
      <c r="L51" s="47"/>
      <c r="M51"/>
      <c r="N51"/>
      <c r="O51"/>
    </row>
    <row r="52" spans="1:15" ht="36" x14ac:dyDescent="0.25">
      <c r="A52" s="95"/>
      <c r="B52" s="95"/>
      <c r="C52" s="90" t="s">
        <v>133</v>
      </c>
      <c r="D52" s="87" t="s">
        <v>109</v>
      </c>
      <c r="E52" s="90" t="s">
        <v>50</v>
      </c>
      <c r="F52" s="89">
        <v>3.097</v>
      </c>
      <c r="G52" s="42"/>
      <c r="H52" s="42"/>
      <c r="I52" s="12">
        <v>3.097</v>
      </c>
      <c r="J52" s="46"/>
      <c r="K52" s="46"/>
      <c r="L52" s="47"/>
      <c r="M52"/>
      <c r="N52"/>
      <c r="O52"/>
    </row>
    <row r="53" spans="1:15" ht="36" x14ac:dyDescent="0.25">
      <c r="A53" s="95"/>
      <c r="B53" s="95"/>
      <c r="C53" s="90" t="s">
        <v>135</v>
      </c>
      <c r="D53" s="87" t="s">
        <v>136</v>
      </c>
      <c r="E53" s="90" t="s">
        <v>50</v>
      </c>
      <c r="F53" s="89">
        <v>0.51300000000000001</v>
      </c>
      <c r="G53" s="42"/>
      <c r="H53" s="42"/>
      <c r="I53" s="46">
        <v>0.51300000000000001</v>
      </c>
      <c r="J53" s="46"/>
      <c r="K53" s="46"/>
      <c r="L53" s="47"/>
      <c r="M53"/>
      <c r="N53"/>
      <c r="O53"/>
    </row>
    <row r="54" spans="1:15" ht="36" x14ac:dyDescent="0.25">
      <c r="A54" s="95"/>
      <c r="B54" s="95"/>
      <c r="C54" s="90" t="s">
        <v>138</v>
      </c>
      <c r="D54" s="87" t="s">
        <v>139</v>
      </c>
      <c r="E54" s="90" t="s">
        <v>50</v>
      </c>
      <c r="F54" s="89">
        <v>1.91</v>
      </c>
      <c r="G54" s="45">
        <v>1.91</v>
      </c>
      <c r="H54" s="42"/>
      <c r="I54" s="46"/>
      <c r="J54" s="46"/>
      <c r="K54" s="46"/>
      <c r="L54" s="47"/>
      <c r="M54"/>
      <c r="N54"/>
      <c r="O54"/>
    </row>
    <row r="55" spans="1:15" ht="48" x14ac:dyDescent="0.25">
      <c r="A55" s="95"/>
      <c r="B55" s="95"/>
      <c r="C55" s="90"/>
      <c r="D55" s="87" t="s">
        <v>141</v>
      </c>
      <c r="E55" s="90"/>
      <c r="F55" s="89"/>
      <c r="G55" s="42"/>
      <c r="H55" s="42"/>
      <c r="I55" s="46"/>
      <c r="J55" s="46"/>
      <c r="K55" s="46"/>
      <c r="L55" s="47"/>
      <c r="M55"/>
      <c r="N55"/>
      <c r="O55"/>
    </row>
    <row r="56" spans="1:15" ht="36" x14ac:dyDescent="0.25">
      <c r="A56" s="95"/>
      <c r="B56" s="95"/>
      <c r="C56" s="90" t="s">
        <v>142</v>
      </c>
      <c r="D56" s="87" t="s">
        <v>143</v>
      </c>
      <c r="E56" s="90" t="s">
        <v>50</v>
      </c>
      <c r="F56" s="89">
        <v>2.3300000000000001E-2</v>
      </c>
      <c r="G56" s="42"/>
      <c r="H56" s="42"/>
      <c r="I56" s="12">
        <v>2.3300000000000001E-2</v>
      </c>
      <c r="J56" s="46"/>
      <c r="K56" s="46"/>
      <c r="L56" s="47"/>
      <c r="M56"/>
      <c r="N56"/>
      <c r="O56"/>
    </row>
    <row r="57" spans="1:15" ht="36" x14ac:dyDescent="0.25">
      <c r="A57" s="95"/>
      <c r="B57" s="95"/>
      <c r="C57" s="90" t="s">
        <v>145</v>
      </c>
      <c r="D57" s="87" t="s">
        <v>146</v>
      </c>
      <c r="E57" s="90" t="s">
        <v>50</v>
      </c>
      <c r="F57" s="89">
        <v>0.7</v>
      </c>
      <c r="G57" s="42"/>
      <c r="H57" s="42"/>
      <c r="I57" s="46">
        <v>0.7</v>
      </c>
      <c r="J57" s="46"/>
      <c r="K57" s="46"/>
      <c r="L57" s="47"/>
      <c r="M57"/>
      <c r="N57"/>
      <c r="O57"/>
    </row>
    <row r="58" spans="1:15" ht="36" x14ac:dyDescent="0.25">
      <c r="A58" s="95"/>
      <c r="B58" s="95"/>
      <c r="C58" s="90" t="s">
        <v>148</v>
      </c>
      <c r="D58" s="87" t="s">
        <v>149</v>
      </c>
      <c r="E58" s="90" t="s">
        <v>50</v>
      </c>
      <c r="F58" s="89">
        <v>4.4900000000000002E-2</v>
      </c>
      <c r="G58" s="42"/>
      <c r="H58" s="42"/>
      <c r="I58" s="47">
        <v>4.4900000000000002E-2</v>
      </c>
      <c r="J58" s="46"/>
      <c r="K58" s="46"/>
      <c r="L58" s="47"/>
      <c r="M58"/>
      <c r="N58"/>
      <c r="O58"/>
    </row>
    <row r="59" spans="1:15" ht="36" x14ac:dyDescent="0.25">
      <c r="A59" s="95"/>
      <c r="B59" s="95"/>
      <c r="C59" s="90" t="s">
        <v>151</v>
      </c>
      <c r="D59" s="87" t="s">
        <v>152</v>
      </c>
      <c r="E59" s="90" t="s">
        <v>50</v>
      </c>
      <c r="F59" s="89">
        <v>9.6199999999999994E-2</v>
      </c>
      <c r="G59" s="42"/>
      <c r="H59" s="42"/>
      <c r="I59" s="12">
        <v>9.6199999999999994E-2</v>
      </c>
      <c r="J59" s="46"/>
      <c r="K59" s="46"/>
      <c r="L59" s="47"/>
      <c r="M59"/>
      <c r="N59"/>
      <c r="O59"/>
    </row>
    <row r="60" spans="1:15" ht="48" x14ac:dyDescent="0.25">
      <c r="A60" s="95"/>
      <c r="B60" s="95"/>
      <c r="C60" s="90"/>
      <c r="D60" s="87" t="s">
        <v>154</v>
      </c>
      <c r="E60" s="90"/>
      <c r="F60" s="89"/>
      <c r="G60" s="42"/>
      <c r="H60" s="42"/>
      <c r="I60" s="46"/>
      <c r="J60" s="46"/>
      <c r="K60" s="46"/>
      <c r="L60" s="47"/>
      <c r="M60"/>
      <c r="N60"/>
      <c r="O60"/>
    </row>
    <row r="61" spans="1:15" ht="36" x14ac:dyDescent="0.25">
      <c r="A61" s="95"/>
      <c r="B61" s="95"/>
      <c r="C61" s="90" t="s">
        <v>155</v>
      </c>
      <c r="D61" s="87" t="s">
        <v>156</v>
      </c>
      <c r="E61" s="90" t="s">
        <v>50</v>
      </c>
      <c r="F61" s="89">
        <v>1.4188000000000001</v>
      </c>
      <c r="G61" s="42"/>
      <c r="H61" s="42"/>
      <c r="I61" s="47">
        <v>1.4188000000000001</v>
      </c>
      <c r="J61" s="46"/>
      <c r="K61" s="46"/>
      <c r="L61" s="47"/>
      <c r="M61"/>
      <c r="N61"/>
      <c r="O61"/>
    </row>
    <row r="62" spans="1:15" ht="36" x14ac:dyDescent="0.25">
      <c r="A62" s="95"/>
      <c r="B62" s="95"/>
      <c r="C62" s="90" t="s">
        <v>158</v>
      </c>
      <c r="D62" s="87" t="s">
        <v>159</v>
      </c>
      <c r="E62" s="90" t="s">
        <v>50</v>
      </c>
      <c r="F62" s="89">
        <v>3.6223999999999998</v>
      </c>
      <c r="G62" s="42"/>
      <c r="H62" s="42"/>
      <c r="I62" s="46">
        <v>3.6223999999999998</v>
      </c>
      <c r="J62" s="46"/>
      <c r="K62" s="46"/>
      <c r="L62" s="47"/>
      <c r="M62"/>
      <c r="N62"/>
      <c r="O62"/>
    </row>
    <row r="63" spans="1:15" ht="36" x14ac:dyDescent="0.25">
      <c r="A63" s="95"/>
      <c r="B63" s="95"/>
      <c r="C63" s="90" t="s">
        <v>161</v>
      </c>
      <c r="D63" s="87" t="s">
        <v>162</v>
      </c>
      <c r="E63" s="90" t="s">
        <v>50</v>
      </c>
      <c r="F63" s="89">
        <v>1.7749999999999999</v>
      </c>
      <c r="G63" s="42"/>
      <c r="H63" s="42"/>
      <c r="I63" s="46">
        <v>1.7749999999999999</v>
      </c>
      <c r="J63" s="46"/>
      <c r="K63" s="46"/>
      <c r="L63" s="47"/>
      <c r="M63"/>
      <c r="N63"/>
      <c r="O63"/>
    </row>
    <row r="64" spans="1:15" ht="36" x14ac:dyDescent="0.25">
      <c r="A64" s="95"/>
      <c r="B64" s="95"/>
      <c r="C64" s="90" t="s">
        <v>164</v>
      </c>
      <c r="D64" s="87" t="s">
        <v>165</v>
      </c>
      <c r="E64" s="90" t="s">
        <v>50</v>
      </c>
      <c r="F64" s="89">
        <v>1.4950000000000001</v>
      </c>
      <c r="G64" s="42"/>
      <c r="H64" s="42"/>
      <c r="I64" s="12">
        <v>1.4950000000000001</v>
      </c>
      <c r="J64" s="46"/>
      <c r="K64" s="46"/>
      <c r="L64" s="47"/>
      <c r="M64"/>
      <c r="N64"/>
      <c r="O64"/>
    </row>
    <row r="65" spans="1:15" ht="36" x14ac:dyDescent="0.25">
      <c r="A65" s="95"/>
      <c r="B65" s="95"/>
      <c r="C65" s="90" t="s">
        <v>167</v>
      </c>
      <c r="D65" s="87" t="s">
        <v>168</v>
      </c>
      <c r="E65" s="90" t="s">
        <v>50</v>
      </c>
      <c r="F65" s="89">
        <v>7.7160000000000002</v>
      </c>
      <c r="G65" s="42"/>
      <c r="H65" s="42"/>
      <c r="I65" s="12">
        <v>7.7160000000000002</v>
      </c>
      <c r="J65" s="46"/>
      <c r="K65" s="46"/>
      <c r="L65" s="47"/>
      <c r="M65"/>
      <c r="N65"/>
      <c r="O65"/>
    </row>
    <row r="66" spans="1:15" ht="36" x14ac:dyDescent="0.25">
      <c r="A66" s="95"/>
      <c r="B66" s="95"/>
      <c r="C66" s="90" t="s">
        <v>170</v>
      </c>
      <c r="D66" s="87" t="s">
        <v>171</v>
      </c>
      <c r="E66" s="90" t="s">
        <v>50</v>
      </c>
      <c r="F66" s="89">
        <v>0.215</v>
      </c>
      <c r="G66" s="42"/>
      <c r="H66" s="42"/>
      <c r="I66" s="46">
        <v>0.215</v>
      </c>
      <c r="J66" s="46"/>
      <c r="K66" s="46"/>
      <c r="L66" s="47"/>
      <c r="M66"/>
      <c r="N66"/>
      <c r="O66"/>
    </row>
    <row r="67" spans="1:15" ht="48" x14ac:dyDescent="0.25">
      <c r="A67" s="95"/>
      <c r="B67" s="95"/>
      <c r="C67" s="90"/>
      <c r="D67" s="87" t="s">
        <v>173</v>
      </c>
      <c r="E67" s="90"/>
      <c r="F67" s="89"/>
      <c r="G67" s="42"/>
      <c r="H67" s="42"/>
      <c r="I67" s="46"/>
      <c r="J67" s="46"/>
      <c r="K67" s="46"/>
      <c r="L67" s="47"/>
      <c r="M67"/>
      <c r="N67"/>
      <c r="O67"/>
    </row>
    <row r="68" spans="1:15" ht="36" x14ac:dyDescent="0.25">
      <c r="A68" s="95"/>
      <c r="B68" s="95"/>
      <c r="C68" s="90" t="s">
        <v>174</v>
      </c>
      <c r="D68" s="87" t="s">
        <v>175</v>
      </c>
      <c r="E68" s="90" t="s">
        <v>50</v>
      </c>
      <c r="F68" s="89">
        <v>7.0000000000000001E-3</v>
      </c>
      <c r="G68" s="42"/>
      <c r="H68" s="42"/>
      <c r="I68" s="47">
        <v>7.0000000000000001E-3</v>
      </c>
      <c r="J68" s="46"/>
      <c r="K68" s="46"/>
      <c r="L68" s="47"/>
      <c r="M68"/>
      <c r="N68"/>
      <c r="O68"/>
    </row>
    <row r="69" spans="1:15" ht="36" x14ac:dyDescent="0.25">
      <c r="A69" s="95"/>
      <c r="B69" s="95"/>
      <c r="C69" s="90" t="s">
        <v>177</v>
      </c>
      <c r="D69" s="87" t="s">
        <v>178</v>
      </c>
      <c r="E69" s="90" t="s">
        <v>50</v>
      </c>
      <c r="F69" s="89">
        <v>1.7999999999999999E-2</v>
      </c>
      <c r="G69" s="42"/>
      <c r="H69" s="42"/>
      <c r="I69" s="46">
        <v>1.7999999999999999E-2</v>
      </c>
      <c r="J69" s="46"/>
      <c r="K69" s="46"/>
      <c r="L69" s="47"/>
      <c r="M69"/>
      <c r="N69"/>
      <c r="O69"/>
    </row>
    <row r="70" spans="1:15" ht="36" x14ac:dyDescent="0.25">
      <c r="A70" s="95"/>
      <c r="B70" s="95"/>
      <c r="C70" s="90" t="s">
        <v>180</v>
      </c>
      <c r="D70" s="87" t="s">
        <v>181</v>
      </c>
      <c r="E70" s="90" t="s">
        <v>50</v>
      </c>
      <c r="F70" s="89">
        <v>1.35E-2</v>
      </c>
      <c r="G70" s="42"/>
      <c r="H70" s="42"/>
      <c r="I70" s="12">
        <v>1.35E-2</v>
      </c>
      <c r="J70" s="46"/>
      <c r="K70" s="46"/>
      <c r="L70" s="47"/>
      <c r="M70"/>
      <c r="N70"/>
      <c r="O70"/>
    </row>
    <row r="71" spans="1:15" ht="36" x14ac:dyDescent="0.25">
      <c r="A71" s="95"/>
      <c r="B71" s="95"/>
      <c r="C71" s="90"/>
      <c r="D71" s="87" t="s">
        <v>183</v>
      </c>
      <c r="E71" s="90"/>
      <c r="F71" s="89"/>
      <c r="G71" s="42"/>
      <c r="H71" s="42"/>
      <c r="I71" s="46"/>
      <c r="J71" s="46"/>
      <c r="K71" s="46"/>
      <c r="L71" s="47"/>
      <c r="M71"/>
      <c r="N71"/>
      <c r="O71"/>
    </row>
    <row r="72" spans="1:15" ht="36" x14ac:dyDescent="0.25">
      <c r="A72" s="95"/>
      <c r="B72" s="95"/>
      <c r="C72" s="90"/>
      <c r="D72" s="87" t="s">
        <v>184</v>
      </c>
      <c r="E72" s="90"/>
      <c r="F72" s="89"/>
      <c r="G72" s="42"/>
      <c r="H72" s="42"/>
      <c r="I72" s="46"/>
      <c r="J72" s="46"/>
      <c r="K72" s="46"/>
      <c r="L72" s="47"/>
      <c r="M72"/>
      <c r="N72"/>
      <c r="O72"/>
    </row>
    <row r="73" spans="1:15" ht="36" x14ac:dyDescent="0.25">
      <c r="A73" s="95"/>
      <c r="B73" s="95"/>
      <c r="C73" s="90" t="s">
        <v>185</v>
      </c>
      <c r="D73" s="87" t="s">
        <v>186</v>
      </c>
      <c r="E73" s="90" t="s">
        <v>50</v>
      </c>
      <c r="F73" s="89">
        <v>7.2599999999999998E-2</v>
      </c>
      <c r="G73" s="42"/>
      <c r="H73" s="42"/>
      <c r="I73" s="46">
        <v>7.2599999999999998E-2</v>
      </c>
      <c r="J73" s="46"/>
      <c r="K73" s="46"/>
      <c r="L73" s="47"/>
      <c r="M73"/>
      <c r="N73"/>
      <c r="O73"/>
    </row>
    <row r="74" spans="1:15" ht="36" x14ac:dyDescent="0.25">
      <c r="A74" s="95"/>
      <c r="B74" s="95"/>
      <c r="C74" s="90" t="s">
        <v>188</v>
      </c>
      <c r="D74" s="87" t="s">
        <v>189</v>
      </c>
      <c r="E74" s="90" t="s">
        <v>50</v>
      </c>
      <c r="F74" s="89">
        <v>0.7</v>
      </c>
      <c r="G74" s="42"/>
      <c r="H74" s="42"/>
      <c r="I74" s="46">
        <v>0.7</v>
      </c>
      <c r="J74" s="46"/>
      <c r="K74" s="46"/>
      <c r="L74" s="47"/>
      <c r="M74"/>
      <c r="N74"/>
      <c r="O74"/>
    </row>
    <row r="75" spans="1:15" ht="36" x14ac:dyDescent="0.25">
      <c r="A75" s="95"/>
      <c r="B75" s="95"/>
      <c r="C75" s="90"/>
      <c r="D75" s="87" t="s">
        <v>191</v>
      </c>
      <c r="E75" s="90"/>
      <c r="F75" s="89"/>
      <c r="G75" s="42"/>
      <c r="H75" s="42"/>
      <c r="I75" s="46"/>
      <c r="J75" s="46"/>
      <c r="K75" s="46"/>
      <c r="L75" s="47"/>
      <c r="M75"/>
      <c r="N75"/>
      <c r="O75"/>
    </row>
    <row r="76" spans="1:15" ht="36" x14ac:dyDescent="0.25">
      <c r="A76" s="95"/>
      <c r="B76" s="95"/>
      <c r="C76" s="90" t="s">
        <v>192</v>
      </c>
      <c r="D76" s="87" t="s">
        <v>193</v>
      </c>
      <c r="E76" s="90" t="s">
        <v>58</v>
      </c>
      <c r="F76" s="89">
        <v>198</v>
      </c>
      <c r="G76" s="42"/>
      <c r="H76" s="42">
        <v>60</v>
      </c>
      <c r="I76" s="46">
        <v>120</v>
      </c>
      <c r="J76" s="46">
        <v>18</v>
      </c>
      <c r="K76" s="46"/>
      <c r="L76" s="47"/>
      <c r="M76"/>
      <c r="N76"/>
      <c r="O76"/>
    </row>
    <row r="77" spans="1:15" ht="36" x14ac:dyDescent="0.25">
      <c r="A77" s="95"/>
      <c r="B77" s="95"/>
      <c r="C77" s="90" t="s">
        <v>195</v>
      </c>
      <c r="D77" s="87" t="s">
        <v>196</v>
      </c>
      <c r="E77" s="90" t="s">
        <v>197</v>
      </c>
      <c r="F77" s="89">
        <v>150</v>
      </c>
      <c r="G77" s="42"/>
      <c r="H77" s="45">
        <v>70</v>
      </c>
      <c r="I77" s="46">
        <v>50</v>
      </c>
      <c r="J77" s="46">
        <v>30</v>
      </c>
      <c r="K77" s="46"/>
      <c r="L77" s="47"/>
      <c r="M77"/>
      <c r="N77"/>
      <c r="O77"/>
    </row>
    <row r="78" spans="1:15" ht="36" x14ac:dyDescent="0.25">
      <c r="A78" s="95"/>
      <c r="B78" s="95"/>
      <c r="C78" s="90" t="s">
        <v>198</v>
      </c>
      <c r="D78" s="87" t="s">
        <v>199</v>
      </c>
      <c r="E78" s="90" t="s">
        <v>197</v>
      </c>
      <c r="F78" s="89">
        <v>144</v>
      </c>
      <c r="G78" s="42"/>
      <c r="H78" s="45">
        <v>80</v>
      </c>
      <c r="I78" s="46">
        <v>40</v>
      </c>
      <c r="J78" s="46">
        <v>24</v>
      </c>
      <c r="K78" s="46"/>
      <c r="L78" s="47"/>
      <c r="M78"/>
      <c r="N78"/>
      <c r="O78"/>
    </row>
    <row r="79" spans="1:15" ht="36" x14ac:dyDescent="0.25">
      <c r="A79" s="95"/>
      <c r="B79" s="95"/>
      <c r="C79" s="90" t="s">
        <v>200</v>
      </c>
      <c r="D79" s="87" t="s">
        <v>201</v>
      </c>
      <c r="E79" s="90" t="s">
        <v>197</v>
      </c>
      <c r="F79" s="89">
        <v>26</v>
      </c>
      <c r="G79" s="42"/>
      <c r="H79" s="41">
        <v>26</v>
      </c>
      <c r="I79" s="46"/>
      <c r="J79" s="46"/>
      <c r="K79" s="46"/>
      <c r="L79" s="47"/>
      <c r="M79"/>
      <c r="N79"/>
      <c r="O79"/>
    </row>
    <row r="80" spans="1:15" ht="36" x14ac:dyDescent="0.25">
      <c r="A80" s="95"/>
      <c r="B80" s="95"/>
      <c r="C80" s="90"/>
      <c r="D80" s="87" t="s">
        <v>202</v>
      </c>
      <c r="E80" s="90"/>
      <c r="F80" s="89"/>
      <c r="G80" s="42"/>
      <c r="H80" s="42"/>
      <c r="I80" s="46"/>
      <c r="J80" s="46"/>
      <c r="K80" s="46"/>
      <c r="L80" s="47"/>
      <c r="M80"/>
      <c r="N80"/>
      <c r="O80"/>
    </row>
    <row r="81" spans="1:15" ht="36" x14ac:dyDescent="0.25">
      <c r="A81" s="95"/>
      <c r="B81" s="95"/>
      <c r="C81" s="90" t="s">
        <v>203</v>
      </c>
      <c r="D81" s="87" t="s">
        <v>204</v>
      </c>
      <c r="E81" s="90" t="s">
        <v>58</v>
      </c>
      <c r="F81" s="89">
        <v>385.72</v>
      </c>
      <c r="G81" s="42"/>
      <c r="H81" s="45">
        <v>160</v>
      </c>
      <c r="I81" s="46">
        <v>170</v>
      </c>
      <c r="J81" s="46">
        <v>55.72</v>
      </c>
      <c r="K81" s="46"/>
      <c r="L81" s="47"/>
      <c r="M81"/>
      <c r="N81"/>
      <c r="O81"/>
    </row>
    <row r="82" spans="1:15" ht="48" x14ac:dyDescent="0.25">
      <c r="A82" s="95"/>
      <c r="B82" s="95"/>
      <c r="C82" s="90" t="s">
        <v>206</v>
      </c>
      <c r="D82" s="87" t="s">
        <v>207</v>
      </c>
      <c r="E82" s="90" t="s">
        <v>197</v>
      </c>
      <c r="F82" s="89">
        <v>150</v>
      </c>
      <c r="G82" s="42"/>
      <c r="H82" s="42"/>
      <c r="I82" s="46">
        <v>90</v>
      </c>
      <c r="J82" s="46">
        <v>60</v>
      </c>
      <c r="K82" s="46"/>
      <c r="L82" s="47"/>
      <c r="M82"/>
      <c r="N82"/>
      <c r="O82"/>
    </row>
    <row r="83" spans="1:15" ht="36" x14ac:dyDescent="0.25">
      <c r="A83" s="95"/>
      <c r="B83" s="95"/>
      <c r="C83" s="90" t="s">
        <v>208</v>
      </c>
      <c r="D83" s="87" t="s">
        <v>209</v>
      </c>
      <c r="E83" s="90" t="s">
        <v>197</v>
      </c>
      <c r="F83" s="89">
        <v>12</v>
      </c>
      <c r="G83" s="42"/>
      <c r="H83" s="42"/>
      <c r="I83" s="46"/>
      <c r="J83" s="46">
        <v>12</v>
      </c>
      <c r="K83" s="46"/>
      <c r="L83" s="47"/>
      <c r="M83"/>
      <c r="N83"/>
      <c r="O83"/>
    </row>
    <row r="84" spans="1:15" ht="36" x14ac:dyDescent="0.25">
      <c r="A84" s="95"/>
      <c r="B84" s="95"/>
      <c r="C84" s="90" t="s">
        <v>211</v>
      </c>
      <c r="D84" s="87" t="s">
        <v>212</v>
      </c>
      <c r="E84" s="90" t="s">
        <v>197</v>
      </c>
      <c r="F84" s="89">
        <v>58</v>
      </c>
      <c r="G84" s="42"/>
      <c r="H84" s="42"/>
      <c r="I84" s="46">
        <v>30</v>
      </c>
      <c r="J84" s="46">
        <v>28</v>
      </c>
      <c r="K84" s="46"/>
      <c r="L84" s="47"/>
      <c r="M84"/>
      <c r="N84"/>
      <c r="O84"/>
    </row>
    <row r="85" spans="1:15" ht="36" x14ac:dyDescent="0.25">
      <c r="A85" s="95"/>
      <c r="B85" s="95"/>
      <c r="C85" s="90" t="s">
        <v>213</v>
      </c>
      <c r="D85" s="87" t="s">
        <v>199</v>
      </c>
      <c r="E85" s="90" t="s">
        <v>197</v>
      </c>
      <c r="F85" s="89">
        <v>215</v>
      </c>
      <c r="G85" s="42"/>
      <c r="H85" s="42">
        <v>80</v>
      </c>
      <c r="I85" s="46">
        <v>135</v>
      </c>
      <c r="J85" s="46"/>
      <c r="K85" s="46"/>
      <c r="L85" s="47"/>
      <c r="M85"/>
      <c r="N85"/>
      <c r="O85"/>
    </row>
    <row r="86" spans="1:15" ht="36" x14ac:dyDescent="0.25">
      <c r="A86" s="95"/>
      <c r="B86" s="95"/>
      <c r="C86" s="90" t="s">
        <v>214</v>
      </c>
      <c r="D86" s="87" t="s">
        <v>201</v>
      </c>
      <c r="E86" s="90" t="s">
        <v>197</v>
      </c>
      <c r="F86" s="89">
        <v>65</v>
      </c>
      <c r="G86" s="42"/>
      <c r="H86" s="42">
        <v>30</v>
      </c>
      <c r="I86" s="46">
        <v>35</v>
      </c>
      <c r="J86" s="46"/>
      <c r="K86" s="46"/>
      <c r="L86" s="47"/>
      <c r="M86"/>
      <c r="N86"/>
      <c r="O86"/>
    </row>
    <row r="87" spans="1:15" ht="36" x14ac:dyDescent="0.25">
      <c r="A87" s="95"/>
      <c r="B87" s="95"/>
      <c r="C87" s="90"/>
      <c r="D87" s="87" t="s">
        <v>216</v>
      </c>
      <c r="E87" s="90"/>
      <c r="F87" s="89"/>
      <c r="G87" s="42"/>
      <c r="H87" s="42"/>
      <c r="I87" s="46"/>
      <c r="J87" s="46"/>
      <c r="K87" s="46"/>
      <c r="L87" s="47"/>
      <c r="M87"/>
      <c r="N87"/>
      <c r="O87"/>
    </row>
    <row r="88" spans="1:15" ht="48" x14ac:dyDescent="0.25">
      <c r="A88" s="95"/>
      <c r="B88" s="95"/>
      <c r="C88" s="90" t="s">
        <v>217</v>
      </c>
      <c r="D88" s="87" t="s">
        <v>218</v>
      </c>
      <c r="E88" s="90" t="s">
        <v>219</v>
      </c>
      <c r="F88" s="89">
        <v>1700</v>
      </c>
      <c r="G88" s="42"/>
      <c r="H88" s="42">
        <v>628</v>
      </c>
      <c r="I88" s="46">
        <v>628</v>
      </c>
      <c r="J88" s="12">
        <v>444</v>
      </c>
      <c r="K88" s="46"/>
      <c r="L88" s="47"/>
      <c r="M88"/>
      <c r="N88"/>
      <c r="O88"/>
    </row>
    <row r="89" spans="1:15" ht="84" x14ac:dyDescent="0.25">
      <c r="A89" s="95"/>
      <c r="B89" s="95"/>
      <c r="C89" s="90" t="s">
        <v>221</v>
      </c>
      <c r="D89" s="87" t="s">
        <v>222</v>
      </c>
      <c r="E89" s="90" t="s">
        <v>219</v>
      </c>
      <c r="F89" s="89">
        <v>1200</v>
      </c>
      <c r="G89" s="42"/>
      <c r="H89" s="42">
        <v>442</v>
      </c>
      <c r="I89" s="46">
        <v>442</v>
      </c>
      <c r="J89" s="12">
        <v>316</v>
      </c>
      <c r="K89" s="46"/>
      <c r="L89" s="47"/>
      <c r="M89"/>
      <c r="N89"/>
      <c r="O89"/>
    </row>
    <row r="90" spans="1:15" ht="84" x14ac:dyDescent="0.25">
      <c r="A90" s="95"/>
      <c r="B90" s="95"/>
      <c r="C90" s="90" t="s">
        <v>224</v>
      </c>
      <c r="D90" s="87" t="s">
        <v>225</v>
      </c>
      <c r="E90" s="90" t="s">
        <v>219</v>
      </c>
      <c r="F90" s="89">
        <v>1200</v>
      </c>
      <c r="G90" s="42"/>
      <c r="H90" s="42">
        <v>442</v>
      </c>
      <c r="I90" s="46">
        <v>442</v>
      </c>
      <c r="J90" s="12">
        <v>316</v>
      </c>
      <c r="K90" s="46"/>
      <c r="L90" s="47"/>
      <c r="M90"/>
      <c r="N90"/>
      <c r="O90"/>
    </row>
    <row r="91" spans="1:15" ht="48" x14ac:dyDescent="0.25">
      <c r="A91" s="95"/>
      <c r="B91" s="95"/>
      <c r="C91" s="90" t="s">
        <v>227</v>
      </c>
      <c r="D91" s="87" t="s">
        <v>228</v>
      </c>
      <c r="E91" s="90" t="s">
        <v>219</v>
      </c>
      <c r="F91" s="89">
        <v>1200</v>
      </c>
      <c r="G91" s="42"/>
      <c r="H91" s="42">
        <v>442</v>
      </c>
      <c r="I91" s="46">
        <v>442</v>
      </c>
      <c r="J91" s="12">
        <v>316</v>
      </c>
      <c r="K91" s="46"/>
      <c r="L91" s="47"/>
      <c r="M91"/>
      <c r="N91"/>
      <c r="O91"/>
    </row>
    <row r="92" spans="1:15" ht="36" x14ac:dyDescent="0.25">
      <c r="A92" s="95"/>
      <c r="B92" s="95"/>
      <c r="C92" s="90"/>
      <c r="D92" s="87" t="s">
        <v>230</v>
      </c>
      <c r="E92" s="90"/>
      <c r="F92" s="89"/>
      <c r="G92" s="42"/>
      <c r="H92" s="42"/>
      <c r="I92" s="46"/>
      <c r="J92" s="46"/>
      <c r="K92" s="46"/>
      <c r="L92" s="47"/>
      <c r="M92"/>
      <c r="N92"/>
      <c r="O92"/>
    </row>
    <row r="93" spans="1:15" ht="48" x14ac:dyDescent="0.25">
      <c r="A93" s="95"/>
      <c r="B93" s="95"/>
      <c r="C93" s="90" t="s">
        <v>231</v>
      </c>
      <c r="D93" s="87" t="s">
        <v>232</v>
      </c>
      <c r="E93" s="90" t="s">
        <v>68</v>
      </c>
      <c r="F93" s="89">
        <v>16</v>
      </c>
      <c r="G93" s="42"/>
      <c r="H93" s="42"/>
      <c r="I93" s="46"/>
      <c r="J93" s="46">
        <v>16</v>
      </c>
      <c r="K93" s="46"/>
      <c r="L93" s="47"/>
      <c r="M93"/>
      <c r="N93"/>
      <c r="O93"/>
    </row>
    <row r="94" spans="1:15" ht="36" x14ac:dyDescent="0.25">
      <c r="A94" s="95"/>
      <c r="B94" s="95"/>
      <c r="C94" s="90"/>
      <c r="D94" s="87" t="s">
        <v>234</v>
      </c>
      <c r="E94" s="90"/>
      <c r="F94" s="89"/>
      <c r="G94" s="42"/>
      <c r="H94" s="42"/>
      <c r="I94" s="46"/>
      <c r="J94" s="46"/>
      <c r="K94" s="46"/>
      <c r="L94" s="47"/>
      <c r="M94"/>
      <c r="N94"/>
      <c r="O94"/>
    </row>
    <row r="95" spans="1:15" ht="48" x14ac:dyDescent="0.25">
      <c r="A95" s="95"/>
      <c r="B95" s="95"/>
      <c r="C95" s="90"/>
      <c r="D95" s="87" t="s">
        <v>235</v>
      </c>
      <c r="E95" s="90"/>
      <c r="F95" s="89"/>
      <c r="G95" s="42"/>
      <c r="H95" s="42"/>
      <c r="I95" s="46"/>
      <c r="J95" s="46"/>
      <c r="K95" s="46"/>
      <c r="L95" s="47"/>
      <c r="M95"/>
      <c r="N95"/>
      <c r="O95"/>
    </row>
    <row r="96" spans="1:15" ht="36" x14ac:dyDescent="0.25">
      <c r="A96" s="95"/>
      <c r="B96" s="95"/>
      <c r="C96" s="90" t="s">
        <v>236</v>
      </c>
      <c r="D96" s="87" t="s">
        <v>237</v>
      </c>
      <c r="E96" s="90" t="s">
        <v>68</v>
      </c>
      <c r="F96" s="89">
        <v>199</v>
      </c>
      <c r="G96" s="42"/>
      <c r="H96" s="42"/>
      <c r="I96" s="47">
        <v>90</v>
      </c>
      <c r="J96" s="47">
        <v>109</v>
      </c>
      <c r="K96" s="46"/>
      <c r="L96" s="47"/>
      <c r="M96"/>
      <c r="N96"/>
      <c r="O96"/>
    </row>
    <row r="97" spans="3:15" ht="36" x14ac:dyDescent="0.3">
      <c r="C97" s="90" t="s">
        <v>239</v>
      </c>
      <c r="D97" s="87" t="s">
        <v>240</v>
      </c>
      <c r="E97" s="90" t="s">
        <v>68</v>
      </c>
      <c r="F97" s="89">
        <v>9</v>
      </c>
      <c r="G97" s="42"/>
      <c r="H97" s="42"/>
      <c r="I97" s="46"/>
      <c r="J97" s="12">
        <v>9</v>
      </c>
      <c r="K97" s="46"/>
      <c r="L97" s="47"/>
      <c r="M97"/>
      <c r="N97"/>
      <c r="O97"/>
    </row>
    <row r="98" spans="3:15" ht="36" x14ac:dyDescent="0.3">
      <c r="C98" s="90" t="s">
        <v>242</v>
      </c>
      <c r="D98" s="87" t="s">
        <v>243</v>
      </c>
      <c r="E98" s="90" t="s">
        <v>68</v>
      </c>
      <c r="F98" s="89">
        <v>98</v>
      </c>
      <c r="G98" s="42"/>
      <c r="H98" s="42"/>
      <c r="I98" s="47">
        <v>50</v>
      </c>
      <c r="J98" s="47">
        <v>48</v>
      </c>
      <c r="K98" s="46"/>
      <c r="L98" s="47"/>
      <c r="M98"/>
      <c r="N98"/>
      <c r="O98"/>
    </row>
    <row r="99" spans="3:15" ht="36" x14ac:dyDescent="0.3">
      <c r="C99" s="90" t="s">
        <v>245</v>
      </c>
      <c r="D99" s="87" t="s">
        <v>246</v>
      </c>
      <c r="E99" s="90" t="s">
        <v>68</v>
      </c>
      <c r="F99" s="89">
        <v>32</v>
      </c>
      <c r="G99" s="42"/>
      <c r="H99" s="42"/>
      <c r="I99" s="46">
        <v>20</v>
      </c>
      <c r="J99" s="46">
        <v>12</v>
      </c>
      <c r="K99" s="46"/>
      <c r="L99" s="47"/>
      <c r="M99"/>
      <c r="N99"/>
      <c r="O99"/>
    </row>
    <row r="100" spans="3:15" ht="36" x14ac:dyDescent="0.3">
      <c r="C100" s="90" t="s">
        <v>248</v>
      </c>
      <c r="D100" s="87" t="s">
        <v>249</v>
      </c>
      <c r="E100" s="90" t="s">
        <v>68</v>
      </c>
      <c r="F100" s="89">
        <v>88</v>
      </c>
      <c r="G100" s="42"/>
      <c r="H100" s="42"/>
      <c r="I100" s="47">
        <v>48</v>
      </c>
      <c r="J100" s="47">
        <v>40</v>
      </c>
      <c r="K100" s="46"/>
      <c r="L100" s="47"/>
      <c r="M100"/>
      <c r="N100"/>
      <c r="O100"/>
    </row>
    <row r="101" spans="3:15" ht="36" x14ac:dyDescent="0.3">
      <c r="C101" s="90" t="s">
        <v>251</v>
      </c>
      <c r="D101" s="87" t="s">
        <v>252</v>
      </c>
      <c r="E101" s="90" t="s">
        <v>68</v>
      </c>
      <c r="F101" s="89">
        <v>57</v>
      </c>
      <c r="G101" s="42"/>
      <c r="H101" s="42"/>
      <c r="I101" s="46">
        <v>30</v>
      </c>
      <c r="J101" s="46">
        <v>27</v>
      </c>
      <c r="K101" s="46"/>
      <c r="L101" s="47"/>
      <c r="M101"/>
      <c r="N101"/>
      <c r="O101"/>
    </row>
    <row r="102" spans="3:15" ht="36" x14ac:dyDescent="0.3">
      <c r="C102" s="90" t="s">
        <v>254</v>
      </c>
      <c r="D102" s="87" t="s">
        <v>255</v>
      </c>
      <c r="E102" s="90" t="s">
        <v>68</v>
      </c>
      <c r="F102" s="89">
        <v>51</v>
      </c>
      <c r="G102" s="42"/>
      <c r="H102" s="42"/>
      <c r="I102" s="12">
        <v>31</v>
      </c>
      <c r="J102" s="46">
        <v>20</v>
      </c>
      <c r="K102" s="46"/>
      <c r="L102" s="47"/>
      <c r="M102"/>
      <c r="N102"/>
      <c r="O102"/>
    </row>
    <row r="103" spans="3:15" ht="36" x14ac:dyDescent="0.3">
      <c r="C103" s="90"/>
      <c r="D103" s="87" t="s">
        <v>257</v>
      </c>
      <c r="E103" s="90"/>
      <c r="F103" s="89"/>
      <c r="G103" s="42"/>
      <c r="H103" s="42"/>
      <c r="I103" s="46"/>
      <c r="J103" s="46"/>
      <c r="K103" s="46"/>
      <c r="L103" s="47"/>
      <c r="M103"/>
      <c r="N103"/>
      <c r="O103"/>
    </row>
    <row r="104" spans="3:15" ht="48" x14ac:dyDescent="0.3">
      <c r="C104" s="90"/>
      <c r="D104" s="87" t="s">
        <v>258</v>
      </c>
      <c r="E104" s="90"/>
      <c r="F104" s="89"/>
      <c r="G104" s="42"/>
      <c r="H104" s="42"/>
      <c r="I104" s="46"/>
      <c r="J104" s="46"/>
      <c r="K104" s="46"/>
      <c r="L104" s="47"/>
      <c r="M104"/>
      <c r="N104"/>
      <c r="O104"/>
    </row>
    <row r="105" spans="3:15" ht="36" x14ac:dyDescent="0.3">
      <c r="C105" s="90" t="s">
        <v>259</v>
      </c>
      <c r="D105" s="87" t="s">
        <v>260</v>
      </c>
      <c r="E105" s="90" t="s">
        <v>197</v>
      </c>
      <c r="F105" s="89">
        <v>58</v>
      </c>
      <c r="G105" s="42"/>
      <c r="H105" s="42"/>
      <c r="I105" s="46"/>
      <c r="J105" s="47">
        <v>58</v>
      </c>
      <c r="K105" s="46"/>
      <c r="L105" s="47"/>
      <c r="M105"/>
      <c r="N105"/>
      <c r="O105"/>
    </row>
    <row r="106" spans="3:15" ht="36" x14ac:dyDescent="0.3">
      <c r="C106" s="90" t="s">
        <v>262</v>
      </c>
      <c r="D106" s="87" t="s">
        <v>263</v>
      </c>
      <c r="E106" s="90" t="s">
        <v>197</v>
      </c>
      <c r="F106" s="89">
        <v>24</v>
      </c>
      <c r="G106" s="42"/>
      <c r="H106" s="42"/>
      <c r="I106" s="46"/>
      <c r="J106" s="47">
        <v>24</v>
      </c>
      <c r="K106" s="46"/>
      <c r="L106" s="47"/>
      <c r="M106"/>
      <c r="N106"/>
      <c r="O106"/>
    </row>
    <row r="107" spans="3:15" ht="36" x14ac:dyDescent="0.3">
      <c r="C107" s="90" t="s">
        <v>265</v>
      </c>
      <c r="D107" s="87" t="s">
        <v>266</v>
      </c>
      <c r="E107" s="90" t="s">
        <v>197</v>
      </c>
      <c r="F107" s="89">
        <v>144</v>
      </c>
      <c r="G107" s="42"/>
      <c r="H107" s="42"/>
      <c r="I107" s="46">
        <v>60</v>
      </c>
      <c r="J107" s="46">
        <v>84</v>
      </c>
      <c r="K107" s="46"/>
      <c r="L107" s="47"/>
      <c r="M107"/>
      <c r="N107"/>
      <c r="O107"/>
    </row>
    <row r="108" spans="3:15" ht="36" x14ac:dyDescent="0.3">
      <c r="C108" s="90" t="s">
        <v>268</v>
      </c>
      <c r="D108" s="87" t="s">
        <v>269</v>
      </c>
      <c r="E108" s="90" t="s">
        <v>197</v>
      </c>
      <c r="F108" s="89">
        <v>366</v>
      </c>
      <c r="G108" s="42"/>
      <c r="H108" s="42"/>
      <c r="I108" s="12">
        <v>220</v>
      </c>
      <c r="J108" s="12">
        <v>146</v>
      </c>
      <c r="K108" s="46"/>
      <c r="L108" s="47"/>
      <c r="M108"/>
      <c r="N108"/>
      <c r="O108"/>
    </row>
    <row r="109" spans="3:15" ht="48" x14ac:dyDescent="0.3">
      <c r="C109" s="90"/>
      <c r="D109" s="87" t="s">
        <v>271</v>
      </c>
      <c r="E109" s="90"/>
      <c r="F109" s="89"/>
      <c r="G109" s="42"/>
      <c r="H109" s="42"/>
      <c r="I109" s="46"/>
      <c r="J109" s="46"/>
      <c r="K109" s="46"/>
      <c r="L109" s="47"/>
      <c r="M109"/>
      <c r="N109"/>
      <c r="O109"/>
    </row>
    <row r="110" spans="3:15" ht="36" x14ac:dyDescent="0.3">
      <c r="C110" s="90" t="s">
        <v>272</v>
      </c>
      <c r="D110" s="87" t="s">
        <v>243</v>
      </c>
      <c r="E110" s="90" t="s">
        <v>197</v>
      </c>
      <c r="F110" s="89">
        <v>256</v>
      </c>
      <c r="G110" s="42"/>
      <c r="H110" s="42"/>
      <c r="I110" s="46">
        <v>156</v>
      </c>
      <c r="J110" s="46">
        <v>100</v>
      </c>
      <c r="K110" s="46"/>
      <c r="L110" s="47"/>
      <c r="M110"/>
      <c r="N110"/>
      <c r="O110"/>
    </row>
    <row r="111" spans="3:15" ht="36" x14ac:dyDescent="0.3">
      <c r="C111" s="90" t="s">
        <v>274</v>
      </c>
      <c r="D111" s="87" t="s">
        <v>246</v>
      </c>
      <c r="E111" s="90" t="s">
        <v>197</v>
      </c>
      <c r="F111" s="89">
        <v>14</v>
      </c>
      <c r="G111" s="42"/>
      <c r="H111" s="42"/>
      <c r="I111" s="46"/>
      <c r="J111" s="46">
        <v>14</v>
      </c>
      <c r="K111" s="46"/>
      <c r="L111" s="47"/>
      <c r="M111"/>
      <c r="N111"/>
      <c r="O111"/>
    </row>
    <row r="112" spans="3:15" ht="36" x14ac:dyDescent="0.3">
      <c r="C112" s="90" t="s">
        <v>276</v>
      </c>
      <c r="D112" s="87" t="s">
        <v>277</v>
      </c>
      <c r="E112" s="90" t="s">
        <v>197</v>
      </c>
      <c r="F112" s="89">
        <v>119</v>
      </c>
      <c r="G112" s="42"/>
      <c r="H112" s="42"/>
      <c r="I112" s="46">
        <v>60</v>
      </c>
      <c r="J112" s="46">
        <v>59</v>
      </c>
      <c r="K112" s="46"/>
      <c r="L112" s="47"/>
      <c r="M112"/>
      <c r="N112"/>
      <c r="O112"/>
    </row>
    <row r="113" spans="3:15" ht="36" x14ac:dyDescent="0.3">
      <c r="C113" s="90" t="s">
        <v>279</v>
      </c>
      <c r="D113" s="87" t="s">
        <v>280</v>
      </c>
      <c r="E113" s="90" t="s">
        <v>197</v>
      </c>
      <c r="F113" s="89">
        <v>4</v>
      </c>
      <c r="G113" s="42"/>
      <c r="H113" s="42"/>
      <c r="I113" s="46">
        <v>4</v>
      </c>
      <c r="J113" s="46"/>
      <c r="K113" s="46"/>
      <c r="L113" s="47"/>
      <c r="M113"/>
      <c r="N113"/>
      <c r="O113"/>
    </row>
    <row r="114" spans="3:15" ht="36" x14ac:dyDescent="0.3">
      <c r="C114" s="90" t="s">
        <v>282</v>
      </c>
      <c r="D114" s="87" t="s">
        <v>252</v>
      </c>
      <c r="E114" s="90" t="s">
        <v>197</v>
      </c>
      <c r="F114" s="89">
        <v>57</v>
      </c>
      <c r="G114" s="42"/>
      <c r="H114" s="45">
        <v>20</v>
      </c>
      <c r="I114" s="46">
        <v>37</v>
      </c>
      <c r="J114" s="46"/>
      <c r="K114" s="46"/>
      <c r="L114" s="47"/>
      <c r="M114"/>
      <c r="N114"/>
      <c r="O114"/>
    </row>
    <row r="115" spans="3:15" ht="36" x14ac:dyDescent="0.3">
      <c r="C115" s="90" t="s">
        <v>284</v>
      </c>
      <c r="D115" s="87" t="s">
        <v>255</v>
      </c>
      <c r="E115" s="90" t="s">
        <v>197</v>
      </c>
      <c r="F115" s="89">
        <v>31</v>
      </c>
      <c r="G115" s="42"/>
      <c r="H115" s="45">
        <v>20</v>
      </c>
      <c r="I115" s="46">
        <v>11</v>
      </c>
      <c r="J115" s="46"/>
      <c r="K115" s="46"/>
      <c r="L115" s="47"/>
      <c r="M115"/>
      <c r="N115"/>
      <c r="O115"/>
    </row>
    <row r="116" spans="3:15" ht="48" x14ac:dyDescent="0.3">
      <c r="C116" s="90" t="s">
        <v>287</v>
      </c>
      <c r="D116" s="87" t="s">
        <v>288</v>
      </c>
      <c r="E116" s="90"/>
      <c r="F116" s="89"/>
      <c r="G116" s="42"/>
      <c r="H116" s="42"/>
      <c r="I116" s="46"/>
      <c r="J116" s="46"/>
      <c r="K116" s="46"/>
      <c r="L116" s="47"/>
      <c r="M116"/>
      <c r="N116"/>
      <c r="O116"/>
    </row>
    <row r="117" spans="3:15" ht="60" x14ac:dyDescent="0.3">
      <c r="C117" s="90"/>
      <c r="D117" s="87" t="s">
        <v>289</v>
      </c>
      <c r="E117" s="90"/>
      <c r="F117" s="89"/>
      <c r="G117" s="42"/>
      <c r="H117" s="42"/>
      <c r="I117" s="46"/>
      <c r="J117" s="46"/>
      <c r="K117" s="46"/>
      <c r="L117" s="47"/>
      <c r="M117"/>
      <c r="N117"/>
      <c r="O117"/>
    </row>
    <row r="118" spans="3:15" ht="36" x14ac:dyDescent="0.3">
      <c r="C118" s="90" t="s">
        <v>290</v>
      </c>
      <c r="D118" s="87" t="s">
        <v>291</v>
      </c>
      <c r="E118" s="90" t="s">
        <v>68</v>
      </c>
      <c r="F118" s="89">
        <v>26</v>
      </c>
      <c r="G118" s="42"/>
      <c r="H118" s="42"/>
      <c r="I118" s="46"/>
      <c r="J118" s="46"/>
      <c r="K118" s="46">
        <v>26</v>
      </c>
      <c r="L118" s="47"/>
      <c r="M118"/>
      <c r="N118"/>
      <c r="O118"/>
    </row>
    <row r="119" spans="3:15" ht="60" x14ac:dyDescent="0.3">
      <c r="C119" s="90"/>
      <c r="D119" s="87" t="s">
        <v>293</v>
      </c>
      <c r="E119" s="90"/>
      <c r="F119" s="89"/>
      <c r="G119" s="42"/>
      <c r="H119" s="42"/>
      <c r="I119" s="46"/>
      <c r="J119" s="46"/>
      <c r="K119" s="46"/>
      <c r="L119" s="47"/>
      <c r="M119"/>
      <c r="N119"/>
      <c r="O119"/>
    </row>
    <row r="120" spans="3:15" ht="36" x14ac:dyDescent="0.3">
      <c r="C120" s="90" t="s">
        <v>294</v>
      </c>
      <c r="D120" s="87" t="s">
        <v>295</v>
      </c>
      <c r="E120" s="90" t="s">
        <v>68</v>
      </c>
      <c r="F120" s="89">
        <v>10</v>
      </c>
      <c r="G120" s="42"/>
      <c r="H120" s="42"/>
      <c r="I120" s="46"/>
      <c r="J120" s="46"/>
      <c r="K120" s="46">
        <v>10</v>
      </c>
      <c r="L120" s="47"/>
      <c r="M120"/>
      <c r="N120"/>
      <c r="O120"/>
    </row>
    <row r="121" spans="3:15" ht="36" x14ac:dyDescent="0.3">
      <c r="C121" s="90" t="s">
        <v>297</v>
      </c>
      <c r="D121" s="87" t="s">
        <v>298</v>
      </c>
      <c r="E121" s="90" t="s">
        <v>68</v>
      </c>
      <c r="F121" s="89">
        <v>38</v>
      </c>
      <c r="G121" s="42"/>
      <c r="H121" s="42"/>
      <c r="I121" s="46"/>
      <c r="J121" s="46"/>
      <c r="K121" s="46">
        <v>38</v>
      </c>
      <c r="L121" s="47"/>
      <c r="M121"/>
      <c r="N121"/>
      <c r="O121"/>
    </row>
    <row r="122" spans="3:15" ht="48" x14ac:dyDescent="0.3">
      <c r="C122" s="90"/>
      <c r="D122" s="87" t="s">
        <v>141</v>
      </c>
      <c r="E122" s="90"/>
      <c r="F122" s="89"/>
      <c r="G122" s="42"/>
      <c r="H122" s="42"/>
      <c r="I122" s="46"/>
      <c r="J122" s="46"/>
      <c r="K122" s="46"/>
      <c r="L122" s="47"/>
      <c r="M122"/>
      <c r="N122"/>
      <c r="O122"/>
    </row>
    <row r="123" spans="3:15" ht="48" x14ac:dyDescent="0.3">
      <c r="C123" s="90" t="s">
        <v>300</v>
      </c>
      <c r="D123" s="87" t="s">
        <v>301</v>
      </c>
      <c r="E123" s="90" t="s">
        <v>58</v>
      </c>
      <c r="F123" s="89">
        <v>188</v>
      </c>
      <c r="G123" s="42"/>
      <c r="H123" s="42"/>
      <c r="I123" s="46"/>
      <c r="J123" s="46"/>
      <c r="K123" s="46">
        <v>110</v>
      </c>
      <c r="L123" s="47">
        <v>78</v>
      </c>
      <c r="M123"/>
      <c r="N123"/>
      <c r="O123"/>
    </row>
    <row r="124" spans="3:15" ht="48" x14ac:dyDescent="0.3">
      <c r="C124" s="90"/>
      <c r="D124" s="87" t="s">
        <v>303</v>
      </c>
      <c r="E124" s="90"/>
      <c r="F124" s="89"/>
      <c r="G124" s="42"/>
      <c r="H124" s="42"/>
      <c r="I124" s="46"/>
      <c r="J124" s="46"/>
      <c r="K124" s="46"/>
      <c r="L124" s="47"/>
      <c r="M124"/>
      <c r="N124"/>
      <c r="O124"/>
    </row>
    <row r="125" spans="3:15" ht="48" x14ac:dyDescent="0.3">
      <c r="C125" s="90" t="s">
        <v>304</v>
      </c>
      <c r="D125" s="87" t="s">
        <v>305</v>
      </c>
      <c r="E125" s="90" t="s">
        <v>50</v>
      </c>
      <c r="F125" s="89">
        <v>8.5359999999999996</v>
      </c>
      <c r="G125" s="42"/>
      <c r="H125" s="42"/>
      <c r="I125" s="46"/>
      <c r="J125" s="46"/>
      <c r="K125" s="46"/>
      <c r="L125" s="47">
        <v>8.5359999999999996</v>
      </c>
      <c r="M125"/>
      <c r="N125"/>
      <c r="O125"/>
    </row>
    <row r="126" spans="3:15" ht="36" x14ac:dyDescent="0.3">
      <c r="C126" s="90"/>
      <c r="D126" s="87" t="s">
        <v>307</v>
      </c>
      <c r="E126" s="90"/>
      <c r="F126" s="89"/>
      <c r="G126" s="42"/>
      <c r="H126" s="42"/>
      <c r="I126" s="46"/>
      <c r="J126" s="46"/>
      <c r="K126" s="46"/>
      <c r="L126" s="47"/>
      <c r="M126"/>
      <c r="N126"/>
      <c r="O126"/>
    </row>
    <row r="127" spans="3:15" ht="36" x14ac:dyDescent="0.3">
      <c r="C127" s="90"/>
      <c r="D127" s="87" t="s">
        <v>308</v>
      </c>
      <c r="E127" s="90"/>
      <c r="F127" s="89"/>
      <c r="G127" s="42"/>
      <c r="H127" s="42"/>
      <c r="I127" s="46"/>
      <c r="J127" s="46"/>
      <c r="K127" s="46"/>
      <c r="L127" s="47"/>
      <c r="M127"/>
      <c r="N127"/>
      <c r="O127"/>
    </row>
    <row r="128" spans="3:15" ht="36" x14ac:dyDescent="0.3">
      <c r="C128" s="90" t="s">
        <v>309</v>
      </c>
      <c r="D128" s="87" t="s">
        <v>310</v>
      </c>
      <c r="E128" s="90" t="s">
        <v>68</v>
      </c>
      <c r="F128" s="89">
        <v>64</v>
      </c>
      <c r="G128" s="42"/>
      <c r="H128" s="42"/>
      <c r="I128" s="46"/>
      <c r="J128" s="46"/>
      <c r="K128" s="46"/>
      <c r="L128" s="47">
        <v>64</v>
      </c>
      <c r="M128"/>
      <c r="N128"/>
      <c r="O128"/>
    </row>
    <row r="129" spans="3:15" ht="36" x14ac:dyDescent="0.3">
      <c r="C129" s="90"/>
      <c r="D129" s="87" t="s">
        <v>312</v>
      </c>
      <c r="E129" s="90"/>
      <c r="F129" s="89"/>
      <c r="G129" s="42"/>
      <c r="H129" s="42"/>
      <c r="I129" s="46"/>
      <c r="J129" s="46"/>
      <c r="K129" s="46"/>
      <c r="L129" s="47"/>
      <c r="M129"/>
      <c r="N129"/>
      <c r="O129"/>
    </row>
    <row r="130" spans="3:15" ht="48" x14ac:dyDescent="0.3">
      <c r="C130" s="90" t="s">
        <v>313</v>
      </c>
      <c r="D130" s="87" t="s">
        <v>314</v>
      </c>
      <c r="E130" s="90" t="s">
        <v>68</v>
      </c>
      <c r="F130" s="89">
        <v>9</v>
      </c>
      <c r="G130" s="42"/>
      <c r="H130" s="42"/>
      <c r="I130" s="46"/>
      <c r="J130" s="46"/>
      <c r="K130" s="46"/>
      <c r="L130" s="47">
        <v>9</v>
      </c>
      <c r="M130"/>
      <c r="N130"/>
      <c r="O130"/>
    </row>
    <row r="131" spans="3:15" ht="48" x14ac:dyDescent="0.3">
      <c r="C131" s="90" t="s">
        <v>316</v>
      </c>
      <c r="D131" s="87" t="s">
        <v>317</v>
      </c>
      <c r="E131" s="90" t="s">
        <v>68</v>
      </c>
      <c r="F131" s="89">
        <v>14</v>
      </c>
      <c r="G131" s="42"/>
      <c r="H131" s="42"/>
      <c r="I131" s="46"/>
      <c r="J131" s="46"/>
      <c r="K131" s="46"/>
      <c r="L131" s="47">
        <v>14</v>
      </c>
      <c r="M131"/>
      <c r="N131"/>
      <c r="O131"/>
    </row>
    <row r="132" spans="3:15" ht="48" x14ac:dyDescent="0.3">
      <c r="C132" s="90" t="s">
        <v>319</v>
      </c>
      <c r="D132" s="87" t="s">
        <v>320</v>
      </c>
      <c r="E132" s="90" t="s">
        <v>68</v>
      </c>
      <c r="F132" s="89">
        <v>14</v>
      </c>
      <c r="G132" s="42"/>
      <c r="H132" s="42"/>
      <c r="I132" s="46"/>
      <c r="J132" s="46"/>
      <c r="K132" s="46"/>
      <c r="L132" s="47">
        <v>14</v>
      </c>
      <c r="M132"/>
      <c r="N132"/>
      <c r="O132"/>
    </row>
    <row r="133" spans="3:15" ht="36" x14ac:dyDescent="0.3">
      <c r="C133" s="90"/>
      <c r="D133" s="87" t="s">
        <v>322</v>
      </c>
      <c r="E133" s="90"/>
      <c r="F133" s="89"/>
      <c r="G133" s="42"/>
      <c r="H133" s="42"/>
      <c r="I133" s="46"/>
      <c r="J133" s="46"/>
      <c r="K133" s="46"/>
      <c r="L133" s="47"/>
      <c r="M133"/>
      <c r="N133"/>
      <c r="O133"/>
    </row>
    <row r="134" spans="3:15" ht="48" x14ac:dyDescent="0.3">
      <c r="C134" s="90" t="s">
        <v>323</v>
      </c>
      <c r="D134" s="87" t="s">
        <v>324</v>
      </c>
      <c r="E134" s="90" t="s">
        <v>68</v>
      </c>
      <c r="F134" s="89">
        <v>146</v>
      </c>
      <c r="G134" s="42"/>
      <c r="H134" s="42"/>
      <c r="I134" s="46"/>
      <c r="J134" s="46"/>
      <c r="K134" s="46">
        <v>60</v>
      </c>
      <c r="L134" s="47">
        <v>86</v>
      </c>
      <c r="M134"/>
      <c r="N134"/>
      <c r="O134"/>
    </row>
    <row r="135" spans="3:15" ht="48" x14ac:dyDescent="0.3">
      <c r="C135" s="90" t="s">
        <v>326</v>
      </c>
      <c r="D135" s="87" t="s">
        <v>327</v>
      </c>
      <c r="E135" s="90" t="s">
        <v>68</v>
      </c>
      <c r="F135" s="89">
        <v>104</v>
      </c>
      <c r="G135" s="42"/>
      <c r="H135" s="42"/>
      <c r="I135" s="46"/>
      <c r="J135" s="46"/>
      <c r="K135" s="46">
        <v>40</v>
      </c>
      <c r="L135" s="47">
        <v>64</v>
      </c>
      <c r="M135"/>
      <c r="N135"/>
      <c r="O135"/>
    </row>
    <row r="136" spans="3:15" ht="48" x14ac:dyDescent="0.3">
      <c r="C136" s="90" t="s">
        <v>329</v>
      </c>
      <c r="D136" s="87" t="s">
        <v>330</v>
      </c>
      <c r="E136" s="90" t="s">
        <v>68</v>
      </c>
      <c r="F136" s="89">
        <v>14</v>
      </c>
      <c r="G136" s="42"/>
      <c r="H136" s="42"/>
      <c r="I136" s="46"/>
      <c r="J136" s="46"/>
      <c r="K136" s="46">
        <v>14</v>
      </c>
      <c r="L136" s="47"/>
      <c r="M136"/>
      <c r="N136"/>
      <c r="O136"/>
    </row>
    <row r="137" spans="3:15" ht="48" x14ac:dyDescent="0.3">
      <c r="C137" s="90" t="s">
        <v>332</v>
      </c>
      <c r="D137" s="87" t="s">
        <v>333</v>
      </c>
      <c r="E137" s="90" t="s">
        <v>68</v>
      </c>
      <c r="F137" s="89">
        <v>46</v>
      </c>
      <c r="G137" s="42"/>
      <c r="H137" s="42"/>
      <c r="I137" s="46"/>
      <c r="J137" s="46"/>
      <c r="K137" s="46">
        <v>30</v>
      </c>
      <c r="L137" s="47">
        <v>16</v>
      </c>
      <c r="M137"/>
      <c r="N137"/>
      <c r="O137"/>
    </row>
    <row r="138" spans="3:15" ht="48" x14ac:dyDescent="0.3">
      <c r="C138" s="90" t="s">
        <v>335</v>
      </c>
      <c r="D138" s="87" t="s">
        <v>336</v>
      </c>
      <c r="E138" s="90" t="s">
        <v>68</v>
      </c>
      <c r="F138" s="89">
        <v>13</v>
      </c>
      <c r="G138" s="42"/>
      <c r="H138" s="42"/>
      <c r="I138" s="46"/>
      <c r="J138" s="46"/>
      <c r="K138" s="46">
        <v>13</v>
      </c>
      <c r="L138" s="47"/>
      <c r="M138"/>
      <c r="N138"/>
      <c r="O138"/>
    </row>
    <row r="139" spans="3:15" ht="36" x14ac:dyDescent="0.3">
      <c r="C139" s="90"/>
      <c r="D139" s="87" t="s">
        <v>338</v>
      </c>
      <c r="E139" s="90"/>
      <c r="F139" s="89"/>
      <c r="G139" s="42"/>
      <c r="H139" s="42"/>
      <c r="I139" s="46"/>
      <c r="J139" s="46"/>
      <c r="K139" s="46"/>
      <c r="L139" s="47"/>
      <c r="M139"/>
      <c r="N139"/>
      <c r="O139"/>
    </row>
    <row r="140" spans="3:15" ht="36" x14ac:dyDescent="0.3">
      <c r="C140" s="90" t="s">
        <v>339</v>
      </c>
      <c r="D140" s="87" t="s">
        <v>340</v>
      </c>
      <c r="E140" s="90" t="s">
        <v>68</v>
      </c>
      <c r="F140" s="89">
        <v>4</v>
      </c>
      <c r="G140" s="42"/>
      <c r="H140" s="42"/>
      <c r="I140" s="46"/>
      <c r="J140" s="46"/>
      <c r="K140" s="46">
        <v>4</v>
      </c>
      <c r="L140" s="47"/>
      <c r="M140"/>
      <c r="N140"/>
      <c r="O140"/>
    </row>
    <row r="141" spans="3:15" ht="36" x14ac:dyDescent="0.3">
      <c r="C141" s="90" t="s">
        <v>342</v>
      </c>
      <c r="D141" s="87" t="s">
        <v>343</v>
      </c>
      <c r="E141" s="90" t="s">
        <v>68</v>
      </c>
      <c r="F141" s="89">
        <v>30</v>
      </c>
      <c r="G141" s="42"/>
      <c r="H141" s="42"/>
      <c r="I141" s="46"/>
      <c r="J141" s="46"/>
      <c r="K141" s="46">
        <v>20</v>
      </c>
      <c r="L141" s="47">
        <v>10</v>
      </c>
      <c r="M141"/>
      <c r="N141"/>
      <c r="O141"/>
    </row>
    <row r="142" spans="3:15" ht="48" x14ac:dyDescent="0.3">
      <c r="C142" s="90" t="s">
        <v>345</v>
      </c>
      <c r="D142" s="87" t="s">
        <v>346</v>
      </c>
      <c r="E142" s="90" t="s">
        <v>68</v>
      </c>
      <c r="F142" s="89">
        <v>16</v>
      </c>
      <c r="G142" s="42"/>
      <c r="H142" s="42"/>
      <c r="I142" s="46"/>
      <c r="J142" s="46"/>
      <c r="K142" s="46">
        <v>16</v>
      </c>
      <c r="L142" s="47"/>
      <c r="M142"/>
      <c r="N142"/>
      <c r="O142"/>
    </row>
    <row r="143" spans="3:15" ht="36" x14ac:dyDescent="0.3">
      <c r="C143" s="90"/>
      <c r="D143" s="87" t="s">
        <v>348</v>
      </c>
      <c r="E143" s="90"/>
      <c r="F143" s="89"/>
      <c r="G143" s="42"/>
      <c r="H143" s="42"/>
      <c r="I143" s="46"/>
      <c r="J143" s="46"/>
      <c r="K143" s="46"/>
      <c r="L143" s="47"/>
      <c r="M143"/>
      <c r="N143"/>
      <c r="O143"/>
    </row>
    <row r="144" spans="3:15" ht="48" x14ac:dyDescent="0.3">
      <c r="C144" s="90" t="s">
        <v>349</v>
      </c>
      <c r="D144" s="87" t="s">
        <v>350</v>
      </c>
      <c r="E144" s="90" t="s">
        <v>58</v>
      </c>
      <c r="F144" s="89">
        <v>325</v>
      </c>
      <c r="G144" s="42"/>
      <c r="H144" s="42"/>
      <c r="I144" s="46"/>
      <c r="J144" s="46"/>
      <c r="K144" s="46">
        <v>200</v>
      </c>
      <c r="L144" s="47">
        <v>125</v>
      </c>
      <c r="M144"/>
      <c r="N144"/>
      <c r="O144"/>
    </row>
    <row r="145" spans="3:15" ht="48" x14ac:dyDescent="0.3">
      <c r="C145" s="90" t="s">
        <v>352</v>
      </c>
      <c r="D145" s="87" t="s">
        <v>353</v>
      </c>
      <c r="E145" s="90" t="s">
        <v>58</v>
      </c>
      <c r="F145" s="89">
        <v>1000</v>
      </c>
      <c r="G145" s="42"/>
      <c r="H145" s="42"/>
      <c r="I145" s="46"/>
      <c r="J145" s="46"/>
      <c r="K145" s="46">
        <v>600</v>
      </c>
      <c r="L145" s="47">
        <v>400</v>
      </c>
      <c r="M145"/>
      <c r="N145"/>
      <c r="O145"/>
    </row>
    <row r="146" spans="3:15" ht="48" x14ac:dyDescent="0.3">
      <c r="C146" s="90" t="s">
        <v>355</v>
      </c>
      <c r="D146" s="87" t="s">
        <v>356</v>
      </c>
      <c r="E146" s="90" t="s">
        <v>58</v>
      </c>
      <c r="F146" s="89">
        <v>22.1</v>
      </c>
      <c r="G146" s="42"/>
      <c r="H146" s="42"/>
      <c r="I146" s="46"/>
      <c r="J146" s="46"/>
      <c r="K146" s="46">
        <v>22.1</v>
      </c>
      <c r="L146" s="47"/>
      <c r="M146"/>
      <c r="N146"/>
      <c r="O146"/>
    </row>
    <row r="147" spans="3:15" ht="36" x14ac:dyDescent="0.3">
      <c r="C147" s="90"/>
      <c r="D147" s="87" t="s">
        <v>357</v>
      </c>
      <c r="E147" s="90"/>
      <c r="F147" s="89"/>
      <c r="G147" s="42"/>
      <c r="H147" s="42"/>
      <c r="I147" s="46"/>
      <c r="J147" s="46"/>
      <c r="K147" s="46"/>
      <c r="L147" s="47"/>
      <c r="M147"/>
      <c r="N147"/>
      <c r="O147"/>
    </row>
    <row r="148" spans="3:15" ht="48" x14ac:dyDescent="0.3">
      <c r="C148" s="90" t="s">
        <v>358</v>
      </c>
      <c r="D148" s="87" t="s">
        <v>359</v>
      </c>
      <c r="E148" s="90" t="s">
        <v>68</v>
      </c>
      <c r="F148" s="89">
        <v>6</v>
      </c>
      <c r="G148" s="42"/>
      <c r="H148" s="42"/>
      <c r="I148" s="46"/>
      <c r="J148" s="46"/>
      <c r="K148" s="46">
        <v>6</v>
      </c>
      <c r="L148" s="47"/>
      <c r="M148"/>
      <c r="N148"/>
      <c r="O148"/>
    </row>
    <row r="149" spans="3:15" ht="36" x14ac:dyDescent="0.3">
      <c r="C149" s="90"/>
      <c r="D149" s="87" t="s">
        <v>360</v>
      </c>
      <c r="E149" s="90"/>
      <c r="F149" s="89"/>
      <c r="G149" s="42"/>
      <c r="H149" s="42"/>
      <c r="I149" s="46"/>
      <c r="J149" s="46"/>
      <c r="K149" s="46"/>
      <c r="L149" s="47"/>
      <c r="M149"/>
      <c r="N149"/>
      <c r="O149"/>
    </row>
    <row r="150" spans="3:15" ht="48" x14ac:dyDescent="0.3">
      <c r="C150" s="90" t="s">
        <v>361</v>
      </c>
      <c r="D150" s="87" t="s">
        <v>362</v>
      </c>
      <c r="E150" s="90" t="s">
        <v>68</v>
      </c>
      <c r="F150" s="89">
        <v>50</v>
      </c>
      <c r="G150" s="42"/>
      <c r="H150" s="42"/>
      <c r="I150" s="46"/>
      <c r="J150" s="46"/>
      <c r="K150" s="46">
        <v>30</v>
      </c>
      <c r="L150" s="47">
        <v>20</v>
      </c>
      <c r="M150"/>
      <c r="N150"/>
      <c r="O150"/>
    </row>
    <row r="151" spans="3:15" ht="48" x14ac:dyDescent="0.3">
      <c r="C151" s="90" t="s">
        <v>364</v>
      </c>
      <c r="D151" s="87" t="s">
        <v>365</v>
      </c>
      <c r="E151" s="90" t="s">
        <v>68</v>
      </c>
      <c r="F151" s="89">
        <v>86</v>
      </c>
      <c r="G151" s="42"/>
      <c r="H151" s="42"/>
      <c r="I151" s="46"/>
      <c r="J151" s="46"/>
      <c r="K151" s="46">
        <v>56</v>
      </c>
      <c r="L151" s="47">
        <v>30</v>
      </c>
      <c r="M151"/>
      <c r="N151"/>
      <c r="O151"/>
    </row>
    <row r="152" spans="3:15" ht="36" x14ac:dyDescent="0.3">
      <c r="C152" s="90"/>
      <c r="D152" s="87" t="s">
        <v>367</v>
      </c>
      <c r="E152" s="90"/>
      <c r="F152" s="89"/>
      <c r="G152" s="42"/>
      <c r="H152" s="42"/>
      <c r="I152" s="46"/>
      <c r="J152" s="46"/>
      <c r="K152" s="46"/>
      <c r="L152" s="47"/>
      <c r="M152"/>
      <c r="N152"/>
      <c r="O152"/>
    </row>
    <row r="153" spans="3:15" ht="36" x14ac:dyDescent="0.3">
      <c r="C153" s="90"/>
      <c r="D153" s="87" t="s">
        <v>368</v>
      </c>
      <c r="E153" s="90"/>
      <c r="F153" s="89"/>
      <c r="G153" s="42"/>
      <c r="H153" s="42"/>
      <c r="I153" s="46"/>
      <c r="J153" s="46"/>
      <c r="K153" s="46"/>
      <c r="L153" s="47"/>
      <c r="M153"/>
      <c r="N153"/>
      <c r="O153"/>
    </row>
    <row r="154" spans="3:15" ht="60" x14ac:dyDescent="0.3">
      <c r="C154" s="90" t="s">
        <v>369</v>
      </c>
      <c r="D154" s="87" t="s">
        <v>370</v>
      </c>
      <c r="E154" s="90" t="s">
        <v>68</v>
      </c>
      <c r="F154" s="89">
        <v>67</v>
      </c>
      <c r="G154" s="42"/>
      <c r="H154" s="42"/>
      <c r="I154" s="46"/>
      <c r="J154" s="46"/>
      <c r="K154" s="46">
        <v>40</v>
      </c>
      <c r="L154" s="47">
        <v>27</v>
      </c>
      <c r="M154"/>
      <c r="N154"/>
      <c r="O154"/>
    </row>
    <row r="155" spans="3:15" ht="48" x14ac:dyDescent="0.3">
      <c r="C155" s="90"/>
      <c r="D155" s="87" t="s">
        <v>372</v>
      </c>
      <c r="E155" s="90"/>
      <c r="F155" s="89"/>
      <c r="G155" s="42"/>
      <c r="H155" s="42"/>
      <c r="I155" s="46"/>
      <c r="J155" s="46"/>
      <c r="K155" s="46"/>
      <c r="L155" s="47"/>
      <c r="M155"/>
      <c r="N155"/>
      <c r="O155"/>
    </row>
    <row r="156" spans="3:15" ht="48" x14ac:dyDescent="0.3">
      <c r="C156" s="90" t="s">
        <v>373</v>
      </c>
      <c r="D156" s="87" t="s">
        <v>374</v>
      </c>
      <c r="E156" s="90" t="s">
        <v>58</v>
      </c>
      <c r="F156" s="89">
        <v>100</v>
      </c>
      <c r="G156" s="42"/>
      <c r="H156" s="42"/>
      <c r="I156" s="46"/>
      <c r="J156" s="46"/>
      <c r="K156" s="46">
        <v>60</v>
      </c>
      <c r="L156" s="47">
        <v>40</v>
      </c>
      <c r="M156"/>
      <c r="N156"/>
      <c r="O156"/>
    </row>
    <row r="157" spans="3:15" ht="48" x14ac:dyDescent="0.3">
      <c r="C157" s="90" t="s">
        <v>376</v>
      </c>
      <c r="D157" s="87" t="s">
        <v>377</v>
      </c>
      <c r="E157" s="90" t="s">
        <v>58</v>
      </c>
      <c r="F157" s="89">
        <v>100</v>
      </c>
      <c r="G157" s="42"/>
      <c r="H157" s="42"/>
      <c r="I157" s="46"/>
      <c r="J157" s="46"/>
      <c r="K157" s="46">
        <v>60</v>
      </c>
      <c r="L157" s="47">
        <v>40</v>
      </c>
      <c r="M157"/>
      <c r="N157"/>
      <c r="O157"/>
    </row>
    <row r="158" spans="3:15" ht="48" x14ac:dyDescent="0.3">
      <c r="C158" s="90" t="s">
        <v>378</v>
      </c>
      <c r="D158" s="87" t="s">
        <v>379</v>
      </c>
      <c r="E158" s="90" t="s">
        <v>58</v>
      </c>
      <c r="F158" s="89">
        <v>100</v>
      </c>
      <c r="G158" s="42"/>
      <c r="H158" s="42"/>
      <c r="I158" s="46"/>
      <c r="J158" s="46"/>
      <c r="K158" s="46">
        <v>60</v>
      </c>
      <c r="L158" s="47">
        <v>40</v>
      </c>
      <c r="M158"/>
      <c r="N158"/>
      <c r="O158"/>
    </row>
    <row r="159" spans="3:15" ht="48" x14ac:dyDescent="0.3">
      <c r="C159" s="90" t="s">
        <v>381</v>
      </c>
      <c r="D159" s="87" t="s">
        <v>382</v>
      </c>
      <c r="E159" s="90" t="s">
        <v>58</v>
      </c>
      <c r="F159" s="89">
        <v>100</v>
      </c>
      <c r="G159" s="42"/>
      <c r="H159" s="42"/>
      <c r="I159" s="46"/>
      <c r="J159" s="46"/>
      <c r="K159" s="46">
        <v>60</v>
      </c>
      <c r="L159" s="47">
        <v>40</v>
      </c>
      <c r="M159"/>
      <c r="N159"/>
      <c r="O159"/>
    </row>
    <row r="160" spans="3:15" ht="48" x14ac:dyDescent="0.3">
      <c r="C160" s="90"/>
      <c r="D160" s="87" t="s">
        <v>384</v>
      </c>
      <c r="E160" s="90"/>
      <c r="F160" s="89"/>
      <c r="G160" s="42"/>
      <c r="H160" s="42"/>
      <c r="I160" s="46"/>
      <c r="J160" s="46"/>
      <c r="K160" s="46"/>
      <c r="L160" s="47"/>
      <c r="M160"/>
      <c r="N160"/>
      <c r="O160"/>
    </row>
    <row r="161" spans="3:15" ht="60" x14ac:dyDescent="0.3">
      <c r="C161" s="90" t="s">
        <v>385</v>
      </c>
      <c r="D161" s="87" t="s">
        <v>386</v>
      </c>
      <c r="E161" s="90" t="s">
        <v>68</v>
      </c>
      <c r="F161" s="89">
        <v>27</v>
      </c>
      <c r="G161" s="42"/>
      <c r="H161" s="42"/>
      <c r="I161" s="46"/>
      <c r="J161" s="46"/>
      <c r="K161" s="46">
        <v>10</v>
      </c>
      <c r="L161" s="47">
        <v>17</v>
      </c>
      <c r="M161"/>
      <c r="N161"/>
      <c r="O161"/>
    </row>
    <row r="162" spans="3:15" ht="60" x14ac:dyDescent="0.3">
      <c r="C162" s="90" t="s">
        <v>388</v>
      </c>
      <c r="D162" s="87" t="s">
        <v>389</v>
      </c>
      <c r="E162" s="90" t="s">
        <v>68</v>
      </c>
      <c r="F162" s="89">
        <v>1</v>
      </c>
      <c r="G162" s="42"/>
      <c r="H162" s="42"/>
      <c r="I162" s="46"/>
      <c r="J162" s="46"/>
      <c r="K162" s="46">
        <v>1</v>
      </c>
      <c r="L162" s="47"/>
      <c r="M162"/>
      <c r="N162"/>
      <c r="O162"/>
    </row>
    <row r="163" spans="3:15" ht="60" x14ac:dyDescent="0.3">
      <c r="C163" s="90" t="s">
        <v>390</v>
      </c>
      <c r="D163" s="87" t="s">
        <v>391</v>
      </c>
      <c r="E163" s="90" t="s">
        <v>68</v>
      </c>
      <c r="F163" s="89">
        <v>4</v>
      </c>
      <c r="G163" s="42"/>
      <c r="H163" s="42"/>
      <c r="I163" s="46"/>
      <c r="J163" s="46"/>
      <c r="K163" s="46">
        <v>4</v>
      </c>
      <c r="L163" s="47"/>
      <c r="M163"/>
      <c r="N163"/>
      <c r="O163"/>
    </row>
    <row r="164" spans="3:15" ht="36" x14ac:dyDescent="0.3">
      <c r="C164" s="90"/>
      <c r="D164" s="87" t="s">
        <v>393</v>
      </c>
      <c r="E164" s="90"/>
      <c r="F164" s="89"/>
      <c r="G164" s="42"/>
      <c r="H164" s="42"/>
      <c r="I164" s="46"/>
      <c r="J164" s="46"/>
      <c r="K164" s="46"/>
      <c r="L164" s="47"/>
      <c r="M164"/>
      <c r="N164"/>
      <c r="O164"/>
    </row>
    <row r="165" spans="3:15" ht="48" x14ac:dyDescent="0.3">
      <c r="C165" s="90" t="s">
        <v>394</v>
      </c>
      <c r="D165" s="87" t="s">
        <v>395</v>
      </c>
      <c r="E165" s="90" t="s">
        <v>68</v>
      </c>
      <c r="F165" s="89">
        <v>8</v>
      </c>
      <c r="G165" s="42"/>
      <c r="H165" s="42"/>
      <c r="I165" s="46"/>
      <c r="J165" s="46"/>
      <c r="K165" s="46">
        <v>8</v>
      </c>
      <c r="L165" s="47"/>
      <c r="M165"/>
      <c r="N165"/>
      <c r="O165"/>
    </row>
    <row r="166" spans="3:15" ht="36" x14ac:dyDescent="0.3">
      <c r="C166" s="90"/>
      <c r="D166" s="87" t="s">
        <v>397</v>
      </c>
      <c r="E166" s="90"/>
      <c r="F166" s="89"/>
      <c r="G166" s="42"/>
      <c r="H166" s="42"/>
      <c r="I166" s="46"/>
      <c r="J166" s="46"/>
      <c r="K166" s="46"/>
      <c r="L166" s="47"/>
      <c r="M166"/>
      <c r="N166"/>
      <c r="O166"/>
    </row>
    <row r="167" spans="3:15" ht="48" x14ac:dyDescent="0.3">
      <c r="C167" s="90" t="s">
        <v>398</v>
      </c>
      <c r="D167" s="87" t="s">
        <v>399</v>
      </c>
      <c r="E167" s="90" t="s">
        <v>68</v>
      </c>
      <c r="F167" s="89">
        <v>20</v>
      </c>
      <c r="G167" s="42"/>
      <c r="H167" s="42"/>
      <c r="I167" s="46"/>
      <c r="J167" s="46"/>
      <c r="K167" s="46"/>
      <c r="L167" s="47">
        <v>20</v>
      </c>
      <c r="M167"/>
      <c r="N167"/>
      <c r="O167"/>
    </row>
    <row r="168" spans="3:15" ht="48" x14ac:dyDescent="0.3">
      <c r="C168" s="90" t="s">
        <v>401</v>
      </c>
      <c r="D168" s="87" t="s">
        <v>402</v>
      </c>
      <c r="E168" s="90" t="s">
        <v>68</v>
      </c>
      <c r="F168" s="89">
        <v>6</v>
      </c>
      <c r="G168" s="42"/>
      <c r="H168" s="42"/>
      <c r="I168" s="46"/>
      <c r="J168" s="46"/>
      <c r="K168" s="46"/>
      <c r="L168" s="47">
        <v>6</v>
      </c>
      <c r="M168"/>
      <c r="N168"/>
      <c r="O168"/>
    </row>
    <row r="169" spans="3:15" ht="60" x14ac:dyDescent="0.3">
      <c r="C169" s="90"/>
      <c r="D169" s="87" t="s">
        <v>403</v>
      </c>
      <c r="E169" s="90"/>
      <c r="F169" s="89"/>
      <c r="G169" s="42"/>
      <c r="H169" s="42"/>
      <c r="I169" s="46"/>
      <c r="J169" s="46"/>
      <c r="K169" s="46"/>
      <c r="L169" s="47"/>
      <c r="M169"/>
      <c r="N169"/>
      <c r="O169"/>
    </row>
    <row r="170" spans="3:15" ht="60" x14ac:dyDescent="0.3">
      <c r="C170" s="90" t="s">
        <v>404</v>
      </c>
      <c r="D170" s="87" t="s">
        <v>405</v>
      </c>
      <c r="E170" s="90" t="s">
        <v>68</v>
      </c>
      <c r="F170" s="89">
        <v>12</v>
      </c>
      <c r="G170" s="42"/>
      <c r="H170" s="42"/>
      <c r="I170" s="46"/>
      <c r="J170" s="46"/>
      <c r="K170" s="46">
        <v>12</v>
      </c>
      <c r="L170" s="47"/>
      <c r="M170"/>
      <c r="N170"/>
      <c r="O170"/>
    </row>
    <row r="171" spans="3:15" ht="48" x14ac:dyDescent="0.3">
      <c r="C171" s="90"/>
      <c r="D171" s="87" t="s">
        <v>407</v>
      </c>
      <c r="E171" s="90"/>
      <c r="F171" s="89"/>
      <c r="G171" s="42"/>
      <c r="H171" s="42"/>
      <c r="I171" s="46"/>
      <c r="J171" s="46"/>
      <c r="K171" s="46"/>
      <c r="L171" s="47"/>
      <c r="M171"/>
      <c r="N171"/>
      <c r="O171"/>
    </row>
    <row r="172" spans="3:15" ht="48" x14ac:dyDescent="0.3">
      <c r="C172" s="90" t="s">
        <v>408</v>
      </c>
      <c r="D172" s="87" t="s">
        <v>409</v>
      </c>
      <c r="E172" s="90" t="s">
        <v>68</v>
      </c>
      <c r="F172" s="89">
        <v>23</v>
      </c>
      <c r="G172" s="42"/>
      <c r="H172" s="42"/>
      <c r="I172" s="46"/>
      <c r="J172" s="46"/>
      <c r="K172" s="46">
        <v>23</v>
      </c>
      <c r="L172" s="47"/>
      <c r="M172"/>
      <c r="N172"/>
      <c r="O172"/>
    </row>
    <row r="173" spans="3:15" ht="36" x14ac:dyDescent="0.3">
      <c r="C173" s="90"/>
      <c r="D173" s="87" t="s">
        <v>411</v>
      </c>
      <c r="E173" s="90"/>
      <c r="F173" s="89"/>
      <c r="G173" s="42"/>
      <c r="H173" s="42"/>
      <c r="I173" s="46"/>
      <c r="J173" s="46"/>
      <c r="K173" s="46"/>
      <c r="L173" s="47"/>
      <c r="M173"/>
      <c r="N173"/>
      <c r="O173"/>
    </row>
    <row r="174" spans="3:15" ht="72" x14ac:dyDescent="0.3">
      <c r="C174" s="90" t="s">
        <v>412</v>
      </c>
      <c r="D174" s="87" t="s">
        <v>413</v>
      </c>
      <c r="E174" s="90" t="s">
        <v>68</v>
      </c>
      <c r="F174" s="89">
        <v>25</v>
      </c>
      <c r="G174" s="42"/>
      <c r="H174" s="42"/>
      <c r="I174" s="46"/>
      <c r="J174" s="46"/>
      <c r="K174" s="46">
        <v>25</v>
      </c>
      <c r="L174" s="47"/>
      <c r="M174"/>
      <c r="N174"/>
      <c r="O174"/>
    </row>
    <row r="175" spans="3:15" ht="36" x14ac:dyDescent="0.3">
      <c r="C175" s="90"/>
      <c r="D175" s="87" t="s">
        <v>415</v>
      </c>
      <c r="E175" s="90"/>
      <c r="F175" s="89"/>
      <c r="G175" s="42"/>
      <c r="H175" s="42"/>
      <c r="I175" s="46"/>
      <c r="J175" s="46"/>
      <c r="K175" s="46"/>
      <c r="L175" s="47"/>
      <c r="M175"/>
      <c r="N175"/>
      <c r="O175"/>
    </row>
    <row r="176" spans="3:15" ht="48" x14ac:dyDescent="0.3">
      <c r="C176" s="90" t="s">
        <v>416</v>
      </c>
      <c r="D176" s="87" t="s">
        <v>417</v>
      </c>
      <c r="E176" s="90" t="s">
        <v>68</v>
      </c>
      <c r="F176" s="89">
        <v>9</v>
      </c>
      <c r="G176" s="42"/>
      <c r="H176" s="42"/>
      <c r="I176" s="46"/>
      <c r="J176" s="46"/>
      <c r="K176" s="46"/>
      <c r="L176" s="47">
        <v>9</v>
      </c>
      <c r="M176"/>
      <c r="N176"/>
      <c r="O176"/>
    </row>
    <row r="177" spans="3:15" ht="48" x14ac:dyDescent="0.3">
      <c r="C177" s="90"/>
      <c r="D177" s="87" t="s">
        <v>419</v>
      </c>
      <c r="E177" s="90"/>
      <c r="F177" s="89"/>
      <c r="G177" s="42"/>
      <c r="H177" s="42"/>
      <c r="I177" s="46"/>
      <c r="J177" s="46"/>
      <c r="K177" s="46"/>
      <c r="L177" s="47"/>
      <c r="M177"/>
      <c r="N177"/>
      <c r="O177"/>
    </row>
    <row r="178" spans="3:15" ht="48" x14ac:dyDescent="0.3">
      <c r="C178" s="90" t="s">
        <v>420</v>
      </c>
      <c r="D178" s="87" t="s">
        <v>421</v>
      </c>
      <c r="E178" s="90" t="s">
        <v>58</v>
      </c>
      <c r="F178" s="89">
        <v>106</v>
      </c>
      <c r="G178" s="42"/>
      <c r="H178" s="42"/>
      <c r="I178" s="46"/>
      <c r="J178" s="46"/>
      <c r="K178" s="46">
        <v>60</v>
      </c>
      <c r="L178" s="47">
        <v>46</v>
      </c>
      <c r="M178"/>
      <c r="N178"/>
      <c r="O178"/>
    </row>
    <row r="179" spans="3:15" ht="36" x14ac:dyDescent="0.3">
      <c r="C179" s="90"/>
      <c r="D179" s="87" t="s">
        <v>423</v>
      </c>
      <c r="E179" s="90"/>
      <c r="F179" s="89"/>
      <c r="G179" s="42"/>
      <c r="H179" s="42"/>
      <c r="I179" s="46"/>
      <c r="J179" s="46"/>
      <c r="K179" s="46"/>
      <c r="L179" s="47"/>
      <c r="M179"/>
      <c r="N179"/>
      <c r="O179"/>
    </row>
    <row r="180" spans="3:15" ht="36" x14ac:dyDescent="0.3">
      <c r="C180" s="90" t="s">
        <v>424</v>
      </c>
      <c r="D180" s="87" t="s">
        <v>425</v>
      </c>
      <c r="E180" s="90" t="s">
        <v>219</v>
      </c>
      <c r="F180" s="89">
        <v>0.5</v>
      </c>
      <c r="G180" s="42"/>
      <c r="H180" s="42"/>
      <c r="I180" s="46"/>
      <c r="J180" s="46"/>
      <c r="K180" s="46">
        <v>0.5</v>
      </c>
      <c r="L180" s="47"/>
      <c r="M180"/>
      <c r="N180"/>
      <c r="O180"/>
    </row>
    <row r="181" spans="3:15" ht="84" x14ac:dyDescent="0.3">
      <c r="C181" s="90"/>
      <c r="D181" s="87" t="s">
        <v>427</v>
      </c>
      <c r="E181" s="90"/>
      <c r="F181" s="89"/>
      <c r="G181" s="42"/>
      <c r="H181" s="42"/>
      <c r="I181" s="46"/>
      <c r="J181" s="46"/>
      <c r="K181" s="46"/>
      <c r="L181" s="47"/>
      <c r="M181"/>
      <c r="N181"/>
      <c r="O181"/>
    </row>
    <row r="182" spans="3:15" ht="84" x14ac:dyDescent="0.3">
      <c r="C182" s="90" t="s">
        <v>428</v>
      </c>
      <c r="D182" s="87" t="s">
        <v>427</v>
      </c>
      <c r="E182" s="90" t="s">
        <v>219</v>
      </c>
      <c r="F182" s="89">
        <v>120</v>
      </c>
      <c r="G182" s="42"/>
      <c r="H182" s="42"/>
      <c r="I182" s="46"/>
      <c r="J182" s="46"/>
      <c r="K182" s="46"/>
      <c r="L182" s="47">
        <v>120</v>
      </c>
      <c r="M182"/>
      <c r="N182"/>
      <c r="O182"/>
    </row>
    <row r="183" spans="3:15" ht="84" x14ac:dyDescent="0.3">
      <c r="C183" s="90" t="s">
        <v>430</v>
      </c>
      <c r="D183" s="87" t="s">
        <v>431</v>
      </c>
      <c r="E183" s="90" t="s">
        <v>219</v>
      </c>
      <c r="F183" s="89">
        <v>250</v>
      </c>
      <c r="G183" s="42"/>
      <c r="H183" s="42"/>
      <c r="I183" s="46"/>
      <c r="J183" s="46"/>
      <c r="K183" s="46"/>
      <c r="L183" s="47">
        <v>250</v>
      </c>
      <c r="M183"/>
      <c r="N183"/>
      <c r="O183"/>
    </row>
    <row r="184" spans="3:15" ht="60" x14ac:dyDescent="0.3">
      <c r="C184" s="90" t="s">
        <v>433</v>
      </c>
      <c r="D184" s="87" t="s">
        <v>434</v>
      </c>
      <c r="E184" s="90" t="s">
        <v>219</v>
      </c>
      <c r="F184" s="89">
        <v>400</v>
      </c>
      <c r="G184" s="42"/>
      <c r="H184" s="42"/>
      <c r="I184" s="46"/>
      <c r="J184" s="46"/>
      <c r="K184" s="46"/>
      <c r="L184" s="47">
        <v>400</v>
      </c>
      <c r="M184"/>
      <c r="N184"/>
      <c r="O184"/>
    </row>
    <row r="185" spans="3:15" ht="48" x14ac:dyDescent="0.3">
      <c r="C185" s="90"/>
      <c r="D185" s="87" t="s">
        <v>235</v>
      </c>
      <c r="E185" s="90"/>
      <c r="F185" s="89"/>
      <c r="G185" s="42"/>
      <c r="H185" s="42"/>
      <c r="I185" s="46"/>
      <c r="J185" s="46"/>
      <c r="K185" s="46"/>
      <c r="L185" s="47"/>
      <c r="M185"/>
      <c r="N185"/>
      <c r="O185"/>
    </row>
    <row r="186" spans="3:15" ht="36" x14ac:dyDescent="0.3">
      <c r="C186" s="90" t="s">
        <v>436</v>
      </c>
      <c r="D186" s="87" t="s">
        <v>237</v>
      </c>
      <c r="E186" s="90" t="s">
        <v>68</v>
      </c>
      <c r="F186" s="89">
        <v>2</v>
      </c>
      <c r="G186" s="42"/>
      <c r="H186" s="42"/>
      <c r="I186" s="46"/>
      <c r="J186" s="46"/>
      <c r="K186" s="46">
        <v>2</v>
      </c>
      <c r="L186" s="47"/>
      <c r="M186"/>
      <c r="N186"/>
      <c r="O186"/>
    </row>
    <row r="187" spans="3:15" ht="36" x14ac:dyDescent="0.3">
      <c r="C187" s="90" t="s">
        <v>438</v>
      </c>
      <c r="D187" s="87" t="s">
        <v>439</v>
      </c>
      <c r="E187" s="90" t="s">
        <v>68</v>
      </c>
      <c r="F187" s="89">
        <v>47</v>
      </c>
      <c r="G187" s="42"/>
      <c r="H187" s="42"/>
      <c r="I187" s="46"/>
      <c r="J187" s="46"/>
      <c r="K187" s="46">
        <v>47</v>
      </c>
      <c r="L187" s="47"/>
      <c r="M187"/>
      <c r="N187"/>
      <c r="O187"/>
    </row>
    <row r="188" spans="3:15" ht="36" x14ac:dyDescent="0.3">
      <c r="C188" s="90" t="s">
        <v>440</v>
      </c>
      <c r="D188" s="87" t="s">
        <v>246</v>
      </c>
      <c r="E188" s="90" t="s">
        <v>68</v>
      </c>
      <c r="F188" s="89">
        <v>8</v>
      </c>
      <c r="G188" s="42"/>
      <c r="H188" s="42"/>
      <c r="I188" s="46"/>
      <c r="J188" s="46"/>
      <c r="K188" s="46">
        <v>8</v>
      </c>
      <c r="L188" s="47"/>
      <c r="M188"/>
      <c r="N188"/>
      <c r="O188"/>
    </row>
    <row r="189" spans="3:15" ht="36" x14ac:dyDescent="0.3">
      <c r="C189" s="90" t="s">
        <v>441</v>
      </c>
      <c r="D189" s="87" t="s">
        <v>442</v>
      </c>
      <c r="E189" s="90" t="s">
        <v>68</v>
      </c>
      <c r="F189" s="89">
        <v>10</v>
      </c>
      <c r="G189" s="42"/>
      <c r="H189" s="42"/>
      <c r="I189" s="46"/>
      <c r="J189" s="46"/>
      <c r="K189" s="46">
        <v>10</v>
      </c>
      <c r="L189" s="47"/>
      <c r="M189"/>
      <c r="N189"/>
      <c r="O189"/>
    </row>
    <row r="190" spans="3:15" ht="36" x14ac:dyDescent="0.3">
      <c r="C190" s="90" t="s">
        <v>444</v>
      </c>
      <c r="D190" s="87" t="s">
        <v>252</v>
      </c>
      <c r="E190" s="90" t="s">
        <v>68</v>
      </c>
      <c r="F190" s="89">
        <v>2</v>
      </c>
      <c r="G190" s="42"/>
      <c r="H190" s="42"/>
      <c r="I190" s="46"/>
      <c r="J190" s="46"/>
      <c r="K190" s="46">
        <v>2</v>
      </c>
      <c r="L190" s="47"/>
      <c r="M190"/>
      <c r="N190"/>
      <c r="O190"/>
    </row>
    <row r="191" spans="3:15" ht="36" x14ac:dyDescent="0.3">
      <c r="C191" s="90" t="s">
        <v>445</v>
      </c>
      <c r="D191" s="87" t="s">
        <v>255</v>
      </c>
      <c r="E191" s="90" t="s">
        <v>68</v>
      </c>
      <c r="F191" s="89">
        <v>61</v>
      </c>
      <c r="G191" s="42"/>
      <c r="H191" s="42"/>
      <c r="I191" s="46"/>
      <c r="J191" s="46"/>
      <c r="K191" s="46">
        <v>61</v>
      </c>
      <c r="L191" s="47"/>
      <c r="M191"/>
      <c r="N191"/>
      <c r="O191"/>
    </row>
    <row r="192" spans="3:15" ht="36" x14ac:dyDescent="0.3">
      <c r="C192" s="90"/>
      <c r="D192" s="87" t="s">
        <v>257</v>
      </c>
      <c r="E192" s="90"/>
      <c r="F192" s="89"/>
      <c r="G192" s="42"/>
      <c r="H192" s="42"/>
      <c r="I192" s="46"/>
      <c r="J192" s="46"/>
      <c r="K192" s="46"/>
      <c r="L192" s="47"/>
      <c r="M192"/>
      <c r="N192"/>
      <c r="O192"/>
    </row>
    <row r="193" spans="3:15" ht="48" x14ac:dyDescent="0.3">
      <c r="C193" s="90"/>
      <c r="D193" s="87" t="s">
        <v>258</v>
      </c>
      <c r="E193" s="90"/>
      <c r="F193" s="89"/>
      <c r="G193" s="42"/>
      <c r="H193" s="42"/>
      <c r="I193" s="46"/>
      <c r="J193" s="46"/>
      <c r="K193" s="46"/>
      <c r="L193" s="47"/>
      <c r="M193"/>
      <c r="N193"/>
      <c r="O193"/>
    </row>
    <row r="194" spans="3:15" ht="36" x14ac:dyDescent="0.3">
      <c r="C194" s="90" t="s">
        <v>446</v>
      </c>
      <c r="D194" s="87" t="s">
        <v>266</v>
      </c>
      <c r="E194" s="90" t="s">
        <v>197</v>
      </c>
      <c r="F194" s="89">
        <v>18</v>
      </c>
      <c r="G194" s="42"/>
      <c r="H194" s="42"/>
      <c r="I194" s="46"/>
      <c r="J194" s="46"/>
      <c r="K194" s="46"/>
      <c r="L194" s="47">
        <v>18</v>
      </c>
      <c r="M194"/>
      <c r="N194"/>
      <c r="O194"/>
    </row>
    <row r="195" spans="3:15" ht="36" x14ac:dyDescent="0.3">
      <c r="C195" s="90" t="s">
        <v>448</v>
      </c>
      <c r="D195" s="87" t="s">
        <v>269</v>
      </c>
      <c r="E195" s="90" t="s">
        <v>197</v>
      </c>
      <c r="F195" s="89">
        <v>84</v>
      </c>
      <c r="G195" s="42"/>
      <c r="H195" s="42"/>
      <c r="I195" s="46"/>
      <c r="J195" s="46"/>
      <c r="K195" s="46">
        <v>50</v>
      </c>
      <c r="L195" s="47">
        <v>34</v>
      </c>
      <c r="M195"/>
      <c r="N195"/>
      <c r="O195"/>
    </row>
    <row r="196" spans="3:15" ht="48" x14ac:dyDescent="0.3">
      <c r="C196" s="90"/>
      <c r="D196" s="87" t="s">
        <v>271</v>
      </c>
      <c r="E196" s="90"/>
      <c r="F196" s="89"/>
      <c r="G196" s="42"/>
      <c r="H196" s="42"/>
      <c r="I196" s="46"/>
      <c r="J196" s="46"/>
      <c r="K196" s="46"/>
      <c r="L196" s="47"/>
      <c r="M196"/>
      <c r="N196"/>
      <c r="O196"/>
    </row>
    <row r="197" spans="3:15" ht="36" x14ac:dyDescent="0.3">
      <c r="C197" s="90" t="s">
        <v>450</v>
      </c>
      <c r="D197" s="87" t="s">
        <v>246</v>
      </c>
      <c r="E197" s="90" t="s">
        <v>197</v>
      </c>
      <c r="F197" s="89">
        <v>16</v>
      </c>
      <c r="G197" s="42"/>
      <c r="H197" s="42"/>
      <c r="I197" s="46"/>
      <c r="J197" s="46"/>
      <c r="K197" s="46"/>
      <c r="L197" s="47">
        <v>16</v>
      </c>
      <c r="M197"/>
      <c r="N197"/>
      <c r="O197"/>
    </row>
    <row r="198" spans="3:15" ht="36" x14ac:dyDescent="0.3">
      <c r="C198" s="90" t="s">
        <v>452</v>
      </c>
      <c r="D198" s="87" t="s">
        <v>277</v>
      </c>
      <c r="E198" s="90" t="s">
        <v>197</v>
      </c>
      <c r="F198" s="89">
        <v>72</v>
      </c>
      <c r="G198" s="42"/>
      <c r="H198" s="42"/>
      <c r="I198" s="46"/>
      <c r="J198" s="46"/>
      <c r="K198" s="46">
        <v>30</v>
      </c>
      <c r="L198" s="47">
        <v>42</v>
      </c>
      <c r="M198"/>
      <c r="N198"/>
      <c r="O198"/>
    </row>
    <row r="199" spans="3:15" ht="36" x14ac:dyDescent="0.3">
      <c r="C199" s="90" t="s">
        <v>454</v>
      </c>
      <c r="D199" s="87" t="s">
        <v>455</v>
      </c>
      <c r="E199" s="90" t="s">
        <v>197</v>
      </c>
      <c r="F199" s="89">
        <v>8</v>
      </c>
      <c r="G199" s="42"/>
      <c r="H199" s="42"/>
      <c r="I199" s="46"/>
      <c r="J199" s="46"/>
      <c r="K199" s="46">
        <v>8</v>
      </c>
      <c r="L199" s="47"/>
      <c r="M199"/>
      <c r="N199"/>
      <c r="O199"/>
    </row>
    <row r="200" spans="3:15" ht="36" x14ac:dyDescent="0.3">
      <c r="C200" s="90" t="s">
        <v>457</v>
      </c>
      <c r="D200" s="87" t="s">
        <v>442</v>
      </c>
      <c r="E200" s="90" t="s">
        <v>197</v>
      </c>
      <c r="F200" s="89">
        <v>2</v>
      </c>
      <c r="G200" s="42"/>
      <c r="H200" s="42"/>
      <c r="I200" s="46"/>
      <c r="J200" s="46"/>
      <c r="K200" s="46">
        <v>2</v>
      </c>
      <c r="L200" s="47"/>
      <c r="M200"/>
      <c r="N200"/>
      <c r="O200"/>
    </row>
    <row r="201" spans="3:15" ht="36" x14ac:dyDescent="0.3">
      <c r="C201" s="90" t="s">
        <v>459</v>
      </c>
      <c r="D201" s="87" t="s">
        <v>252</v>
      </c>
      <c r="E201" s="90" t="s">
        <v>197</v>
      </c>
      <c r="F201" s="89">
        <v>10</v>
      </c>
      <c r="G201" s="42"/>
      <c r="H201" s="42"/>
      <c r="I201" s="46"/>
      <c r="J201" s="46"/>
      <c r="K201" s="46">
        <v>10</v>
      </c>
      <c r="L201" s="47"/>
      <c r="M201"/>
      <c r="N201"/>
      <c r="O201"/>
    </row>
    <row r="202" spans="3:15" ht="36" x14ac:dyDescent="0.3">
      <c r="C202" s="90" t="s">
        <v>461</v>
      </c>
      <c r="D202" s="87" t="s">
        <v>255</v>
      </c>
      <c r="E202" s="90" t="s">
        <v>197</v>
      </c>
      <c r="F202" s="89">
        <v>2</v>
      </c>
      <c r="G202" s="42"/>
      <c r="H202" s="42"/>
      <c r="I202" s="46"/>
      <c r="J202" s="46"/>
      <c r="K202" s="46">
        <v>2</v>
      </c>
      <c r="L202" s="47"/>
      <c r="M202"/>
      <c r="N202"/>
      <c r="O202"/>
    </row>
    <row r="203" spans="3:15" ht="36" x14ac:dyDescent="0.3">
      <c r="C203" s="90"/>
      <c r="D203" s="87" t="s">
        <v>463</v>
      </c>
      <c r="E203" s="90"/>
      <c r="F203" s="89"/>
      <c r="G203" s="42"/>
      <c r="H203" s="42"/>
      <c r="I203" s="46"/>
      <c r="J203" s="46"/>
      <c r="K203" s="46"/>
      <c r="L203" s="47"/>
      <c r="M203"/>
      <c r="N203"/>
      <c r="O203"/>
    </row>
    <row r="204" spans="3:15" ht="36" x14ac:dyDescent="0.3">
      <c r="C204" s="90"/>
      <c r="D204" s="87" t="s">
        <v>464</v>
      </c>
      <c r="E204" s="90"/>
      <c r="F204" s="89"/>
      <c r="G204" s="42"/>
      <c r="H204" s="42"/>
      <c r="I204" s="46"/>
      <c r="J204" s="46"/>
      <c r="K204" s="46"/>
      <c r="L204" s="47"/>
      <c r="M204"/>
      <c r="N204"/>
      <c r="O204"/>
    </row>
    <row r="205" spans="3:15" ht="36" x14ac:dyDescent="0.3">
      <c r="C205" s="90" t="s">
        <v>465</v>
      </c>
      <c r="D205" s="87" t="s">
        <v>466</v>
      </c>
      <c r="E205" s="90" t="s">
        <v>197</v>
      </c>
      <c r="F205" s="89">
        <v>32</v>
      </c>
      <c r="G205" s="42"/>
      <c r="H205" s="42"/>
      <c r="I205" s="46"/>
      <c r="J205" s="46"/>
      <c r="K205" s="46"/>
      <c r="L205" s="47">
        <v>32</v>
      </c>
      <c r="M205"/>
      <c r="N205"/>
      <c r="O205"/>
    </row>
    <row r="206" spans="3:15" ht="36" x14ac:dyDescent="0.3">
      <c r="C206" s="90"/>
      <c r="D206" s="87" t="s">
        <v>467</v>
      </c>
      <c r="E206" s="90"/>
      <c r="F206" s="89"/>
      <c r="G206" s="42"/>
      <c r="H206" s="42"/>
      <c r="I206" s="46"/>
      <c r="J206" s="46"/>
      <c r="K206" s="46"/>
      <c r="L206" s="47"/>
      <c r="M206"/>
      <c r="N206"/>
      <c r="O206"/>
    </row>
    <row r="207" spans="3:15" ht="36" x14ac:dyDescent="0.3">
      <c r="C207" s="90"/>
      <c r="D207" s="87" t="s">
        <v>468</v>
      </c>
      <c r="E207" s="90"/>
      <c r="F207" s="89"/>
      <c r="G207" s="42"/>
      <c r="H207" s="42"/>
      <c r="I207" s="46"/>
      <c r="J207" s="46"/>
      <c r="K207" s="46"/>
      <c r="L207" s="47"/>
      <c r="M207"/>
      <c r="N207"/>
      <c r="O207"/>
    </row>
    <row r="208" spans="3:15" ht="36" x14ac:dyDescent="0.3">
      <c r="C208" s="90" t="s">
        <v>469</v>
      </c>
      <c r="D208" s="87" t="s">
        <v>470</v>
      </c>
      <c r="E208" s="90" t="s">
        <v>197</v>
      </c>
      <c r="F208" s="89">
        <v>86</v>
      </c>
      <c r="G208" s="42"/>
      <c r="H208" s="42"/>
      <c r="I208" s="46"/>
      <c r="J208" s="46"/>
      <c r="K208" s="46"/>
      <c r="L208" s="47">
        <v>86</v>
      </c>
      <c r="M208"/>
      <c r="N208"/>
      <c r="O208"/>
    </row>
    <row r="209" spans="3:15" ht="36" x14ac:dyDescent="0.3">
      <c r="C209" s="90" t="s">
        <v>472</v>
      </c>
      <c r="D209" s="87" t="s">
        <v>199</v>
      </c>
      <c r="E209" s="90" t="s">
        <v>197</v>
      </c>
      <c r="F209" s="89">
        <v>70</v>
      </c>
      <c r="G209" s="42"/>
      <c r="H209" s="42"/>
      <c r="I209" s="46"/>
      <c r="J209" s="46"/>
      <c r="K209" s="46">
        <v>40</v>
      </c>
      <c r="L209" s="47">
        <v>30</v>
      </c>
      <c r="M209"/>
      <c r="N209"/>
      <c r="O209"/>
    </row>
    <row r="210" spans="3:15" ht="48" x14ac:dyDescent="0.3">
      <c r="C210" s="90" t="s">
        <v>473</v>
      </c>
      <c r="D210" s="87" t="s">
        <v>474</v>
      </c>
      <c r="E210" s="90" t="s">
        <v>475</v>
      </c>
      <c r="F210" s="89">
        <v>100</v>
      </c>
      <c r="G210" s="42"/>
      <c r="H210" s="42"/>
      <c r="I210" s="46"/>
      <c r="J210" s="46"/>
      <c r="K210" s="46">
        <v>64</v>
      </c>
      <c r="L210" s="47">
        <v>36</v>
      </c>
      <c r="M210"/>
      <c r="N210"/>
      <c r="O210"/>
    </row>
    <row r="211" spans="3:15" ht="36" x14ac:dyDescent="0.3">
      <c r="C211" s="90"/>
      <c r="D211" s="87" t="s">
        <v>477</v>
      </c>
      <c r="E211" s="90"/>
      <c r="F211" s="89"/>
      <c r="G211" s="42"/>
      <c r="H211" s="42"/>
      <c r="I211" s="46"/>
      <c r="J211" s="46"/>
      <c r="K211" s="46"/>
      <c r="L211" s="47"/>
      <c r="M211"/>
      <c r="N211"/>
      <c r="O211"/>
    </row>
    <row r="212" spans="3:15" ht="36" x14ac:dyDescent="0.3">
      <c r="C212" s="90" t="s">
        <v>478</v>
      </c>
      <c r="D212" s="87" t="s">
        <v>479</v>
      </c>
      <c r="E212" s="90" t="s">
        <v>41</v>
      </c>
      <c r="F212" s="89">
        <v>15</v>
      </c>
      <c r="G212" s="42"/>
      <c r="H212" s="42"/>
      <c r="I212" s="46"/>
      <c r="J212" s="46"/>
      <c r="K212" s="46">
        <v>15</v>
      </c>
      <c r="L212" s="47"/>
      <c r="M212"/>
      <c r="N212"/>
      <c r="O212"/>
    </row>
    <row r="213" spans="3:15" ht="36" x14ac:dyDescent="0.3">
      <c r="C213" s="90" t="s">
        <v>481</v>
      </c>
      <c r="D213" s="87" t="s">
        <v>482</v>
      </c>
      <c r="E213" s="90" t="s">
        <v>41</v>
      </c>
      <c r="F213" s="89">
        <v>15</v>
      </c>
      <c r="G213" s="42"/>
      <c r="H213" s="42"/>
      <c r="I213" s="46"/>
      <c r="J213" s="46"/>
      <c r="K213" s="46">
        <v>15</v>
      </c>
      <c r="L213" s="47"/>
      <c r="M213"/>
      <c r="N213"/>
      <c r="O213"/>
    </row>
    <row r="214" spans="3:15" ht="48" x14ac:dyDescent="0.3">
      <c r="C214" s="90" t="s">
        <v>485</v>
      </c>
      <c r="D214" s="87" t="s">
        <v>486</v>
      </c>
      <c r="E214" s="90"/>
      <c r="F214" s="89"/>
      <c r="G214" s="42"/>
      <c r="H214" s="42"/>
      <c r="I214" s="46"/>
      <c r="J214" s="46"/>
      <c r="K214" s="46"/>
      <c r="L214" s="47"/>
      <c r="M214"/>
      <c r="N214"/>
      <c r="O214"/>
    </row>
    <row r="215" spans="3:15" ht="36" x14ac:dyDescent="0.3">
      <c r="C215" s="90"/>
      <c r="D215" s="87" t="s">
        <v>487</v>
      </c>
      <c r="E215" s="90"/>
      <c r="F215" s="89"/>
      <c r="G215" s="42"/>
      <c r="H215" s="42"/>
      <c r="I215" s="46"/>
      <c r="J215" s="46"/>
      <c r="K215" s="46"/>
      <c r="L215" s="47"/>
      <c r="M215"/>
      <c r="N215"/>
      <c r="O215"/>
    </row>
    <row r="216" spans="3:15" ht="36" x14ac:dyDescent="0.3">
      <c r="C216" s="90" t="s">
        <v>488</v>
      </c>
      <c r="D216" s="87" t="s">
        <v>489</v>
      </c>
      <c r="E216" s="90" t="s">
        <v>490</v>
      </c>
      <c r="F216" s="89">
        <v>2000</v>
      </c>
      <c r="G216" s="42"/>
      <c r="H216" s="42">
        <v>600</v>
      </c>
      <c r="I216" s="46">
        <v>1400</v>
      </c>
      <c r="J216" s="46"/>
      <c r="K216" s="46"/>
      <c r="L216" s="47"/>
      <c r="M216"/>
      <c r="N216"/>
      <c r="O216"/>
    </row>
    <row r="217" spans="3:15" ht="36" x14ac:dyDescent="0.3">
      <c r="C217" s="90"/>
      <c r="D217" s="87" t="s">
        <v>492</v>
      </c>
      <c r="E217" s="90"/>
      <c r="F217" s="89"/>
      <c r="G217" s="42"/>
      <c r="H217" s="42"/>
      <c r="I217" s="46"/>
      <c r="J217" s="46"/>
      <c r="K217" s="46"/>
      <c r="L217" s="47"/>
      <c r="M217"/>
      <c r="N217"/>
      <c r="O217"/>
    </row>
    <row r="218" spans="3:15" ht="36" x14ac:dyDescent="0.3">
      <c r="C218" s="90" t="s">
        <v>493</v>
      </c>
      <c r="D218" s="87" t="s">
        <v>494</v>
      </c>
      <c r="E218" s="90" t="s">
        <v>495</v>
      </c>
      <c r="F218" s="89">
        <v>760</v>
      </c>
      <c r="G218" s="42"/>
      <c r="H218" s="42"/>
      <c r="I218" s="46"/>
      <c r="J218" s="46"/>
      <c r="K218" s="46">
        <v>480</v>
      </c>
      <c r="L218" s="47">
        <v>280</v>
      </c>
      <c r="M218"/>
      <c r="N218"/>
      <c r="O218"/>
    </row>
    <row r="219" spans="3:15" ht="36" x14ac:dyDescent="0.3">
      <c r="C219" s="90" t="s">
        <v>497</v>
      </c>
      <c r="D219" s="87" t="s">
        <v>498</v>
      </c>
      <c r="E219" s="90" t="s">
        <v>495</v>
      </c>
      <c r="F219" s="89">
        <v>1140</v>
      </c>
      <c r="G219" s="42"/>
      <c r="H219" s="42"/>
      <c r="I219" s="46"/>
      <c r="J219" s="46"/>
      <c r="K219" s="46">
        <v>720</v>
      </c>
      <c r="L219" s="47">
        <v>420</v>
      </c>
      <c r="M219"/>
      <c r="N219"/>
      <c r="O219"/>
    </row>
    <row r="220" spans="3:15" ht="36" x14ac:dyDescent="0.3">
      <c r="C220" s="90" t="s">
        <v>500</v>
      </c>
      <c r="D220" s="87" t="s">
        <v>501</v>
      </c>
      <c r="E220" s="90" t="s">
        <v>495</v>
      </c>
      <c r="F220" s="89">
        <v>1140</v>
      </c>
      <c r="G220" s="42"/>
      <c r="H220" s="42"/>
      <c r="I220" s="46"/>
      <c r="J220" s="46"/>
      <c r="K220" s="46">
        <v>720</v>
      </c>
      <c r="L220" s="47">
        <v>420</v>
      </c>
      <c r="M220"/>
      <c r="N220"/>
      <c r="O220"/>
    </row>
    <row r="221" spans="3:15" ht="36" x14ac:dyDescent="0.3">
      <c r="C221" s="90" t="s">
        <v>503</v>
      </c>
      <c r="D221" s="87" t="s">
        <v>504</v>
      </c>
      <c r="E221" s="90" t="s">
        <v>495</v>
      </c>
      <c r="F221" s="89">
        <v>1216</v>
      </c>
      <c r="G221" s="42"/>
      <c r="H221" s="42"/>
      <c r="I221" s="46"/>
      <c r="J221" s="46"/>
      <c r="K221" s="46">
        <v>768</v>
      </c>
      <c r="L221" s="47">
        <v>448</v>
      </c>
      <c r="M221"/>
      <c r="N221"/>
      <c r="O221"/>
    </row>
    <row r="222" spans="3:15" ht="36" x14ac:dyDescent="0.3">
      <c r="C222" s="90" t="s">
        <v>505</v>
      </c>
      <c r="D222" s="87" t="s">
        <v>506</v>
      </c>
      <c r="E222" s="90" t="s">
        <v>495</v>
      </c>
      <c r="F222" s="89">
        <v>225</v>
      </c>
      <c r="G222" s="42"/>
      <c r="H222" s="42"/>
      <c r="I222" s="46"/>
      <c r="J222" s="46"/>
      <c r="K222" s="46">
        <v>142</v>
      </c>
      <c r="L222" s="47">
        <v>83</v>
      </c>
      <c r="M222"/>
      <c r="N222"/>
      <c r="O222"/>
    </row>
    <row r="223" spans="3:15" ht="36" x14ac:dyDescent="0.3">
      <c r="C223" s="90" t="s">
        <v>505</v>
      </c>
      <c r="D223" s="87" t="s">
        <v>507</v>
      </c>
      <c r="E223" s="90" t="s">
        <v>495</v>
      </c>
      <c r="F223" s="89">
        <v>162</v>
      </c>
      <c r="G223" s="42"/>
      <c r="H223" s="42"/>
      <c r="I223" s="46"/>
      <c r="J223" s="46"/>
      <c r="K223" s="46">
        <v>102</v>
      </c>
      <c r="L223" s="47">
        <v>60</v>
      </c>
      <c r="M223"/>
      <c r="N223"/>
      <c r="O223"/>
    </row>
    <row r="224" spans="3:15" ht="36" x14ac:dyDescent="0.3">
      <c r="C224" s="90" t="s">
        <v>505</v>
      </c>
      <c r="D224" s="87" t="s">
        <v>508</v>
      </c>
      <c r="E224" s="90" t="s">
        <v>495</v>
      </c>
      <c r="F224" s="89">
        <v>162</v>
      </c>
      <c r="G224" s="42"/>
      <c r="H224" s="42"/>
      <c r="I224" s="46"/>
      <c r="J224" s="46"/>
      <c r="K224" s="46">
        <v>102</v>
      </c>
      <c r="L224" s="47">
        <v>60</v>
      </c>
      <c r="M224"/>
      <c r="N224"/>
      <c r="O224"/>
    </row>
    <row r="225" spans="3:15" ht="36" x14ac:dyDescent="0.3">
      <c r="C225" s="90" t="s">
        <v>509</v>
      </c>
      <c r="D225" s="87" t="s">
        <v>510</v>
      </c>
      <c r="E225" s="90" t="s">
        <v>495</v>
      </c>
      <c r="F225" s="89">
        <v>45</v>
      </c>
      <c r="G225" s="42"/>
      <c r="H225" s="42"/>
      <c r="I225" s="46"/>
      <c r="J225" s="46"/>
      <c r="K225" s="46">
        <v>28</v>
      </c>
      <c r="L225" s="47">
        <v>17</v>
      </c>
      <c r="M225"/>
      <c r="N225"/>
      <c r="O225"/>
    </row>
    <row r="226" spans="3:15" ht="36" x14ac:dyDescent="0.3">
      <c r="C226" s="90" t="s">
        <v>509</v>
      </c>
      <c r="D226" s="87" t="s">
        <v>512</v>
      </c>
      <c r="E226" s="90" t="s">
        <v>495</v>
      </c>
      <c r="F226" s="89">
        <v>45</v>
      </c>
      <c r="G226" s="42"/>
      <c r="H226" s="42"/>
      <c r="I226" s="46"/>
      <c r="J226" s="46"/>
      <c r="K226" s="46">
        <v>28</v>
      </c>
      <c r="L226" s="47">
        <v>17</v>
      </c>
      <c r="M226"/>
      <c r="N226"/>
      <c r="O226"/>
    </row>
    <row r="227" spans="3:15" ht="36" x14ac:dyDescent="0.3">
      <c r="C227" s="90" t="s">
        <v>509</v>
      </c>
      <c r="D227" s="87" t="s">
        <v>513</v>
      </c>
      <c r="E227" s="90" t="s">
        <v>495</v>
      </c>
      <c r="F227" s="89">
        <v>45</v>
      </c>
      <c r="G227" s="42"/>
      <c r="H227" s="42"/>
      <c r="I227" s="46"/>
      <c r="J227" s="46"/>
      <c r="K227" s="46">
        <v>28</v>
      </c>
      <c r="L227" s="47">
        <v>17</v>
      </c>
      <c r="M227"/>
      <c r="N227"/>
      <c r="O227"/>
    </row>
    <row r="228" spans="3:15" ht="36" x14ac:dyDescent="0.3">
      <c r="C228" s="90" t="s">
        <v>514</v>
      </c>
      <c r="D228" s="87" t="s">
        <v>515</v>
      </c>
      <c r="E228" s="90" t="s">
        <v>495</v>
      </c>
      <c r="F228" s="89">
        <v>180</v>
      </c>
      <c r="G228" s="42"/>
      <c r="H228" s="42"/>
      <c r="I228" s="46"/>
      <c r="J228" s="46"/>
      <c r="K228" s="46">
        <v>113</v>
      </c>
      <c r="L228" s="47">
        <v>67</v>
      </c>
      <c r="M228"/>
      <c r="N228"/>
      <c r="O228"/>
    </row>
    <row r="229" spans="3:15" ht="36" x14ac:dyDescent="0.3">
      <c r="C229" s="90" t="s">
        <v>517</v>
      </c>
      <c r="D229" s="87" t="s">
        <v>518</v>
      </c>
      <c r="E229" s="90" t="s">
        <v>495</v>
      </c>
      <c r="F229" s="89">
        <v>90</v>
      </c>
      <c r="G229" s="42"/>
      <c r="H229" s="42"/>
      <c r="I229" s="46"/>
      <c r="J229" s="46"/>
      <c r="K229" s="46">
        <v>56</v>
      </c>
      <c r="L229" s="47">
        <v>34</v>
      </c>
      <c r="M229"/>
      <c r="N229"/>
      <c r="O229"/>
    </row>
    <row r="230" spans="3:15" ht="36" x14ac:dyDescent="0.3">
      <c r="C230" s="90" t="s">
        <v>517</v>
      </c>
      <c r="D230" s="87" t="s">
        <v>520</v>
      </c>
      <c r="E230" s="90" t="s">
        <v>495</v>
      </c>
      <c r="F230" s="89">
        <v>180</v>
      </c>
      <c r="G230" s="42"/>
      <c r="H230" s="42"/>
      <c r="I230" s="46"/>
      <c r="J230" s="46"/>
      <c r="K230" s="46">
        <v>114</v>
      </c>
      <c r="L230" s="47">
        <v>66</v>
      </c>
      <c r="M230"/>
      <c r="N230"/>
      <c r="O230"/>
    </row>
    <row r="231" spans="3:15" ht="36" x14ac:dyDescent="0.3">
      <c r="C231" s="90" t="s">
        <v>521</v>
      </c>
      <c r="D231" s="87" t="s">
        <v>522</v>
      </c>
      <c r="E231" s="90" t="s">
        <v>495</v>
      </c>
      <c r="F231" s="89">
        <v>90</v>
      </c>
      <c r="G231" s="42"/>
      <c r="H231" s="42"/>
      <c r="I231" s="46"/>
      <c r="J231" s="46"/>
      <c r="K231" s="46">
        <v>57</v>
      </c>
      <c r="L231" s="47">
        <v>33</v>
      </c>
      <c r="M231"/>
      <c r="N231"/>
      <c r="O231"/>
    </row>
    <row r="232" spans="3:15" ht="36" x14ac:dyDescent="0.3">
      <c r="C232" s="90" t="s">
        <v>524</v>
      </c>
      <c r="D232" s="87" t="s">
        <v>525</v>
      </c>
      <c r="E232" s="90" t="s">
        <v>495</v>
      </c>
      <c r="F232" s="89">
        <v>160</v>
      </c>
      <c r="G232" s="42"/>
      <c r="H232" s="42"/>
      <c r="I232" s="46"/>
      <c r="J232" s="46"/>
      <c r="K232" s="46">
        <v>102</v>
      </c>
      <c r="L232" s="47">
        <v>58</v>
      </c>
      <c r="M232"/>
      <c r="N232"/>
      <c r="O232"/>
    </row>
    <row r="233" spans="3:15" ht="36" x14ac:dyDescent="0.3">
      <c r="C233" s="90" t="s">
        <v>527</v>
      </c>
      <c r="D233" s="87" t="s">
        <v>528</v>
      </c>
      <c r="E233" s="90" t="s">
        <v>495</v>
      </c>
      <c r="F233" s="89">
        <v>160</v>
      </c>
      <c r="G233" s="42"/>
      <c r="H233" s="42"/>
      <c r="I233" s="46"/>
      <c r="J233" s="46"/>
      <c r="K233" s="46">
        <v>102</v>
      </c>
      <c r="L233" s="47">
        <v>58</v>
      </c>
      <c r="M233"/>
      <c r="N233"/>
      <c r="O233"/>
    </row>
    <row r="234" spans="3:15" ht="36" x14ac:dyDescent="0.3">
      <c r="C234" s="90" t="s">
        <v>529</v>
      </c>
      <c r="D234" s="87" t="s">
        <v>530</v>
      </c>
      <c r="E234" s="90" t="s">
        <v>495</v>
      </c>
      <c r="F234" s="89">
        <v>160</v>
      </c>
      <c r="G234" s="42"/>
      <c r="H234" s="42"/>
      <c r="I234" s="46"/>
      <c r="J234" s="46"/>
      <c r="K234" s="46">
        <v>102</v>
      </c>
      <c r="L234" s="47">
        <v>58</v>
      </c>
      <c r="M234"/>
      <c r="N234"/>
      <c r="O234"/>
    </row>
    <row r="235" spans="3:15" ht="36" x14ac:dyDescent="0.3">
      <c r="C235" s="90"/>
      <c r="D235" s="87" t="s">
        <v>531</v>
      </c>
      <c r="E235" s="90"/>
      <c r="F235" s="89"/>
      <c r="G235" s="42"/>
      <c r="H235" s="42"/>
      <c r="I235" s="46"/>
      <c r="J235" s="46"/>
      <c r="K235" s="46"/>
      <c r="L235" s="47"/>
      <c r="M235"/>
      <c r="N235"/>
      <c r="O235"/>
    </row>
    <row r="236" spans="3:15" ht="36" x14ac:dyDescent="0.3">
      <c r="C236" s="90" t="s">
        <v>532</v>
      </c>
      <c r="D236" s="87" t="s">
        <v>533</v>
      </c>
      <c r="E236" s="90" t="s">
        <v>495</v>
      </c>
      <c r="F236" s="89">
        <v>90</v>
      </c>
      <c r="G236" s="42"/>
      <c r="H236" s="42"/>
      <c r="I236" s="46"/>
      <c r="J236" s="46"/>
      <c r="K236" s="46">
        <v>58</v>
      </c>
      <c r="L236" s="47">
        <v>32</v>
      </c>
      <c r="M236"/>
      <c r="N236"/>
      <c r="O236"/>
    </row>
    <row r="237" spans="3:15" ht="36" x14ac:dyDescent="0.3">
      <c r="C237" s="90" t="s">
        <v>535</v>
      </c>
      <c r="D237" s="87" t="s">
        <v>536</v>
      </c>
      <c r="E237" s="90" t="s">
        <v>495</v>
      </c>
      <c r="F237" s="89">
        <v>360</v>
      </c>
      <c r="G237" s="42"/>
      <c r="H237" s="42"/>
      <c r="I237" s="46"/>
      <c r="J237" s="46"/>
      <c r="K237" s="46">
        <v>228</v>
      </c>
      <c r="L237" s="47">
        <v>132</v>
      </c>
      <c r="M237"/>
      <c r="N237"/>
      <c r="O237"/>
    </row>
    <row r="238" spans="3:15" ht="36" x14ac:dyDescent="0.3">
      <c r="C238" s="90"/>
      <c r="D238" s="87" t="s">
        <v>538</v>
      </c>
      <c r="E238" s="90"/>
      <c r="F238" s="89"/>
      <c r="G238" s="42"/>
      <c r="H238" s="42"/>
      <c r="I238" s="46"/>
      <c r="J238" s="46"/>
      <c r="K238" s="46"/>
      <c r="L238" s="47"/>
      <c r="M238"/>
      <c r="N238"/>
      <c r="O238"/>
    </row>
    <row r="239" spans="3:15" ht="36" x14ac:dyDescent="0.3">
      <c r="C239" s="90" t="s">
        <v>539</v>
      </c>
      <c r="D239" s="87" t="s">
        <v>540</v>
      </c>
      <c r="E239" s="90" t="s">
        <v>495</v>
      </c>
      <c r="F239" s="89">
        <v>120</v>
      </c>
      <c r="G239" s="42"/>
      <c r="H239" s="42"/>
      <c r="I239" s="46"/>
      <c r="J239" s="46"/>
      <c r="K239" s="46">
        <v>120</v>
      </c>
      <c r="L239" s="47"/>
      <c r="M239"/>
      <c r="N239"/>
      <c r="O239"/>
    </row>
    <row r="240" spans="3:15" ht="36" x14ac:dyDescent="0.3">
      <c r="C240" s="90" t="s">
        <v>539</v>
      </c>
      <c r="D240" s="87" t="s">
        <v>542</v>
      </c>
      <c r="E240" s="90" t="s">
        <v>495</v>
      </c>
      <c r="F240" s="89">
        <v>120</v>
      </c>
      <c r="G240" s="42"/>
      <c r="H240" s="42"/>
      <c r="I240" s="46"/>
      <c r="J240" s="46"/>
      <c r="K240" s="46">
        <v>120</v>
      </c>
      <c r="L240" s="47"/>
      <c r="M240"/>
      <c r="N240"/>
      <c r="O240"/>
    </row>
    <row r="241" spans="3:15" ht="36" x14ac:dyDescent="0.3">
      <c r="C241" s="90" t="s">
        <v>543</v>
      </c>
      <c r="D241" s="87" t="s">
        <v>544</v>
      </c>
      <c r="E241" s="90" t="s">
        <v>495</v>
      </c>
      <c r="F241" s="89">
        <v>120</v>
      </c>
      <c r="G241" s="42"/>
      <c r="H241" s="42"/>
      <c r="I241" s="46"/>
      <c r="J241" s="46"/>
      <c r="K241" s="46">
        <v>120</v>
      </c>
      <c r="L241" s="47"/>
      <c r="M241"/>
      <c r="N241"/>
      <c r="O241"/>
    </row>
    <row r="242" spans="3:15" ht="36" x14ac:dyDescent="0.3">
      <c r="C242" s="90" t="s">
        <v>546</v>
      </c>
      <c r="D242" s="87" t="s">
        <v>547</v>
      </c>
      <c r="E242" s="90" t="s">
        <v>495</v>
      </c>
      <c r="F242" s="89">
        <v>30</v>
      </c>
      <c r="G242" s="42"/>
      <c r="H242" s="42"/>
      <c r="I242" s="46"/>
      <c r="J242" s="46"/>
      <c r="K242" s="46">
        <v>30</v>
      </c>
      <c r="L242" s="47"/>
      <c r="M242"/>
      <c r="N242"/>
      <c r="O242"/>
    </row>
    <row r="243" spans="3:15" ht="36" x14ac:dyDescent="0.3">
      <c r="C243" s="90" t="s">
        <v>549</v>
      </c>
      <c r="D243" s="87" t="s">
        <v>550</v>
      </c>
      <c r="E243" s="90" t="s">
        <v>495</v>
      </c>
      <c r="F243" s="89">
        <v>30</v>
      </c>
      <c r="G243" s="42"/>
      <c r="H243" s="42"/>
      <c r="I243" s="46"/>
      <c r="J243" s="46"/>
      <c r="K243" s="46">
        <v>30</v>
      </c>
      <c r="L243" s="47"/>
      <c r="M243"/>
      <c r="N243"/>
      <c r="O243"/>
    </row>
    <row r="244" spans="3:15" ht="36" x14ac:dyDescent="0.3">
      <c r="C244" s="90" t="s">
        <v>552</v>
      </c>
      <c r="D244" s="87" t="s">
        <v>515</v>
      </c>
      <c r="E244" s="90" t="s">
        <v>495</v>
      </c>
      <c r="F244" s="89">
        <v>30</v>
      </c>
      <c r="G244" s="42"/>
      <c r="H244" s="42"/>
      <c r="I244" s="46"/>
      <c r="J244" s="46"/>
      <c r="K244" s="46">
        <v>30</v>
      </c>
      <c r="L244" s="47"/>
      <c r="M244"/>
      <c r="N244"/>
      <c r="O244"/>
    </row>
    <row r="245" spans="3:15" ht="36" x14ac:dyDescent="0.3">
      <c r="C245" s="90" t="s">
        <v>553</v>
      </c>
      <c r="D245" s="87" t="s">
        <v>498</v>
      </c>
      <c r="E245" s="90" t="s">
        <v>495</v>
      </c>
      <c r="F245" s="89">
        <v>180</v>
      </c>
      <c r="G245" s="42"/>
      <c r="H245" s="42"/>
      <c r="I245" s="46"/>
      <c r="J245" s="46"/>
      <c r="K245" s="46">
        <v>180</v>
      </c>
      <c r="L245" s="47"/>
      <c r="M245"/>
      <c r="N245"/>
      <c r="O245"/>
    </row>
    <row r="246" spans="3:15" ht="36" x14ac:dyDescent="0.3">
      <c r="C246" s="90" t="s">
        <v>555</v>
      </c>
      <c r="D246" s="87" t="s">
        <v>556</v>
      </c>
      <c r="E246" s="90" t="s">
        <v>495</v>
      </c>
      <c r="F246" s="89">
        <v>137</v>
      </c>
      <c r="G246" s="42"/>
      <c r="H246" s="42"/>
      <c r="I246" s="46"/>
      <c r="J246" s="46"/>
      <c r="K246" s="46">
        <v>137</v>
      </c>
      <c r="L246" s="47"/>
      <c r="M246"/>
      <c r="N246"/>
      <c r="O246"/>
    </row>
    <row r="247" spans="3:15" ht="36" x14ac:dyDescent="0.3">
      <c r="C247" s="90" t="s">
        <v>558</v>
      </c>
      <c r="D247" s="87" t="s">
        <v>559</v>
      </c>
      <c r="E247" s="90" t="s">
        <v>495</v>
      </c>
      <c r="F247" s="89">
        <v>137</v>
      </c>
      <c r="G247" s="42"/>
      <c r="H247" s="42"/>
      <c r="I247" s="46"/>
      <c r="J247" s="46"/>
      <c r="K247" s="46">
        <v>137</v>
      </c>
      <c r="L247" s="47"/>
      <c r="M247"/>
      <c r="N247"/>
      <c r="O247"/>
    </row>
    <row r="248" spans="3:15" ht="36" x14ac:dyDescent="0.3">
      <c r="C248" s="90" t="s">
        <v>560</v>
      </c>
      <c r="D248" s="87" t="s">
        <v>561</v>
      </c>
      <c r="E248" s="90" t="s">
        <v>495</v>
      </c>
      <c r="F248" s="89">
        <v>411</v>
      </c>
      <c r="G248" s="42">
        <v>43</v>
      </c>
      <c r="H248" s="42">
        <v>124</v>
      </c>
      <c r="I248" s="46">
        <v>124</v>
      </c>
      <c r="J248" s="46">
        <v>120</v>
      </c>
      <c r="K248" s="46"/>
      <c r="L248" s="47"/>
      <c r="M248"/>
      <c r="N248"/>
      <c r="O248"/>
    </row>
    <row r="249" spans="3:15" ht="36" x14ac:dyDescent="0.3">
      <c r="C249" s="90" t="s">
        <v>563</v>
      </c>
      <c r="D249" s="87" t="s">
        <v>564</v>
      </c>
      <c r="E249" s="90" t="s">
        <v>495</v>
      </c>
      <c r="F249" s="89">
        <v>411</v>
      </c>
      <c r="G249" s="42">
        <v>43</v>
      </c>
      <c r="H249" s="42">
        <v>124</v>
      </c>
      <c r="I249" s="46">
        <v>124</v>
      </c>
      <c r="J249" s="46">
        <v>120</v>
      </c>
      <c r="K249" s="46"/>
      <c r="L249" s="47"/>
      <c r="M249"/>
      <c r="N249"/>
      <c r="O249"/>
    </row>
    <row r="250" spans="3:15" ht="36" x14ac:dyDescent="0.3">
      <c r="C250" s="90" t="s">
        <v>567</v>
      </c>
      <c r="D250" s="87" t="s">
        <v>568</v>
      </c>
      <c r="E250" s="90"/>
      <c r="F250" s="89"/>
      <c r="G250" s="42"/>
      <c r="H250" s="42"/>
      <c r="I250" s="46"/>
      <c r="J250" s="46"/>
      <c r="K250" s="46"/>
      <c r="L250" s="47"/>
      <c r="M250"/>
      <c r="N250"/>
      <c r="O250"/>
    </row>
    <row r="251" spans="3:15" ht="36" x14ac:dyDescent="0.3">
      <c r="C251" s="90"/>
      <c r="D251" s="87" t="s">
        <v>492</v>
      </c>
      <c r="E251" s="90"/>
      <c r="F251" s="89"/>
      <c r="G251" s="42"/>
      <c r="H251" s="42"/>
      <c r="I251" s="46"/>
      <c r="J251" s="46"/>
      <c r="K251" s="46"/>
      <c r="L251" s="47"/>
      <c r="M251"/>
      <c r="N251"/>
      <c r="O251"/>
    </row>
    <row r="252" spans="3:15" ht="36" x14ac:dyDescent="0.3">
      <c r="C252" s="90" t="s">
        <v>493</v>
      </c>
      <c r="D252" s="87" t="s">
        <v>494</v>
      </c>
      <c r="E252" s="90" t="s">
        <v>495</v>
      </c>
      <c r="F252" s="89">
        <v>153</v>
      </c>
      <c r="G252" s="42"/>
      <c r="H252" s="42"/>
      <c r="I252" s="46"/>
      <c r="J252" s="46"/>
      <c r="K252" s="46">
        <v>96</v>
      </c>
      <c r="L252" s="47">
        <v>57</v>
      </c>
      <c r="M252"/>
      <c r="N252"/>
      <c r="O252"/>
    </row>
    <row r="253" spans="3:15" ht="36" x14ac:dyDescent="0.3">
      <c r="C253" s="90" t="s">
        <v>497</v>
      </c>
      <c r="D253" s="87" t="s">
        <v>498</v>
      </c>
      <c r="E253" s="90" t="s">
        <v>495</v>
      </c>
      <c r="F253" s="89">
        <v>456</v>
      </c>
      <c r="G253" s="42"/>
      <c r="H253" s="42"/>
      <c r="I253" s="46"/>
      <c r="J253" s="46"/>
      <c r="K253" s="46">
        <v>288</v>
      </c>
      <c r="L253" s="47">
        <v>168</v>
      </c>
      <c r="M253"/>
      <c r="N253"/>
      <c r="O253"/>
    </row>
    <row r="254" spans="3:15" ht="36" x14ac:dyDescent="0.3">
      <c r="C254" s="90" t="s">
        <v>569</v>
      </c>
      <c r="D254" s="87" t="s">
        <v>570</v>
      </c>
      <c r="E254" s="90" t="s">
        <v>495</v>
      </c>
      <c r="F254" s="89">
        <v>304</v>
      </c>
      <c r="G254" s="42"/>
      <c r="H254" s="42"/>
      <c r="I254" s="46"/>
      <c r="J254" s="46"/>
      <c r="K254" s="46">
        <v>192</v>
      </c>
      <c r="L254" s="47">
        <v>112</v>
      </c>
      <c r="M254"/>
      <c r="N254"/>
      <c r="O254"/>
    </row>
    <row r="255" spans="3:15" ht="36" x14ac:dyDescent="0.3">
      <c r="C255" s="90" t="s">
        <v>509</v>
      </c>
      <c r="D255" s="87" t="s">
        <v>547</v>
      </c>
      <c r="E255" s="90" t="s">
        <v>495</v>
      </c>
      <c r="F255" s="89">
        <v>152</v>
      </c>
      <c r="G255" s="42"/>
      <c r="H255" s="42"/>
      <c r="I255" s="46"/>
      <c r="J255" s="46"/>
      <c r="K255" s="46">
        <v>96</v>
      </c>
      <c r="L255" s="47">
        <v>56</v>
      </c>
      <c r="M255"/>
      <c r="N255"/>
      <c r="O255"/>
    </row>
    <row r="256" spans="3:15" ht="36" x14ac:dyDescent="0.3">
      <c r="C256" s="90" t="s">
        <v>517</v>
      </c>
      <c r="D256" s="87" t="s">
        <v>571</v>
      </c>
      <c r="E256" s="90" t="s">
        <v>495</v>
      </c>
      <c r="F256" s="89">
        <v>76</v>
      </c>
      <c r="G256" s="42"/>
      <c r="H256" s="42"/>
      <c r="I256" s="46"/>
      <c r="J256" s="46"/>
      <c r="K256" s="46">
        <v>48</v>
      </c>
      <c r="L256" s="47">
        <v>28</v>
      </c>
      <c r="M256"/>
      <c r="N256"/>
      <c r="O256"/>
    </row>
    <row r="257" spans="3:15" ht="36" x14ac:dyDescent="0.3">
      <c r="C257" s="90" t="s">
        <v>524</v>
      </c>
      <c r="D257" s="87" t="s">
        <v>525</v>
      </c>
      <c r="E257" s="90" t="s">
        <v>495</v>
      </c>
      <c r="F257" s="89">
        <v>38</v>
      </c>
      <c r="G257" s="42"/>
      <c r="H257" s="42"/>
      <c r="I257" s="46"/>
      <c r="J257" s="46"/>
      <c r="K257" s="46">
        <v>24</v>
      </c>
      <c r="L257" s="47">
        <v>14</v>
      </c>
      <c r="M257"/>
      <c r="N257"/>
      <c r="O257"/>
    </row>
    <row r="258" spans="3:15" ht="36" x14ac:dyDescent="0.3">
      <c r="C258" s="90"/>
      <c r="D258" s="87" t="s">
        <v>572</v>
      </c>
      <c r="E258" s="90"/>
      <c r="F258" s="89"/>
      <c r="G258" s="42"/>
      <c r="H258" s="42"/>
      <c r="I258" s="46"/>
      <c r="J258" s="46"/>
      <c r="K258" s="46"/>
      <c r="L258" s="47"/>
      <c r="M258"/>
      <c r="N258"/>
      <c r="O258"/>
    </row>
    <row r="259" spans="3:15" ht="36" x14ac:dyDescent="0.3">
      <c r="C259" s="90" t="s">
        <v>532</v>
      </c>
      <c r="D259" s="87" t="s">
        <v>533</v>
      </c>
      <c r="E259" s="90" t="s">
        <v>495</v>
      </c>
      <c r="F259" s="89">
        <v>76</v>
      </c>
      <c r="G259" s="42"/>
      <c r="H259" s="42"/>
      <c r="I259" s="46"/>
      <c r="J259" s="46"/>
      <c r="K259" s="46">
        <v>48</v>
      </c>
      <c r="L259" s="47">
        <v>28</v>
      </c>
      <c r="M259"/>
      <c r="N259"/>
      <c r="O259"/>
    </row>
    <row r="260" spans="3:15" ht="48" x14ac:dyDescent="0.3">
      <c r="C260" s="90" t="s">
        <v>574</v>
      </c>
      <c r="D260" s="87" t="s">
        <v>575</v>
      </c>
      <c r="E260" s="90"/>
      <c r="F260" s="89"/>
      <c r="G260" s="42"/>
      <c r="H260" s="42"/>
      <c r="I260" s="46"/>
      <c r="J260" s="46"/>
      <c r="K260" s="46"/>
      <c r="L260" s="47"/>
      <c r="M260"/>
      <c r="N260"/>
      <c r="O260"/>
    </row>
    <row r="261" spans="3:15" ht="36" x14ac:dyDescent="0.3">
      <c r="C261" s="90"/>
      <c r="D261" s="87" t="s">
        <v>576</v>
      </c>
      <c r="E261" s="90"/>
      <c r="F261" s="89"/>
      <c r="G261" s="42"/>
      <c r="H261" s="42"/>
      <c r="I261" s="46"/>
      <c r="J261" s="46"/>
      <c r="K261" s="46"/>
      <c r="L261" s="47"/>
      <c r="M261"/>
      <c r="N261"/>
      <c r="O261"/>
    </row>
    <row r="262" spans="3:15" ht="60" x14ac:dyDescent="0.3">
      <c r="C262" s="90" t="s">
        <v>577</v>
      </c>
      <c r="D262" s="87" t="s">
        <v>578</v>
      </c>
      <c r="E262" s="90" t="s">
        <v>495</v>
      </c>
      <c r="F262" s="89">
        <v>1140</v>
      </c>
      <c r="G262" s="42"/>
      <c r="H262" s="42"/>
      <c r="I262" s="46"/>
      <c r="J262" s="46"/>
      <c r="K262" s="46">
        <v>720</v>
      </c>
      <c r="L262" s="47">
        <v>420</v>
      </c>
      <c r="M262"/>
      <c r="N262"/>
      <c r="O262"/>
    </row>
    <row r="263" spans="3:15" ht="36" x14ac:dyDescent="0.3">
      <c r="C263" s="90" t="s">
        <v>580</v>
      </c>
      <c r="D263" s="87" t="s">
        <v>581</v>
      </c>
      <c r="E263" s="90" t="s">
        <v>495</v>
      </c>
      <c r="F263" s="89">
        <v>1140</v>
      </c>
      <c r="G263" s="42"/>
      <c r="H263" s="42"/>
      <c r="I263" s="46"/>
      <c r="J263" s="46"/>
      <c r="K263" s="46">
        <v>720</v>
      </c>
      <c r="L263" s="47">
        <v>420</v>
      </c>
      <c r="M263"/>
      <c r="N263"/>
      <c r="O263"/>
    </row>
    <row r="264" spans="3:15" ht="36" x14ac:dyDescent="0.3">
      <c r="C264" s="90" t="s">
        <v>583</v>
      </c>
      <c r="D264" s="87" t="s">
        <v>584</v>
      </c>
      <c r="E264" s="90" t="s">
        <v>495</v>
      </c>
      <c r="F264" s="89">
        <v>1216</v>
      </c>
      <c r="G264" s="42"/>
      <c r="H264" s="42"/>
      <c r="I264" s="46"/>
      <c r="J264" s="46"/>
      <c r="K264" s="46">
        <v>768</v>
      </c>
      <c r="L264" s="47">
        <v>448</v>
      </c>
      <c r="M264"/>
      <c r="N264"/>
      <c r="O264"/>
    </row>
    <row r="265" spans="3:15" ht="72" x14ac:dyDescent="0.3">
      <c r="C265" s="90" t="s">
        <v>586</v>
      </c>
      <c r="D265" s="87" t="s">
        <v>587</v>
      </c>
      <c r="E265" s="90" t="s">
        <v>495</v>
      </c>
      <c r="F265" s="89">
        <v>270</v>
      </c>
      <c r="G265" s="42"/>
      <c r="H265" s="42"/>
      <c r="I265" s="46"/>
      <c r="J265" s="46"/>
      <c r="K265" s="46">
        <v>170</v>
      </c>
      <c r="L265" s="47">
        <v>100</v>
      </c>
      <c r="M265"/>
      <c r="N265"/>
      <c r="O265"/>
    </row>
    <row r="266" spans="3:15" ht="36" x14ac:dyDescent="0.3">
      <c r="C266" s="90"/>
      <c r="D266" s="87" t="s">
        <v>589</v>
      </c>
      <c r="E266" s="90"/>
      <c r="F266" s="89"/>
      <c r="G266" s="42"/>
      <c r="H266" s="42"/>
      <c r="I266" s="46"/>
      <c r="J266" s="46"/>
      <c r="K266" s="46"/>
      <c r="L266" s="47"/>
      <c r="M266"/>
      <c r="N266"/>
      <c r="O266"/>
    </row>
    <row r="267" spans="3:15" ht="36" x14ac:dyDescent="0.3">
      <c r="C267" s="90" t="s">
        <v>590</v>
      </c>
      <c r="D267" s="87" t="s">
        <v>591</v>
      </c>
      <c r="E267" s="90" t="s">
        <v>495</v>
      </c>
      <c r="F267" s="89">
        <v>360</v>
      </c>
      <c r="G267" s="42"/>
      <c r="H267" s="42"/>
      <c r="I267" s="46"/>
      <c r="J267" s="46"/>
      <c r="K267" s="46">
        <v>228</v>
      </c>
      <c r="L267" s="47">
        <v>132</v>
      </c>
      <c r="M267"/>
      <c r="N267"/>
      <c r="O267"/>
    </row>
    <row r="268" spans="3:15" ht="36" x14ac:dyDescent="0.3">
      <c r="C268" s="90" t="s">
        <v>593</v>
      </c>
      <c r="D268" s="87" t="s">
        <v>594</v>
      </c>
      <c r="E268" s="90" t="s">
        <v>495</v>
      </c>
      <c r="F268" s="89">
        <v>360</v>
      </c>
      <c r="G268" s="42"/>
      <c r="H268" s="42"/>
      <c r="I268" s="46"/>
      <c r="J268" s="46"/>
      <c r="K268" s="46">
        <v>228</v>
      </c>
      <c r="L268" s="47">
        <v>132</v>
      </c>
      <c r="M268"/>
      <c r="N268"/>
      <c r="O268"/>
    </row>
    <row r="269" spans="3:15" ht="36" x14ac:dyDescent="0.3">
      <c r="C269" s="90" t="s">
        <v>596</v>
      </c>
      <c r="D269" s="87" t="s">
        <v>597</v>
      </c>
      <c r="E269" s="90" t="s">
        <v>495</v>
      </c>
      <c r="F269" s="89">
        <v>180</v>
      </c>
      <c r="G269" s="42"/>
      <c r="H269" s="42"/>
      <c r="I269" s="46"/>
      <c r="J269" s="46"/>
      <c r="K269" s="46">
        <v>114</v>
      </c>
      <c r="L269" s="47">
        <v>66</v>
      </c>
      <c r="M269"/>
      <c r="N269"/>
      <c r="O269"/>
    </row>
    <row r="270" spans="3:15" ht="36" x14ac:dyDescent="0.3">
      <c r="C270" s="90"/>
      <c r="D270" s="87" t="s">
        <v>599</v>
      </c>
      <c r="E270" s="90"/>
      <c r="F270" s="89"/>
      <c r="G270" s="42"/>
      <c r="H270" s="42"/>
      <c r="I270" s="46"/>
      <c r="J270" s="46"/>
      <c r="K270" s="46"/>
      <c r="L270" s="47"/>
      <c r="M270"/>
      <c r="N270"/>
      <c r="O270"/>
    </row>
    <row r="271" spans="3:15" ht="36" x14ac:dyDescent="0.3">
      <c r="C271" s="90" t="s">
        <v>600</v>
      </c>
      <c r="D271" s="87" t="s">
        <v>601</v>
      </c>
      <c r="E271" s="90" t="s">
        <v>495</v>
      </c>
      <c r="F271" s="89">
        <v>360</v>
      </c>
      <c r="G271" s="42"/>
      <c r="H271" s="42"/>
      <c r="I271" s="46"/>
      <c r="J271" s="46"/>
      <c r="K271" s="46">
        <v>228</v>
      </c>
      <c r="L271" s="47">
        <v>132</v>
      </c>
      <c r="M271"/>
      <c r="N271"/>
      <c r="O271"/>
    </row>
    <row r="272" spans="3:15" ht="36" x14ac:dyDescent="0.3">
      <c r="C272" s="90" t="s">
        <v>603</v>
      </c>
      <c r="D272" s="87" t="s">
        <v>604</v>
      </c>
      <c r="E272" s="90" t="s">
        <v>495</v>
      </c>
      <c r="F272" s="89">
        <v>360</v>
      </c>
      <c r="G272" s="42"/>
      <c r="H272" s="42"/>
      <c r="I272" s="46"/>
      <c r="J272" s="46"/>
      <c r="K272" s="46">
        <v>228</v>
      </c>
      <c r="L272" s="47">
        <v>132</v>
      </c>
      <c r="M272"/>
      <c r="N272"/>
      <c r="O272"/>
    </row>
    <row r="273" spans="3:15" ht="36" x14ac:dyDescent="0.3">
      <c r="C273" s="90" t="s">
        <v>606</v>
      </c>
      <c r="D273" s="87" t="s">
        <v>607</v>
      </c>
      <c r="E273" s="90" t="s">
        <v>495</v>
      </c>
      <c r="F273" s="89">
        <v>180</v>
      </c>
      <c r="G273" s="42"/>
      <c r="H273" s="42"/>
      <c r="I273" s="46"/>
      <c r="J273" s="46"/>
      <c r="K273" s="46">
        <v>114</v>
      </c>
      <c r="L273" s="47">
        <v>66</v>
      </c>
      <c r="M273"/>
      <c r="N273"/>
      <c r="O273"/>
    </row>
    <row r="274" spans="3:15" ht="36" x14ac:dyDescent="0.3">
      <c r="C274" s="90"/>
      <c r="D274" s="87" t="s">
        <v>609</v>
      </c>
      <c r="E274" s="90"/>
      <c r="F274" s="89"/>
      <c r="G274" s="42"/>
      <c r="H274" s="42"/>
      <c r="I274" s="46"/>
      <c r="J274" s="46"/>
      <c r="K274" s="46"/>
      <c r="L274" s="47"/>
      <c r="M274"/>
      <c r="N274"/>
      <c r="O274"/>
    </row>
    <row r="275" spans="3:15" ht="36" x14ac:dyDescent="0.3">
      <c r="C275" s="90" t="s">
        <v>610</v>
      </c>
      <c r="D275" s="87" t="s">
        <v>611</v>
      </c>
      <c r="E275" s="90" t="s">
        <v>495</v>
      </c>
      <c r="F275" s="89">
        <v>360</v>
      </c>
      <c r="G275" s="42"/>
      <c r="H275" s="42"/>
      <c r="I275" s="46"/>
      <c r="J275" s="46"/>
      <c r="K275" s="46">
        <v>228</v>
      </c>
      <c r="L275" s="47">
        <v>132</v>
      </c>
      <c r="M275"/>
      <c r="N275"/>
      <c r="O275"/>
    </row>
    <row r="276" spans="3:15" ht="36" x14ac:dyDescent="0.3">
      <c r="C276" s="90" t="s">
        <v>613</v>
      </c>
      <c r="D276" s="87" t="s">
        <v>614</v>
      </c>
      <c r="E276" s="90" t="s">
        <v>495</v>
      </c>
      <c r="F276" s="89">
        <v>360</v>
      </c>
      <c r="G276" s="42"/>
      <c r="H276" s="42"/>
      <c r="I276" s="46"/>
      <c r="J276" s="46"/>
      <c r="K276" s="46">
        <v>228</v>
      </c>
      <c r="L276" s="47">
        <v>132</v>
      </c>
      <c r="M276"/>
      <c r="N276"/>
      <c r="O276"/>
    </row>
    <row r="277" spans="3:15" ht="36" x14ac:dyDescent="0.3">
      <c r="C277" s="90"/>
      <c r="D277" s="87" t="s">
        <v>616</v>
      </c>
      <c r="E277" s="90"/>
      <c r="F277" s="89"/>
      <c r="G277" s="42"/>
      <c r="H277" s="42"/>
      <c r="I277" s="46"/>
      <c r="J277" s="46"/>
      <c r="K277" s="46"/>
      <c r="L277" s="47"/>
      <c r="M277"/>
      <c r="N277"/>
      <c r="O277"/>
    </row>
    <row r="278" spans="3:15" ht="36" x14ac:dyDescent="0.3">
      <c r="C278" s="90" t="s">
        <v>617</v>
      </c>
      <c r="D278" s="87" t="s">
        <v>618</v>
      </c>
      <c r="E278" s="90" t="s">
        <v>495</v>
      </c>
      <c r="F278" s="89">
        <v>90</v>
      </c>
      <c r="G278" s="42"/>
      <c r="H278" s="42"/>
      <c r="I278" s="46"/>
      <c r="J278" s="46"/>
      <c r="K278" s="46">
        <v>58</v>
      </c>
      <c r="L278" s="47">
        <v>32</v>
      </c>
      <c r="M278"/>
      <c r="N278"/>
      <c r="O278"/>
    </row>
    <row r="279" spans="3:15" ht="36" x14ac:dyDescent="0.3">
      <c r="C279" s="90" t="s">
        <v>620</v>
      </c>
      <c r="D279" s="87" t="s">
        <v>621</v>
      </c>
      <c r="E279" s="90" t="s">
        <v>495</v>
      </c>
      <c r="F279" s="89">
        <v>180</v>
      </c>
      <c r="G279" s="42"/>
      <c r="H279" s="42"/>
      <c r="I279" s="46"/>
      <c r="J279" s="46"/>
      <c r="K279" s="46">
        <v>114</v>
      </c>
      <c r="L279" s="47">
        <v>66</v>
      </c>
      <c r="M279"/>
      <c r="N279"/>
      <c r="O279"/>
    </row>
    <row r="280" spans="3:15" ht="48" x14ac:dyDescent="0.3">
      <c r="C280" s="90" t="s">
        <v>622</v>
      </c>
      <c r="D280" s="87" t="s">
        <v>623</v>
      </c>
      <c r="E280" s="90" t="s">
        <v>495</v>
      </c>
      <c r="F280" s="89">
        <v>25</v>
      </c>
      <c r="G280" s="42"/>
      <c r="H280" s="42"/>
      <c r="I280" s="46"/>
      <c r="J280" s="46"/>
      <c r="K280" s="46">
        <v>25</v>
      </c>
      <c r="L280" s="47"/>
      <c r="M280"/>
      <c r="N280"/>
      <c r="O280"/>
    </row>
    <row r="281" spans="3:15" ht="36" x14ac:dyDescent="0.3">
      <c r="C281" s="90" t="s">
        <v>625</v>
      </c>
      <c r="D281" s="87" t="s">
        <v>626</v>
      </c>
      <c r="E281" s="90" t="s">
        <v>495</v>
      </c>
      <c r="F281" s="89">
        <v>90</v>
      </c>
      <c r="G281" s="42"/>
      <c r="H281" s="42"/>
      <c r="I281" s="46"/>
      <c r="J281" s="46"/>
      <c r="K281" s="46">
        <v>58</v>
      </c>
      <c r="L281" s="47">
        <v>32</v>
      </c>
      <c r="M281"/>
      <c r="N281"/>
      <c r="O281"/>
    </row>
    <row r="282" spans="3:15" ht="72" x14ac:dyDescent="0.3">
      <c r="C282" s="90" t="s">
        <v>628</v>
      </c>
      <c r="D282" s="87" t="s">
        <v>629</v>
      </c>
      <c r="E282" s="90" t="s">
        <v>495</v>
      </c>
      <c r="F282" s="89">
        <v>225</v>
      </c>
      <c r="G282" s="42"/>
      <c r="H282" s="42"/>
      <c r="I282" s="46"/>
      <c r="J282" s="46"/>
      <c r="K282" s="46">
        <v>142</v>
      </c>
      <c r="L282" s="47">
        <v>83</v>
      </c>
      <c r="M282"/>
      <c r="N282"/>
      <c r="O282"/>
    </row>
    <row r="283" spans="3:15" ht="60" x14ac:dyDescent="0.3">
      <c r="C283" s="90"/>
      <c r="D283" s="87" t="s">
        <v>631</v>
      </c>
      <c r="E283" s="90"/>
      <c r="F283" s="89"/>
      <c r="G283" s="42"/>
      <c r="H283" s="42"/>
      <c r="I283" s="46"/>
      <c r="J283" s="46"/>
      <c r="K283" s="46"/>
      <c r="L283" s="47"/>
      <c r="M283"/>
      <c r="N283"/>
      <c r="O283"/>
    </row>
    <row r="284" spans="3:15" ht="48" x14ac:dyDescent="0.3">
      <c r="C284" s="90" t="s">
        <v>632</v>
      </c>
      <c r="D284" s="87" t="s">
        <v>633</v>
      </c>
      <c r="E284" s="90" t="s">
        <v>495</v>
      </c>
      <c r="F284" s="89">
        <v>80</v>
      </c>
      <c r="G284" s="42"/>
      <c r="H284" s="42"/>
      <c r="I284" s="46"/>
      <c r="J284" s="46"/>
      <c r="K284" s="46">
        <v>80</v>
      </c>
      <c r="L284" s="47"/>
      <c r="M284"/>
      <c r="N284"/>
      <c r="O284"/>
    </row>
    <row r="285" spans="3:15" ht="48" x14ac:dyDescent="0.3">
      <c r="C285" s="90" t="s">
        <v>635</v>
      </c>
      <c r="D285" s="87" t="s">
        <v>636</v>
      </c>
      <c r="E285" s="90" t="s">
        <v>495</v>
      </c>
      <c r="F285" s="89">
        <v>20</v>
      </c>
      <c r="G285" s="42"/>
      <c r="H285" s="42"/>
      <c r="I285" s="46"/>
      <c r="J285" s="46"/>
      <c r="K285" s="46">
        <v>20</v>
      </c>
      <c r="L285" s="47"/>
      <c r="M285"/>
      <c r="N285"/>
      <c r="O285"/>
    </row>
    <row r="286" spans="3:15" ht="36" x14ac:dyDescent="0.3">
      <c r="C286" s="90" t="s">
        <v>638</v>
      </c>
      <c r="D286" s="87" t="s">
        <v>639</v>
      </c>
      <c r="E286" s="90" t="s">
        <v>495</v>
      </c>
      <c r="F286" s="89">
        <v>720</v>
      </c>
      <c r="G286" s="42"/>
      <c r="H286" s="42"/>
      <c r="I286" s="46"/>
      <c r="J286" s="46"/>
      <c r="K286" s="46">
        <v>456</v>
      </c>
      <c r="L286" s="47">
        <v>264</v>
      </c>
      <c r="M286"/>
      <c r="N286"/>
      <c r="O286"/>
    </row>
    <row r="287" spans="3:15" ht="36" x14ac:dyDescent="0.3">
      <c r="C287" s="90"/>
      <c r="D287" s="87" t="s">
        <v>641</v>
      </c>
      <c r="E287" s="90"/>
      <c r="F287" s="89"/>
      <c r="G287" s="42"/>
      <c r="H287" s="42"/>
      <c r="I287" s="46"/>
      <c r="J287" s="46"/>
      <c r="K287" s="46"/>
      <c r="L287" s="47"/>
      <c r="M287"/>
      <c r="N287"/>
      <c r="O287"/>
    </row>
    <row r="288" spans="3:15" ht="48" x14ac:dyDescent="0.3">
      <c r="C288" s="90" t="s">
        <v>642</v>
      </c>
      <c r="D288" s="87" t="s">
        <v>643</v>
      </c>
      <c r="E288" s="90" t="s">
        <v>495</v>
      </c>
      <c r="F288" s="89">
        <v>90</v>
      </c>
      <c r="G288" s="42"/>
      <c r="H288" s="42"/>
      <c r="I288" s="46"/>
      <c r="J288" s="46"/>
      <c r="K288" s="46">
        <v>58</v>
      </c>
      <c r="L288" s="47">
        <v>32</v>
      </c>
      <c r="M288"/>
      <c r="N288"/>
      <c r="O288"/>
    </row>
    <row r="289" spans="3:15" ht="48" x14ac:dyDescent="0.3">
      <c r="C289" s="90" t="s">
        <v>645</v>
      </c>
      <c r="D289" s="87" t="s">
        <v>646</v>
      </c>
      <c r="E289" s="90" t="s">
        <v>495</v>
      </c>
      <c r="F289" s="89">
        <v>40</v>
      </c>
      <c r="G289" s="42"/>
      <c r="H289" s="42"/>
      <c r="I289" s="46"/>
      <c r="J289" s="46"/>
      <c r="K289" s="46">
        <v>26</v>
      </c>
      <c r="L289" s="47">
        <v>14</v>
      </c>
      <c r="M289"/>
      <c r="N289"/>
      <c r="O289"/>
    </row>
    <row r="290" spans="3:15" ht="36" x14ac:dyDescent="0.3">
      <c r="C290" s="90"/>
      <c r="D290" s="87" t="s">
        <v>648</v>
      </c>
      <c r="E290" s="90"/>
      <c r="F290" s="89"/>
      <c r="G290" s="42"/>
      <c r="H290" s="42"/>
      <c r="I290" s="46"/>
      <c r="J290" s="46"/>
      <c r="K290" s="46"/>
      <c r="L290" s="47"/>
      <c r="M290"/>
      <c r="N290"/>
      <c r="O290"/>
    </row>
    <row r="291" spans="3:15" ht="36" x14ac:dyDescent="0.3">
      <c r="C291" s="90" t="s">
        <v>649</v>
      </c>
      <c r="D291" s="87" t="s">
        <v>650</v>
      </c>
      <c r="E291" s="90" t="s">
        <v>41</v>
      </c>
      <c r="F291" s="89">
        <v>16</v>
      </c>
      <c r="G291" s="42"/>
      <c r="H291" s="42"/>
      <c r="I291" s="46"/>
      <c r="J291" s="46"/>
      <c r="K291" s="46">
        <v>16</v>
      </c>
      <c r="L291" s="47"/>
      <c r="M291"/>
      <c r="N291"/>
      <c r="O291"/>
    </row>
    <row r="292" spans="3:15" ht="36" x14ac:dyDescent="0.3">
      <c r="C292" s="90"/>
      <c r="D292" s="87" t="s">
        <v>652</v>
      </c>
      <c r="E292" s="90"/>
      <c r="F292" s="89"/>
      <c r="G292" s="42"/>
      <c r="H292" s="42"/>
      <c r="I292" s="46"/>
      <c r="J292" s="46"/>
      <c r="K292" s="46"/>
      <c r="L292" s="47"/>
      <c r="M292"/>
      <c r="N292"/>
      <c r="O292"/>
    </row>
    <row r="293" spans="3:15" ht="36" x14ac:dyDescent="0.3">
      <c r="C293" s="90"/>
      <c r="D293" s="87" t="s">
        <v>653</v>
      </c>
      <c r="E293" s="90"/>
      <c r="F293" s="89"/>
      <c r="G293" s="42"/>
      <c r="H293" s="42"/>
      <c r="I293" s="46"/>
      <c r="J293" s="46"/>
      <c r="K293" s="46"/>
      <c r="L293" s="47"/>
      <c r="M293"/>
      <c r="N293"/>
      <c r="O293"/>
    </row>
    <row r="294" spans="3:15" ht="48" x14ac:dyDescent="0.3">
      <c r="C294" s="90" t="s">
        <v>654</v>
      </c>
      <c r="D294" s="87" t="s">
        <v>655</v>
      </c>
      <c r="E294" s="90" t="s">
        <v>656</v>
      </c>
      <c r="F294" s="89">
        <v>690</v>
      </c>
      <c r="G294" s="42"/>
      <c r="H294" s="42"/>
      <c r="I294" s="46">
        <v>396</v>
      </c>
      <c r="J294" s="46">
        <v>294</v>
      </c>
      <c r="K294" s="46"/>
      <c r="L294" s="47"/>
      <c r="M294"/>
      <c r="N294"/>
      <c r="O294"/>
    </row>
    <row r="295" spans="3:15" ht="48" x14ac:dyDescent="0.3">
      <c r="C295" s="90" t="s">
        <v>658</v>
      </c>
      <c r="D295" s="87" t="s">
        <v>659</v>
      </c>
      <c r="E295" s="90" t="s">
        <v>656</v>
      </c>
      <c r="F295" s="89">
        <v>345</v>
      </c>
      <c r="G295" s="42"/>
      <c r="H295" s="42"/>
      <c r="I295" s="46">
        <v>198</v>
      </c>
      <c r="J295" s="46">
        <v>147</v>
      </c>
      <c r="K295" s="46"/>
      <c r="L295" s="47"/>
      <c r="M295"/>
      <c r="N295"/>
      <c r="O295"/>
    </row>
    <row r="296" spans="3:15" ht="36" x14ac:dyDescent="0.3">
      <c r="C296" s="90"/>
      <c r="D296" s="87" t="s">
        <v>661</v>
      </c>
      <c r="E296" s="90"/>
      <c r="F296" s="89"/>
      <c r="G296" s="42"/>
      <c r="H296" s="42"/>
      <c r="I296" s="46"/>
      <c r="J296" s="46"/>
      <c r="K296" s="46"/>
      <c r="L296" s="47"/>
      <c r="M296"/>
      <c r="N296"/>
      <c r="O296"/>
    </row>
    <row r="297" spans="3:15" ht="36" x14ac:dyDescent="0.3">
      <c r="C297" s="90" t="s">
        <v>662</v>
      </c>
      <c r="D297" s="87" t="s">
        <v>663</v>
      </c>
      <c r="E297" s="90" t="s">
        <v>495</v>
      </c>
      <c r="F297" s="89">
        <v>60</v>
      </c>
      <c r="G297" s="42"/>
      <c r="H297" s="42"/>
      <c r="I297" s="46">
        <v>34</v>
      </c>
      <c r="J297" s="46">
        <v>26</v>
      </c>
      <c r="K297" s="46"/>
      <c r="L297" s="47"/>
      <c r="M297"/>
      <c r="N297"/>
      <c r="O297"/>
    </row>
    <row r="298" spans="3:15" ht="36" x14ac:dyDescent="0.3">
      <c r="C298" s="90" t="s">
        <v>665</v>
      </c>
      <c r="D298" s="87" t="s">
        <v>666</v>
      </c>
      <c r="E298" s="90" t="s">
        <v>495</v>
      </c>
      <c r="F298" s="89">
        <v>15</v>
      </c>
      <c r="G298" s="42"/>
      <c r="H298" s="42"/>
      <c r="I298" s="46">
        <v>8</v>
      </c>
      <c r="J298" s="46">
        <v>7</v>
      </c>
      <c r="K298" s="46"/>
      <c r="L298" s="47"/>
      <c r="M298"/>
      <c r="N298"/>
      <c r="O298"/>
    </row>
    <row r="299" spans="3:15" ht="36" x14ac:dyDescent="0.3">
      <c r="C299" s="90"/>
      <c r="D299" s="87" t="s">
        <v>668</v>
      </c>
      <c r="E299" s="90"/>
      <c r="F299" s="89"/>
      <c r="G299" s="42"/>
      <c r="H299" s="42"/>
      <c r="I299" s="46"/>
      <c r="J299" s="46"/>
      <c r="K299" s="46"/>
      <c r="L299" s="47"/>
      <c r="M299"/>
      <c r="N299"/>
      <c r="O299"/>
    </row>
    <row r="300" spans="3:15" ht="36" x14ac:dyDescent="0.3">
      <c r="C300" s="90" t="s">
        <v>669</v>
      </c>
      <c r="D300" s="87" t="s">
        <v>670</v>
      </c>
      <c r="E300" s="90" t="s">
        <v>495</v>
      </c>
      <c r="F300" s="89">
        <v>15</v>
      </c>
      <c r="G300" s="42"/>
      <c r="H300" s="42"/>
      <c r="I300" s="46">
        <v>8</v>
      </c>
      <c r="J300" s="46">
        <v>7</v>
      </c>
      <c r="K300" s="46"/>
      <c r="L300" s="47"/>
      <c r="M300"/>
      <c r="N300"/>
      <c r="O300"/>
    </row>
    <row r="301" spans="3:15" ht="60" x14ac:dyDescent="0.3">
      <c r="C301" s="90" t="s">
        <v>672</v>
      </c>
      <c r="D301" s="87" t="s">
        <v>673</v>
      </c>
      <c r="E301" s="90" t="s">
        <v>495</v>
      </c>
      <c r="F301" s="89">
        <v>2</v>
      </c>
      <c r="G301" s="42"/>
      <c r="H301" s="42"/>
      <c r="I301" s="46">
        <v>2</v>
      </c>
      <c r="J301" s="46"/>
      <c r="K301" s="46"/>
      <c r="L301" s="47"/>
      <c r="M301"/>
      <c r="N301"/>
      <c r="O301"/>
    </row>
    <row r="302" spans="3:15" ht="36" x14ac:dyDescent="0.3">
      <c r="C302" s="90" t="s">
        <v>675</v>
      </c>
      <c r="D302" s="87" t="s">
        <v>676</v>
      </c>
      <c r="E302" s="90" t="s">
        <v>495</v>
      </c>
      <c r="F302" s="89">
        <v>15</v>
      </c>
      <c r="G302" s="42"/>
      <c r="H302" s="42"/>
      <c r="I302" s="46"/>
      <c r="J302" s="46"/>
      <c r="K302" s="46">
        <v>15</v>
      </c>
      <c r="L302" s="47"/>
      <c r="M302"/>
      <c r="N302"/>
      <c r="O302"/>
    </row>
    <row r="303" spans="3:15" ht="48" x14ac:dyDescent="0.3">
      <c r="C303" s="90" t="s">
        <v>678</v>
      </c>
      <c r="D303" s="87" t="s">
        <v>679</v>
      </c>
      <c r="E303" s="90" t="s">
        <v>495</v>
      </c>
      <c r="F303" s="89">
        <v>15</v>
      </c>
      <c r="G303" s="42"/>
      <c r="H303" s="42"/>
      <c r="I303" s="46"/>
      <c r="J303" s="46"/>
      <c r="K303" s="46">
        <v>15</v>
      </c>
      <c r="L303" s="47"/>
      <c r="M303"/>
      <c r="N303"/>
      <c r="O303"/>
    </row>
    <row r="304" spans="3:15" ht="48" x14ac:dyDescent="0.3">
      <c r="C304" s="90" t="s">
        <v>681</v>
      </c>
      <c r="D304" s="87" t="s">
        <v>682</v>
      </c>
      <c r="E304" s="90" t="s">
        <v>495</v>
      </c>
      <c r="F304" s="89">
        <v>15</v>
      </c>
      <c r="G304" s="42"/>
      <c r="H304" s="42"/>
      <c r="I304" s="46"/>
      <c r="J304" s="46"/>
      <c r="K304" s="46">
        <v>15</v>
      </c>
      <c r="L304" s="47"/>
      <c r="M304"/>
      <c r="N304"/>
      <c r="O304"/>
    </row>
    <row r="305" spans="3:15" ht="36" x14ac:dyDescent="0.3">
      <c r="C305" s="90" t="s">
        <v>577</v>
      </c>
      <c r="D305" s="87" t="s">
        <v>685</v>
      </c>
      <c r="E305" s="90"/>
      <c r="F305" s="89"/>
      <c r="G305" s="42"/>
      <c r="H305" s="42"/>
      <c r="I305" s="46"/>
      <c r="J305" s="46"/>
      <c r="K305" s="46"/>
      <c r="L305" s="47"/>
      <c r="M305"/>
      <c r="N305"/>
      <c r="O305"/>
    </row>
    <row r="306" spans="3:15" ht="60" x14ac:dyDescent="0.3">
      <c r="C306" s="90" t="s">
        <v>577</v>
      </c>
      <c r="D306" s="87" t="s">
        <v>578</v>
      </c>
      <c r="E306" s="90" t="s">
        <v>495</v>
      </c>
      <c r="F306" s="89">
        <v>38</v>
      </c>
      <c r="G306" s="42"/>
      <c r="H306" s="42"/>
      <c r="I306" s="46"/>
      <c r="J306" s="46"/>
      <c r="K306" s="46">
        <v>24</v>
      </c>
      <c r="L306" s="47">
        <v>14</v>
      </c>
      <c r="M306"/>
      <c r="N306"/>
      <c r="O306"/>
    </row>
    <row r="307" spans="3:15" ht="36" x14ac:dyDescent="0.3">
      <c r="C307" s="90" t="s">
        <v>583</v>
      </c>
      <c r="D307" s="87" t="s">
        <v>584</v>
      </c>
      <c r="E307" s="90" t="s">
        <v>495</v>
      </c>
      <c r="F307" s="89">
        <v>38</v>
      </c>
      <c r="G307" s="42"/>
      <c r="H307" s="42"/>
      <c r="I307" s="46"/>
      <c r="J307" s="46"/>
      <c r="K307" s="46">
        <v>24</v>
      </c>
      <c r="L307" s="47">
        <v>14</v>
      </c>
      <c r="M307"/>
      <c r="N307"/>
      <c r="O307"/>
    </row>
    <row r="308" spans="3:15" ht="72" x14ac:dyDescent="0.3">
      <c r="C308" s="90" t="s">
        <v>586</v>
      </c>
      <c r="D308" s="87" t="s">
        <v>587</v>
      </c>
      <c r="E308" s="90" t="s">
        <v>495</v>
      </c>
      <c r="F308" s="89">
        <v>76</v>
      </c>
      <c r="G308" s="42"/>
      <c r="H308" s="42"/>
      <c r="I308" s="46"/>
      <c r="J308" s="46"/>
      <c r="K308" s="46">
        <v>48</v>
      </c>
      <c r="L308" s="47">
        <v>28</v>
      </c>
      <c r="M308"/>
      <c r="N308"/>
      <c r="O308"/>
    </row>
    <row r="309" spans="3:15" ht="36" x14ac:dyDescent="0.3">
      <c r="C309" s="90" t="s">
        <v>590</v>
      </c>
      <c r="D309" s="87" t="s">
        <v>591</v>
      </c>
      <c r="E309" s="90" t="s">
        <v>495</v>
      </c>
      <c r="F309" s="89">
        <v>76</v>
      </c>
      <c r="G309" s="42"/>
      <c r="H309" s="42"/>
      <c r="I309" s="46"/>
      <c r="J309" s="46"/>
      <c r="K309" s="46">
        <v>48</v>
      </c>
      <c r="L309" s="47">
        <v>28</v>
      </c>
      <c r="M309"/>
      <c r="N309"/>
      <c r="O309"/>
    </row>
    <row r="310" spans="3:15" ht="36" x14ac:dyDescent="0.3">
      <c r="C310" s="90" t="s">
        <v>593</v>
      </c>
      <c r="D310" s="87" t="s">
        <v>594</v>
      </c>
      <c r="E310" s="90" t="s">
        <v>495</v>
      </c>
      <c r="F310" s="89">
        <v>76</v>
      </c>
      <c r="G310" s="42"/>
      <c r="H310" s="42"/>
      <c r="I310" s="46"/>
      <c r="J310" s="46"/>
      <c r="K310" s="46">
        <v>48</v>
      </c>
      <c r="L310" s="47">
        <v>28</v>
      </c>
      <c r="M310"/>
      <c r="N310"/>
      <c r="O310"/>
    </row>
    <row r="311" spans="3:15" ht="36" x14ac:dyDescent="0.3">
      <c r="C311" s="90" t="s">
        <v>600</v>
      </c>
      <c r="D311" s="87" t="s">
        <v>601</v>
      </c>
      <c r="E311" s="90" t="s">
        <v>495</v>
      </c>
      <c r="F311" s="89">
        <v>76</v>
      </c>
      <c r="G311" s="42"/>
      <c r="H311" s="42"/>
      <c r="I311" s="46"/>
      <c r="J311" s="46"/>
      <c r="K311" s="46">
        <v>48</v>
      </c>
      <c r="L311" s="47">
        <v>28</v>
      </c>
      <c r="M311"/>
      <c r="N311"/>
      <c r="O311"/>
    </row>
    <row r="312" spans="3:15" ht="36" x14ac:dyDescent="0.3">
      <c r="C312" s="90" t="s">
        <v>603</v>
      </c>
      <c r="D312" s="87" t="s">
        <v>604</v>
      </c>
      <c r="E312" s="90" t="s">
        <v>495</v>
      </c>
      <c r="F312" s="89">
        <v>76</v>
      </c>
      <c r="G312" s="42"/>
      <c r="H312" s="42"/>
      <c r="I312" s="46"/>
      <c r="J312" s="46"/>
      <c r="K312" s="46">
        <v>48</v>
      </c>
      <c r="L312" s="47">
        <v>28</v>
      </c>
      <c r="M312"/>
      <c r="N312"/>
      <c r="O312"/>
    </row>
    <row r="313" spans="3:15" ht="36" x14ac:dyDescent="0.3">
      <c r="C313" s="90" t="s">
        <v>610</v>
      </c>
      <c r="D313" s="87" t="s">
        <v>611</v>
      </c>
      <c r="E313" s="90" t="s">
        <v>495</v>
      </c>
      <c r="F313" s="89">
        <v>76</v>
      </c>
      <c r="G313" s="42"/>
      <c r="H313" s="42"/>
      <c r="I313" s="46"/>
      <c r="J313" s="46"/>
      <c r="K313" s="46">
        <v>48</v>
      </c>
      <c r="L313" s="47">
        <v>28</v>
      </c>
      <c r="M313"/>
      <c r="N313"/>
      <c r="O313"/>
    </row>
    <row r="314" spans="3:15" ht="36" x14ac:dyDescent="0.3">
      <c r="C314" s="90" t="s">
        <v>613</v>
      </c>
      <c r="D314" s="87" t="s">
        <v>614</v>
      </c>
      <c r="E314" s="90" t="s">
        <v>495</v>
      </c>
      <c r="F314" s="89">
        <v>114</v>
      </c>
      <c r="G314" s="42"/>
      <c r="H314" s="42"/>
      <c r="I314" s="46"/>
      <c r="J314" s="46"/>
      <c r="K314" s="46">
        <v>72</v>
      </c>
      <c r="L314" s="47">
        <v>42</v>
      </c>
      <c r="M314"/>
      <c r="N314"/>
      <c r="O314"/>
    </row>
    <row r="315" spans="3:15" ht="36" x14ac:dyDescent="0.3">
      <c r="C315" s="90" t="s">
        <v>638</v>
      </c>
      <c r="D315" s="87" t="s">
        <v>639</v>
      </c>
      <c r="E315" s="90" t="s">
        <v>495</v>
      </c>
      <c r="F315" s="89">
        <v>76</v>
      </c>
      <c r="G315" s="42"/>
      <c r="H315" s="42"/>
      <c r="I315" s="46"/>
      <c r="J315" s="46"/>
      <c r="K315" s="46">
        <v>48</v>
      </c>
      <c r="L315" s="47">
        <v>28</v>
      </c>
      <c r="M315"/>
      <c r="N315"/>
      <c r="O315"/>
    </row>
    <row r="316" spans="3:15" ht="36" x14ac:dyDescent="0.3">
      <c r="C316" s="90" t="s">
        <v>687</v>
      </c>
      <c r="D316" s="87" t="s">
        <v>688</v>
      </c>
      <c r="E316" s="90"/>
      <c r="F316" s="89"/>
      <c r="G316" s="42"/>
      <c r="H316" s="42"/>
      <c r="I316" s="46"/>
      <c r="J316" s="46"/>
      <c r="K316" s="46"/>
      <c r="L316" s="47"/>
      <c r="M316"/>
      <c r="N316"/>
      <c r="O316"/>
    </row>
    <row r="317" spans="3:15" ht="36" x14ac:dyDescent="0.3">
      <c r="C317" s="90" t="s">
        <v>689</v>
      </c>
      <c r="D317" s="87" t="s">
        <v>690</v>
      </c>
      <c r="E317" s="90" t="s">
        <v>691</v>
      </c>
      <c r="F317" s="89">
        <v>8626</v>
      </c>
      <c r="G317" s="42"/>
      <c r="H317" s="42"/>
      <c r="I317" s="46"/>
      <c r="J317" s="46"/>
      <c r="K317" s="46">
        <v>5448</v>
      </c>
      <c r="L317" s="47">
        <v>3178</v>
      </c>
      <c r="M317"/>
      <c r="N317"/>
      <c r="O317"/>
    </row>
    <row r="318" spans="3:15" ht="48" x14ac:dyDescent="0.3">
      <c r="C318" s="90"/>
      <c r="D318" s="87" t="s">
        <v>694</v>
      </c>
      <c r="E318" s="90"/>
      <c r="F318" s="89"/>
      <c r="G318" s="42"/>
      <c r="H318" s="42"/>
      <c r="I318" s="46"/>
      <c r="J318" s="46"/>
      <c r="K318" s="46"/>
      <c r="L318" s="47"/>
      <c r="M318"/>
      <c r="N318" t="s">
        <v>695</v>
      </c>
      <c r="O318" t="s">
        <v>696</v>
      </c>
    </row>
    <row r="319" spans="3:15" ht="84" x14ac:dyDescent="0.3">
      <c r="C319" s="90" t="s">
        <v>697</v>
      </c>
      <c r="D319" s="87" t="s">
        <v>698</v>
      </c>
      <c r="E319" s="90" t="s">
        <v>699</v>
      </c>
      <c r="F319" s="89">
        <v>450</v>
      </c>
      <c r="G319" s="42"/>
      <c r="H319" s="42"/>
      <c r="I319" s="46">
        <v>250</v>
      </c>
      <c r="J319" s="46">
        <v>200</v>
      </c>
      <c r="K319" s="46"/>
      <c r="L319" s="47"/>
      <c r="M319"/>
      <c r="N319">
        <v>0</v>
      </c>
      <c r="O319">
        <v>0</v>
      </c>
    </row>
    <row r="320" spans="3:15" ht="60" x14ac:dyDescent="0.3">
      <c r="C320" s="90" t="s">
        <v>701</v>
      </c>
      <c r="D320" s="87" t="s">
        <v>702</v>
      </c>
      <c r="E320" s="90" t="s">
        <v>50</v>
      </c>
      <c r="F320" s="89">
        <v>1.8808</v>
      </c>
      <c r="G320" s="42"/>
      <c r="H320" s="42"/>
      <c r="I320" s="46">
        <v>1.8808</v>
      </c>
      <c r="J320" s="46"/>
      <c r="K320" s="46"/>
      <c r="L320" s="47"/>
      <c r="M320"/>
      <c r="N320">
        <v>1632.21</v>
      </c>
      <c r="O320">
        <v>1632.21</v>
      </c>
    </row>
    <row r="321" spans="3:15" ht="60" x14ac:dyDescent="0.3">
      <c r="C321" s="90" t="s">
        <v>704</v>
      </c>
      <c r="D321" s="87" t="s">
        <v>705</v>
      </c>
      <c r="E321" s="90" t="s">
        <v>50</v>
      </c>
      <c r="F321" s="89">
        <v>4.4328000000000003</v>
      </c>
      <c r="G321" s="42"/>
      <c r="H321" s="42">
        <v>4.4328000000000003</v>
      </c>
      <c r="I321" s="46"/>
      <c r="J321" s="46"/>
      <c r="K321" s="46"/>
      <c r="L321" s="47"/>
      <c r="M321"/>
      <c r="N321">
        <v>4401.96</v>
      </c>
      <c r="O321">
        <v>4401.96</v>
      </c>
    </row>
    <row r="322" spans="3:15" ht="48" x14ac:dyDescent="0.3">
      <c r="C322" s="90" t="s">
        <v>707</v>
      </c>
      <c r="D322" s="87" t="s">
        <v>708</v>
      </c>
      <c r="E322" s="90" t="s">
        <v>50</v>
      </c>
      <c r="F322" s="89">
        <v>0.36299999999999999</v>
      </c>
      <c r="G322" s="42"/>
      <c r="H322" s="42"/>
      <c r="I322" s="46">
        <v>0.36299999999999999</v>
      </c>
      <c r="J322" s="46"/>
      <c r="K322" s="46"/>
      <c r="L322" s="47"/>
      <c r="M322"/>
      <c r="N322">
        <v>4401.96</v>
      </c>
      <c r="O322">
        <v>4401.96</v>
      </c>
    </row>
    <row r="323" spans="3:15" ht="48" x14ac:dyDescent="0.3">
      <c r="C323" s="90" t="s">
        <v>710</v>
      </c>
      <c r="D323" s="87" t="s">
        <v>711</v>
      </c>
      <c r="E323" s="90" t="s">
        <v>712</v>
      </c>
      <c r="F323" s="89">
        <v>1.56</v>
      </c>
      <c r="G323" s="42"/>
      <c r="H323" s="42"/>
      <c r="I323" s="46"/>
      <c r="J323" s="46">
        <v>1.56</v>
      </c>
      <c r="K323" s="46"/>
      <c r="L323" s="47"/>
      <c r="M323"/>
      <c r="N323">
        <v>4401.96</v>
      </c>
      <c r="O323">
        <v>4401.96</v>
      </c>
    </row>
    <row r="324" spans="3:15" ht="48" x14ac:dyDescent="0.3">
      <c r="C324" s="90" t="s">
        <v>714</v>
      </c>
      <c r="D324" s="87" t="s">
        <v>715</v>
      </c>
      <c r="E324" s="90" t="s">
        <v>58</v>
      </c>
      <c r="F324" s="89">
        <v>42.57</v>
      </c>
      <c r="G324" s="42"/>
      <c r="H324" s="42"/>
      <c r="I324" s="46"/>
      <c r="J324" s="46">
        <v>42.57</v>
      </c>
      <c r="K324" s="46"/>
      <c r="L324" s="47"/>
      <c r="M324"/>
      <c r="N324">
        <v>170382.82</v>
      </c>
      <c r="O324">
        <v>170382.82</v>
      </c>
    </row>
    <row r="325" spans="3:15" ht="60" x14ac:dyDescent="0.3">
      <c r="C325" s="90" t="s">
        <v>717</v>
      </c>
      <c r="D325" s="87" t="s">
        <v>718</v>
      </c>
      <c r="E325" s="90" t="s">
        <v>58</v>
      </c>
      <c r="F325" s="89">
        <v>31.5</v>
      </c>
      <c r="G325" s="42"/>
      <c r="H325" s="42">
        <v>31.5</v>
      </c>
      <c r="I325" s="46"/>
      <c r="J325" s="46"/>
      <c r="K325" s="46"/>
      <c r="L325" s="47"/>
      <c r="M325"/>
      <c r="N325">
        <v>355295.07</v>
      </c>
      <c r="O325">
        <v>355295.07</v>
      </c>
    </row>
    <row r="326" spans="3:15" ht="72" x14ac:dyDescent="0.3">
      <c r="C326" s="90" t="s">
        <v>720</v>
      </c>
      <c r="D326" s="87" t="s">
        <v>721</v>
      </c>
      <c r="E326" s="90" t="s">
        <v>68</v>
      </c>
      <c r="F326" s="89">
        <v>1</v>
      </c>
      <c r="G326" s="42"/>
      <c r="H326" s="42">
        <v>1</v>
      </c>
      <c r="I326" s="46"/>
      <c r="J326" s="46"/>
      <c r="K326" s="46"/>
      <c r="L326" s="47"/>
      <c r="M326"/>
      <c r="N326">
        <v>355373.17</v>
      </c>
      <c r="O326">
        <v>355373.17</v>
      </c>
    </row>
    <row r="327" spans="3:15" ht="60" x14ac:dyDescent="0.3">
      <c r="C327" s="90" t="s">
        <v>723</v>
      </c>
      <c r="D327" s="87" t="s">
        <v>724</v>
      </c>
      <c r="E327" s="90" t="s">
        <v>68</v>
      </c>
      <c r="F327" s="89">
        <v>6</v>
      </c>
      <c r="G327" s="42"/>
      <c r="H327" s="42">
        <v>6</v>
      </c>
      <c r="I327" s="46"/>
      <c r="J327" s="46"/>
      <c r="K327" s="46"/>
      <c r="L327" s="47"/>
      <c r="M327"/>
      <c r="N327">
        <v>356414.53</v>
      </c>
      <c r="O327">
        <v>356414.53</v>
      </c>
    </row>
    <row r="328" spans="3:15" ht="60" x14ac:dyDescent="0.3">
      <c r="C328" s="90" t="s">
        <v>726</v>
      </c>
      <c r="D328" s="87" t="s">
        <v>727</v>
      </c>
      <c r="E328" s="90" t="s">
        <v>50</v>
      </c>
      <c r="F328" s="89">
        <v>0.44619999999999999</v>
      </c>
      <c r="G328" s="42"/>
      <c r="H328" s="42">
        <v>0.44619999999999999</v>
      </c>
      <c r="I328" s="46"/>
      <c r="J328" s="46"/>
      <c r="K328" s="46"/>
      <c r="L328" s="47"/>
      <c r="M328"/>
      <c r="N328">
        <v>356414.53</v>
      </c>
      <c r="O328">
        <v>356414.53</v>
      </c>
    </row>
    <row r="329" spans="3:15" ht="60" x14ac:dyDescent="0.3">
      <c r="C329" s="90" t="s">
        <v>729</v>
      </c>
      <c r="D329" s="87" t="s">
        <v>730</v>
      </c>
      <c r="E329" s="90" t="s">
        <v>50</v>
      </c>
      <c r="F329" s="89">
        <v>16.605</v>
      </c>
      <c r="G329" s="42"/>
      <c r="H329" s="42">
        <v>16.605</v>
      </c>
      <c r="I329" s="46"/>
      <c r="J329" s="46"/>
      <c r="K329" s="46"/>
      <c r="L329" s="47"/>
      <c r="M329"/>
      <c r="N329">
        <v>356414.53</v>
      </c>
      <c r="O329">
        <v>356414.53</v>
      </c>
    </row>
    <row r="330" spans="3:15" ht="48" x14ac:dyDescent="0.3">
      <c r="C330" s="90" t="s">
        <v>732</v>
      </c>
      <c r="D330" s="87" t="s">
        <v>733</v>
      </c>
      <c r="E330" s="90" t="s">
        <v>50</v>
      </c>
      <c r="F330" s="89">
        <v>1.1319999999999999</v>
      </c>
      <c r="G330" s="42"/>
      <c r="H330" s="42">
        <v>1.1319999999999999</v>
      </c>
      <c r="I330" s="46"/>
      <c r="J330" s="46"/>
      <c r="K330" s="46"/>
      <c r="L330" s="47"/>
      <c r="M330"/>
      <c r="N330">
        <v>356414.53</v>
      </c>
      <c r="O330">
        <v>356414.53</v>
      </c>
    </row>
    <row r="331" spans="3:15" ht="48" x14ac:dyDescent="0.3">
      <c r="C331" s="90" t="s">
        <v>735</v>
      </c>
      <c r="D331" s="87" t="s">
        <v>736</v>
      </c>
      <c r="E331" s="90" t="s">
        <v>50</v>
      </c>
      <c r="F331" s="89">
        <v>0.19020000000000001</v>
      </c>
      <c r="G331" s="42"/>
      <c r="H331" s="42">
        <v>0.19020000000000001</v>
      </c>
      <c r="I331" s="46"/>
      <c r="J331" s="46"/>
      <c r="K331" s="46"/>
      <c r="L331" s="47"/>
      <c r="M331"/>
      <c r="N331">
        <v>356414.53</v>
      </c>
      <c r="O331">
        <v>356414.53</v>
      </c>
    </row>
    <row r="332" spans="3:15" ht="48" x14ac:dyDescent="0.3">
      <c r="C332" s="90" t="s">
        <v>738</v>
      </c>
      <c r="D332" s="87" t="s">
        <v>739</v>
      </c>
      <c r="E332" s="90" t="s">
        <v>50</v>
      </c>
      <c r="F332" s="89">
        <v>13.801299999999999</v>
      </c>
      <c r="G332" s="42"/>
      <c r="H332" s="42">
        <v>13.801299999999999</v>
      </c>
      <c r="I332" s="46"/>
      <c r="J332" s="46"/>
      <c r="K332" s="46"/>
      <c r="L332" s="47"/>
      <c r="M332"/>
      <c r="N332">
        <v>356414.53</v>
      </c>
      <c r="O332">
        <v>356414.53</v>
      </c>
    </row>
    <row r="333" spans="3:15" ht="48" x14ac:dyDescent="0.3">
      <c r="C333" s="90" t="s">
        <v>741</v>
      </c>
      <c r="D333" s="87" t="s">
        <v>742</v>
      </c>
      <c r="E333" s="90" t="s">
        <v>50</v>
      </c>
      <c r="F333" s="89">
        <v>0.2742</v>
      </c>
      <c r="G333" s="42"/>
      <c r="H333" s="42"/>
      <c r="I333" s="46">
        <v>0.2742</v>
      </c>
      <c r="J333" s="46"/>
      <c r="K333" s="46"/>
      <c r="L333" s="47"/>
      <c r="M333"/>
      <c r="N333">
        <v>356414.53</v>
      </c>
      <c r="O333">
        <v>356414.53</v>
      </c>
    </row>
    <row r="334" spans="3:15" ht="48" x14ac:dyDescent="0.3">
      <c r="C334" s="90" t="s">
        <v>744</v>
      </c>
      <c r="D334" s="87" t="s">
        <v>745</v>
      </c>
      <c r="E334" s="90" t="s">
        <v>50</v>
      </c>
      <c r="F334" s="89">
        <v>0.30099999999999999</v>
      </c>
      <c r="G334" s="42"/>
      <c r="H334" s="42"/>
      <c r="I334" s="46"/>
      <c r="J334" s="46">
        <v>0.30099999999999999</v>
      </c>
      <c r="K334" s="46"/>
      <c r="L334" s="47"/>
      <c r="M334"/>
      <c r="N334">
        <v>356414.53</v>
      </c>
      <c r="O334">
        <v>356414.53</v>
      </c>
    </row>
    <row r="335" spans="3:15" ht="48" x14ac:dyDescent="0.3">
      <c r="C335" s="90" t="s">
        <v>747</v>
      </c>
      <c r="D335" s="87" t="s">
        <v>748</v>
      </c>
      <c r="E335" s="90" t="s">
        <v>50</v>
      </c>
      <c r="F335" s="89">
        <v>0.86399999999999999</v>
      </c>
      <c r="G335" s="42"/>
      <c r="H335" s="42"/>
      <c r="I335" s="46"/>
      <c r="J335" s="46">
        <v>0.86399999999999999</v>
      </c>
      <c r="K335" s="46"/>
      <c r="L335" s="47"/>
      <c r="M335"/>
      <c r="N335">
        <v>356414.53</v>
      </c>
      <c r="O335">
        <v>356414.53</v>
      </c>
    </row>
    <row r="336" spans="3:15" ht="48" x14ac:dyDescent="0.3">
      <c r="C336" s="90" t="s">
        <v>750</v>
      </c>
      <c r="D336" s="87" t="s">
        <v>751</v>
      </c>
      <c r="E336" s="90" t="s">
        <v>50</v>
      </c>
      <c r="F336" s="89">
        <v>9.7000000000000003E-2</v>
      </c>
      <c r="G336" s="42"/>
      <c r="H336" s="42"/>
      <c r="I336" s="46"/>
      <c r="J336" s="46">
        <v>9.7000000000000003E-2</v>
      </c>
      <c r="K336" s="46"/>
      <c r="L336" s="47"/>
      <c r="M336"/>
      <c r="N336">
        <v>356414.53</v>
      </c>
      <c r="O336">
        <v>356414.53</v>
      </c>
    </row>
    <row r="337" spans="3:15" ht="48" x14ac:dyDescent="0.3">
      <c r="C337" s="90" t="s">
        <v>753</v>
      </c>
      <c r="D337" s="87" t="s">
        <v>754</v>
      </c>
      <c r="E337" s="90" t="s">
        <v>50</v>
      </c>
      <c r="F337" s="89">
        <v>0.28000000000000003</v>
      </c>
      <c r="G337" s="42"/>
      <c r="H337" s="42"/>
      <c r="I337" s="46"/>
      <c r="J337" s="46">
        <v>0.28000000000000003</v>
      </c>
      <c r="K337" s="46"/>
      <c r="L337" s="47"/>
      <c r="M337"/>
      <c r="N337">
        <v>356414.53</v>
      </c>
      <c r="O337">
        <v>356414.53</v>
      </c>
    </row>
    <row r="338" spans="3:15" ht="48" x14ac:dyDescent="0.3">
      <c r="C338" s="90" t="s">
        <v>756</v>
      </c>
      <c r="D338" s="87" t="s">
        <v>757</v>
      </c>
      <c r="E338" s="90" t="s">
        <v>50</v>
      </c>
      <c r="F338" s="89">
        <v>0.432</v>
      </c>
      <c r="G338" s="42"/>
      <c r="H338" s="42"/>
      <c r="I338" s="46"/>
      <c r="J338" s="46">
        <v>0.432</v>
      </c>
      <c r="K338" s="46"/>
      <c r="L338" s="47"/>
      <c r="M338"/>
      <c r="N338">
        <v>356414.53</v>
      </c>
      <c r="O338">
        <v>356414.53</v>
      </c>
    </row>
    <row r="339" spans="3:15" ht="48" x14ac:dyDescent="0.3">
      <c r="C339" s="90" t="s">
        <v>759</v>
      </c>
      <c r="D339" s="87" t="s">
        <v>760</v>
      </c>
      <c r="E339" s="90" t="s">
        <v>50</v>
      </c>
      <c r="F339" s="89">
        <v>7.0000000000000007E-2</v>
      </c>
      <c r="G339" s="42"/>
      <c r="H339" s="42"/>
      <c r="I339" s="46"/>
      <c r="J339" s="46">
        <v>7.0000000000000007E-2</v>
      </c>
      <c r="K339" s="46"/>
      <c r="L339" s="47"/>
      <c r="M339"/>
      <c r="N339">
        <v>356414.53</v>
      </c>
      <c r="O339">
        <v>356414.53</v>
      </c>
    </row>
    <row r="340" spans="3:15" ht="48" x14ac:dyDescent="0.3">
      <c r="C340" s="90" t="s">
        <v>762</v>
      </c>
      <c r="D340" s="87" t="s">
        <v>763</v>
      </c>
      <c r="E340" s="90" t="s">
        <v>50</v>
      </c>
      <c r="F340" s="89">
        <v>4.5600000000000002E-2</v>
      </c>
      <c r="G340" s="42"/>
      <c r="H340" s="42"/>
      <c r="I340" s="46"/>
      <c r="J340" s="46">
        <v>4.5600000000000002E-2</v>
      </c>
      <c r="K340" s="46"/>
      <c r="L340" s="47"/>
      <c r="M340"/>
      <c r="N340">
        <v>356414.53</v>
      </c>
      <c r="O340">
        <v>356414.53</v>
      </c>
    </row>
    <row r="341" spans="3:15" ht="60" x14ac:dyDescent="0.3">
      <c r="C341" s="90" t="s">
        <v>765</v>
      </c>
      <c r="D341" s="87" t="s">
        <v>766</v>
      </c>
      <c r="E341" s="90" t="s">
        <v>50</v>
      </c>
      <c r="F341" s="89">
        <v>1.4999999999999999E-2</v>
      </c>
      <c r="G341" s="42"/>
      <c r="H341" s="42"/>
      <c r="I341" s="46">
        <v>1.4999999999999999E-2</v>
      </c>
      <c r="J341" s="46"/>
      <c r="K341" s="46"/>
      <c r="L341" s="47"/>
      <c r="M341"/>
      <c r="N341">
        <v>356414.53</v>
      </c>
      <c r="O341">
        <v>356414.53</v>
      </c>
    </row>
    <row r="342" spans="3:15" ht="60" x14ac:dyDescent="0.3">
      <c r="C342" s="90" t="s">
        <v>768</v>
      </c>
      <c r="D342" s="87" t="s">
        <v>769</v>
      </c>
      <c r="E342" s="90" t="s">
        <v>50</v>
      </c>
      <c r="F342" s="89">
        <v>1.6589</v>
      </c>
      <c r="G342" s="42"/>
      <c r="H342" s="42"/>
      <c r="I342" s="46">
        <v>1.6589</v>
      </c>
      <c r="J342" s="46"/>
      <c r="K342" s="46"/>
      <c r="L342" s="47"/>
      <c r="M342"/>
      <c r="N342">
        <v>356414.53</v>
      </c>
      <c r="O342">
        <v>356414.53</v>
      </c>
    </row>
    <row r="343" spans="3:15" ht="60" x14ac:dyDescent="0.3">
      <c r="C343" s="90" t="s">
        <v>770</v>
      </c>
      <c r="D343" s="87" t="s">
        <v>771</v>
      </c>
      <c r="E343" s="90" t="s">
        <v>50</v>
      </c>
      <c r="F343" s="89">
        <v>0.46479999999999999</v>
      </c>
      <c r="G343" s="42"/>
      <c r="H343" s="42"/>
      <c r="I343" s="46"/>
      <c r="J343" s="46">
        <v>0.46479999999999999</v>
      </c>
      <c r="K343" s="46"/>
      <c r="L343" s="47"/>
      <c r="M343"/>
      <c r="N343">
        <v>356414.53</v>
      </c>
      <c r="O343">
        <v>356414.53</v>
      </c>
    </row>
    <row r="344" spans="3:15" ht="60" x14ac:dyDescent="0.3">
      <c r="C344" s="90" t="s">
        <v>773</v>
      </c>
      <c r="D344" s="87" t="s">
        <v>774</v>
      </c>
      <c r="E344" s="90" t="s">
        <v>50</v>
      </c>
      <c r="F344" s="89">
        <v>1.675</v>
      </c>
      <c r="G344" s="42"/>
      <c r="H344" s="42"/>
      <c r="I344" s="46"/>
      <c r="J344" s="46">
        <v>1.675</v>
      </c>
      <c r="K344" s="46"/>
      <c r="L344" s="47"/>
      <c r="M344"/>
      <c r="N344">
        <v>356414.53</v>
      </c>
      <c r="O344">
        <v>356414.53</v>
      </c>
    </row>
    <row r="345" spans="3:15" ht="60" x14ac:dyDescent="0.3">
      <c r="C345" s="90" t="s">
        <v>776</v>
      </c>
      <c r="D345" s="87" t="s">
        <v>777</v>
      </c>
      <c r="E345" s="90" t="s">
        <v>50</v>
      </c>
      <c r="F345" s="89">
        <v>3.8559999999999999</v>
      </c>
      <c r="G345" s="42"/>
      <c r="H345" s="42">
        <v>3.8559999999999999</v>
      </c>
      <c r="I345" s="46"/>
      <c r="J345" s="46"/>
      <c r="K345" s="46"/>
      <c r="L345" s="47"/>
      <c r="M345"/>
      <c r="N345">
        <v>358823.87</v>
      </c>
      <c r="O345">
        <v>358823.87</v>
      </c>
    </row>
    <row r="346" spans="3:15" ht="72" x14ac:dyDescent="0.3">
      <c r="C346" s="90" t="s">
        <v>779</v>
      </c>
      <c r="D346" s="87" t="s">
        <v>780</v>
      </c>
      <c r="E346" s="90" t="s">
        <v>58</v>
      </c>
      <c r="F346" s="89">
        <v>18</v>
      </c>
      <c r="G346" s="42"/>
      <c r="H346" s="42"/>
      <c r="I346" s="46">
        <v>18</v>
      </c>
      <c r="J346" s="46"/>
      <c r="K346" s="46"/>
      <c r="L346" s="47"/>
      <c r="M346"/>
      <c r="N346">
        <v>358823.87</v>
      </c>
      <c r="O346">
        <v>358823.87</v>
      </c>
    </row>
    <row r="347" spans="3:15" ht="72" x14ac:dyDescent="0.3">
      <c r="C347" s="90" t="s">
        <v>782</v>
      </c>
      <c r="D347" s="87" t="s">
        <v>783</v>
      </c>
      <c r="E347" s="90" t="s">
        <v>68</v>
      </c>
      <c r="F347" s="89">
        <v>3</v>
      </c>
      <c r="G347" s="42"/>
      <c r="H347" s="42"/>
      <c r="I347" s="46">
        <v>3</v>
      </c>
      <c r="J347" s="46"/>
      <c r="K347" s="46"/>
      <c r="L347" s="47"/>
      <c r="M347"/>
      <c r="N347">
        <v>358823.87</v>
      </c>
      <c r="O347">
        <v>358823.87</v>
      </c>
    </row>
    <row r="348" spans="3:15" ht="72" x14ac:dyDescent="0.3">
      <c r="C348" s="90" t="s">
        <v>785</v>
      </c>
      <c r="D348" s="87" t="s">
        <v>786</v>
      </c>
      <c r="E348" s="90" t="s">
        <v>68</v>
      </c>
      <c r="F348" s="89">
        <v>1</v>
      </c>
      <c r="G348" s="42"/>
      <c r="H348" s="42"/>
      <c r="I348" s="46">
        <v>1</v>
      </c>
      <c r="J348" s="46"/>
      <c r="K348" s="46"/>
      <c r="L348" s="47"/>
      <c r="M348"/>
      <c r="N348">
        <v>358823.87</v>
      </c>
      <c r="O348">
        <v>358823.87</v>
      </c>
    </row>
    <row r="349" spans="3:15" ht="72" x14ac:dyDescent="0.3">
      <c r="C349" s="90" t="s">
        <v>788</v>
      </c>
      <c r="D349" s="87" t="s">
        <v>789</v>
      </c>
      <c r="E349" s="90" t="s">
        <v>68</v>
      </c>
      <c r="F349" s="89">
        <v>1</v>
      </c>
      <c r="G349" s="42"/>
      <c r="H349" s="42"/>
      <c r="I349" s="46">
        <v>1</v>
      </c>
      <c r="J349" s="46"/>
      <c r="K349" s="46"/>
      <c r="L349" s="47"/>
      <c r="M349"/>
      <c r="N349">
        <v>358836.88</v>
      </c>
      <c r="O349">
        <v>358836.88</v>
      </c>
    </row>
    <row r="350" spans="3:15" ht="72" x14ac:dyDescent="0.3">
      <c r="C350" s="90" t="s">
        <v>791</v>
      </c>
      <c r="D350" s="87" t="s">
        <v>792</v>
      </c>
      <c r="E350" s="90" t="s">
        <v>68</v>
      </c>
      <c r="F350" s="89">
        <v>26</v>
      </c>
      <c r="G350" s="42"/>
      <c r="H350" s="42"/>
      <c r="I350" s="46">
        <v>16</v>
      </c>
      <c r="J350" s="46">
        <v>10</v>
      </c>
      <c r="K350" s="46"/>
      <c r="L350" s="47"/>
      <c r="M350"/>
      <c r="N350">
        <v>358836.88</v>
      </c>
      <c r="O350">
        <v>358836.88</v>
      </c>
    </row>
    <row r="351" spans="3:15" ht="72" x14ac:dyDescent="0.3">
      <c r="C351" s="90" t="s">
        <v>794</v>
      </c>
      <c r="D351" s="87" t="s">
        <v>795</v>
      </c>
      <c r="E351" s="90" t="s">
        <v>68</v>
      </c>
      <c r="F351" s="89">
        <v>3</v>
      </c>
      <c r="G351" s="42"/>
      <c r="H351" s="42"/>
      <c r="I351" s="46">
        <v>3</v>
      </c>
      <c r="J351" s="46"/>
      <c r="K351" s="46"/>
      <c r="L351" s="47"/>
      <c r="M351"/>
      <c r="N351">
        <v>358954.03</v>
      </c>
      <c r="O351">
        <v>358954.03</v>
      </c>
    </row>
    <row r="352" spans="3:15" ht="72" x14ac:dyDescent="0.3">
      <c r="C352" s="90" t="s">
        <v>797</v>
      </c>
      <c r="D352" s="87" t="s">
        <v>798</v>
      </c>
      <c r="E352" s="90" t="s">
        <v>68</v>
      </c>
      <c r="F352" s="89">
        <v>6</v>
      </c>
      <c r="G352" s="42"/>
      <c r="H352" s="42">
        <v>6</v>
      </c>
      <c r="I352" s="46"/>
      <c r="J352" s="46"/>
      <c r="K352" s="46"/>
      <c r="L352" s="47"/>
      <c r="M352"/>
      <c r="N352">
        <v>359266.45</v>
      </c>
      <c r="O352">
        <v>359266.45</v>
      </c>
    </row>
    <row r="353" spans="3:15" ht="72" x14ac:dyDescent="0.3">
      <c r="C353" s="90" t="s">
        <v>800</v>
      </c>
      <c r="D353" s="87" t="s">
        <v>801</v>
      </c>
      <c r="E353" s="90" t="s">
        <v>68</v>
      </c>
      <c r="F353" s="89">
        <v>2</v>
      </c>
      <c r="G353" s="42"/>
      <c r="H353" s="42"/>
      <c r="I353" s="46">
        <v>2</v>
      </c>
      <c r="J353" s="46"/>
      <c r="K353" s="46"/>
      <c r="L353" s="47"/>
      <c r="M353"/>
      <c r="N353">
        <v>359344.55</v>
      </c>
      <c r="O353">
        <v>359344.55</v>
      </c>
    </row>
    <row r="354" spans="3:15" ht="72" x14ac:dyDescent="0.3">
      <c r="C354" s="90" t="s">
        <v>803</v>
      </c>
      <c r="D354" s="87" t="s">
        <v>804</v>
      </c>
      <c r="E354" s="90" t="s">
        <v>68</v>
      </c>
      <c r="F354" s="89">
        <v>9</v>
      </c>
      <c r="G354" s="42"/>
      <c r="H354" s="42"/>
      <c r="I354" s="46">
        <v>9</v>
      </c>
      <c r="J354" s="46"/>
      <c r="K354" s="46"/>
      <c r="L354" s="47"/>
      <c r="M354"/>
      <c r="N354">
        <v>359344.55</v>
      </c>
      <c r="O354">
        <v>359344.55</v>
      </c>
    </row>
    <row r="355" spans="3:15" ht="72" x14ac:dyDescent="0.3">
      <c r="C355" s="90" t="s">
        <v>806</v>
      </c>
      <c r="D355" s="87" t="s">
        <v>807</v>
      </c>
      <c r="E355" s="90" t="s">
        <v>68</v>
      </c>
      <c r="F355" s="89">
        <v>3</v>
      </c>
      <c r="G355" s="42"/>
      <c r="H355" s="42"/>
      <c r="I355" s="46">
        <v>3</v>
      </c>
      <c r="J355" s="46"/>
      <c r="K355" s="46"/>
      <c r="L355" s="47"/>
      <c r="M355"/>
      <c r="N355">
        <v>359344.55</v>
      </c>
      <c r="O355">
        <v>359344.55</v>
      </c>
    </row>
    <row r="356" spans="3:15" ht="72" x14ac:dyDescent="0.3">
      <c r="C356" s="90" t="s">
        <v>809</v>
      </c>
      <c r="D356" s="87" t="s">
        <v>810</v>
      </c>
      <c r="E356" s="90" t="s">
        <v>68</v>
      </c>
      <c r="F356" s="89">
        <v>4</v>
      </c>
      <c r="G356" s="42"/>
      <c r="H356" s="42"/>
      <c r="I356" s="46">
        <v>4</v>
      </c>
      <c r="J356" s="46"/>
      <c r="K356" s="46"/>
      <c r="L356" s="47"/>
      <c r="M356"/>
      <c r="N356">
        <v>359552.83</v>
      </c>
      <c r="O356">
        <v>359552.83</v>
      </c>
    </row>
    <row r="357" spans="3:15" ht="72" x14ac:dyDescent="0.3">
      <c r="C357" s="90" t="s">
        <v>812</v>
      </c>
      <c r="D357" s="87" t="s">
        <v>813</v>
      </c>
      <c r="E357" s="90" t="s">
        <v>68</v>
      </c>
      <c r="F357" s="89">
        <v>1</v>
      </c>
      <c r="G357" s="42"/>
      <c r="H357" s="42">
        <v>1</v>
      </c>
      <c r="I357" s="46"/>
      <c r="J357" s="46"/>
      <c r="K357" s="46"/>
      <c r="L357" s="47"/>
      <c r="M357"/>
      <c r="N357">
        <v>364194.04</v>
      </c>
      <c r="O357">
        <v>364194.04</v>
      </c>
    </row>
    <row r="358" spans="3:15" ht="60" x14ac:dyDescent="0.3">
      <c r="C358" s="90" t="s">
        <v>815</v>
      </c>
      <c r="D358" s="87" t="s">
        <v>816</v>
      </c>
      <c r="E358" s="90" t="s">
        <v>68</v>
      </c>
      <c r="F358" s="89">
        <v>2</v>
      </c>
      <c r="G358" s="42"/>
      <c r="H358" s="42"/>
      <c r="I358" s="46"/>
      <c r="J358" s="46">
        <v>2</v>
      </c>
      <c r="K358" s="46"/>
      <c r="L358" s="47"/>
      <c r="M358"/>
      <c r="N358">
        <v>364194.04</v>
      </c>
      <c r="O358">
        <v>364194.04</v>
      </c>
    </row>
    <row r="359" spans="3:15" ht="72" x14ac:dyDescent="0.3">
      <c r="C359" s="90" t="s">
        <v>818</v>
      </c>
      <c r="D359" s="87" t="s">
        <v>819</v>
      </c>
      <c r="E359" s="90" t="s">
        <v>68</v>
      </c>
      <c r="F359" s="89">
        <v>1</v>
      </c>
      <c r="G359" s="42"/>
      <c r="H359" s="42"/>
      <c r="I359" s="46"/>
      <c r="J359" s="46">
        <v>1</v>
      </c>
      <c r="K359" s="46"/>
      <c r="L359" s="47"/>
      <c r="M359"/>
      <c r="N359">
        <v>364194.04</v>
      </c>
      <c r="O359">
        <v>364194.04</v>
      </c>
    </row>
    <row r="360" spans="3:15" ht="72" x14ac:dyDescent="0.3">
      <c r="C360" s="90" t="s">
        <v>821</v>
      </c>
      <c r="D360" s="87" t="s">
        <v>822</v>
      </c>
      <c r="E360" s="90" t="s">
        <v>68</v>
      </c>
      <c r="F360" s="89">
        <v>1</v>
      </c>
      <c r="G360" s="42"/>
      <c r="H360" s="42"/>
      <c r="I360" s="46"/>
      <c r="J360" s="46">
        <v>1</v>
      </c>
      <c r="K360" s="46"/>
      <c r="L360" s="47"/>
      <c r="M360"/>
      <c r="N360">
        <v>364194.04</v>
      </c>
      <c r="O360">
        <v>364194.04</v>
      </c>
    </row>
    <row r="361" spans="3:15" ht="72" x14ac:dyDescent="0.3">
      <c r="C361" s="90" t="s">
        <v>824</v>
      </c>
      <c r="D361" s="87" t="s">
        <v>825</v>
      </c>
      <c r="E361" s="90" t="s">
        <v>68</v>
      </c>
      <c r="F361" s="89">
        <v>2</v>
      </c>
      <c r="G361" s="42"/>
      <c r="H361" s="42"/>
      <c r="I361" s="46"/>
      <c r="J361" s="46">
        <v>2</v>
      </c>
      <c r="K361" s="46"/>
      <c r="L361" s="47"/>
      <c r="M361"/>
      <c r="N361">
        <v>364194.04</v>
      </c>
      <c r="O361">
        <v>364194.04</v>
      </c>
    </row>
    <row r="362" spans="3:15" ht="60" x14ac:dyDescent="0.3">
      <c r="C362" s="90" t="s">
        <v>827</v>
      </c>
      <c r="D362" s="87" t="s">
        <v>828</v>
      </c>
      <c r="E362" s="90" t="s">
        <v>68</v>
      </c>
      <c r="F362" s="89">
        <v>2</v>
      </c>
      <c r="G362" s="42"/>
      <c r="H362" s="42"/>
      <c r="I362" s="46">
        <v>2</v>
      </c>
      <c r="J362" s="46"/>
      <c r="K362" s="46"/>
      <c r="L362" s="47"/>
      <c r="M362"/>
      <c r="N362">
        <v>364194.04</v>
      </c>
      <c r="O362">
        <v>364194.04</v>
      </c>
    </row>
    <row r="363" spans="3:15" ht="84" x14ac:dyDescent="0.3">
      <c r="C363" s="90" t="s">
        <v>830</v>
      </c>
      <c r="D363" s="87" t="s">
        <v>831</v>
      </c>
      <c r="E363" s="90" t="s">
        <v>68</v>
      </c>
      <c r="F363" s="89">
        <v>3</v>
      </c>
      <c r="G363" s="42"/>
      <c r="H363" s="42"/>
      <c r="I363" s="46"/>
      <c r="J363" s="46">
        <v>3</v>
      </c>
      <c r="K363" s="46"/>
      <c r="L363" s="47"/>
      <c r="M363"/>
      <c r="N363">
        <v>364194.04</v>
      </c>
      <c r="O363">
        <v>364194.04</v>
      </c>
    </row>
    <row r="364" spans="3:15" ht="48" x14ac:dyDescent="0.3">
      <c r="C364" s="90" t="s">
        <v>833</v>
      </c>
      <c r="D364" s="87" t="s">
        <v>834</v>
      </c>
      <c r="E364" s="90" t="s">
        <v>68</v>
      </c>
      <c r="F364" s="89">
        <v>2</v>
      </c>
      <c r="G364" s="42"/>
      <c r="H364" s="42"/>
      <c r="I364" s="46"/>
      <c r="J364" s="46">
        <v>2</v>
      </c>
      <c r="K364" s="46"/>
      <c r="L364" s="47"/>
      <c r="M364"/>
      <c r="N364">
        <v>364766.04</v>
      </c>
      <c r="O364">
        <v>364766.04</v>
      </c>
    </row>
    <row r="365" spans="3:15" ht="72" x14ac:dyDescent="0.3">
      <c r="C365" s="90" t="s">
        <v>836</v>
      </c>
      <c r="D365" s="87" t="s">
        <v>837</v>
      </c>
      <c r="E365" s="90" t="s">
        <v>58</v>
      </c>
      <c r="F365" s="89">
        <v>6.1</v>
      </c>
      <c r="G365" s="42"/>
      <c r="H365" s="42"/>
      <c r="I365" s="46"/>
      <c r="J365" s="46">
        <v>6.1</v>
      </c>
      <c r="K365" s="46"/>
      <c r="L365" s="47"/>
      <c r="M365"/>
      <c r="N365">
        <v>364766.04</v>
      </c>
      <c r="O365">
        <v>364766.04</v>
      </c>
    </row>
    <row r="366" spans="3:15" ht="72" x14ac:dyDescent="0.3">
      <c r="C366" s="90" t="s">
        <v>839</v>
      </c>
      <c r="D366" s="87" t="s">
        <v>840</v>
      </c>
      <c r="E366" s="90" t="s">
        <v>58</v>
      </c>
      <c r="F366" s="89">
        <v>6.1</v>
      </c>
      <c r="G366" s="42"/>
      <c r="H366" s="42"/>
      <c r="I366" s="46"/>
      <c r="J366" s="46">
        <v>6.1</v>
      </c>
      <c r="K366" s="46"/>
      <c r="L366" s="47"/>
      <c r="M366"/>
      <c r="N366">
        <v>364766.04</v>
      </c>
      <c r="O366">
        <v>364766.04</v>
      </c>
    </row>
    <row r="367" spans="3:15" ht="72" x14ac:dyDescent="0.3">
      <c r="C367" s="90" t="s">
        <v>842</v>
      </c>
      <c r="D367" s="87" t="s">
        <v>843</v>
      </c>
      <c r="E367" s="90" t="s">
        <v>58</v>
      </c>
      <c r="F367" s="89">
        <v>6.1</v>
      </c>
      <c r="G367" s="42"/>
      <c r="H367" s="42"/>
      <c r="I367" s="46"/>
      <c r="J367" s="46">
        <v>6.1</v>
      </c>
      <c r="K367" s="46"/>
      <c r="L367" s="47"/>
      <c r="M367"/>
      <c r="N367">
        <v>364766.04</v>
      </c>
      <c r="O367">
        <v>364766.04</v>
      </c>
    </row>
    <row r="368" spans="3:15" ht="72" x14ac:dyDescent="0.3">
      <c r="C368" s="90" t="s">
        <v>845</v>
      </c>
      <c r="D368" s="87" t="s">
        <v>846</v>
      </c>
      <c r="E368" s="90" t="s">
        <v>58</v>
      </c>
      <c r="F368" s="89">
        <v>17.5</v>
      </c>
      <c r="G368" s="42"/>
      <c r="H368" s="42"/>
      <c r="I368" s="46"/>
      <c r="J368" s="46">
        <v>17.5</v>
      </c>
      <c r="K368" s="46"/>
      <c r="L368" s="47"/>
      <c r="M368"/>
      <c r="N368">
        <v>364766.04</v>
      </c>
      <c r="O368">
        <v>364766.04</v>
      </c>
    </row>
    <row r="369" spans="3:15" ht="72" x14ac:dyDescent="0.3">
      <c r="C369" s="90" t="s">
        <v>848</v>
      </c>
      <c r="D369" s="87" t="s">
        <v>849</v>
      </c>
      <c r="E369" s="90" t="s">
        <v>68</v>
      </c>
      <c r="F369" s="89">
        <v>4</v>
      </c>
      <c r="G369" s="42"/>
      <c r="H369" s="42"/>
      <c r="I369" s="46"/>
      <c r="J369" s="46">
        <v>4</v>
      </c>
      <c r="K369" s="46"/>
      <c r="L369" s="47"/>
      <c r="M369"/>
      <c r="N369">
        <v>364766.04</v>
      </c>
      <c r="O369">
        <v>364766.04</v>
      </c>
    </row>
    <row r="370" spans="3:15" ht="72" x14ac:dyDescent="0.3">
      <c r="C370" s="90" t="s">
        <v>851</v>
      </c>
      <c r="D370" s="87" t="s">
        <v>852</v>
      </c>
      <c r="E370" s="90" t="s">
        <v>68</v>
      </c>
      <c r="F370" s="89">
        <v>4</v>
      </c>
      <c r="G370" s="42"/>
      <c r="H370" s="42"/>
      <c r="I370" s="46"/>
      <c r="J370" s="46">
        <v>4</v>
      </c>
      <c r="K370" s="46"/>
      <c r="L370" s="47"/>
      <c r="M370"/>
      <c r="N370">
        <v>364766.04</v>
      </c>
      <c r="O370">
        <v>364766.04</v>
      </c>
    </row>
    <row r="371" spans="3:15" ht="72" x14ac:dyDescent="0.3">
      <c r="C371" s="90" t="s">
        <v>854</v>
      </c>
      <c r="D371" s="87" t="s">
        <v>855</v>
      </c>
      <c r="E371" s="90" t="s">
        <v>68</v>
      </c>
      <c r="F371" s="89">
        <v>2</v>
      </c>
      <c r="G371" s="42"/>
      <c r="H371" s="42"/>
      <c r="I371" s="46">
        <v>2</v>
      </c>
      <c r="J371" s="46"/>
      <c r="K371" s="46"/>
      <c r="L371" s="47"/>
      <c r="M371"/>
      <c r="N371">
        <v>364766.04</v>
      </c>
      <c r="O371">
        <v>364766.04</v>
      </c>
    </row>
    <row r="372" spans="3:15" ht="72" x14ac:dyDescent="0.3">
      <c r="C372" s="90" t="s">
        <v>857</v>
      </c>
      <c r="D372" s="87" t="s">
        <v>858</v>
      </c>
      <c r="E372" s="90" t="s">
        <v>68</v>
      </c>
      <c r="F372" s="89">
        <v>8</v>
      </c>
      <c r="G372" s="42"/>
      <c r="H372" s="42"/>
      <c r="I372" s="46">
        <v>8</v>
      </c>
      <c r="J372" s="46"/>
      <c r="K372" s="46"/>
      <c r="L372" s="47"/>
      <c r="M372"/>
      <c r="N372">
        <v>364766.04</v>
      </c>
      <c r="O372">
        <v>364766.04</v>
      </c>
    </row>
    <row r="373" spans="3:15" ht="72" x14ac:dyDescent="0.3">
      <c r="C373" s="90" t="s">
        <v>860</v>
      </c>
      <c r="D373" s="87" t="s">
        <v>861</v>
      </c>
      <c r="E373" s="90" t="s">
        <v>68</v>
      </c>
      <c r="F373" s="89">
        <v>6</v>
      </c>
      <c r="G373" s="42"/>
      <c r="H373" s="42"/>
      <c r="I373" s="46"/>
      <c r="J373" s="46">
        <v>6</v>
      </c>
      <c r="K373" s="46"/>
      <c r="L373" s="47"/>
      <c r="M373"/>
      <c r="N373">
        <v>364766.04</v>
      </c>
      <c r="O373">
        <v>364766.04</v>
      </c>
    </row>
    <row r="374" spans="3:15" ht="72" x14ac:dyDescent="0.3">
      <c r="C374" s="90" t="s">
        <v>863</v>
      </c>
      <c r="D374" s="87" t="s">
        <v>864</v>
      </c>
      <c r="E374" s="90" t="s">
        <v>68</v>
      </c>
      <c r="F374" s="89">
        <v>6</v>
      </c>
      <c r="G374" s="42"/>
      <c r="H374" s="42"/>
      <c r="I374" s="46"/>
      <c r="J374" s="46">
        <v>6</v>
      </c>
      <c r="K374" s="46"/>
      <c r="L374" s="47"/>
      <c r="M374"/>
      <c r="N374">
        <v>364766.04</v>
      </c>
      <c r="O374">
        <v>364766.04</v>
      </c>
    </row>
    <row r="375" spans="3:15" ht="72" x14ac:dyDescent="0.3">
      <c r="C375" s="90" t="s">
        <v>866</v>
      </c>
      <c r="D375" s="87" t="s">
        <v>867</v>
      </c>
      <c r="E375" s="90" t="s">
        <v>68</v>
      </c>
      <c r="F375" s="89">
        <v>2</v>
      </c>
      <c r="G375" s="42"/>
      <c r="H375" s="42"/>
      <c r="I375" s="46">
        <v>2</v>
      </c>
      <c r="J375" s="46"/>
      <c r="K375" s="46"/>
      <c r="L375" s="47"/>
      <c r="M375"/>
      <c r="N375">
        <v>364766.04</v>
      </c>
      <c r="O375">
        <v>364766.04</v>
      </c>
    </row>
    <row r="376" spans="3:15" ht="72" x14ac:dyDescent="0.3">
      <c r="C376" s="90" t="s">
        <v>869</v>
      </c>
      <c r="D376" s="87" t="s">
        <v>870</v>
      </c>
      <c r="E376" s="90" t="s">
        <v>68</v>
      </c>
      <c r="F376" s="89">
        <v>2</v>
      </c>
      <c r="G376" s="42"/>
      <c r="H376" s="42"/>
      <c r="I376" s="46"/>
      <c r="J376" s="46">
        <v>2</v>
      </c>
      <c r="K376" s="46"/>
      <c r="L376" s="47"/>
      <c r="M376"/>
      <c r="N376">
        <v>364766.04</v>
      </c>
      <c r="O376">
        <v>364766.04</v>
      </c>
    </row>
    <row r="377" spans="3:15" ht="72" x14ac:dyDescent="0.3">
      <c r="C377" s="90" t="s">
        <v>872</v>
      </c>
      <c r="D377" s="87" t="s">
        <v>873</v>
      </c>
      <c r="E377" s="90" t="s">
        <v>68</v>
      </c>
      <c r="F377" s="89">
        <v>4</v>
      </c>
      <c r="G377" s="42"/>
      <c r="H377" s="42"/>
      <c r="I377" s="46"/>
      <c r="J377" s="46">
        <v>4</v>
      </c>
      <c r="K377" s="46"/>
      <c r="L377" s="47"/>
      <c r="M377"/>
      <c r="N377">
        <v>364766.04</v>
      </c>
      <c r="O377">
        <v>364766.04</v>
      </c>
    </row>
    <row r="378" spans="3:15" ht="72" x14ac:dyDescent="0.3">
      <c r="C378" s="90" t="s">
        <v>875</v>
      </c>
      <c r="D378" s="87" t="s">
        <v>876</v>
      </c>
      <c r="E378" s="90" t="s">
        <v>68</v>
      </c>
      <c r="F378" s="89">
        <v>1</v>
      </c>
      <c r="G378" s="42"/>
      <c r="H378" s="42"/>
      <c r="I378" s="46"/>
      <c r="J378" s="46">
        <v>1</v>
      </c>
      <c r="K378" s="46"/>
      <c r="L378" s="47"/>
      <c r="M378"/>
      <c r="N378">
        <v>364766.04</v>
      </c>
      <c r="O378">
        <v>364766.04</v>
      </c>
    </row>
    <row r="379" spans="3:15" ht="72" x14ac:dyDescent="0.3">
      <c r="C379" s="90" t="s">
        <v>878</v>
      </c>
      <c r="D379" s="87" t="s">
        <v>879</v>
      </c>
      <c r="E379" s="90" t="s">
        <v>68</v>
      </c>
      <c r="F379" s="89">
        <v>1</v>
      </c>
      <c r="G379" s="42"/>
      <c r="H379" s="42"/>
      <c r="I379" s="46">
        <v>1</v>
      </c>
      <c r="J379" s="46"/>
      <c r="K379" s="46"/>
      <c r="L379" s="47"/>
      <c r="M379"/>
      <c r="N379">
        <v>364766.04</v>
      </c>
      <c r="O379">
        <v>364766.04</v>
      </c>
    </row>
    <row r="380" spans="3:15" ht="72" x14ac:dyDescent="0.3">
      <c r="C380" s="90" t="s">
        <v>881</v>
      </c>
      <c r="D380" s="87" t="s">
        <v>882</v>
      </c>
      <c r="E380" s="90" t="s">
        <v>68</v>
      </c>
      <c r="F380" s="89">
        <v>1</v>
      </c>
      <c r="G380" s="42"/>
      <c r="H380" s="42"/>
      <c r="I380" s="46"/>
      <c r="J380" s="46">
        <v>1</v>
      </c>
      <c r="K380" s="46"/>
      <c r="L380" s="47"/>
      <c r="M380"/>
      <c r="N380">
        <v>364766.04</v>
      </c>
      <c r="O380">
        <v>364766.04</v>
      </c>
    </row>
    <row r="381" spans="3:15" ht="72" x14ac:dyDescent="0.3">
      <c r="C381" s="90" t="s">
        <v>884</v>
      </c>
      <c r="D381" s="87" t="s">
        <v>885</v>
      </c>
      <c r="E381" s="90" t="s">
        <v>68</v>
      </c>
      <c r="F381" s="89">
        <v>1</v>
      </c>
      <c r="G381" s="42"/>
      <c r="H381" s="42"/>
      <c r="I381" s="46">
        <v>1</v>
      </c>
      <c r="J381" s="46"/>
      <c r="K381" s="46"/>
      <c r="L381" s="47"/>
      <c r="M381"/>
      <c r="N381">
        <v>364766.04</v>
      </c>
      <c r="O381">
        <v>364766.04</v>
      </c>
    </row>
    <row r="382" spans="3:15" ht="72" x14ac:dyDescent="0.3">
      <c r="C382" s="90" t="s">
        <v>887</v>
      </c>
      <c r="D382" s="87" t="s">
        <v>888</v>
      </c>
      <c r="E382" s="90" t="s">
        <v>68</v>
      </c>
      <c r="F382" s="89">
        <v>1</v>
      </c>
      <c r="G382" s="42"/>
      <c r="H382" s="42"/>
      <c r="I382" s="46">
        <v>1</v>
      </c>
      <c r="J382" s="46"/>
      <c r="K382" s="46"/>
      <c r="L382" s="47"/>
      <c r="M382"/>
      <c r="N382">
        <v>364766.04</v>
      </c>
      <c r="O382">
        <v>364766.04</v>
      </c>
    </row>
    <row r="383" spans="3:15" ht="60" x14ac:dyDescent="0.3">
      <c r="C383" s="90" t="s">
        <v>890</v>
      </c>
      <c r="D383" s="87" t="s">
        <v>891</v>
      </c>
      <c r="E383" s="90" t="s">
        <v>68</v>
      </c>
      <c r="F383" s="89">
        <v>6</v>
      </c>
      <c r="G383" s="42"/>
      <c r="H383" s="42"/>
      <c r="I383" s="46">
        <v>6</v>
      </c>
      <c r="J383" s="46"/>
      <c r="K383" s="46"/>
      <c r="L383" s="47"/>
      <c r="M383"/>
      <c r="N383">
        <v>364766.04</v>
      </c>
      <c r="O383">
        <v>364766.04</v>
      </c>
    </row>
    <row r="384" spans="3:15" ht="72" x14ac:dyDescent="0.3">
      <c r="C384" s="90" t="s">
        <v>893</v>
      </c>
      <c r="D384" s="87" t="s">
        <v>894</v>
      </c>
      <c r="E384" s="90" t="s">
        <v>68</v>
      </c>
      <c r="F384" s="89">
        <v>1</v>
      </c>
      <c r="G384" s="42"/>
      <c r="H384" s="42"/>
      <c r="I384" s="46">
        <v>1</v>
      </c>
      <c r="J384" s="46"/>
      <c r="K384" s="46"/>
      <c r="L384" s="47"/>
      <c r="M384"/>
      <c r="N384">
        <v>364766.04</v>
      </c>
      <c r="O384">
        <v>364766.04</v>
      </c>
    </row>
    <row r="385" spans="3:15" ht="72" x14ac:dyDescent="0.3">
      <c r="C385" s="90" t="s">
        <v>896</v>
      </c>
      <c r="D385" s="87" t="s">
        <v>897</v>
      </c>
      <c r="E385" s="90" t="s">
        <v>68</v>
      </c>
      <c r="F385" s="89">
        <v>2</v>
      </c>
      <c r="G385" s="42"/>
      <c r="H385" s="42"/>
      <c r="I385" s="46"/>
      <c r="J385" s="46">
        <v>2</v>
      </c>
      <c r="K385" s="46"/>
      <c r="L385" s="47"/>
      <c r="M385"/>
      <c r="N385">
        <v>364766.04</v>
      </c>
      <c r="O385">
        <v>364766.04</v>
      </c>
    </row>
    <row r="386" spans="3:15" ht="72" x14ac:dyDescent="0.3">
      <c r="C386" s="90" t="s">
        <v>899</v>
      </c>
      <c r="D386" s="87" t="s">
        <v>900</v>
      </c>
      <c r="E386" s="90" t="s">
        <v>68</v>
      </c>
      <c r="F386" s="89">
        <v>2</v>
      </c>
      <c r="G386" s="42"/>
      <c r="H386" s="42"/>
      <c r="I386" s="46"/>
      <c r="J386" s="46">
        <v>2</v>
      </c>
      <c r="K386" s="46"/>
      <c r="L386" s="47"/>
      <c r="M386"/>
      <c r="N386">
        <v>364766.04</v>
      </c>
      <c r="O386">
        <v>364766.04</v>
      </c>
    </row>
    <row r="387" spans="3:15" ht="72" x14ac:dyDescent="0.3">
      <c r="C387" s="90" t="s">
        <v>902</v>
      </c>
      <c r="D387" s="87" t="s">
        <v>903</v>
      </c>
      <c r="E387" s="90" t="s">
        <v>68</v>
      </c>
      <c r="F387" s="89">
        <v>1</v>
      </c>
      <c r="G387" s="42"/>
      <c r="H387" s="42"/>
      <c r="I387" s="46"/>
      <c r="J387" s="46">
        <v>1</v>
      </c>
      <c r="K387" s="46"/>
      <c r="L387" s="47"/>
      <c r="M387"/>
      <c r="N387">
        <v>364766.04</v>
      </c>
      <c r="O387">
        <v>364766.04</v>
      </c>
    </row>
    <row r="388" spans="3:15" ht="72" x14ac:dyDescent="0.3">
      <c r="C388" s="90" t="s">
        <v>905</v>
      </c>
      <c r="D388" s="87" t="s">
        <v>906</v>
      </c>
      <c r="E388" s="90" t="s">
        <v>68</v>
      </c>
      <c r="F388" s="89">
        <v>2</v>
      </c>
      <c r="G388" s="42"/>
      <c r="H388" s="42"/>
      <c r="I388" s="46"/>
      <c r="J388" s="46">
        <v>2</v>
      </c>
      <c r="K388" s="46"/>
      <c r="L388" s="47"/>
      <c r="M388"/>
      <c r="N388">
        <v>364766.04</v>
      </c>
      <c r="O388">
        <v>364766.04</v>
      </c>
    </row>
    <row r="389" spans="3:15" ht="48" x14ac:dyDescent="0.3">
      <c r="C389" s="90" t="s">
        <v>908</v>
      </c>
      <c r="D389" s="87" t="s">
        <v>909</v>
      </c>
      <c r="E389" s="90" t="s">
        <v>50</v>
      </c>
      <c r="F389" s="89">
        <v>3.282</v>
      </c>
      <c r="G389" s="42"/>
      <c r="H389" s="42">
        <v>3.282</v>
      </c>
      <c r="I389" s="46"/>
      <c r="J389" s="46"/>
      <c r="K389" s="46"/>
      <c r="L389" s="47"/>
      <c r="M389"/>
      <c r="N389">
        <v>367096.36</v>
      </c>
      <c r="O389">
        <v>367096.36</v>
      </c>
    </row>
    <row r="390" spans="3:15" ht="60" x14ac:dyDescent="0.3">
      <c r="C390" s="90" t="s">
        <v>911</v>
      </c>
      <c r="D390" s="87" t="s">
        <v>912</v>
      </c>
      <c r="E390" s="90" t="s">
        <v>50</v>
      </c>
      <c r="F390" s="89">
        <v>5.9669999999999996</v>
      </c>
      <c r="G390" s="42"/>
      <c r="H390" s="42"/>
      <c r="I390" s="46">
        <v>5.9669999999999996</v>
      </c>
      <c r="J390" s="46"/>
      <c r="K390" s="46"/>
      <c r="L390" s="47"/>
      <c r="M390"/>
      <c r="N390">
        <v>370824.72</v>
      </c>
      <c r="O390">
        <v>370824.72</v>
      </c>
    </row>
    <row r="391" spans="3:15" ht="48" x14ac:dyDescent="0.3">
      <c r="C391" s="90" t="s">
        <v>914</v>
      </c>
      <c r="D391" s="87" t="s">
        <v>915</v>
      </c>
      <c r="E391" s="90" t="s">
        <v>50</v>
      </c>
      <c r="F391" s="89">
        <v>1.863</v>
      </c>
      <c r="G391" s="42"/>
      <c r="H391" s="42"/>
      <c r="I391" s="46">
        <v>1.863</v>
      </c>
      <c r="J391" s="46"/>
      <c r="K391" s="46"/>
      <c r="L391" s="47"/>
      <c r="M391"/>
      <c r="N391">
        <v>371988.78</v>
      </c>
      <c r="O391">
        <v>371988.78</v>
      </c>
    </row>
    <row r="392" spans="3:15" ht="72" x14ac:dyDescent="0.3">
      <c r="C392" s="90" t="s">
        <v>917</v>
      </c>
      <c r="D392" s="87" t="s">
        <v>918</v>
      </c>
      <c r="E392" s="90" t="s">
        <v>68</v>
      </c>
      <c r="F392" s="89">
        <v>3</v>
      </c>
      <c r="G392" s="42"/>
      <c r="H392" s="42"/>
      <c r="I392" s="46"/>
      <c r="J392" s="46">
        <v>3</v>
      </c>
      <c r="K392" s="46"/>
      <c r="L392" s="47"/>
      <c r="M392"/>
      <c r="N392">
        <v>371988.78</v>
      </c>
      <c r="O392">
        <v>371988.78</v>
      </c>
    </row>
    <row r="393" spans="3:15" ht="72" x14ac:dyDescent="0.3">
      <c r="C393" s="90" t="s">
        <v>920</v>
      </c>
      <c r="D393" s="87" t="s">
        <v>921</v>
      </c>
      <c r="E393" s="90" t="s">
        <v>68</v>
      </c>
      <c r="F393" s="89">
        <v>1</v>
      </c>
      <c r="G393" s="42"/>
      <c r="H393" s="42"/>
      <c r="I393" s="46">
        <v>1</v>
      </c>
      <c r="J393" s="46"/>
      <c r="K393" s="46"/>
      <c r="L393" s="47"/>
      <c r="M393"/>
      <c r="N393">
        <v>372144.99</v>
      </c>
      <c r="O393">
        <v>372144.99</v>
      </c>
    </row>
    <row r="394" spans="3:15" ht="72" x14ac:dyDescent="0.3">
      <c r="C394" s="90" t="s">
        <v>923</v>
      </c>
      <c r="D394" s="87" t="s">
        <v>924</v>
      </c>
      <c r="E394" s="90" t="s">
        <v>68</v>
      </c>
      <c r="F394" s="89">
        <v>1</v>
      </c>
      <c r="G394" s="42"/>
      <c r="H394" s="42"/>
      <c r="I394" s="46">
        <v>1</v>
      </c>
      <c r="J394" s="46"/>
      <c r="K394" s="46"/>
      <c r="L394" s="47"/>
      <c r="M394"/>
      <c r="N394">
        <v>372144.99</v>
      </c>
      <c r="O394">
        <v>372144.99</v>
      </c>
    </row>
    <row r="395" spans="3:15" ht="72" x14ac:dyDescent="0.3">
      <c r="C395" s="90" t="s">
        <v>926</v>
      </c>
      <c r="D395" s="87" t="s">
        <v>927</v>
      </c>
      <c r="E395" s="90" t="s">
        <v>68</v>
      </c>
      <c r="F395" s="89">
        <v>2</v>
      </c>
      <c r="G395" s="42"/>
      <c r="H395" s="42"/>
      <c r="I395" s="46">
        <v>2</v>
      </c>
      <c r="J395" s="46"/>
      <c r="K395" s="46"/>
      <c r="L395" s="47"/>
      <c r="M395"/>
      <c r="N395">
        <v>372144.99</v>
      </c>
      <c r="O395">
        <v>372144.99</v>
      </c>
    </row>
    <row r="396" spans="3:15" ht="72" x14ac:dyDescent="0.3">
      <c r="C396" s="90" t="s">
        <v>929</v>
      </c>
      <c r="D396" s="87" t="s">
        <v>930</v>
      </c>
      <c r="E396" s="90" t="s">
        <v>58</v>
      </c>
      <c r="F396" s="89">
        <v>15</v>
      </c>
      <c r="G396" s="42"/>
      <c r="H396" s="42"/>
      <c r="I396" s="46"/>
      <c r="J396" s="46">
        <v>15</v>
      </c>
      <c r="K396" s="46"/>
      <c r="L396" s="47"/>
      <c r="M396"/>
      <c r="N396">
        <v>372144.99</v>
      </c>
      <c r="O396">
        <v>372144.99</v>
      </c>
    </row>
    <row r="397" spans="3:15" ht="48" x14ac:dyDescent="0.3">
      <c r="C397" s="90" t="s">
        <v>932</v>
      </c>
      <c r="D397" s="87" t="s">
        <v>933</v>
      </c>
      <c r="E397" s="90" t="s">
        <v>68</v>
      </c>
      <c r="F397" s="89">
        <v>1</v>
      </c>
      <c r="G397" s="42"/>
      <c r="H397" s="42"/>
      <c r="I397" s="46"/>
      <c r="J397" s="46">
        <v>1</v>
      </c>
      <c r="K397" s="46"/>
      <c r="L397" s="47"/>
      <c r="M397"/>
      <c r="N397">
        <v>372180.04</v>
      </c>
      <c r="O397">
        <v>372180.04</v>
      </c>
    </row>
    <row r="398" spans="3:15" ht="48" x14ac:dyDescent="0.3">
      <c r="C398" s="90" t="s">
        <v>935</v>
      </c>
      <c r="D398" s="87" t="s">
        <v>936</v>
      </c>
      <c r="E398" s="90" t="s">
        <v>68</v>
      </c>
      <c r="F398" s="89">
        <v>10</v>
      </c>
      <c r="G398" s="42"/>
      <c r="H398" s="42"/>
      <c r="I398" s="46"/>
      <c r="J398" s="46">
        <v>10</v>
      </c>
      <c r="K398" s="46"/>
      <c r="L398" s="47"/>
      <c r="M398"/>
      <c r="N398">
        <v>372180.04</v>
      </c>
      <c r="O398">
        <v>372180.04</v>
      </c>
    </row>
    <row r="399" spans="3:15" ht="48" x14ac:dyDescent="0.3">
      <c r="C399" s="90" t="s">
        <v>938</v>
      </c>
      <c r="D399" s="87" t="s">
        <v>939</v>
      </c>
      <c r="E399" s="90" t="s">
        <v>940</v>
      </c>
      <c r="F399" s="89">
        <v>55</v>
      </c>
      <c r="G399" s="42"/>
      <c r="H399" s="42"/>
      <c r="I399" s="46"/>
      <c r="J399" s="46">
        <v>55</v>
      </c>
      <c r="K399" s="46"/>
      <c r="L399" s="47"/>
      <c r="M399"/>
      <c r="N399">
        <v>372484.74</v>
      </c>
      <c r="O399">
        <v>372484.74</v>
      </c>
    </row>
    <row r="400" spans="3:15" ht="48" x14ac:dyDescent="0.3">
      <c r="C400" s="90" t="s">
        <v>942</v>
      </c>
      <c r="D400" s="87" t="s">
        <v>943</v>
      </c>
      <c r="E400" s="90" t="s">
        <v>940</v>
      </c>
      <c r="F400" s="89">
        <v>26</v>
      </c>
      <c r="G400" s="42"/>
      <c r="H400" s="42"/>
      <c r="I400" s="46"/>
      <c r="J400" s="46">
        <v>26</v>
      </c>
      <c r="K400" s="46"/>
      <c r="L400" s="47"/>
      <c r="M400"/>
      <c r="N400">
        <v>372922.58</v>
      </c>
      <c r="O400">
        <v>372922.58</v>
      </c>
    </row>
    <row r="401" spans="3:15" ht="72" x14ac:dyDescent="0.3">
      <c r="C401" s="90" t="s">
        <v>945</v>
      </c>
      <c r="D401" s="87" t="s">
        <v>946</v>
      </c>
      <c r="E401" s="90" t="s">
        <v>58</v>
      </c>
      <c r="F401" s="89">
        <v>73.2</v>
      </c>
      <c r="G401" s="42"/>
      <c r="H401" s="42"/>
      <c r="I401" s="46"/>
      <c r="J401" s="46">
        <v>73.2</v>
      </c>
      <c r="K401" s="46"/>
      <c r="L401" s="47"/>
      <c r="M401"/>
      <c r="N401">
        <v>372922.58</v>
      </c>
      <c r="O401">
        <v>372922.58</v>
      </c>
    </row>
    <row r="402" spans="3:15" ht="72" x14ac:dyDescent="0.3">
      <c r="C402" s="90" t="s">
        <v>948</v>
      </c>
      <c r="D402" s="87" t="s">
        <v>949</v>
      </c>
      <c r="E402" s="90" t="s">
        <v>68</v>
      </c>
      <c r="F402" s="89">
        <v>6</v>
      </c>
      <c r="G402" s="42"/>
      <c r="H402" s="42"/>
      <c r="I402" s="46">
        <v>6</v>
      </c>
      <c r="J402" s="46"/>
      <c r="K402" s="46"/>
      <c r="L402" s="47"/>
      <c r="M402"/>
      <c r="N402">
        <v>372922.58</v>
      </c>
      <c r="O402">
        <v>372922.58</v>
      </c>
    </row>
    <row r="403" spans="3:15" ht="84" x14ac:dyDescent="0.3">
      <c r="C403" s="90" t="s">
        <v>951</v>
      </c>
      <c r="D403" s="87" t="s">
        <v>952</v>
      </c>
      <c r="E403" s="90" t="s">
        <v>68</v>
      </c>
      <c r="F403" s="89">
        <v>35</v>
      </c>
      <c r="G403" s="42"/>
      <c r="H403" s="42"/>
      <c r="I403" s="46">
        <v>35</v>
      </c>
      <c r="J403" s="46"/>
      <c r="K403" s="46"/>
      <c r="L403" s="47"/>
      <c r="M403"/>
      <c r="N403">
        <v>372922.58</v>
      </c>
      <c r="O403">
        <v>372922.58</v>
      </c>
    </row>
    <row r="404" spans="3:15" ht="48" x14ac:dyDescent="0.3">
      <c r="C404" s="90"/>
      <c r="D404" s="87" t="s">
        <v>955</v>
      </c>
      <c r="E404" s="90"/>
      <c r="F404" s="89"/>
      <c r="G404" s="42"/>
      <c r="H404" s="42"/>
      <c r="I404" s="46"/>
      <c r="J404" s="46"/>
      <c r="K404" s="46"/>
      <c r="L404" s="47"/>
      <c r="M404"/>
      <c r="N404"/>
      <c r="O404"/>
    </row>
    <row r="405" spans="3:15" ht="48" x14ac:dyDescent="0.3">
      <c r="C405" s="90" t="s">
        <v>956</v>
      </c>
      <c r="D405" s="87" t="s">
        <v>957</v>
      </c>
      <c r="E405" s="90" t="s">
        <v>68</v>
      </c>
      <c r="F405" s="89">
        <v>2</v>
      </c>
      <c r="G405" s="42"/>
      <c r="H405" s="42"/>
      <c r="I405" s="46"/>
      <c r="J405" s="46"/>
      <c r="K405" s="46">
        <v>2</v>
      </c>
      <c r="L405" s="47"/>
      <c r="M405"/>
      <c r="N405"/>
      <c r="O405"/>
    </row>
    <row r="406" spans="3:15" ht="96" x14ac:dyDescent="0.3">
      <c r="C406" s="90" t="s">
        <v>959</v>
      </c>
      <c r="D406" s="87" t="s">
        <v>960</v>
      </c>
      <c r="E406" s="90" t="s">
        <v>68</v>
      </c>
      <c r="F406" s="89">
        <v>23</v>
      </c>
      <c r="G406" s="42"/>
      <c r="H406" s="42"/>
      <c r="I406" s="46"/>
      <c r="J406" s="46"/>
      <c r="K406" s="46"/>
      <c r="L406" s="47">
        <v>23</v>
      </c>
      <c r="M406"/>
      <c r="N406"/>
      <c r="O406"/>
    </row>
    <row r="407" spans="3:15" ht="60" x14ac:dyDescent="0.3">
      <c r="C407" s="90" t="s">
        <v>962</v>
      </c>
      <c r="D407" s="87" t="s">
        <v>963</v>
      </c>
      <c r="E407" s="90" t="s">
        <v>68</v>
      </c>
      <c r="F407" s="89">
        <v>1</v>
      </c>
      <c r="G407" s="42"/>
      <c r="H407" s="42"/>
      <c r="I407" s="46"/>
      <c r="J407" s="46"/>
      <c r="K407" s="46"/>
      <c r="L407" s="47">
        <v>1</v>
      </c>
      <c r="M407"/>
      <c r="N407"/>
      <c r="O407"/>
    </row>
    <row r="408" spans="3:15" ht="48" x14ac:dyDescent="0.3">
      <c r="C408" s="90" t="s">
        <v>965</v>
      </c>
      <c r="D408" s="87" t="s">
        <v>966</v>
      </c>
      <c r="E408" s="90" t="s">
        <v>68</v>
      </c>
      <c r="F408" s="89">
        <v>2</v>
      </c>
      <c r="G408" s="42"/>
      <c r="H408" s="42"/>
      <c r="I408" s="46"/>
      <c r="J408" s="46"/>
      <c r="K408" s="46"/>
      <c r="L408" s="47">
        <v>2</v>
      </c>
      <c r="M408"/>
      <c r="N408"/>
      <c r="O408"/>
    </row>
    <row r="409" spans="3:15" ht="96" x14ac:dyDescent="0.3">
      <c r="C409" s="90" t="s">
        <v>968</v>
      </c>
      <c r="D409" s="87" t="s">
        <v>969</v>
      </c>
      <c r="E409" s="90" t="s">
        <v>68</v>
      </c>
      <c r="F409" s="89">
        <v>3</v>
      </c>
      <c r="G409" s="42"/>
      <c r="H409" s="42"/>
      <c r="I409" s="46"/>
      <c r="J409" s="46"/>
      <c r="K409" s="46"/>
      <c r="L409" s="47">
        <v>3</v>
      </c>
      <c r="M409"/>
      <c r="N409"/>
      <c r="O409"/>
    </row>
    <row r="410" spans="3:15" ht="60" x14ac:dyDescent="0.3">
      <c r="C410" s="90" t="s">
        <v>971</v>
      </c>
      <c r="D410" s="87" t="s">
        <v>972</v>
      </c>
      <c r="E410" s="90" t="s">
        <v>68</v>
      </c>
      <c r="F410" s="89">
        <v>46</v>
      </c>
      <c r="G410" s="42"/>
      <c r="H410" s="42"/>
      <c r="I410" s="46"/>
      <c r="J410" s="46"/>
      <c r="K410" s="46">
        <v>46</v>
      </c>
      <c r="L410" s="47"/>
      <c r="M410"/>
      <c r="N410"/>
      <c r="O410"/>
    </row>
    <row r="411" spans="3:15" ht="60" x14ac:dyDescent="0.3">
      <c r="C411" s="90" t="s">
        <v>974</v>
      </c>
      <c r="D411" s="87" t="s">
        <v>975</v>
      </c>
      <c r="E411" s="90" t="s">
        <v>976</v>
      </c>
      <c r="F411" s="89">
        <v>42</v>
      </c>
      <c r="G411" s="42"/>
      <c r="H411" s="42"/>
      <c r="I411" s="46"/>
      <c r="J411" s="46"/>
      <c r="K411" s="46"/>
      <c r="L411" s="47">
        <v>42</v>
      </c>
      <c r="M411"/>
      <c r="N411"/>
      <c r="O411"/>
    </row>
    <row r="412" spans="3:15" ht="72" x14ac:dyDescent="0.3">
      <c r="C412" s="90" t="s">
        <v>978</v>
      </c>
      <c r="D412" s="87" t="s">
        <v>979</v>
      </c>
      <c r="E412" s="90" t="s">
        <v>68</v>
      </c>
      <c r="F412" s="89">
        <v>5</v>
      </c>
      <c r="G412" s="42"/>
      <c r="H412" s="42"/>
      <c r="I412" s="46"/>
      <c r="J412" s="46"/>
      <c r="K412" s="46">
        <v>5</v>
      </c>
      <c r="L412" s="47"/>
      <c r="M412"/>
      <c r="N412"/>
      <c r="O412"/>
    </row>
    <row r="413" spans="3:15" ht="60" x14ac:dyDescent="0.3">
      <c r="C413" s="90" t="s">
        <v>981</v>
      </c>
      <c r="D413" s="87" t="s">
        <v>982</v>
      </c>
      <c r="E413" s="90" t="s">
        <v>68</v>
      </c>
      <c r="F413" s="89">
        <v>6</v>
      </c>
      <c r="G413" s="42"/>
      <c r="H413" s="42"/>
      <c r="I413" s="46"/>
      <c r="J413" s="46"/>
      <c r="K413" s="46">
        <v>6</v>
      </c>
      <c r="L413" s="47"/>
      <c r="M413"/>
      <c r="N413"/>
      <c r="O413"/>
    </row>
    <row r="414" spans="3:15" ht="60" x14ac:dyDescent="0.3">
      <c r="C414" s="90" t="s">
        <v>984</v>
      </c>
      <c r="D414" s="87" t="s">
        <v>985</v>
      </c>
      <c r="E414" s="90" t="s">
        <v>68</v>
      </c>
      <c r="F414" s="89">
        <v>1</v>
      </c>
      <c r="G414" s="42"/>
      <c r="H414" s="42"/>
      <c r="I414" s="46"/>
      <c r="J414" s="46"/>
      <c r="K414" s="46">
        <v>1</v>
      </c>
      <c r="L414" s="47"/>
      <c r="M414"/>
      <c r="N414"/>
      <c r="O414"/>
    </row>
    <row r="415" spans="3:15" ht="60" x14ac:dyDescent="0.3">
      <c r="C415" s="90" t="s">
        <v>987</v>
      </c>
      <c r="D415" s="87" t="s">
        <v>988</v>
      </c>
      <c r="E415" s="90" t="s">
        <v>68</v>
      </c>
      <c r="F415" s="89">
        <v>1</v>
      </c>
      <c r="G415" s="42"/>
      <c r="H415" s="42"/>
      <c r="I415" s="46"/>
      <c r="J415" s="46"/>
      <c r="K415" s="46">
        <v>1</v>
      </c>
      <c r="L415" s="47"/>
      <c r="M415"/>
      <c r="N415"/>
      <c r="O415"/>
    </row>
    <row r="416" spans="3:15" ht="72" x14ac:dyDescent="0.3">
      <c r="C416" s="90" t="s">
        <v>990</v>
      </c>
      <c r="D416" s="87" t="s">
        <v>991</v>
      </c>
      <c r="E416" s="90" t="s">
        <v>68</v>
      </c>
      <c r="F416" s="89">
        <v>1</v>
      </c>
      <c r="G416" s="42"/>
      <c r="H416" s="42"/>
      <c r="I416" s="46"/>
      <c r="J416" s="46"/>
      <c r="K416" s="46">
        <v>1</v>
      </c>
      <c r="L416" s="47"/>
      <c r="M416"/>
      <c r="N416"/>
      <c r="O416"/>
    </row>
    <row r="417" spans="3:15" ht="36" x14ac:dyDescent="0.3">
      <c r="C417" s="90" t="s">
        <v>993</v>
      </c>
      <c r="D417" s="87" t="s">
        <v>994</v>
      </c>
      <c r="E417" s="90" t="s">
        <v>995</v>
      </c>
      <c r="F417" s="89">
        <v>2</v>
      </c>
      <c r="G417" s="42"/>
      <c r="H417" s="42"/>
      <c r="I417" s="46"/>
      <c r="J417" s="46"/>
      <c r="K417" s="46">
        <v>2</v>
      </c>
      <c r="L417" s="47"/>
      <c r="M417"/>
      <c r="N417"/>
      <c r="O417"/>
    </row>
    <row r="418" spans="3:15" ht="36" x14ac:dyDescent="0.3">
      <c r="C418" s="90" t="s">
        <v>997</v>
      </c>
      <c r="D418" s="87" t="s">
        <v>998</v>
      </c>
      <c r="E418" s="90" t="s">
        <v>995</v>
      </c>
      <c r="F418" s="89">
        <v>2</v>
      </c>
      <c r="G418" s="42"/>
      <c r="H418" s="42"/>
      <c r="I418" s="46"/>
      <c r="J418" s="46"/>
      <c r="K418" s="46">
        <v>2</v>
      </c>
      <c r="L418" s="47"/>
      <c r="M418"/>
      <c r="N418"/>
      <c r="O418"/>
    </row>
    <row r="419" spans="3:15" ht="60" x14ac:dyDescent="0.3">
      <c r="C419" s="90" t="s">
        <v>1000</v>
      </c>
      <c r="D419" s="87" t="s">
        <v>1001</v>
      </c>
      <c r="E419" s="90" t="s">
        <v>68</v>
      </c>
      <c r="F419" s="89">
        <v>1</v>
      </c>
      <c r="G419" s="42"/>
      <c r="H419" s="42"/>
      <c r="I419" s="46"/>
      <c r="J419" s="46"/>
      <c r="K419" s="46">
        <v>1</v>
      </c>
      <c r="L419" s="47"/>
      <c r="M419"/>
      <c r="N419"/>
      <c r="O419"/>
    </row>
    <row r="420" spans="3:15" ht="60" x14ac:dyDescent="0.3">
      <c r="C420" s="90" t="s">
        <v>1003</v>
      </c>
      <c r="D420" s="87" t="s">
        <v>1004</v>
      </c>
      <c r="E420" s="90" t="s">
        <v>68</v>
      </c>
      <c r="F420" s="89">
        <v>204</v>
      </c>
      <c r="G420" s="42"/>
      <c r="H420" s="42"/>
      <c r="I420" s="46"/>
      <c r="J420" s="46"/>
      <c r="K420" s="46"/>
      <c r="L420" s="47">
        <v>204</v>
      </c>
      <c r="M420"/>
      <c r="N420"/>
      <c r="O420"/>
    </row>
    <row r="421" spans="3:15" ht="60" x14ac:dyDescent="0.3">
      <c r="C421" s="90" t="s">
        <v>1006</v>
      </c>
      <c r="D421" s="87" t="s">
        <v>1007</v>
      </c>
      <c r="E421" s="90" t="s">
        <v>68</v>
      </c>
      <c r="F421" s="89">
        <v>126</v>
      </c>
      <c r="G421" s="42"/>
      <c r="H421" s="42"/>
      <c r="I421" s="46"/>
      <c r="J421" s="46"/>
      <c r="K421" s="46"/>
      <c r="L421" s="47">
        <v>126</v>
      </c>
      <c r="M421"/>
      <c r="N421"/>
      <c r="O421"/>
    </row>
    <row r="422" spans="3:15" ht="72" x14ac:dyDescent="0.3">
      <c r="C422" s="90" t="s">
        <v>1009</v>
      </c>
      <c r="D422" s="87" t="s">
        <v>1010</v>
      </c>
      <c r="E422" s="90" t="s">
        <v>68</v>
      </c>
      <c r="F422" s="89">
        <v>10</v>
      </c>
      <c r="G422" s="42"/>
      <c r="H422" s="42"/>
      <c r="I422" s="46"/>
      <c r="J422" s="46"/>
      <c r="K422" s="46"/>
      <c r="L422" s="47">
        <v>10</v>
      </c>
      <c r="M422"/>
      <c r="N422"/>
      <c r="O422"/>
    </row>
    <row r="423" spans="3:15" ht="60" x14ac:dyDescent="0.3">
      <c r="C423" s="90" t="s">
        <v>1012</v>
      </c>
      <c r="D423" s="87" t="s">
        <v>1013</v>
      </c>
      <c r="E423" s="90" t="s">
        <v>68</v>
      </c>
      <c r="F423" s="89">
        <v>8</v>
      </c>
      <c r="G423" s="42"/>
      <c r="H423" s="42"/>
      <c r="I423" s="46"/>
      <c r="J423" s="46"/>
      <c r="K423" s="46"/>
      <c r="L423" s="47">
        <v>8</v>
      </c>
      <c r="M423"/>
      <c r="N423"/>
      <c r="O423"/>
    </row>
    <row r="424" spans="3:15" ht="72" x14ac:dyDescent="0.3">
      <c r="C424" s="90" t="s">
        <v>1015</v>
      </c>
      <c r="D424" s="87" t="s">
        <v>1016</v>
      </c>
      <c r="E424" s="90" t="s">
        <v>68</v>
      </c>
      <c r="F424" s="89">
        <v>24</v>
      </c>
      <c r="G424" s="42"/>
      <c r="H424" s="42"/>
      <c r="I424" s="46"/>
      <c r="J424" s="46"/>
      <c r="K424" s="46"/>
      <c r="L424" s="47">
        <v>24</v>
      </c>
      <c r="M424"/>
      <c r="N424"/>
      <c r="O424"/>
    </row>
    <row r="425" spans="3:15" ht="72" x14ac:dyDescent="0.3">
      <c r="C425" s="90" t="s">
        <v>1018</v>
      </c>
      <c r="D425" s="87" t="s">
        <v>1019</v>
      </c>
      <c r="E425" s="90" t="s">
        <v>68</v>
      </c>
      <c r="F425" s="89">
        <v>24</v>
      </c>
      <c r="G425" s="42"/>
      <c r="H425" s="42"/>
      <c r="I425" s="46"/>
      <c r="J425" s="46"/>
      <c r="K425" s="46"/>
      <c r="L425" s="47">
        <v>24</v>
      </c>
      <c r="M425"/>
      <c r="N425"/>
      <c r="O425"/>
    </row>
    <row r="426" spans="3:15" ht="72" x14ac:dyDescent="0.3">
      <c r="C426" s="90" t="s">
        <v>1021</v>
      </c>
      <c r="D426" s="87" t="s">
        <v>1022</v>
      </c>
      <c r="E426" s="90" t="s">
        <v>68</v>
      </c>
      <c r="F426" s="89">
        <v>72</v>
      </c>
      <c r="G426" s="42"/>
      <c r="H426" s="42"/>
      <c r="I426" s="46"/>
      <c r="J426" s="46"/>
      <c r="K426" s="46"/>
      <c r="L426" s="47">
        <v>72</v>
      </c>
      <c r="M426"/>
      <c r="N426"/>
      <c r="O426"/>
    </row>
    <row r="427" spans="3:15" ht="84" x14ac:dyDescent="0.3">
      <c r="C427" s="90" t="s">
        <v>1023</v>
      </c>
      <c r="D427" s="87" t="s">
        <v>1024</v>
      </c>
      <c r="E427" s="90" t="s">
        <v>68</v>
      </c>
      <c r="F427" s="89">
        <v>8</v>
      </c>
      <c r="G427" s="42"/>
      <c r="H427" s="42"/>
      <c r="I427" s="46"/>
      <c r="J427" s="46"/>
      <c r="K427" s="46">
        <v>8</v>
      </c>
      <c r="L427" s="47"/>
      <c r="M427"/>
      <c r="N427"/>
      <c r="O427"/>
    </row>
    <row r="428" spans="3:15" ht="72" x14ac:dyDescent="0.3">
      <c r="C428" s="90" t="s">
        <v>1026</v>
      </c>
      <c r="D428" s="87" t="s">
        <v>1027</v>
      </c>
      <c r="E428" s="90" t="s">
        <v>68</v>
      </c>
      <c r="F428" s="89">
        <v>130</v>
      </c>
      <c r="G428" s="42"/>
      <c r="H428" s="42"/>
      <c r="I428" s="46"/>
      <c r="J428" s="46"/>
      <c r="K428" s="46">
        <v>130</v>
      </c>
      <c r="L428" s="47"/>
      <c r="M428"/>
      <c r="N428"/>
      <c r="O428"/>
    </row>
    <row r="429" spans="3:15" ht="84" x14ac:dyDescent="0.3">
      <c r="C429" s="90" t="s">
        <v>1029</v>
      </c>
      <c r="D429" s="87" t="s">
        <v>1030</v>
      </c>
      <c r="E429" s="90" t="s">
        <v>68</v>
      </c>
      <c r="F429" s="89">
        <v>172</v>
      </c>
      <c r="G429" s="42"/>
      <c r="H429" s="42"/>
      <c r="I429" s="46"/>
      <c r="J429" s="46"/>
      <c r="K429" s="46">
        <v>172</v>
      </c>
      <c r="L429" s="47"/>
      <c r="M429"/>
      <c r="N429"/>
      <c r="O429"/>
    </row>
    <row r="430" spans="3:15" ht="84" x14ac:dyDescent="0.3">
      <c r="C430" s="90" t="s">
        <v>1032</v>
      </c>
      <c r="D430" s="87" t="s">
        <v>1033</v>
      </c>
      <c r="E430" s="90" t="s">
        <v>68</v>
      </c>
      <c r="F430" s="89">
        <v>204</v>
      </c>
      <c r="G430" s="42"/>
      <c r="H430" s="42"/>
      <c r="I430" s="46"/>
      <c r="J430" s="46"/>
      <c r="K430" s="46">
        <v>204</v>
      </c>
      <c r="L430" s="47"/>
      <c r="M430"/>
      <c r="N430"/>
      <c r="O430"/>
    </row>
    <row r="431" spans="3:15" ht="72" x14ac:dyDescent="0.3">
      <c r="C431" s="90" t="s">
        <v>1035</v>
      </c>
      <c r="D431" s="87" t="s">
        <v>1036</v>
      </c>
      <c r="E431" s="90" t="s">
        <v>68</v>
      </c>
      <c r="F431" s="89">
        <v>12</v>
      </c>
      <c r="G431" s="42"/>
      <c r="H431" s="42"/>
      <c r="I431" s="46"/>
      <c r="J431" s="46"/>
      <c r="K431" s="46">
        <v>12</v>
      </c>
      <c r="L431" s="47"/>
      <c r="M431"/>
      <c r="N431"/>
      <c r="O431"/>
    </row>
    <row r="432" spans="3:15" ht="84" x14ac:dyDescent="0.3">
      <c r="C432" s="90" t="s">
        <v>1038</v>
      </c>
      <c r="D432" s="87" t="s">
        <v>1039</v>
      </c>
      <c r="E432" s="90" t="s">
        <v>68</v>
      </c>
      <c r="F432" s="89">
        <v>144</v>
      </c>
      <c r="G432" s="42"/>
      <c r="H432" s="42"/>
      <c r="I432" s="46"/>
      <c r="J432" s="46"/>
      <c r="K432" s="46">
        <v>144</v>
      </c>
      <c r="L432" s="47"/>
      <c r="M432"/>
      <c r="N432"/>
      <c r="O432"/>
    </row>
    <row r="433" spans="3:15" ht="84" x14ac:dyDescent="0.3">
      <c r="C433" s="90" t="s">
        <v>1041</v>
      </c>
      <c r="D433" s="87" t="s">
        <v>1042</v>
      </c>
      <c r="E433" s="90" t="s">
        <v>68</v>
      </c>
      <c r="F433" s="89">
        <v>48</v>
      </c>
      <c r="G433" s="42"/>
      <c r="H433" s="42"/>
      <c r="I433" s="46"/>
      <c r="J433" s="46"/>
      <c r="K433" s="46">
        <v>48</v>
      </c>
      <c r="L433" s="47"/>
      <c r="M433"/>
      <c r="N433"/>
      <c r="O433"/>
    </row>
    <row r="434" spans="3:15" ht="84" x14ac:dyDescent="0.3">
      <c r="C434" s="90" t="s">
        <v>1044</v>
      </c>
      <c r="D434" s="87" t="s">
        <v>1045</v>
      </c>
      <c r="E434" s="90" t="s">
        <v>68</v>
      </c>
      <c r="F434" s="89">
        <v>8</v>
      </c>
      <c r="G434" s="42"/>
      <c r="H434" s="42"/>
      <c r="I434" s="46"/>
      <c r="J434" s="46"/>
      <c r="K434" s="46">
        <v>8</v>
      </c>
      <c r="L434" s="47"/>
      <c r="M434"/>
      <c r="N434"/>
      <c r="O434"/>
    </row>
    <row r="435" spans="3:15" ht="84" x14ac:dyDescent="0.3">
      <c r="C435" s="90" t="s">
        <v>1047</v>
      </c>
      <c r="D435" s="87" t="s">
        <v>1048</v>
      </c>
      <c r="E435" s="90" t="s">
        <v>68</v>
      </c>
      <c r="F435" s="89">
        <v>16</v>
      </c>
      <c r="G435" s="42"/>
      <c r="H435" s="42"/>
      <c r="I435" s="46"/>
      <c r="J435" s="46"/>
      <c r="K435" s="46">
        <v>16</v>
      </c>
      <c r="L435" s="47"/>
      <c r="M435"/>
      <c r="N435"/>
      <c r="O435"/>
    </row>
    <row r="436" spans="3:15" ht="84" x14ac:dyDescent="0.3">
      <c r="C436" s="90" t="s">
        <v>1050</v>
      </c>
      <c r="D436" s="87" t="s">
        <v>1051</v>
      </c>
      <c r="E436" s="90" t="s">
        <v>68</v>
      </c>
      <c r="F436" s="89">
        <v>20</v>
      </c>
      <c r="G436" s="42"/>
      <c r="H436" s="42"/>
      <c r="I436" s="46"/>
      <c r="J436" s="46"/>
      <c r="K436" s="46">
        <v>20</v>
      </c>
      <c r="L436" s="47"/>
      <c r="M436"/>
      <c r="N436"/>
      <c r="O436"/>
    </row>
    <row r="437" spans="3:15" ht="84" x14ac:dyDescent="0.3">
      <c r="C437" s="90" t="s">
        <v>1053</v>
      </c>
      <c r="D437" s="87" t="s">
        <v>1054</v>
      </c>
      <c r="E437" s="90" t="s">
        <v>68</v>
      </c>
      <c r="F437" s="89">
        <v>12</v>
      </c>
      <c r="G437" s="42"/>
      <c r="H437" s="42"/>
      <c r="I437" s="46"/>
      <c r="J437" s="46"/>
      <c r="K437" s="46">
        <v>12</v>
      </c>
      <c r="L437" s="47"/>
      <c r="M437"/>
      <c r="N437"/>
      <c r="O437"/>
    </row>
    <row r="438" spans="3:15" ht="72" x14ac:dyDescent="0.3">
      <c r="C438" s="90" t="s">
        <v>1056</v>
      </c>
      <c r="D438" s="87" t="s">
        <v>1057</v>
      </c>
      <c r="E438" s="90" t="s">
        <v>68</v>
      </c>
      <c r="F438" s="89">
        <v>18</v>
      </c>
      <c r="G438" s="42"/>
      <c r="H438" s="42"/>
      <c r="I438" s="46"/>
      <c r="J438" s="46"/>
      <c r="K438" s="46">
        <v>18</v>
      </c>
      <c r="L438" s="47"/>
      <c r="M438"/>
      <c r="N438"/>
      <c r="O438"/>
    </row>
    <row r="439" spans="3:15" ht="72" x14ac:dyDescent="0.3">
      <c r="C439" s="90" t="s">
        <v>1059</v>
      </c>
      <c r="D439" s="87" t="s">
        <v>1060</v>
      </c>
      <c r="E439" s="90" t="s">
        <v>68</v>
      </c>
      <c r="F439" s="89">
        <v>3</v>
      </c>
      <c r="G439" s="42"/>
      <c r="H439" s="42"/>
      <c r="I439" s="46"/>
      <c r="J439" s="46"/>
      <c r="K439" s="46">
        <v>3</v>
      </c>
      <c r="L439" s="47"/>
      <c r="M439"/>
      <c r="N439"/>
      <c r="O439"/>
    </row>
    <row r="440" spans="3:15" ht="72" x14ac:dyDescent="0.3">
      <c r="C440" s="90" t="s">
        <v>1062</v>
      </c>
      <c r="D440" s="87" t="s">
        <v>1063</v>
      </c>
      <c r="E440" s="90" t="s">
        <v>68</v>
      </c>
      <c r="F440" s="89">
        <v>21</v>
      </c>
      <c r="G440" s="42"/>
      <c r="H440" s="42"/>
      <c r="I440" s="46"/>
      <c r="J440" s="46"/>
      <c r="K440" s="46">
        <v>21</v>
      </c>
      <c r="L440" s="47"/>
      <c r="M440"/>
      <c r="N440"/>
      <c r="O440"/>
    </row>
    <row r="441" spans="3:15" ht="72" x14ac:dyDescent="0.3">
      <c r="C441" s="90" t="s">
        <v>1065</v>
      </c>
      <c r="D441" s="87" t="s">
        <v>1066</v>
      </c>
      <c r="E441" s="90" t="s">
        <v>68</v>
      </c>
      <c r="F441" s="89">
        <v>6</v>
      </c>
      <c r="G441" s="42"/>
      <c r="H441" s="42"/>
      <c r="I441" s="46"/>
      <c r="J441" s="46"/>
      <c r="K441" s="46">
        <v>6</v>
      </c>
      <c r="L441" s="47"/>
      <c r="M441"/>
      <c r="N441"/>
      <c r="O441"/>
    </row>
    <row r="442" spans="3:15" ht="72" x14ac:dyDescent="0.3">
      <c r="C442" s="90" t="s">
        <v>1068</v>
      </c>
      <c r="D442" s="87" t="s">
        <v>1069</v>
      </c>
      <c r="E442" s="90" t="s">
        <v>68</v>
      </c>
      <c r="F442" s="89">
        <v>1</v>
      </c>
      <c r="G442" s="42"/>
      <c r="H442" s="42"/>
      <c r="I442" s="46"/>
      <c r="J442" s="46"/>
      <c r="K442" s="46">
        <v>1</v>
      </c>
      <c r="L442" s="47"/>
      <c r="M442"/>
      <c r="N442"/>
      <c r="O442"/>
    </row>
    <row r="443" spans="3:15" ht="72" x14ac:dyDescent="0.3">
      <c r="C443" s="90" t="s">
        <v>1071</v>
      </c>
      <c r="D443" s="87" t="s">
        <v>1072</v>
      </c>
      <c r="E443" s="90" t="s">
        <v>68</v>
      </c>
      <c r="F443" s="89">
        <v>2</v>
      </c>
      <c r="G443" s="42"/>
      <c r="H443" s="42"/>
      <c r="I443" s="46"/>
      <c r="J443" s="46"/>
      <c r="K443" s="46">
        <v>2</v>
      </c>
      <c r="L443" s="47"/>
      <c r="M443"/>
      <c r="N443"/>
      <c r="O443"/>
    </row>
    <row r="444" spans="3:15" ht="72" x14ac:dyDescent="0.3">
      <c r="C444" s="90" t="s">
        <v>1074</v>
      </c>
      <c r="D444" s="87" t="s">
        <v>1075</v>
      </c>
      <c r="E444" s="90" t="s">
        <v>68</v>
      </c>
      <c r="F444" s="89">
        <v>2</v>
      </c>
      <c r="G444" s="42"/>
      <c r="H444" s="42"/>
      <c r="I444" s="46"/>
      <c r="J444" s="46"/>
      <c r="K444" s="46">
        <v>2</v>
      </c>
      <c r="L444" s="47"/>
      <c r="M444"/>
      <c r="N444"/>
      <c r="O444"/>
    </row>
    <row r="445" spans="3:15" ht="72" x14ac:dyDescent="0.3">
      <c r="C445" s="90" t="s">
        <v>1077</v>
      </c>
      <c r="D445" s="87" t="s">
        <v>1078</v>
      </c>
      <c r="E445" s="90" t="s">
        <v>68</v>
      </c>
      <c r="F445" s="89">
        <v>2</v>
      </c>
      <c r="G445" s="42"/>
      <c r="H445" s="42"/>
      <c r="I445" s="46"/>
      <c r="J445" s="46"/>
      <c r="K445" s="46">
        <v>2</v>
      </c>
      <c r="L445" s="47"/>
      <c r="M445"/>
      <c r="N445"/>
      <c r="O445"/>
    </row>
    <row r="446" spans="3:15" ht="72" x14ac:dyDescent="0.3">
      <c r="C446" s="90" t="s">
        <v>1080</v>
      </c>
      <c r="D446" s="87" t="s">
        <v>1081</v>
      </c>
      <c r="E446" s="90" t="s">
        <v>68</v>
      </c>
      <c r="F446" s="89">
        <v>4</v>
      </c>
      <c r="G446" s="42"/>
      <c r="H446" s="42"/>
      <c r="I446" s="46"/>
      <c r="J446" s="46"/>
      <c r="K446" s="46">
        <v>4</v>
      </c>
      <c r="L446" s="47"/>
      <c r="M446"/>
      <c r="N446"/>
      <c r="O446"/>
    </row>
    <row r="447" spans="3:15" ht="96" x14ac:dyDescent="0.3">
      <c r="C447" s="90" t="s">
        <v>1083</v>
      </c>
      <c r="D447" s="87" t="s">
        <v>1084</v>
      </c>
      <c r="E447" s="90" t="s">
        <v>68</v>
      </c>
      <c r="F447" s="89">
        <v>41</v>
      </c>
      <c r="G447" s="42"/>
      <c r="H447" s="42"/>
      <c r="I447" s="46"/>
      <c r="J447" s="46"/>
      <c r="K447" s="46">
        <v>41</v>
      </c>
      <c r="L447" s="47"/>
      <c r="M447"/>
      <c r="N447"/>
      <c r="O447"/>
    </row>
    <row r="448" spans="3:15" ht="96" x14ac:dyDescent="0.3">
      <c r="C448" s="90" t="s">
        <v>1086</v>
      </c>
      <c r="D448" s="87" t="s">
        <v>1087</v>
      </c>
      <c r="E448" s="90" t="s">
        <v>68</v>
      </c>
      <c r="F448" s="89">
        <v>1</v>
      </c>
      <c r="G448" s="42"/>
      <c r="H448" s="42"/>
      <c r="I448" s="46"/>
      <c r="J448" s="46"/>
      <c r="K448" s="46">
        <v>1</v>
      </c>
      <c r="L448" s="47"/>
      <c r="M448"/>
      <c r="N448"/>
      <c r="O448"/>
    </row>
    <row r="449" spans="3:15" ht="96" x14ac:dyDescent="0.3">
      <c r="C449" s="90" t="s">
        <v>1089</v>
      </c>
      <c r="D449" s="87" t="s">
        <v>1090</v>
      </c>
      <c r="E449" s="90" t="s">
        <v>68</v>
      </c>
      <c r="F449" s="89">
        <v>2</v>
      </c>
      <c r="G449" s="42"/>
      <c r="H449" s="42"/>
      <c r="I449" s="46"/>
      <c r="J449" s="46"/>
      <c r="K449" s="46">
        <v>2</v>
      </c>
      <c r="L449" s="47"/>
      <c r="M449"/>
      <c r="N449"/>
      <c r="O449"/>
    </row>
    <row r="450" spans="3:15" ht="108" x14ac:dyDescent="0.3">
      <c r="C450" s="90" t="s">
        <v>1092</v>
      </c>
      <c r="D450" s="87" t="s">
        <v>1093</v>
      </c>
      <c r="E450" s="90" t="s">
        <v>68</v>
      </c>
      <c r="F450" s="89">
        <v>3</v>
      </c>
      <c r="G450" s="42"/>
      <c r="H450" s="42"/>
      <c r="I450" s="46"/>
      <c r="J450" s="46"/>
      <c r="K450" s="46">
        <v>3</v>
      </c>
      <c r="L450" s="47"/>
      <c r="M450"/>
      <c r="N450"/>
      <c r="O450"/>
    </row>
    <row r="451" spans="3:15" ht="108" x14ac:dyDescent="0.3">
      <c r="C451" s="90" t="s">
        <v>1095</v>
      </c>
      <c r="D451" s="87" t="s">
        <v>1096</v>
      </c>
      <c r="E451" s="90" t="s">
        <v>68</v>
      </c>
      <c r="F451" s="89">
        <v>10</v>
      </c>
      <c r="G451" s="42"/>
      <c r="H451" s="42"/>
      <c r="I451" s="46"/>
      <c r="J451" s="46"/>
      <c r="K451" s="46"/>
      <c r="L451" s="47">
        <v>10</v>
      </c>
      <c r="M451"/>
      <c r="N451"/>
      <c r="O451"/>
    </row>
    <row r="452" spans="3:15" ht="183.6" x14ac:dyDescent="0.3">
      <c r="C452" s="90" t="s">
        <v>1098</v>
      </c>
      <c r="D452" s="28" t="s">
        <v>1099</v>
      </c>
      <c r="E452" s="90" t="s">
        <v>68</v>
      </c>
      <c r="F452" s="89">
        <v>14</v>
      </c>
      <c r="G452" s="42"/>
      <c r="H452" s="42"/>
      <c r="I452" s="46"/>
      <c r="J452" s="46"/>
      <c r="K452" s="46"/>
      <c r="L452" s="47">
        <v>14</v>
      </c>
      <c r="M452"/>
      <c r="N452"/>
      <c r="O452"/>
    </row>
    <row r="453" spans="3:15" ht="72" x14ac:dyDescent="0.3">
      <c r="C453" s="90" t="s">
        <v>1101</v>
      </c>
      <c r="D453" s="87" t="s">
        <v>1102</v>
      </c>
      <c r="E453" s="90" t="s">
        <v>68</v>
      </c>
      <c r="F453" s="89">
        <v>6</v>
      </c>
      <c r="G453" s="42"/>
      <c r="H453" s="42"/>
      <c r="I453" s="46"/>
      <c r="J453" s="46"/>
      <c r="K453" s="46"/>
      <c r="L453" s="47">
        <v>6</v>
      </c>
      <c r="M453"/>
      <c r="N453"/>
      <c r="O453"/>
    </row>
    <row r="454" spans="3:15" ht="96" x14ac:dyDescent="0.3">
      <c r="C454" s="90" t="s">
        <v>1104</v>
      </c>
      <c r="D454" s="87" t="s">
        <v>1105</v>
      </c>
      <c r="E454" s="90" t="s">
        <v>68</v>
      </c>
      <c r="F454" s="89">
        <v>19</v>
      </c>
      <c r="G454" s="42"/>
      <c r="H454" s="42"/>
      <c r="I454" s="46"/>
      <c r="J454" s="46"/>
      <c r="K454" s="46"/>
      <c r="L454" s="47">
        <v>19</v>
      </c>
      <c r="M454"/>
      <c r="N454"/>
      <c r="O454"/>
    </row>
    <row r="455" spans="3:15" ht="84" x14ac:dyDescent="0.3">
      <c r="C455" s="90" t="s">
        <v>1107</v>
      </c>
      <c r="D455" s="87" t="s">
        <v>1108</v>
      </c>
      <c r="E455" s="90" t="s">
        <v>68</v>
      </c>
      <c r="F455" s="89">
        <v>6</v>
      </c>
      <c r="G455" s="42"/>
      <c r="H455" s="42"/>
      <c r="I455" s="46"/>
      <c r="J455" s="46"/>
      <c r="K455" s="46"/>
      <c r="L455" s="47">
        <v>6</v>
      </c>
      <c r="M455"/>
      <c r="N455"/>
      <c r="O455"/>
    </row>
    <row r="456" spans="3:15" ht="84" x14ac:dyDescent="0.3">
      <c r="C456" s="90" t="s">
        <v>1110</v>
      </c>
      <c r="D456" s="87" t="s">
        <v>1111</v>
      </c>
      <c r="E456" s="90" t="s">
        <v>68</v>
      </c>
      <c r="F456" s="89">
        <v>3</v>
      </c>
      <c r="G456" s="42"/>
      <c r="H456" s="42"/>
      <c r="I456" s="46"/>
      <c r="J456" s="46"/>
      <c r="K456" s="46"/>
      <c r="L456" s="47">
        <v>3</v>
      </c>
      <c r="M456"/>
      <c r="N456"/>
      <c r="O456"/>
    </row>
    <row r="457" spans="3:15" ht="96" x14ac:dyDescent="0.3">
      <c r="C457" s="90" t="s">
        <v>1113</v>
      </c>
      <c r="D457" s="87" t="s">
        <v>1114</v>
      </c>
      <c r="E457" s="90" t="s">
        <v>68</v>
      </c>
      <c r="F457" s="89">
        <v>3</v>
      </c>
      <c r="G457" s="42"/>
      <c r="H457" s="42"/>
      <c r="I457" s="46"/>
      <c r="J457" s="46"/>
      <c r="K457" s="46"/>
      <c r="L457" s="47">
        <v>3</v>
      </c>
      <c r="M457"/>
      <c r="N457"/>
      <c r="O457"/>
    </row>
    <row r="458" spans="3:15" ht="84" x14ac:dyDescent="0.3">
      <c r="C458" s="90" t="s">
        <v>1116</v>
      </c>
      <c r="D458" s="87" t="s">
        <v>1117</v>
      </c>
      <c r="E458" s="90" t="s">
        <v>68</v>
      </c>
      <c r="F458" s="89">
        <v>12</v>
      </c>
      <c r="G458" s="42"/>
      <c r="H458" s="42"/>
      <c r="I458" s="46"/>
      <c r="J458" s="46"/>
      <c r="K458" s="46"/>
      <c r="L458" s="47">
        <v>12</v>
      </c>
      <c r="M458"/>
      <c r="N458"/>
      <c r="O458"/>
    </row>
    <row r="459" spans="3:15" ht="108" x14ac:dyDescent="0.3">
      <c r="C459" s="90" t="s">
        <v>1119</v>
      </c>
      <c r="D459" s="87" t="s">
        <v>1120</v>
      </c>
      <c r="E459" s="90" t="s">
        <v>68</v>
      </c>
      <c r="F459" s="89">
        <v>1</v>
      </c>
      <c r="G459" s="42"/>
      <c r="H459" s="42"/>
      <c r="I459" s="46"/>
      <c r="J459" s="46"/>
      <c r="K459" s="46"/>
      <c r="L459" s="47">
        <v>1</v>
      </c>
      <c r="M459"/>
      <c r="N459"/>
      <c r="O459"/>
    </row>
    <row r="460" spans="3:15" ht="60" x14ac:dyDescent="0.3">
      <c r="C460" s="90" t="s">
        <v>1122</v>
      </c>
      <c r="D460" s="87" t="s">
        <v>1123</v>
      </c>
      <c r="E460" s="90" t="s">
        <v>68</v>
      </c>
      <c r="F460" s="89">
        <v>2</v>
      </c>
      <c r="G460" s="42"/>
      <c r="H460" s="42"/>
      <c r="I460" s="46"/>
      <c r="J460" s="46"/>
      <c r="K460" s="46"/>
      <c r="L460" s="47">
        <v>2</v>
      </c>
      <c r="M460"/>
      <c r="N460"/>
      <c r="O460"/>
    </row>
    <row r="461" spans="3:15" ht="84" x14ac:dyDescent="0.3">
      <c r="C461" s="90" t="s">
        <v>1125</v>
      </c>
      <c r="D461" s="87" t="s">
        <v>1126</v>
      </c>
      <c r="E461" s="90" t="s">
        <v>68</v>
      </c>
      <c r="F461" s="89">
        <v>3</v>
      </c>
      <c r="G461" s="42"/>
      <c r="H461" s="42"/>
      <c r="I461" s="46"/>
      <c r="J461" s="46"/>
      <c r="K461" s="46"/>
      <c r="L461" s="47">
        <v>3</v>
      </c>
      <c r="M461"/>
      <c r="N461"/>
      <c r="O461"/>
    </row>
    <row r="462" spans="3:15" ht="48" x14ac:dyDescent="0.3">
      <c r="C462" s="90" t="s">
        <v>1128</v>
      </c>
      <c r="D462" s="87" t="s">
        <v>1129</v>
      </c>
      <c r="E462" s="90" t="s">
        <v>68</v>
      </c>
      <c r="F462" s="89">
        <v>14</v>
      </c>
      <c r="G462" s="42"/>
      <c r="H462" s="42"/>
      <c r="I462" s="46"/>
      <c r="J462" s="46"/>
      <c r="K462" s="46">
        <v>14</v>
      </c>
      <c r="L462" s="47"/>
      <c r="M462"/>
      <c r="N462"/>
      <c r="O462"/>
    </row>
    <row r="463" spans="3:15" ht="48" x14ac:dyDescent="0.3">
      <c r="C463" s="90" t="s">
        <v>1131</v>
      </c>
      <c r="D463" s="87" t="s">
        <v>1132</v>
      </c>
      <c r="E463" s="90" t="s">
        <v>68</v>
      </c>
      <c r="F463" s="89">
        <v>26</v>
      </c>
      <c r="G463" s="42"/>
      <c r="H463" s="42"/>
      <c r="I463" s="46"/>
      <c r="J463" s="46"/>
      <c r="K463" s="46">
        <v>26</v>
      </c>
      <c r="L463" s="47"/>
      <c r="M463"/>
      <c r="N463"/>
      <c r="O463"/>
    </row>
    <row r="464" spans="3:15" ht="48" x14ac:dyDescent="0.3">
      <c r="C464" s="90" t="s">
        <v>1134</v>
      </c>
      <c r="D464" s="87" t="s">
        <v>1135</v>
      </c>
      <c r="E464" s="90" t="s">
        <v>68</v>
      </c>
      <c r="F464" s="89">
        <v>8</v>
      </c>
      <c r="G464" s="42"/>
      <c r="H464" s="42"/>
      <c r="I464" s="46"/>
      <c r="J464" s="46"/>
      <c r="K464" s="46">
        <v>8</v>
      </c>
      <c r="L464" s="47"/>
      <c r="M464"/>
      <c r="N464"/>
      <c r="O464"/>
    </row>
    <row r="465" spans="3:15" ht="48" x14ac:dyDescent="0.3">
      <c r="C465" s="90" t="s">
        <v>1137</v>
      </c>
      <c r="D465" s="87" t="s">
        <v>1138</v>
      </c>
      <c r="E465" s="90" t="s">
        <v>68</v>
      </c>
      <c r="F465" s="89">
        <v>4</v>
      </c>
      <c r="G465" s="42"/>
      <c r="H465" s="42"/>
      <c r="I465" s="46"/>
      <c r="J465" s="46"/>
      <c r="K465" s="46">
        <v>4</v>
      </c>
      <c r="L465" s="47"/>
      <c r="M465"/>
      <c r="N465"/>
      <c r="O465"/>
    </row>
    <row r="466" spans="3:15" ht="48" x14ac:dyDescent="0.3">
      <c r="C466" s="90" t="s">
        <v>1140</v>
      </c>
      <c r="D466" s="87" t="s">
        <v>1141</v>
      </c>
      <c r="E466" s="90" t="s">
        <v>68</v>
      </c>
      <c r="F466" s="89">
        <v>2</v>
      </c>
      <c r="G466" s="42"/>
      <c r="H466" s="42"/>
      <c r="I466" s="46"/>
      <c r="J466" s="46"/>
      <c r="K466" s="46">
        <v>2</v>
      </c>
      <c r="L466" s="47"/>
      <c r="M466"/>
      <c r="N466"/>
      <c r="O466"/>
    </row>
    <row r="467" spans="3:15" ht="48" x14ac:dyDescent="0.3">
      <c r="C467" s="90" t="s">
        <v>1143</v>
      </c>
      <c r="D467" s="87" t="s">
        <v>1144</v>
      </c>
      <c r="E467" s="90" t="s">
        <v>68</v>
      </c>
      <c r="F467" s="89">
        <v>32</v>
      </c>
      <c r="G467" s="42"/>
      <c r="H467" s="42"/>
      <c r="I467" s="46"/>
      <c r="J467" s="46"/>
      <c r="K467" s="46">
        <v>32</v>
      </c>
      <c r="L467" s="47"/>
      <c r="M467"/>
      <c r="N467"/>
      <c r="O467"/>
    </row>
    <row r="468" spans="3:15" ht="48" x14ac:dyDescent="0.3">
      <c r="C468" s="90" t="s">
        <v>1146</v>
      </c>
      <c r="D468" s="87" t="s">
        <v>1147</v>
      </c>
      <c r="E468" s="90" t="s">
        <v>68</v>
      </c>
      <c r="F468" s="89">
        <v>5</v>
      </c>
      <c r="G468" s="42"/>
      <c r="H468" s="42"/>
      <c r="I468" s="46"/>
      <c r="J468" s="46"/>
      <c r="K468" s="46">
        <v>5</v>
      </c>
      <c r="L468" s="47"/>
      <c r="M468"/>
      <c r="N468"/>
      <c r="O468"/>
    </row>
    <row r="469" spans="3:15" ht="60" x14ac:dyDescent="0.3">
      <c r="C469" s="90" t="s">
        <v>1149</v>
      </c>
      <c r="D469" s="87" t="s">
        <v>1150</v>
      </c>
      <c r="E469" s="90" t="s">
        <v>68</v>
      </c>
      <c r="F469" s="89">
        <v>3</v>
      </c>
      <c r="G469" s="42"/>
      <c r="H469" s="42"/>
      <c r="I469" s="46"/>
      <c r="J469" s="46"/>
      <c r="K469" s="46">
        <v>3</v>
      </c>
      <c r="L469" s="47"/>
      <c r="M469"/>
      <c r="N469"/>
      <c r="O469"/>
    </row>
    <row r="470" spans="3:15" ht="60" x14ac:dyDescent="0.3">
      <c r="C470" s="90" t="s">
        <v>1152</v>
      </c>
      <c r="D470" s="87" t="s">
        <v>1153</v>
      </c>
      <c r="E470" s="90" t="s">
        <v>68</v>
      </c>
      <c r="F470" s="89">
        <v>3</v>
      </c>
      <c r="G470" s="42"/>
      <c r="H470" s="42"/>
      <c r="I470" s="46"/>
      <c r="J470" s="46"/>
      <c r="K470" s="46">
        <v>3</v>
      </c>
      <c r="L470" s="47"/>
      <c r="M470"/>
      <c r="N470"/>
      <c r="O470"/>
    </row>
    <row r="471" spans="3:15" ht="60" x14ac:dyDescent="0.3">
      <c r="C471" s="90" t="s">
        <v>1155</v>
      </c>
      <c r="D471" s="87" t="s">
        <v>1156</v>
      </c>
      <c r="E471" s="90" t="s">
        <v>68</v>
      </c>
      <c r="F471" s="89">
        <v>5</v>
      </c>
      <c r="G471" s="42"/>
      <c r="H471" s="42"/>
      <c r="I471" s="46"/>
      <c r="J471" s="46"/>
      <c r="K471" s="46">
        <v>5</v>
      </c>
      <c r="L471" s="47"/>
      <c r="M471"/>
      <c r="N471"/>
      <c r="O471"/>
    </row>
    <row r="472" spans="3:15" ht="60" x14ac:dyDescent="0.3">
      <c r="C472" s="90" t="s">
        <v>1158</v>
      </c>
      <c r="D472" s="87" t="s">
        <v>1159</v>
      </c>
      <c r="E472" s="90" t="s">
        <v>712</v>
      </c>
      <c r="F472" s="89">
        <v>4.5</v>
      </c>
      <c r="G472" s="42"/>
      <c r="H472" s="42"/>
      <c r="I472" s="46"/>
      <c r="J472" s="46"/>
      <c r="K472" s="46">
        <v>4.5</v>
      </c>
      <c r="L472" s="47"/>
      <c r="M472"/>
      <c r="N472"/>
      <c r="O472"/>
    </row>
    <row r="473" spans="3:15" ht="60" x14ac:dyDescent="0.3">
      <c r="C473" s="90" t="s">
        <v>1161</v>
      </c>
      <c r="D473" s="87" t="s">
        <v>1162</v>
      </c>
      <c r="E473" s="90" t="s">
        <v>712</v>
      </c>
      <c r="F473" s="89">
        <v>2.5</v>
      </c>
      <c r="G473" s="42"/>
      <c r="H473" s="42"/>
      <c r="I473" s="46"/>
      <c r="J473" s="46"/>
      <c r="K473" s="46">
        <v>2.5</v>
      </c>
      <c r="L473" s="47"/>
      <c r="M473"/>
      <c r="N473"/>
      <c r="O473"/>
    </row>
    <row r="474" spans="3:15" ht="151.19999999999999" x14ac:dyDescent="0.3">
      <c r="C474" s="90" t="s">
        <v>1164</v>
      </c>
      <c r="D474" s="28" t="s">
        <v>1165</v>
      </c>
      <c r="E474" s="90" t="s">
        <v>1166</v>
      </c>
      <c r="F474" s="89">
        <v>1</v>
      </c>
      <c r="G474" s="42"/>
      <c r="H474" s="42"/>
      <c r="I474" s="46"/>
      <c r="J474" s="46"/>
      <c r="K474" s="46"/>
      <c r="L474" s="47">
        <v>1</v>
      </c>
      <c r="M474"/>
      <c r="N474"/>
      <c r="O474"/>
    </row>
    <row r="475" spans="3:15" ht="280.8" x14ac:dyDescent="0.3">
      <c r="C475" s="90" t="s">
        <v>1168</v>
      </c>
      <c r="D475" s="28" t="s">
        <v>1169</v>
      </c>
      <c r="E475" s="90" t="s">
        <v>1170</v>
      </c>
      <c r="F475" s="89">
        <v>1</v>
      </c>
      <c r="G475" s="42"/>
      <c r="H475" s="42"/>
      <c r="I475" s="46"/>
      <c r="J475" s="46"/>
      <c r="K475" s="46"/>
      <c r="L475" s="47">
        <v>1</v>
      </c>
      <c r="M475"/>
      <c r="N475"/>
      <c r="O475"/>
    </row>
    <row r="476" spans="3:15" ht="180" x14ac:dyDescent="0.3">
      <c r="C476" s="90" t="s">
        <v>1172</v>
      </c>
      <c r="D476" s="87" t="s">
        <v>1173</v>
      </c>
      <c r="E476" s="90" t="s">
        <v>68</v>
      </c>
      <c r="F476" s="89">
        <v>1</v>
      </c>
      <c r="G476" s="42"/>
      <c r="H476" s="42"/>
      <c r="I476" s="46"/>
      <c r="J476" s="46"/>
      <c r="K476" s="46"/>
      <c r="L476" s="47">
        <v>1</v>
      </c>
      <c r="M476"/>
      <c r="N476"/>
      <c r="O476"/>
    </row>
    <row r="477" spans="3:15" ht="72" x14ac:dyDescent="0.3">
      <c r="C477" s="90" t="s">
        <v>1175</v>
      </c>
      <c r="D477" s="87" t="s">
        <v>1176</v>
      </c>
      <c r="E477" s="90" t="s">
        <v>68</v>
      </c>
      <c r="F477" s="89">
        <v>2</v>
      </c>
      <c r="G477" s="42"/>
      <c r="H477" s="42"/>
      <c r="I477" s="46"/>
      <c r="J477" s="46"/>
      <c r="K477" s="46">
        <v>2</v>
      </c>
      <c r="L477" s="47"/>
      <c r="M477"/>
      <c r="N477"/>
      <c r="O477"/>
    </row>
    <row r="478" spans="3:15" ht="72" x14ac:dyDescent="0.3">
      <c r="C478" s="90" t="s">
        <v>1178</v>
      </c>
      <c r="D478" s="87" t="s">
        <v>1179</v>
      </c>
      <c r="E478" s="90" t="s">
        <v>68</v>
      </c>
      <c r="F478" s="89">
        <v>1</v>
      </c>
      <c r="G478" s="42"/>
      <c r="H478" s="42"/>
      <c r="I478" s="46"/>
      <c r="J478" s="46"/>
      <c r="K478" s="46">
        <v>1</v>
      </c>
      <c r="L478" s="47"/>
      <c r="M478"/>
      <c r="N478"/>
      <c r="O478"/>
    </row>
    <row r="479" spans="3:15" ht="72" x14ac:dyDescent="0.3">
      <c r="C479" s="90" t="s">
        <v>1181</v>
      </c>
      <c r="D479" s="87" t="s">
        <v>1182</v>
      </c>
      <c r="E479" s="90" t="s">
        <v>58</v>
      </c>
      <c r="F479" s="89">
        <v>55</v>
      </c>
      <c r="G479" s="42"/>
      <c r="H479" s="42"/>
      <c r="I479" s="46"/>
      <c r="J479" s="46"/>
      <c r="K479" s="46"/>
      <c r="L479" s="47">
        <v>55</v>
      </c>
      <c r="M479"/>
      <c r="N479"/>
      <c r="O479"/>
    </row>
    <row r="480" spans="3:15" ht="72" x14ac:dyDescent="0.3">
      <c r="C480" s="90" t="s">
        <v>1184</v>
      </c>
      <c r="D480" s="87" t="s">
        <v>1185</v>
      </c>
      <c r="E480" s="90" t="s">
        <v>58</v>
      </c>
      <c r="F480" s="89">
        <v>55</v>
      </c>
      <c r="G480" s="42"/>
      <c r="H480" s="42"/>
      <c r="I480" s="46"/>
      <c r="J480" s="46"/>
      <c r="K480" s="46"/>
      <c r="L480" s="47">
        <v>55</v>
      </c>
      <c r="M480"/>
      <c r="N480"/>
      <c r="O480"/>
    </row>
    <row r="481" spans="3:15" ht="48" x14ac:dyDescent="0.3">
      <c r="C481" s="90" t="s">
        <v>1186</v>
      </c>
      <c r="D481" s="87" t="s">
        <v>1187</v>
      </c>
      <c r="E481" s="90" t="s">
        <v>68</v>
      </c>
      <c r="F481" s="89">
        <v>50</v>
      </c>
      <c r="G481" s="42"/>
      <c r="H481" s="42"/>
      <c r="I481" s="46"/>
      <c r="J481" s="46"/>
      <c r="K481" s="46">
        <v>50</v>
      </c>
      <c r="L481" s="47"/>
      <c r="M481"/>
      <c r="N481"/>
      <c r="O481"/>
    </row>
    <row r="482" spans="3:15" ht="48" x14ac:dyDescent="0.3">
      <c r="C482" s="90" t="s">
        <v>1188</v>
      </c>
      <c r="D482" s="87" t="s">
        <v>1189</v>
      </c>
      <c r="E482" s="90" t="s">
        <v>68</v>
      </c>
      <c r="F482" s="89">
        <v>100</v>
      </c>
      <c r="G482" s="42"/>
      <c r="H482" s="42"/>
      <c r="I482" s="46"/>
      <c r="J482" s="46"/>
      <c r="K482" s="46"/>
      <c r="L482" s="47">
        <v>100</v>
      </c>
      <c r="M482"/>
      <c r="N482"/>
      <c r="O482"/>
    </row>
    <row r="483" spans="3:15" ht="60" x14ac:dyDescent="0.3">
      <c r="C483" s="90" t="s">
        <v>1191</v>
      </c>
      <c r="D483" s="87" t="s">
        <v>1192</v>
      </c>
      <c r="E483" s="90" t="s">
        <v>68</v>
      </c>
      <c r="F483" s="89">
        <v>1</v>
      </c>
      <c r="G483" s="42"/>
      <c r="H483" s="42"/>
      <c r="I483" s="46"/>
      <c r="J483" s="46"/>
      <c r="K483" s="46"/>
      <c r="L483" s="47">
        <v>1</v>
      </c>
      <c r="M483"/>
      <c r="N483"/>
      <c r="O483"/>
    </row>
    <row r="484" spans="3:15" ht="60" x14ac:dyDescent="0.3">
      <c r="C484" s="90" t="s">
        <v>1194</v>
      </c>
      <c r="D484" s="87" t="s">
        <v>1195</v>
      </c>
      <c r="E484" s="90" t="s">
        <v>68</v>
      </c>
      <c r="F484" s="89">
        <v>1</v>
      </c>
      <c r="G484" s="42"/>
      <c r="H484" s="42"/>
      <c r="I484" s="46"/>
      <c r="J484" s="46"/>
      <c r="K484" s="46"/>
      <c r="L484" s="47">
        <v>1</v>
      </c>
      <c r="M484"/>
      <c r="N484"/>
      <c r="O484"/>
    </row>
    <row r="485" spans="3:15" ht="60" x14ac:dyDescent="0.3">
      <c r="C485" s="90" t="s">
        <v>1197</v>
      </c>
      <c r="D485" s="87" t="s">
        <v>1198</v>
      </c>
      <c r="E485" s="90" t="s">
        <v>68</v>
      </c>
      <c r="F485" s="89">
        <v>1</v>
      </c>
      <c r="G485" s="42"/>
      <c r="H485" s="42"/>
      <c r="I485" s="46"/>
      <c r="J485" s="46"/>
      <c r="K485" s="46"/>
      <c r="L485" s="47">
        <v>1</v>
      </c>
      <c r="M485"/>
      <c r="N485"/>
      <c r="O485"/>
    </row>
    <row r="486" spans="3:15" ht="60" x14ac:dyDescent="0.3">
      <c r="C486" s="90" t="s">
        <v>1200</v>
      </c>
      <c r="D486" s="87" t="s">
        <v>1201</v>
      </c>
      <c r="E486" s="90" t="s">
        <v>68</v>
      </c>
      <c r="F486" s="89">
        <v>25</v>
      </c>
      <c r="G486" s="42"/>
      <c r="H486" s="42"/>
      <c r="I486" s="46"/>
      <c r="J486" s="46"/>
      <c r="K486" s="46">
        <v>25</v>
      </c>
      <c r="L486" s="47"/>
      <c r="M486"/>
      <c r="N486"/>
      <c r="O486"/>
    </row>
    <row r="487" spans="3:15" ht="72" x14ac:dyDescent="0.3">
      <c r="C487" s="90" t="s">
        <v>1203</v>
      </c>
      <c r="D487" s="87" t="s">
        <v>1204</v>
      </c>
      <c r="E487" s="90" t="s">
        <v>58</v>
      </c>
      <c r="F487" s="89">
        <v>7</v>
      </c>
      <c r="G487" s="42"/>
      <c r="H487" s="42"/>
      <c r="I487" s="46"/>
      <c r="J487" s="46"/>
      <c r="K487" s="46">
        <v>7</v>
      </c>
      <c r="L487" s="47"/>
      <c r="M487"/>
      <c r="N487"/>
      <c r="O487"/>
    </row>
    <row r="488" spans="3:15" ht="60" x14ac:dyDescent="0.3">
      <c r="C488" s="90" t="s">
        <v>1206</v>
      </c>
      <c r="D488" s="87" t="s">
        <v>1207</v>
      </c>
      <c r="E488" s="90" t="s">
        <v>68</v>
      </c>
      <c r="F488" s="89">
        <v>2</v>
      </c>
      <c r="G488" s="42"/>
      <c r="H488" s="42"/>
      <c r="I488" s="46"/>
      <c r="J488" s="46"/>
      <c r="K488" s="46">
        <v>2</v>
      </c>
      <c r="L488" s="47"/>
      <c r="M488"/>
      <c r="N488"/>
      <c r="O488"/>
    </row>
    <row r="489" spans="3:15" ht="72" x14ac:dyDescent="0.3">
      <c r="C489" s="90" t="s">
        <v>1209</v>
      </c>
      <c r="D489" s="87" t="s">
        <v>1210</v>
      </c>
      <c r="E489" s="90" t="s">
        <v>68</v>
      </c>
      <c r="F489" s="89">
        <v>4</v>
      </c>
      <c r="G489" s="42"/>
      <c r="H489" s="42"/>
      <c r="I489" s="46"/>
      <c r="J489" s="46"/>
      <c r="K489" s="46">
        <v>4</v>
      </c>
      <c r="L489" s="47"/>
      <c r="M489"/>
      <c r="N489"/>
      <c r="O489"/>
    </row>
    <row r="490" spans="3:15" ht="72" x14ac:dyDescent="0.3">
      <c r="C490" s="90" t="s">
        <v>1212</v>
      </c>
      <c r="D490" s="87" t="s">
        <v>1213</v>
      </c>
      <c r="E490" s="90" t="s">
        <v>68</v>
      </c>
      <c r="F490" s="89">
        <v>1</v>
      </c>
      <c r="G490" s="42"/>
      <c r="H490" s="42"/>
      <c r="I490" s="46"/>
      <c r="J490" s="46"/>
      <c r="K490" s="46">
        <v>1</v>
      </c>
      <c r="L490" s="47"/>
      <c r="M490"/>
      <c r="N490"/>
      <c r="O490"/>
    </row>
    <row r="491" spans="3:15" ht="48" x14ac:dyDescent="0.3">
      <c r="C491" s="90" t="s">
        <v>1215</v>
      </c>
      <c r="D491" s="87" t="s">
        <v>1216</v>
      </c>
      <c r="E491" s="90" t="s">
        <v>68</v>
      </c>
      <c r="F491" s="89">
        <v>14</v>
      </c>
      <c r="G491" s="42"/>
      <c r="H491" s="42"/>
      <c r="I491" s="46"/>
      <c r="J491" s="46"/>
      <c r="K491" s="46">
        <v>14</v>
      </c>
      <c r="L491" s="47"/>
      <c r="M491"/>
      <c r="N491"/>
      <c r="O491"/>
    </row>
    <row r="492" spans="3:15" ht="48" x14ac:dyDescent="0.3">
      <c r="C492" s="90" t="s">
        <v>1218</v>
      </c>
      <c r="D492" s="87" t="s">
        <v>1219</v>
      </c>
      <c r="E492" s="90" t="s">
        <v>68</v>
      </c>
      <c r="F492" s="89">
        <v>56</v>
      </c>
      <c r="G492" s="42"/>
      <c r="H492" s="42"/>
      <c r="I492" s="46"/>
      <c r="J492" s="46"/>
      <c r="K492" s="46">
        <v>56</v>
      </c>
      <c r="L492" s="47"/>
      <c r="M492"/>
      <c r="N492"/>
      <c r="O492"/>
    </row>
    <row r="493" spans="3:15" ht="60" x14ac:dyDescent="0.3">
      <c r="C493" s="90" t="s">
        <v>1221</v>
      </c>
      <c r="D493" s="87" t="s">
        <v>1222</v>
      </c>
      <c r="E493" s="90" t="s">
        <v>68</v>
      </c>
      <c r="F493" s="89">
        <v>7</v>
      </c>
      <c r="G493" s="42"/>
      <c r="H493" s="42"/>
      <c r="I493" s="46"/>
      <c r="J493" s="46"/>
      <c r="K493" s="46">
        <v>7</v>
      </c>
      <c r="L493" s="47"/>
      <c r="M493"/>
      <c r="N493"/>
      <c r="O493"/>
    </row>
    <row r="494" spans="3:15" ht="48" x14ac:dyDescent="0.3">
      <c r="C494" s="90" t="s">
        <v>1224</v>
      </c>
      <c r="D494" s="87" t="s">
        <v>1225</v>
      </c>
      <c r="E494" s="90" t="s">
        <v>58</v>
      </c>
      <c r="F494" s="89">
        <v>35</v>
      </c>
      <c r="G494" s="42"/>
      <c r="H494" s="42"/>
      <c r="I494" s="46"/>
      <c r="J494" s="46"/>
      <c r="K494" s="46"/>
      <c r="L494" s="47">
        <v>35</v>
      </c>
      <c r="M494"/>
      <c r="N494"/>
      <c r="O494"/>
    </row>
    <row r="495" spans="3:15" ht="132" x14ac:dyDescent="0.3">
      <c r="C495" s="90" t="s">
        <v>1227</v>
      </c>
      <c r="D495" s="87" t="s">
        <v>1228</v>
      </c>
      <c r="E495" s="90" t="s">
        <v>68</v>
      </c>
      <c r="F495" s="89">
        <v>1</v>
      </c>
      <c r="G495" s="42"/>
      <c r="H495" s="42"/>
      <c r="I495" s="46"/>
      <c r="J495" s="46"/>
      <c r="K495" s="46"/>
      <c r="L495" s="47">
        <v>1</v>
      </c>
      <c r="M495"/>
      <c r="N495"/>
      <c r="O495"/>
    </row>
    <row r="496" spans="3:15" ht="216" x14ac:dyDescent="0.3">
      <c r="C496" s="90" t="s">
        <v>1230</v>
      </c>
      <c r="D496" s="28" t="s">
        <v>1231</v>
      </c>
      <c r="E496" s="90" t="s">
        <v>68</v>
      </c>
      <c r="F496" s="89">
        <v>9</v>
      </c>
      <c r="G496" s="42"/>
      <c r="H496" s="42"/>
      <c r="I496" s="46"/>
      <c r="J496" s="46"/>
      <c r="K496" s="46"/>
      <c r="L496" s="47">
        <v>9</v>
      </c>
      <c r="M496"/>
      <c r="N496"/>
      <c r="O496"/>
    </row>
    <row r="497" spans="3:15" ht="216" x14ac:dyDescent="0.3">
      <c r="C497" s="90" t="s">
        <v>1233</v>
      </c>
      <c r="D497" s="28" t="s">
        <v>1234</v>
      </c>
      <c r="E497" s="90" t="s">
        <v>68</v>
      </c>
      <c r="F497" s="89">
        <v>3</v>
      </c>
      <c r="G497" s="42"/>
      <c r="H497" s="42"/>
      <c r="I497" s="46"/>
      <c r="J497" s="46"/>
      <c r="K497" s="46"/>
      <c r="L497" s="47">
        <v>3</v>
      </c>
      <c r="M497"/>
      <c r="N497"/>
      <c r="O497"/>
    </row>
    <row r="498" spans="3:15" ht="183.6" x14ac:dyDescent="0.3">
      <c r="C498" s="90" t="s">
        <v>1235</v>
      </c>
      <c r="D498" s="28" t="s">
        <v>1236</v>
      </c>
      <c r="E498" s="90" t="s">
        <v>68</v>
      </c>
      <c r="F498" s="89">
        <v>6</v>
      </c>
      <c r="G498" s="42"/>
      <c r="H498" s="42"/>
      <c r="I498" s="46"/>
      <c r="J498" s="46"/>
      <c r="K498" s="46"/>
      <c r="L498" s="47">
        <v>6</v>
      </c>
      <c r="M498"/>
      <c r="N498"/>
      <c r="O498"/>
    </row>
    <row r="499" spans="3:15" ht="120" x14ac:dyDescent="0.3">
      <c r="C499" s="90" t="s">
        <v>1238</v>
      </c>
      <c r="D499" s="87" t="s">
        <v>1239</v>
      </c>
      <c r="E499" s="90" t="s">
        <v>68</v>
      </c>
      <c r="F499" s="89">
        <v>9</v>
      </c>
      <c r="G499" s="42"/>
      <c r="H499" s="42"/>
      <c r="I499" s="46"/>
      <c r="J499" s="46"/>
      <c r="K499" s="46"/>
      <c r="L499" s="47">
        <v>9</v>
      </c>
      <c r="M499"/>
      <c r="N499"/>
      <c r="O499"/>
    </row>
    <row r="500" spans="3:15" ht="120" x14ac:dyDescent="0.3">
      <c r="C500" s="90" t="s">
        <v>1241</v>
      </c>
      <c r="D500" s="87" t="s">
        <v>1242</v>
      </c>
      <c r="E500" s="90" t="s">
        <v>68</v>
      </c>
      <c r="F500" s="89">
        <v>3</v>
      </c>
      <c r="G500" s="42"/>
      <c r="H500" s="42"/>
      <c r="I500" s="46"/>
      <c r="J500" s="46"/>
      <c r="K500" s="46"/>
      <c r="L500" s="47">
        <v>3</v>
      </c>
      <c r="M500"/>
      <c r="N500"/>
      <c r="O500"/>
    </row>
    <row r="501" spans="3:15" ht="120" x14ac:dyDescent="0.3">
      <c r="C501" s="90" t="s">
        <v>1244</v>
      </c>
      <c r="D501" s="87" t="s">
        <v>1245</v>
      </c>
      <c r="E501" s="90" t="s">
        <v>68</v>
      </c>
      <c r="F501" s="89">
        <v>2</v>
      </c>
      <c r="G501" s="42"/>
      <c r="H501" s="42"/>
      <c r="I501" s="46"/>
      <c r="J501" s="46"/>
      <c r="K501" s="46"/>
      <c r="L501" s="47">
        <v>2</v>
      </c>
      <c r="M501"/>
      <c r="N501"/>
      <c r="O501"/>
    </row>
    <row r="502" spans="3:15" ht="96" x14ac:dyDescent="0.3">
      <c r="C502" s="90" t="s">
        <v>1247</v>
      </c>
      <c r="D502" s="87" t="s">
        <v>1248</v>
      </c>
      <c r="E502" s="90" t="s">
        <v>68</v>
      </c>
      <c r="F502" s="89">
        <v>3</v>
      </c>
      <c r="G502" s="42"/>
      <c r="H502" s="42"/>
      <c r="I502" s="46"/>
      <c r="J502" s="46"/>
      <c r="K502" s="46"/>
      <c r="L502" s="47">
        <v>3</v>
      </c>
      <c r="M502"/>
      <c r="N502"/>
      <c r="O502"/>
    </row>
    <row r="503" spans="3:15" ht="151.19999999999999" x14ac:dyDescent="0.3">
      <c r="C503" s="90" t="s">
        <v>1250</v>
      </c>
      <c r="D503" s="28" t="s">
        <v>1251</v>
      </c>
      <c r="E503" s="90" t="s">
        <v>68</v>
      </c>
      <c r="F503" s="89">
        <v>3</v>
      </c>
      <c r="G503" s="42"/>
      <c r="H503" s="42"/>
      <c r="I503" s="46"/>
      <c r="J503" s="46"/>
      <c r="K503" s="46"/>
      <c r="L503" s="47">
        <v>3</v>
      </c>
      <c r="M503"/>
      <c r="N503"/>
      <c r="O503"/>
    </row>
    <row r="504" spans="3:15" ht="120" x14ac:dyDescent="0.3">
      <c r="C504" s="90" t="s">
        <v>1253</v>
      </c>
      <c r="D504" s="87" t="s">
        <v>1254</v>
      </c>
      <c r="E504" s="90" t="s">
        <v>68</v>
      </c>
      <c r="F504" s="89">
        <v>3</v>
      </c>
      <c r="G504" s="42"/>
      <c r="H504" s="42"/>
      <c r="I504" s="46"/>
      <c r="J504" s="46"/>
      <c r="K504" s="46"/>
      <c r="L504" s="47">
        <v>3</v>
      </c>
      <c r="M504"/>
      <c r="N504"/>
      <c r="O504"/>
    </row>
    <row r="505" spans="3:15" ht="120" x14ac:dyDescent="0.3">
      <c r="C505" s="90" t="s">
        <v>1256</v>
      </c>
      <c r="D505" s="87" t="s">
        <v>1257</v>
      </c>
      <c r="E505" s="90" t="s">
        <v>68</v>
      </c>
      <c r="F505" s="89">
        <v>3</v>
      </c>
      <c r="G505" s="42"/>
      <c r="H505" s="42"/>
      <c r="I505" s="46"/>
      <c r="J505" s="46"/>
      <c r="K505" s="46"/>
      <c r="L505" s="47">
        <v>3</v>
      </c>
      <c r="M505"/>
      <c r="N505"/>
      <c r="O505"/>
    </row>
    <row r="506" spans="3:15" ht="183.6" x14ac:dyDescent="0.3">
      <c r="C506" s="90" t="s">
        <v>1259</v>
      </c>
      <c r="D506" s="28" t="s">
        <v>1260</v>
      </c>
      <c r="E506" s="90" t="s">
        <v>68</v>
      </c>
      <c r="F506" s="89">
        <v>1</v>
      </c>
      <c r="G506" s="42"/>
      <c r="H506" s="42"/>
      <c r="I506" s="46"/>
      <c r="J506" s="46"/>
      <c r="K506" s="46"/>
      <c r="L506" s="47">
        <v>1</v>
      </c>
      <c r="M506"/>
      <c r="N506"/>
      <c r="O506"/>
    </row>
    <row r="507" spans="3:15" ht="60" x14ac:dyDescent="0.3">
      <c r="C507" s="90" t="s">
        <v>1262</v>
      </c>
      <c r="D507" s="87" t="s">
        <v>1263</v>
      </c>
      <c r="E507" s="90" t="s">
        <v>58</v>
      </c>
      <c r="F507" s="89">
        <v>525</v>
      </c>
      <c r="G507" s="42"/>
      <c r="H507" s="42"/>
      <c r="I507" s="46"/>
      <c r="J507" s="46"/>
      <c r="K507" s="46">
        <v>400</v>
      </c>
      <c r="L507" s="47">
        <v>125</v>
      </c>
      <c r="M507"/>
      <c r="N507"/>
      <c r="O507"/>
    </row>
    <row r="508" spans="3:15" ht="48" x14ac:dyDescent="0.3">
      <c r="C508" s="90" t="s">
        <v>1265</v>
      </c>
      <c r="D508" s="87" t="s">
        <v>1266</v>
      </c>
      <c r="E508" s="90" t="s">
        <v>58</v>
      </c>
      <c r="F508" s="89">
        <v>60</v>
      </c>
      <c r="G508" s="42"/>
      <c r="H508" s="42"/>
      <c r="I508" s="46"/>
      <c r="J508" s="46"/>
      <c r="K508" s="46">
        <v>60</v>
      </c>
      <c r="L508" s="47"/>
      <c r="M508"/>
      <c r="N508"/>
      <c r="O508"/>
    </row>
    <row r="509" spans="3:15" ht="48" x14ac:dyDescent="0.3">
      <c r="C509" s="90" t="s">
        <v>1268</v>
      </c>
      <c r="D509" s="87" t="s">
        <v>1269</v>
      </c>
      <c r="E509" s="90" t="s">
        <v>68</v>
      </c>
      <c r="F509" s="89">
        <v>48</v>
      </c>
      <c r="G509" s="42"/>
      <c r="H509" s="42"/>
      <c r="I509" s="46"/>
      <c r="J509" s="46"/>
      <c r="K509" s="46">
        <v>28</v>
      </c>
      <c r="L509" s="47">
        <v>20</v>
      </c>
      <c r="M509"/>
      <c r="N509"/>
      <c r="O509"/>
    </row>
    <row r="510" spans="3:15" ht="48" x14ac:dyDescent="0.3">
      <c r="C510" s="90" t="s">
        <v>1271</v>
      </c>
      <c r="D510" s="87" t="s">
        <v>1272</v>
      </c>
      <c r="E510" s="90" t="s">
        <v>68</v>
      </c>
      <c r="F510" s="89">
        <v>1</v>
      </c>
      <c r="G510" s="42"/>
      <c r="H510" s="42"/>
      <c r="I510" s="46"/>
      <c r="J510" s="46"/>
      <c r="K510" s="46"/>
      <c r="L510" s="47">
        <v>1</v>
      </c>
      <c r="M510"/>
      <c r="N510"/>
      <c r="O510"/>
    </row>
    <row r="511" spans="3:15" ht="60" x14ac:dyDescent="0.3">
      <c r="C511" s="90" t="s">
        <v>1274</v>
      </c>
      <c r="D511" s="87" t="s">
        <v>1275</v>
      </c>
      <c r="E511" s="90" t="s">
        <v>68</v>
      </c>
      <c r="F511" s="89">
        <v>6</v>
      </c>
      <c r="G511" s="42"/>
      <c r="H511" s="42"/>
      <c r="I511" s="46"/>
      <c r="J511" s="46"/>
      <c r="K511" s="46"/>
      <c r="L511" s="47">
        <v>6</v>
      </c>
      <c r="M511"/>
      <c r="N511"/>
      <c r="O511"/>
    </row>
    <row r="512" spans="3:15" ht="48" x14ac:dyDescent="0.3">
      <c r="C512" s="90" t="s">
        <v>1277</v>
      </c>
      <c r="D512" s="87" t="s">
        <v>1278</v>
      </c>
      <c r="E512" s="90" t="s">
        <v>68</v>
      </c>
      <c r="F512" s="89">
        <v>27</v>
      </c>
      <c r="G512" s="42"/>
      <c r="H512" s="42"/>
      <c r="I512" s="46"/>
      <c r="J512" s="46"/>
      <c r="K512" s="46">
        <v>27</v>
      </c>
      <c r="L512" s="47"/>
      <c r="M512"/>
      <c r="N512"/>
      <c r="O512"/>
    </row>
    <row r="513" spans="3:15" ht="48" x14ac:dyDescent="0.3">
      <c r="C513" s="90" t="s">
        <v>1280</v>
      </c>
      <c r="D513" s="87" t="s">
        <v>1281</v>
      </c>
      <c r="E513" s="90" t="s">
        <v>68</v>
      </c>
      <c r="F513" s="89">
        <v>12</v>
      </c>
      <c r="G513" s="42"/>
      <c r="H513" s="42"/>
      <c r="I513" s="46"/>
      <c r="J513" s="46"/>
      <c r="K513" s="46">
        <v>12</v>
      </c>
      <c r="L513" s="47"/>
      <c r="M513"/>
      <c r="N513"/>
      <c r="O513"/>
    </row>
    <row r="514" spans="3:15" ht="48" x14ac:dyDescent="0.3">
      <c r="C514" s="90" t="s">
        <v>1283</v>
      </c>
      <c r="D514" s="87" t="s">
        <v>1284</v>
      </c>
      <c r="E514" s="90" t="s">
        <v>68</v>
      </c>
      <c r="F514" s="89">
        <v>2</v>
      </c>
      <c r="G514" s="42"/>
      <c r="H514" s="42"/>
      <c r="I514" s="46"/>
      <c r="J514" s="46"/>
      <c r="K514" s="46">
        <v>2</v>
      </c>
      <c r="L514" s="47"/>
      <c r="M514"/>
      <c r="N514"/>
      <c r="O514"/>
    </row>
    <row r="515" spans="3:15" ht="60" x14ac:dyDescent="0.3">
      <c r="C515" s="90" t="s">
        <v>1286</v>
      </c>
      <c r="D515" s="87" t="s">
        <v>1287</v>
      </c>
      <c r="E515" s="90" t="s">
        <v>68</v>
      </c>
      <c r="F515" s="89">
        <v>90</v>
      </c>
      <c r="G515" s="42"/>
      <c r="H515" s="42"/>
      <c r="I515" s="46"/>
      <c r="J515" s="46"/>
      <c r="K515" s="46">
        <v>60</v>
      </c>
      <c r="L515" s="47">
        <v>30</v>
      </c>
      <c r="M515"/>
      <c r="N515"/>
      <c r="O515"/>
    </row>
    <row r="516" spans="3:15" ht="48" x14ac:dyDescent="0.3">
      <c r="C516" s="90" t="s">
        <v>1289</v>
      </c>
      <c r="D516" s="87" t="s">
        <v>1290</v>
      </c>
      <c r="E516" s="90" t="s">
        <v>68</v>
      </c>
      <c r="F516" s="89">
        <v>12</v>
      </c>
      <c r="G516" s="42"/>
      <c r="H516" s="42"/>
      <c r="I516" s="46"/>
      <c r="J516" s="46"/>
      <c r="K516" s="46">
        <v>12</v>
      </c>
      <c r="L516" s="47"/>
      <c r="M516"/>
      <c r="N516"/>
      <c r="O516"/>
    </row>
    <row r="517" spans="3:15" ht="48" x14ac:dyDescent="0.3">
      <c r="C517" s="90" t="s">
        <v>1292</v>
      </c>
      <c r="D517" s="87" t="s">
        <v>1293</v>
      </c>
      <c r="E517" s="90" t="s">
        <v>68</v>
      </c>
      <c r="F517" s="89">
        <v>28</v>
      </c>
      <c r="G517" s="42"/>
      <c r="H517" s="42"/>
      <c r="I517" s="46"/>
      <c r="J517" s="46"/>
      <c r="K517" s="46">
        <v>28</v>
      </c>
      <c r="L517" s="47"/>
      <c r="M517"/>
      <c r="N517"/>
      <c r="O517"/>
    </row>
    <row r="518" spans="3:15" ht="48" x14ac:dyDescent="0.3">
      <c r="C518" s="90" t="s">
        <v>1295</v>
      </c>
      <c r="D518" s="87" t="s">
        <v>1296</v>
      </c>
      <c r="E518" s="90" t="s">
        <v>68</v>
      </c>
      <c r="F518" s="89">
        <v>9</v>
      </c>
      <c r="G518" s="42"/>
      <c r="H518" s="42"/>
      <c r="I518" s="46"/>
      <c r="J518" s="46"/>
      <c r="K518" s="46">
        <v>9</v>
      </c>
      <c r="L518" s="47"/>
      <c r="M518"/>
      <c r="N518"/>
      <c r="O518"/>
    </row>
    <row r="519" spans="3:15" ht="60" x14ac:dyDescent="0.3">
      <c r="C519" s="90" t="s">
        <v>1298</v>
      </c>
      <c r="D519" s="87" t="s">
        <v>1299</v>
      </c>
      <c r="E519" s="90" t="s">
        <v>68</v>
      </c>
      <c r="F519" s="89">
        <v>84</v>
      </c>
      <c r="G519" s="42"/>
      <c r="H519" s="42"/>
      <c r="I519" s="46"/>
      <c r="J519" s="46"/>
      <c r="K519" s="46">
        <v>84</v>
      </c>
      <c r="L519" s="47"/>
      <c r="M519"/>
      <c r="N519"/>
      <c r="O519"/>
    </row>
    <row r="520" spans="3:15" ht="48" x14ac:dyDescent="0.3">
      <c r="C520" s="90" t="s">
        <v>1301</v>
      </c>
      <c r="D520" s="87" t="s">
        <v>1302</v>
      </c>
      <c r="E520" s="90" t="s">
        <v>68</v>
      </c>
      <c r="F520" s="89">
        <v>15</v>
      </c>
      <c r="G520" s="42"/>
      <c r="H520" s="42"/>
      <c r="I520" s="46"/>
      <c r="J520" s="46"/>
      <c r="K520" s="46">
        <v>15</v>
      </c>
      <c r="L520" s="47"/>
      <c r="M520"/>
      <c r="N520"/>
      <c r="O520"/>
    </row>
    <row r="521" spans="3:15" ht="48" x14ac:dyDescent="0.3">
      <c r="C521" s="90" t="s">
        <v>1304</v>
      </c>
      <c r="D521" s="87" t="s">
        <v>1305</v>
      </c>
      <c r="E521" s="90" t="s">
        <v>68</v>
      </c>
      <c r="F521" s="89">
        <v>29</v>
      </c>
      <c r="G521" s="42"/>
      <c r="H521" s="42"/>
      <c r="I521" s="46"/>
      <c r="J521" s="46"/>
      <c r="K521" s="46">
        <v>29</v>
      </c>
      <c r="L521" s="47"/>
      <c r="M521"/>
      <c r="N521"/>
      <c r="O521"/>
    </row>
    <row r="522" spans="3:15" ht="48" x14ac:dyDescent="0.3">
      <c r="C522" s="90" t="s">
        <v>1307</v>
      </c>
      <c r="D522" s="87" t="s">
        <v>1308</v>
      </c>
      <c r="E522" s="90" t="s">
        <v>68</v>
      </c>
      <c r="F522" s="89">
        <v>8</v>
      </c>
      <c r="G522" s="42"/>
      <c r="H522" s="42"/>
      <c r="I522" s="46"/>
      <c r="J522" s="46"/>
      <c r="K522" s="46">
        <v>8</v>
      </c>
      <c r="L522" s="47"/>
      <c r="M522"/>
      <c r="N522"/>
      <c r="O522"/>
    </row>
    <row r="523" spans="3:15" ht="48" x14ac:dyDescent="0.3">
      <c r="C523" s="90" t="s">
        <v>1310</v>
      </c>
      <c r="D523" s="87" t="s">
        <v>1311</v>
      </c>
      <c r="E523" s="90" t="s">
        <v>68</v>
      </c>
      <c r="F523" s="89">
        <v>24</v>
      </c>
      <c r="G523" s="42"/>
      <c r="H523" s="42"/>
      <c r="I523" s="46"/>
      <c r="J523" s="46"/>
      <c r="K523" s="46">
        <v>24</v>
      </c>
      <c r="L523" s="47"/>
      <c r="M523"/>
      <c r="N523"/>
      <c r="O523"/>
    </row>
    <row r="524" spans="3:15" ht="48" x14ac:dyDescent="0.3">
      <c r="C524" s="90" t="s">
        <v>1312</v>
      </c>
      <c r="D524" s="87" t="s">
        <v>1313</v>
      </c>
      <c r="E524" s="90" t="s">
        <v>68</v>
      </c>
      <c r="F524" s="89">
        <v>41</v>
      </c>
      <c r="G524" s="42"/>
      <c r="H524" s="42"/>
      <c r="I524" s="46"/>
      <c r="J524" s="46"/>
      <c r="K524" s="46">
        <v>41</v>
      </c>
      <c r="L524" s="47"/>
      <c r="M524"/>
      <c r="N524"/>
      <c r="O524"/>
    </row>
    <row r="525" spans="3:15" ht="48" x14ac:dyDescent="0.3">
      <c r="C525" s="90" t="s">
        <v>1315</v>
      </c>
      <c r="D525" s="87" t="s">
        <v>1316</v>
      </c>
      <c r="E525" s="90" t="s">
        <v>68</v>
      </c>
      <c r="F525" s="89">
        <v>2</v>
      </c>
      <c r="G525" s="42"/>
      <c r="H525" s="42"/>
      <c r="I525" s="46"/>
      <c r="J525" s="46"/>
      <c r="K525" s="46">
        <v>2</v>
      </c>
      <c r="L525" s="47"/>
      <c r="M525"/>
      <c r="N525"/>
      <c r="O525"/>
    </row>
    <row r="526" spans="3:15" ht="48" x14ac:dyDescent="0.3">
      <c r="C526" s="90" t="s">
        <v>1318</v>
      </c>
      <c r="D526" s="87" t="s">
        <v>1319</v>
      </c>
      <c r="E526" s="90" t="s">
        <v>58</v>
      </c>
      <c r="F526" s="89">
        <v>2.8</v>
      </c>
      <c r="G526" s="42"/>
      <c r="H526" s="42"/>
      <c r="I526" s="46"/>
      <c r="J526" s="46"/>
      <c r="K526" s="46">
        <v>2.8</v>
      </c>
      <c r="L526" s="47"/>
      <c r="M526"/>
      <c r="N526"/>
      <c r="O526"/>
    </row>
    <row r="527" spans="3:15" ht="48" x14ac:dyDescent="0.3">
      <c r="C527" s="90" t="s">
        <v>1320</v>
      </c>
      <c r="D527" s="87" t="s">
        <v>1321</v>
      </c>
      <c r="E527" s="90" t="s">
        <v>58</v>
      </c>
      <c r="F527" s="89">
        <v>105.6</v>
      </c>
      <c r="G527" s="42"/>
      <c r="H527" s="42"/>
      <c r="I527" s="46"/>
      <c r="J527" s="46"/>
      <c r="K527" s="46">
        <v>105.6</v>
      </c>
      <c r="L527" s="47"/>
      <c r="M527"/>
      <c r="N527"/>
      <c r="O527"/>
    </row>
    <row r="528" spans="3:15" ht="48" x14ac:dyDescent="0.3">
      <c r="C528" s="90" t="s">
        <v>1323</v>
      </c>
      <c r="D528" s="87" t="s">
        <v>1324</v>
      </c>
      <c r="E528" s="90" t="s">
        <v>68</v>
      </c>
      <c r="F528" s="89">
        <v>277</v>
      </c>
      <c r="G528" s="42"/>
      <c r="H528" s="42"/>
      <c r="I528" s="46"/>
      <c r="J528" s="46"/>
      <c r="K528" s="46">
        <v>160</v>
      </c>
      <c r="L528" s="47">
        <v>117</v>
      </c>
      <c r="M528"/>
      <c r="N528"/>
      <c r="O528"/>
    </row>
    <row r="529" spans="3:15" ht="48" x14ac:dyDescent="0.3">
      <c r="C529" s="90" t="s">
        <v>1326</v>
      </c>
      <c r="D529" s="87" t="s">
        <v>1327</v>
      </c>
      <c r="E529" s="90" t="s">
        <v>68</v>
      </c>
      <c r="F529" s="89">
        <v>8</v>
      </c>
      <c r="G529" s="42"/>
      <c r="H529" s="42"/>
      <c r="I529" s="46"/>
      <c r="J529" s="46"/>
      <c r="K529" s="46">
        <v>8</v>
      </c>
      <c r="L529" s="47"/>
      <c r="M529"/>
      <c r="N529"/>
      <c r="O529"/>
    </row>
    <row r="530" spans="3:15" ht="48" x14ac:dyDescent="0.3">
      <c r="C530" s="90" t="s">
        <v>1329</v>
      </c>
      <c r="D530" s="87" t="s">
        <v>1330</v>
      </c>
      <c r="E530" s="90" t="s">
        <v>699</v>
      </c>
      <c r="F530" s="89">
        <v>0.82</v>
      </c>
      <c r="G530" s="42"/>
      <c r="H530" s="42"/>
      <c r="I530" s="46"/>
      <c r="J530" s="46"/>
      <c r="K530" s="46">
        <v>0.82</v>
      </c>
      <c r="L530" s="47"/>
      <c r="M530"/>
      <c r="N530"/>
      <c r="O530"/>
    </row>
    <row r="531" spans="3:15" ht="60" x14ac:dyDescent="0.3">
      <c r="C531" s="90" t="s">
        <v>1332</v>
      </c>
      <c r="D531" s="87" t="s">
        <v>1333</v>
      </c>
      <c r="E531" s="90" t="s">
        <v>68</v>
      </c>
      <c r="F531" s="89">
        <v>33</v>
      </c>
      <c r="G531" s="42"/>
      <c r="H531" s="42"/>
      <c r="I531" s="46"/>
      <c r="J531" s="46"/>
      <c r="K531" s="46"/>
      <c r="L531" s="47">
        <v>33</v>
      </c>
      <c r="M531"/>
      <c r="N531"/>
      <c r="O531"/>
    </row>
    <row r="532" spans="3:15" ht="36" x14ac:dyDescent="0.3">
      <c r="C532" s="90" t="s">
        <v>1335</v>
      </c>
      <c r="D532" s="87" t="s">
        <v>1336</v>
      </c>
      <c r="E532" s="90" t="s">
        <v>495</v>
      </c>
      <c r="F532" s="89">
        <v>8</v>
      </c>
      <c r="G532" s="42"/>
      <c r="H532" s="42"/>
      <c r="I532" s="46"/>
      <c r="J532" s="46"/>
      <c r="K532" s="46"/>
      <c r="L532" s="47">
        <v>8</v>
      </c>
      <c r="M532"/>
      <c r="N532"/>
      <c r="O532"/>
    </row>
    <row r="533" spans="3:15" ht="96" x14ac:dyDescent="0.3">
      <c r="C533" s="90" t="s">
        <v>1338</v>
      </c>
      <c r="D533" s="87" t="s">
        <v>1339</v>
      </c>
      <c r="E533" s="90" t="s">
        <v>68</v>
      </c>
      <c r="F533" s="89">
        <v>4</v>
      </c>
      <c r="G533" s="42"/>
      <c r="H533" s="42"/>
      <c r="I533" s="46"/>
      <c r="J533" s="46"/>
      <c r="K533" s="46"/>
      <c r="L533" s="47">
        <v>4</v>
      </c>
      <c r="M533"/>
      <c r="N533"/>
      <c r="O533"/>
    </row>
    <row r="534" spans="3:15" ht="72" x14ac:dyDescent="0.3">
      <c r="C534" s="90" t="s">
        <v>1341</v>
      </c>
      <c r="D534" s="87" t="s">
        <v>1342</v>
      </c>
      <c r="E534" s="90" t="s">
        <v>68</v>
      </c>
      <c r="F534" s="89">
        <v>6</v>
      </c>
      <c r="G534" s="42"/>
      <c r="H534" s="42"/>
      <c r="I534" s="46"/>
      <c r="J534" s="46"/>
      <c r="K534" s="46"/>
      <c r="L534" s="47">
        <v>6</v>
      </c>
      <c r="M534"/>
      <c r="N534"/>
      <c r="O534"/>
    </row>
    <row r="535" spans="3:15" ht="84" x14ac:dyDescent="0.3">
      <c r="C535" s="90" t="s">
        <v>1344</v>
      </c>
      <c r="D535" s="87" t="s">
        <v>1345</v>
      </c>
      <c r="E535" s="90" t="s">
        <v>68</v>
      </c>
      <c r="F535" s="89">
        <v>2</v>
      </c>
      <c r="G535" s="42"/>
      <c r="H535" s="42"/>
      <c r="I535" s="46"/>
      <c r="J535" s="46"/>
      <c r="K535" s="46"/>
      <c r="L535" s="47">
        <v>2</v>
      </c>
      <c r="M535"/>
      <c r="N535"/>
      <c r="O535"/>
    </row>
    <row r="536" spans="3:15" ht="84" x14ac:dyDescent="0.3">
      <c r="C536" s="90" t="s">
        <v>1347</v>
      </c>
      <c r="D536" s="87" t="s">
        <v>1348</v>
      </c>
      <c r="E536" s="90" t="s">
        <v>68</v>
      </c>
      <c r="F536" s="89">
        <v>2</v>
      </c>
      <c r="G536" s="42"/>
      <c r="H536" s="42"/>
      <c r="I536" s="46"/>
      <c r="J536" s="46"/>
      <c r="K536" s="46"/>
      <c r="L536" s="47">
        <v>2</v>
      </c>
      <c r="M536"/>
      <c r="N536"/>
      <c r="O536"/>
    </row>
    <row r="537" spans="3:15" ht="84" x14ac:dyDescent="0.3">
      <c r="C537" s="90" t="s">
        <v>1349</v>
      </c>
      <c r="D537" s="87" t="s">
        <v>1350</v>
      </c>
      <c r="E537" s="90" t="s">
        <v>68</v>
      </c>
      <c r="F537" s="89">
        <v>2</v>
      </c>
      <c r="G537" s="42"/>
      <c r="H537" s="42"/>
      <c r="I537" s="46"/>
      <c r="J537" s="46"/>
      <c r="K537" s="46"/>
      <c r="L537" s="47">
        <v>2</v>
      </c>
      <c r="M537"/>
      <c r="N537"/>
      <c r="O537"/>
    </row>
    <row r="538" spans="3:15" ht="84" x14ac:dyDescent="0.3">
      <c r="C538" s="90" t="s">
        <v>1351</v>
      </c>
      <c r="D538" s="87" t="s">
        <v>1352</v>
      </c>
      <c r="E538" s="90" t="s">
        <v>68</v>
      </c>
      <c r="F538" s="89">
        <v>1</v>
      </c>
      <c r="G538" s="42"/>
      <c r="H538" s="42"/>
      <c r="I538" s="46"/>
      <c r="J538" s="46"/>
      <c r="K538" s="46"/>
      <c r="L538" s="47">
        <v>1</v>
      </c>
      <c r="M538"/>
      <c r="N538"/>
      <c r="O538"/>
    </row>
    <row r="539" spans="3:15" ht="36" x14ac:dyDescent="0.3">
      <c r="C539" s="90" t="s">
        <v>1353</v>
      </c>
      <c r="D539" s="87" t="s">
        <v>1354</v>
      </c>
      <c r="E539" s="90" t="s">
        <v>995</v>
      </c>
      <c r="F539" s="89">
        <v>2</v>
      </c>
      <c r="G539" s="42"/>
      <c r="H539" s="42"/>
      <c r="I539" s="46"/>
      <c r="J539" s="46"/>
      <c r="K539" s="46">
        <v>2</v>
      </c>
      <c r="L539" s="47"/>
      <c r="M539"/>
      <c r="N539"/>
      <c r="O539"/>
    </row>
    <row r="540" spans="3:15" ht="36" x14ac:dyDescent="0.3">
      <c r="C540" s="90" t="s">
        <v>1356</v>
      </c>
      <c r="D540" s="87" t="s">
        <v>1357</v>
      </c>
      <c r="E540" s="90" t="s">
        <v>995</v>
      </c>
      <c r="F540" s="89">
        <v>2</v>
      </c>
      <c r="G540" s="42"/>
      <c r="H540" s="42"/>
      <c r="I540" s="46"/>
      <c r="J540" s="46"/>
      <c r="K540" s="46">
        <v>2</v>
      </c>
      <c r="L540" s="47"/>
      <c r="M540"/>
      <c r="N540"/>
      <c r="O540"/>
    </row>
    <row r="541" spans="3:15" ht="226.8" x14ac:dyDescent="0.3">
      <c r="C541" s="90" t="s">
        <v>1359</v>
      </c>
      <c r="D541" s="28" t="s">
        <v>1360</v>
      </c>
      <c r="E541" s="90" t="s">
        <v>68</v>
      </c>
      <c r="F541" s="89">
        <v>6</v>
      </c>
      <c r="G541" s="42"/>
      <c r="H541" s="42"/>
      <c r="I541" s="46"/>
      <c r="J541" s="46"/>
      <c r="K541" s="46"/>
      <c r="L541" s="47">
        <v>6</v>
      </c>
      <c r="M541"/>
      <c r="N541"/>
      <c r="O541"/>
    </row>
    <row r="542" spans="3:15" ht="120" x14ac:dyDescent="0.3">
      <c r="C542" s="90" t="s">
        <v>1362</v>
      </c>
      <c r="D542" s="87" t="s">
        <v>1363</v>
      </c>
      <c r="E542" s="90" t="s">
        <v>68</v>
      </c>
      <c r="F542" s="89">
        <v>4</v>
      </c>
      <c r="G542" s="42"/>
      <c r="H542" s="42"/>
      <c r="I542" s="46"/>
      <c r="J542" s="46"/>
      <c r="K542" s="46"/>
      <c r="L542" s="47">
        <v>4</v>
      </c>
      <c r="M542"/>
      <c r="N542"/>
      <c r="O542"/>
    </row>
    <row r="543" spans="3:15" ht="60" x14ac:dyDescent="0.3">
      <c r="C543" s="90" t="s">
        <v>1365</v>
      </c>
      <c r="D543" s="87" t="s">
        <v>1366</v>
      </c>
      <c r="E543" s="90" t="s">
        <v>68</v>
      </c>
      <c r="F543" s="89">
        <v>4</v>
      </c>
      <c r="G543" s="42"/>
      <c r="H543" s="42"/>
      <c r="I543" s="46"/>
      <c r="J543" s="46"/>
      <c r="K543" s="46">
        <v>4</v>
      </c>
      <c r="L543" s="47"/>
      <c r="M543"/>
      <c r="N543"/>
      <c r="O543"/>
    </row>
    <row r="544" spans="3:15" ht="72" x14ac:dyDescent="0.3">
      <c r="C544" s="90" t="s">
        <v>1368</v>
      </c>
      <c r="D544" s="87" t="s">
        <v>1369</v>
      </c>
      <c r="E544" s="90" t="s">
        <v>1370</v>
      </c>
      <c r="F544" s="89">
        <v>6</v>
      </c>
      <c r="G544" s="42"/>
      <c r="H544" s="42"/>
      <c r="I544" s="46"/>
      <c r="J544" s="46"/>
      <c r="K544" s="46">
        <v>6</v>
      </c>
      <c r="L544" s="47"/>
      <c r="M544"/>
      <c r="N544"/>
      <c r="O544"/>
    </row>
    <row r="545" spans="3:15" ht="132" x14ac:dyDescent="0.3">
      <c r="C545" s="90" t="s">
        <v>1372</v>
      </c>
      <c r="D545" s="87" t="s">
        <v>1373</v>
      </c>
      <c r="E545" s="90" t="s">
        <v>1370</v>
      </c>
      <c r="F545" s="89">
        <v>1</v>
      </c>
      <c r="G545" s="42"/>
      <c r="H545" s="42"/>
      <c r="I545" s="46"/>
      <c r="J545" s="46"/>
      <c r="K545" s="46"/>
      <c r="L545" s="47">
        <v>1</v>
      </c>
      <c r="M545"/>
      <c r="N545"/>
      <c r="O545"/>
    </row>
    <row r="546" spans="3:15" ht="72" x14ac:dyDescent="0.3">
      <c r="C546" s="90" t="s">
        <v>1375</v>
      </c>
      <c r="D546" s="87" t="s">
        <v>1376</v>
      </c>
      <c r="E546" s="90" t="s">
        <v>68</v>
      </c>
      <c r="F546" s="89">
        <v>1</v>
      </c>
      <c r="G546" s="42"/>
      <c r="H546" s="42"/>
      <c r="I546" s="46"/>
      <c r="J546" s="46"/>
      <c r="K546" s="46">
        <v>1</v>
      </c>
      <c r="L546" s="47"/>
      <c r="M546"/>
      <c r="N546"/>
      <c r="O546"/>
    </row>
    <row r="547" spans="3:15" ht="72" x14ac:dyDescent="0.3">
      <c r="C547" s="90" t="s">
        <v>1378</v>
      </c>
      <c r="D547" s="87" t="s">
        <v>1379</v>
      </c>
      <c r="E547" s="90" t="s">
        <v>68</v>
      </c>
      <c r="F547" s="89">
        <v>3</v>
      </c>
      <c r="G547" s="42"/>
      <c r="H547" s="42"/>
      <c r="I547" s="46"/>
      <c r="J547" s="46"/>
      <c r="K547" s="46">
        <v>3</v>
      </c>
      <c r="L547" s="47"/>
      <c r="M547"/>
      <c r="N547"/>
      <c r="O547"/>
    </row>
    <row r="548" spans="3:15" ht="72" x14ac:dyDescent="0.3">
      <c r="C548" s="90" t="s">
        <v>1381</v>
      </c>
      <c r="D548" s="87" t="s">
        <v>1382</v>
      </c>
      <c r="E548" s="90" t="s">
        <v>68</v>
      </c>
      <c r="F548" s="89">
        <v>21</v>
      </c>
      <c r="G548" s="42"/>
      <c r="H548" s="42"/>
      <c r="I548" s="46"/>
      <c r="J548" s="46"/>
      <c r="K548" s="46">
        <v>21</v>
      </c>
      <c r="L548" s="47"/>
      <c r="M548"/>
      <c r="N548"/>
      <c r="O548"/>
    </row>
    <row r="549" spans="3:15" ht="72" x14ac:dyDescent="0.3">
      <c r="C549" s="90" t="s">
        <v>1384</v>
      </c>
      <c r="D549" s="87" t="s">
        <v>1385</v>
      </c>
      <c r="E549" s="90" t="s">
        <v>68</v>
      </c>
      <c r="F549" s="89">
        <v>1</v>
      </c>
      <c r="G549" s="42"/>
      <c r="H549" s="42"/>
      <c r="I549" s="46"/>
      <c r="J549" s="46"/>
      <c r="K549" s="46">
        <v>1</v>
      </c>
      <c r="L549" s="47"/>
      <c r="M549"/>
      <c r="N549"/>
      <c r="O549"/>
    </row>
    <row r="550" spans="3:15" ht="60" x14ac:dyDescent="0.3">
      <c r="C550" s="90" t="s">
        <v>1387</v>
      </c>
      <c r="D550" s="87" t="s">
        <v>1388</v>
      </c>
      <c r="E550" s="90" t="s">
        <v>495</v>
      </c>
      <c r="F550" s="89">
        <v>10</v>
      </c>
      <c r="G550" s="42"/>
      <c r="H550" s="42"/>
      <c r="I550" s="46"/>
      <c r="J550" s="46"/>
      <c r="K550" s="46"/>
      <c r="L550" s="47">
        <v>10</v>
      </c>
      <c r="M550"/>
      <c r="N550"/>
      <c r="O550"/>
    </row>
    <row r="551" spans="3:15" ht="60" x14ac:dyDescent="0.3">
      <c r="C551" s="90" t="s">
        <v>1390</v>
      </c>
      <c r="D551" s="87" t="s">
        <v>1391</v>
      </c>
      <c r="E551" s="90" t="s">
        <v>1370</v>
      </c>
      <c r="F551" s="89">
        <v>2</v>
      </c>
      <c r="G551" s="42"/>
      <c r="H551" s="42"/>
      <c r="I551" s="46"/>
      <c r="J551" s="46"/>
      <c r="K551" s="46"/>
      <c r="L551" s="47">
        <v>2</v>
      </c>
      <c r="M551"/>
      <c r="N551"/>
      <c r="O551"/>
    </row>
  </sheetData>
  <mergeCells count="7">
    <mergeCell ref="C6:L6"/>
    <mergeCell ref="C7:L7"/>
    <mergeCell ref="C1:L1"/>
    <mergeCell ref="C2:L2"/>
    <mergeCell ref="C3:L3"/>
    <mergeCell ref="C4:L4"/>
    <mergeCell ref="C5:L5"/>
  </mergeCells>
  <phoneticPr fontId="5" type="noConversion"/>
  <conditionalFormatting sqref="C11:D955">
    <cfRule type="expression" dxfId="46" priority="1">
      <formula>$E11=""</formula>
    </cfRule>
  </conditionalFormatting>
  <conditionalFormatting sqref="G552:O700 G11:L551">
    <cfRule type="cellIs" dxfId="45" priority="2" operator="lessThan">
      <formula>2.9</formula>
    </cfRule>
    <cfRule type="cellIs" dxfId="44" priority="3" operator="between">
      <formula>2.9</formula>
      <formula>5</formula>
    </cfRule>
    <cfRule type="cellIs" dxfId="43" priority="4" operator="between">
      <formula>5.01</formula>
      <formula>12</formula>
    </cfRule>
    <cfRule type="cellIs" dxfId="42" priority="5" operator="between">
      <formula>12.01</formula>
      <formula>29</formula>
    </cfRule>
    <cfRule type="cellIs" dxfId="41" priority="6" operator="greaterThan">
      <formula>29.01</formula>
    </cfRule>
  </conditionalFormatting>
  <pageMargins left="0.31496062992125984" right="0.31496062992125984" top="0.62992125984251968" bottom="0.74803149606299213" header="0.31496062992125984" footer="0.31496062992125984"/>
  <pageSetup scale="52" fitToHeight="50" orientation="landscape" r:id="rId1"/>
  <headerFooter>
    <oddHeader>&amp;L&amp;G&amp;C&amp;"Arial Nova,Negrita"SUBDIRECCIÓN DE MANTENIMIENTO, LOGÍSTICA E INFRAESTRUCTURA COMPLEMENTARIA
GERENCIA DE MANTENIMIENTO E INFRAESTRUCTURA COMPLEMENTARIA MARINA &amp;R&amp;G</oddHeader>
    <oddFooter>&amp;CPágina &amp;P de &amp;N&amp;RC. EMILIO JOSÉ SEGURA
REPRESENTANTE TÉCNICO-ADMINISTRATIVO 
BME SUBTEC S.A. de C.V.</oddFooter>
  </headerFooter>
  <rowBreaks count="9" manualBreakCount="9">
    <brk id="41" min="2" max="11" man="1"/>
    <brk id="59" min="2" max="11" man="1"/>
    <brk id="93" min="2" max="11" man="1"/>
    <brk id="128" min="2" max="11" man="1"/>
    <brk id="249" min="2" max="11" man="1"/>
    <brk id="265" min="2" max="11" man="1"/>
    <brk id="282" min="2" max="11" man="1"/>
    <brk id="298" min="2" max="11" man="1"/>
    <brk id="403" min="2" max="11" man="1"/>
  </rowBreaks>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8BAA3-D179-4F40-BE3E-E01AEFBB5C58}">
  <dimension ref="A1:O789"/>
  <sheetViews>
    <sheetView view="pageBreakPreview" topLeftCell="B100" zoomScaleNormal="100" zoomScaleSheetLayoutView="100" workbookViewId="0">
      <selection activeCell="D352" sqref="D352"/>
    </sheetView>
  </sheetViews>
  <sheetFormatPr baseColWidth="10" defaultColWidth="11.44140625" defaultRowHeight="13.8" x14ac:dyDescent="0.3"/>
  <cols>
    <col min="1" max="2" width="11.44140625" style="37"/>
    <col min="3" max="3" width="11.6640625" style="37" bestFit="1" customWidth="1"/>
    <col min="4" max="4" width="80.44140625" style="37" bestFit="1" customWidth="1"/>
    <col min="5" max="5" width="11.33203125" style="37" bestFit="1" customWidth="1"/>
    <col min="6" max="6" width="16.109375" style="37" bestFit="1" customWidth="1"/>
    <col min="7" max="7" width="9.88671875" style="60" bestFit="1" customWidth="1"/>
    <col min="8" max="9" width="21.33203125" style="52" bestFit="1" customWidth="1"/>
    <col min="10" max="10" width="21.33203125" style="63" bestFit="1" customWidth="1"/>
    <col min="11" max="11" width="22.109375" style="52" bestFit="1" customWidth="1"/>
    <col min="12" max="12" width="22.109375" style="60" bestFit="1" customWidth="1"/>
    <col min="13" max="15" width="11.44140625" style="60" bestFit="1" customWidth="1"/>
    <col min="16" max="18" width="13.5546875" style="5" bestFit="1" customWidth="1"/>
    <col min="19" max="21" width="14.5546875" style="5" bestFit="1" customWidth="1"/>
    <col min="22" max="22" width="21.5546875" style="5" bestFit="1" customWidth="1"/>
    <col min="23" max="23" width="22.5546875" style="5" bestFit="1" customWidth="1"/>
    <col min="24" max="24" width="14.88671875" style="5" customWidth="1"/>
    <col min="25" max="25" width="20.109375" style="5" bestFit="1" customWidth="1"/>
    <col min="26" max="26" width="20.88671875" style="5" bestFit="1" customWidth="1"/>
    <col min="27" max="27" width="28.6640625" style="5" bestFit="1" customWidth="1"/>
    <col min="28" max="30" width="10.44140625" style="5" bestFit="1" customWidth="1"/>
    <col min="31" max="31" width="11.109375" style="5" bestFit="1" customWidth="1"/>
    <col min="32" max="32" width="81.109375" style="5" bestFit="1" customWidth="1"/>
    <col min="33" max="33" width="11.44140625" style="5"/>
    <col min="34" max="34" width="14.33203125" style="5" bestFit="1" customWidth="1"/>
    <col min="35" max="35" width="11.44140625" style="5"/>
    <col min="36" max="36" width="12" style="5" bestFit="1" customWidth="1"/>
    <col min="37" max="37" width="81.109375" style="5" bestFit="1" customWidth="1"/>
    <col min="38" max="46" width="11.6640625" style="5" bestFit="1" customWidth="1"/>
    <col min="47" max="49" width="12.6640625" style="5" bestFit="1" customWidth="1"/>
    <col min="50" max="50" width="18.109375" style="5" bestFit="1" customWidth="1"/>
    <col min="51" max="51" width="18" style="5" bestFit="1" customWidth="1"/>
    <col min="52" max="52" width="21.88671875" style="5" bestFit="1" customWidth="1"/>
    <col min="53" max="53" width="21.6640625" style="5" bestFit="1" customWidth="1"/>
    <col min="54" max="54" width="21.88671875" style="5" bestFit="1" customWidth="1"/>
    <col min="55" max="55" width="21.6640625" style="5" bestFit="1" customWidth="1"/>
    <col min="56" max="56" width="21.88671875" style="5" bestFit="1" customWidth="1"/>
    <col min="57" max="57" width="21.6640625" style="5" bestFit="1" customWidth="1"/>
    <col min="58" max="58" width="21.88671875" style="5" bestFit="1" customWidth="1"/>
    <col min="59" max="59" width="21.6640625" style="5" bestFit="1" customWidth="1"/>
    <col min="60" max="60" width="21.88671875" style="5" bestFit="1" customWidth="1"/>
    <col min="61" max="61" width="21.6640625" style="5" bestFit="1" customWidth="1"/>
    <col min="62" max="62" width="21.88671875" style="5" bestFit="1" customWidth="1"/>
    <col min="63" max="63" width="21.6640625" style="5" bestFit="1" customWidth="1"/>
    <col min="64" max="64" width="21.88671875" style="5" bestFit="1" customWidth="1"/>
    <col min="65" max="65" width="21.6640625" style="5" bestFit="1" customWidth="1"/>
    <col min="66" max="66" width="21.88671875" style="5" bestFit="1" customWidth="1"/>
    <col min="67" max="67" width="21.6640625" style="5" bestFit="1" customWidth="1"/>
    <col min="68" max="68" width="21.88671875" style="5" bestFit="1" customWidth="1"/>
    <col min="69" max="69" width="21.6640625" style="5" bestFit="1" customWidth="1"/>
    <col min="70" max="70" width="22.88671875" style="5" bestFit="1" customWidth="1"/>
    <col min="71" max="71" width="22.6640625" style="5" bestFit="1" customWidth="1"/>
    <col min="72" max="72" width="22.88671875" style="5" bestFit="1" customWidth="1"/>
    <col min="73" max="73" width="22.6640625" style="5" bestFit="1" customWidth="1"/>
    <col min="74" max="74" width="22.88671875" style="5" bestFit="1" customWidth="1"/>
    <col min="75" max="75" width="22.6640625" style="5" bestFit="1" customWidth="1"/>
    <col min="76" max="76" width="23.33203125" style="5" bestFit="1" customWidth="1"/>
    <col min="77" max="77" width="23.109375" style="5" bestFit="1" customWidth="1"/>
    <col min="78" max="78" width="13.44140625" style="5" bestFit="1" customWidth="1"/>
    <col min="79" max="79" width="13.33203125" style="5" bestFit="1" customWidth="1"/>
    <col min="80" max="80" width="12.6640625" style="5" customWidth="1"/>
    <col min="81" max="81" width="82.6640625" style="5" customWidth="1"/>
    <col min="82" max="85" width="18.6640625" style="5" customWidth="1"/>
    <col min="86" max="16384" width="11.44140625" style="5"/>
  </cols>
  <sheetData>
    <row r="1" spans="1:15" ht="20.100000000000001" customHeight="1" x14ac:dyDescent="0.3">
      <c r="A1" s="4"/>
      <c r="B1" s="4"/>
      <c r="C1" s="105" t="s">
        <v>17</v>
      </c>
      <c r="D1" s="105"/>
      <c r="E1" s="105"/>
      <c r="F1" s="105"/>
      <c r="G1" s="105"/>
      <c r="H1" s="105"/>
      <c r="I1" s="105"/>
      <c r="J1" s="105"/>
      <c r="K1" s="105"/>
      <c r="L1" s="105"/>
      <c r="M1" s="53"/>
      <c r="N1" s="53"/>
      <c r="O1" s="53"/>
    </row>
    <row r="2" spans="1:15" ht="20.100000000000001" customHeight="1" x14ac:dyDescent="0.3">
      <c r="A2" s="4"/>
      <c r="B2" s="4"/>
      <c r="C2" s="106" t="s">
        <v>18</v>
      </c>
      <c r="D2" s="106"/>
      <c r="E2" s="106"/>
      <c r="F2" s="106"/>
      <c r="G2" s="106"/>
      <c r="H2" s="106"/>
      <c r="I2" s="106"/>
      <c r="J2" s="106"/>
      <c r="K2" s="106"/>
      <c r="L2" s="106"/>
      <c r="M2" s="54"/>
      <c r="N2" s="54"/>
      <c r="O2" s="54"/>
    </row>
    <row r="3" spans="1:15" ht="20.100000000000001" customHeight="1" x14ac:dyDescent="0.3">
      <c r="A3" s="4"/>
      <c r="B3" s="4"/>
      <c r="C3" s="99" t="s">
        <v>5</v>
      </c>
      <c r="D3" s="99"/>
      <c r="E3" s="99"/>
      <c r="F3" s="99"/>
      <c r="G3" s="99"/>
      <c r="H3" s="99"/>
      <c r="I3" s="99"/>
      <c r="J3" s="99"/>
      <c r="K3" s="99"/>
      <c r="L3" s="99"/>
      <c r="M3" s="55"/>
      <c r="N3" s="55"/>
      <c r="O3" s="55"/>
    </row>
    <row r="4" spans="1:15" ht="39" customHeight="1" x14ac:dyDescent="0.3">
      <c r="A4" s="84"/>
      <c r="B4" s="84"/>
      <c r="C4" s="109" t="s">
        <v>1395</v>
      </c>
      <c r="D4" s="109"/>
      <c r="E4" s="109"/>
      <c r="F4" s="109"/>
      <c r="G4" s="109"/>
      <c r="H4" s="109"/>
      <c r="I4" s="109"/>
      <c r="J4" s="109"/>
      <c r="K4" s="109"/>
      <c r="L4" s="109"/>
      <c r="M4" s="6"/>
      <c r="N4" s="6"/>
      <c r="O4" s="6"/>
    </row>
    <row r="5" spans="1:15" ht="20.100000000000001" customHeight="1" x14ac:dyDescent="0.3">
      <c r="A5" s="4"/>
      <c r="B5" s="4"/>
      <c r="C5" s="106" t="s">
        <v>7</v>
      </c>
      <c r="D5" s="106"/>
      <c r="E5" s="106"/>
      <c r="F5" s="106"/>
      <c r="G5" s="106"/>
      <c r="H5" s="106"/>
      <c r="I5" s="106"/>
      <c r="J5" s="106"/>
      <c r="K5" s="106"/>
      <c r="L5" s="106"/>
      <c r="M5" s="54"/>
      <c r="N5" s="54"/>
      <c r="O5" s="54"/>
    </row>
    <row r="6" spans="1:15" ht="20.100000000000001" customHeight="1" x14ac:dyDescent="0.3">
      <c r="A6" s="4"/>
      <c r="B6" s="4"/>
      <c r="C6" s="108" t="s">
        <v>9</v>
      </c>
      <c r="D6" s="108"/>
      <c r="E6" s="108"/>
      <c r="F6" s="108"/>
      <c r="G6" s="108"/>
      <c r="H6" s="108"/>
      <c r="I6" s="108"/>
      <c r="J6" s="108"/>
      <c r="K6" s="108"/>
      <c r="L6" s="108"/>
      <c r="M6" s="57"/>
      <c r="N6" s="57"/>
      <c r="O6" s="57"/>
    </row>
    <row r="7" spans="1:15" ht="20.100000000000001" customHeight="1" x14ac:dyDescent="0.3">
      <c r="A7" s="4"/>
      <c r="B7" s="4"/>
      <c r="C7" s="102" t="s">
        <v>8</v>
      </c>
      <c r="D7" s="102"/>
      <c r="E7" s="102"/>
      <c r="F7" s="102"/>
      <c r="G7" s="102"/>
      <c r="H7" s="102"/>
      <c r="I7" s="102"/>
      <c r="J7" s="102"/>
      <c r="K7" s="102"/>
      <c r="L7" s="102"/>
      <c r="M7" s="64"/>
      <c r="N7" s="64"/>
      <c r="O7" s="64"/>
    </row>
    <row r="8" spans="1:15" ht="36" customHeight="1" x14ac:dyDescent="0.3">
      <c r="C8" s="48" t="s">
        <v>20</v>
      </c>
      <c r="D8" s="48" t="s">
        <v>21</v>
      </c>
      <c r="E8" s="48" t="s">
        <v>22</v>
      </c>
      <c r="F8" s="17" t="s">
        <v>1425</v>
      </c>
      <c r="G8" s="48" t="s">
        <v>1399</v>
      </c>
      <c r="H8" s="48" t="s">
        <v>1400</v>
      </c>
      <c r="I8" s="48" t="s">
        <v>1401</v>
      </c>
      <c r="J8" s="48" t="s">
        <v>1402</v>
      </c>
      <c r="K8" s="48" t="s">
        <v>1403</v>
      </c>
      <c r="L8" s="48" t="s">
        <v>1404</v>
      </c>
      <c r="M8" s="67"/>
      <c r="N8" s="67"/>
      <c r="O8" s="67"/>
    </row>
    <row r="9" spans="1:15" hidden="1" x14ac:dyDescent="0.3">
      <c r="G9" s="58"/>
      <c r="H9" s="37"/>
      <c r="I9" s="37"/>
      <c r="J9" s="61"/>
      <c r="K9" s="37"/>
      <c r="L9" s="58"/>
      <c r="M9" s="58"/>
      <c r="N9" s="58"/>
      <c r="O9" s="58"/>
    </row>
    <row r="10" spans="1:15" hidden="1" x14ac:dyDescent="0.3">
      <c r="C10" s="49" t="s">
        <v>20</v>
      </c>
      <c r="D10" s="49" t="s">
        <v>21</v>
      </c>
      <c r="E10" s="49" t="s">
        <v>22</v>
      </c>
      <c r="F10" s="50" t="s">
        <v>29</v>
      </c>
      <c r="G10" s="59" t="s">
        <v>1419</v>
      </c>
      <c r="H10" s="51" t="s">
        <v>1420</v>
      </c>
      <c r="I10" s="51" t="s">
        <v>1421</v>
      </c>
      <c r="J10" s="62" t="s">
        <v>1422</v>
      </c>
      <c r="K10" s="51" t="s">
        <v>1423</v>
      </c>
      <c r="L10" s="59" t="s">
        <v>1424</v>
      </c>
      <c r="M10" t="s">
        <v>34</v>
      </c>
      <c r="N10" t="s">
        <v>35</v>
      </c>
      <c r="O10" t="s">
        <v>36</v>
      </c>
    </row>
    <row r="11" spans="1:15" ht="48" x14ac:dyDescent="0.3">
      <c r="C11" s="90" t="s">
        <v>44</v>
      </c>
      <c r="D11" s="87" t="s">
        <v>45</v>
      </c>
      <c r="E11" s="90"/>
      <c r="F11" s="92"/>
      <c r="G11" s="45"/>
      <c r="H11" s="42"/>
      <c r="I11" s="46"/>
      <c r="J11" s="12"/>
      <c r="K11" s="46"/>
      <c r="L11" s="47"/>
      <c r="M11"/>
      <c r="N11"/>
      <c r="O11"/>
    </row>
    <row r="12" spans="1:15" ht="36" x14ac:dyDescent="0.3">
      <c r="C12" s="90"/>
      <c r="D12" s="87" t="s">
        <v>46</v>
      </c>
      <c r="E12" s="90"/>
      <c r="F12" s="92"/>
      <c r="G12" s="45"/>
      <c r="H12" s="42"/>
      <c r="I12" s="46"/>
      <c r="J12" s="12"/>
      <c r="K12" s="46"/>
      <c r="L12" s="47"/>
      <c r="M12"/>
      <c r="N12"/>
      <c r="O12"/>
    </row>
    <row r="13" spans="1:15" ht="72" x14ac:dyDescent="0.3">
      <c r="C13" s="90"/>
      <c r="D13" s="87" t="s">
        <v>47</v>
      </c>
      <c r="E13" s="90"/>
      <c r="F13" s="92"/>
      <c r="G13" s="45"/>
      <c r="H13" s="42"/>
      <c r="I13" s="46"/>
      <c r="J13" s="12"/>
      <c r="K13" s="46"/>
      <c r="L13" s="47"/>
      <c r="M13"/>
      <c r="N13"/>
      <c r="O13"/>
    </row>
    <row r="14" spans="1:15" ht="36" x14ac:dyDescent="0.3">
      <c r="C14" s="90" t="s">
        <v>48</v>
      </c>
      <c r="D14" s="87" t="s">
        <v>49</v>
      </c>
      <c r="E14" s="90" t="s">
        <v>50</v>
      </c>
      <c r="F14" s="92">
        <v>2.8889999999999998</v>
      </c>
      <c r="G14" s="45"/>
      <c r="H14" s="42"/>
      <c r="I14" s="12">
        <v>2.8889999999999998</v>
      </c>
      <c r="J14" s="12"/>
      <c r="K14" s="46"/>
      <c r="L14" s="47"/>
      <c r="M14"/>
      <c r="N14"/>
      <c r="O14"/>
    </row>
    <row r="15" spans="1:15" ht="36" x14ac:dyDescent="0.3">
      <c r="C15" s="90" t="s">
        <v>52</v>
      </c>
      <c r="D15" s="87" t="s">
        <v>53</v>
      </c>
      <c r="E15" s="90" t="s">
        <v>50</v>
      </c>
      <c r="F15" s="92">
        <v>18.3613</v>
      </c>
      <c r="G15" s="45"/>
      <c r="H15" s="42"/>
      <c r="I15" s="46">
        <v>18.3613</v>
      </c>
      <c r="J15" s="12"/>
      <c r="K15" s="46"/>
      <c r="L15" s="47"/>
      <c r="M15"/>
      <c r="N15"/>
      <c r="O15"/>
    </row>
    <row r="16" spans="1:15" ht="72" x14ac:dyDescent="0.3">
      <c r="C16" s="90"/>
      <c r="D16" s="87" t="s">
        <v>55</v>
      </c>
      <c r="E16" s="90"/>
      <c r="F16" s="92"/>
      <c r="G16" s="45"/>
      <c r="H16" s="42"/>
      <c r="I16" s="46"/>
      <c r="J16" s="12"/>
      <c r="K16" s="46"/>
      <c r="L16" s="47"/>
      <c r="M16"/>
      <c r="N16"/>
      <c r="O16"/>
    </row>
    <row r="17" spans="3:15" ht="36" x14ac:dyDescent="0.3">
      <c r="C17" s="90" t="s">
        <v>56</v>
      </c>
      <c r="D17" s="87" t="s">
        <v>57</v>
      </c>
      <c r="E17" s="90" t="s">
        <v>58</v>
      </c>
      <c r="F17" s="92">
        <v>12.2</v>
      </c>
      <c r="G17" s="45"/>
      <c r="H17" s="42"/>
      <c r="I17" s="46"/>
      <c r="J17" s="12">
        <v>12.2</v>
      </c>
      <c r="K17" s="46"/>
      <c r="L17" s="47"/>
      <c r="M17"/>
      <c r="N17"/>
      <c r="O17"/>
    </row>
    <row r="18" spans="3:15" ht="36" x14ac:dyDescent="0.3">
      <c r="C18" s="90" t="s">
        <v>60</v>
      </c>
      <c r="D18" s="87" t="s">
        <v>61</v>
      </c>
      <c r="E18" s="90" t="s">
        <v>58</v>
      </c>
      <c r="F18" s="92">
        <v>61</v>
      </c>
      <c r="G18" s="45"/>
      <c r="H18" s="42"/>
      <c r="I18" s="46">
        <v>61</v>
      </c>
      <c r="J18" s="12"/>
      <c r="K18" s="46"/>
      <c r="L18" s="47"/>
      <c r="M18"/>
      <c r="N18"/>
      <c r="O18"/>
    </row>
    <row r="19" spans="3:15" ht="36" x14ac:dyDescent="0.3">
      <c r="C19" s="90"/>
      <c r="D19" s="87" t="s">
        <v>63</v>
      </c>
      <c r="E19" s="90"/>
      <c r="F19" s="92"/>
      <c r="G19" s="45"/>
      <c r="H19" s="42"/>
      <c r="I19" s="46"/>
      <c r="J19" s="12"/>
      <c r="K19" s="46"/>
      <c r="L19" s="47"/>
      <c r="M19"/>
      <c r="N19"/>
      <c r="O19"/>
    </row>
    <row r="20" spans="3:15" ht="60" x14ac:dyDescent="0.3">
      <c r="C20" s="90"/>
      <c r="D20" s="87" t="s">
        <v>64</v>
      </c>
      <c r="E20" s="90"/>
      <c r="F20" s="92"/>
      <c r="G20" s="45"/>
      <c r="H20" s="42"/>
      <c r="I20" s="46"/>
      <c r="J20" s="12"/>
      <c r="K20" s="46"/>
      <c r="L20" s="47"/>
      <c r="M20"/>
      <c r="N20"/>
      <c r="O20"/>
    </row>
    <row r="21" spans="3:15" ht="48" x14ac:dyDescent="0.3">
      <c r="C21" s="90"/>
      <c r="D21" s="87" t="s">
        <v>65</v>
      </c>
      <c r="E21" s="90"/>
      <c r="F21" s="92"/>
      <c r="G21" s="45"/>
      <c r="H21" s="42"/>
      <c r="I21" s="46"/>
      <c r="J21" s="12"/>
      <c r="K21" s="46"/>
      <c r="L21" s="47"/>
      <c r="M21"/>
      <c r="N21"/>
      <c r="O21"/>
    </row>
    <row r="22" spans="3:15" ht="36" x14ac:dyDescent="0.3">
      <c r="C22" s="90" t="s">
        <v>66</v>
      </c>
      <c r="D22" s="87" t="s">
        <v>67</v>
      </c>
      <c r="E22" s="90" t="s">
        <v>68</v>
      </c>
      <c r="F22" s="92">
        <v>9</v>
      </c>
      <c r="G22" s="45"/>
      <c r="H22" s="42"/>
      <c r="I22" s="46"/>
      <c r="J22" s="12">
        <v>9</v>
      </c>
      <c r="K22" s="46"/>
      <c r="L22" s="47"/>
      <c r="M22"/>
      <c r="N22"/>
      <c r="O22"/>
    </row>
    <row r="23" spans="3:15" ht="60" x14ac:dyDescent="0.3">
      <c r="C23" s="90"/>
      <c r="D23" s="87" t="s">
        <v>70</v>
      </c>
      <c r="E23" s="90"/>
      <c r="F23" s="92"/>
      <c r="G23" s="45"/>
      <c r="H23" s="42"/>
      <c r="I23" s="46"/>
      <c r="J23" s="12"/>
      <c r="K23" s="46"/>
      <c r="L23" s="47"/>
      <c r="M23"/>
      <c r="N23"/>
      <c r="O23"/>
    </row>
    <row r="24" spans="3:15" ht="48" x14ac:dyDescent="0.3">
      <c r="C24" s="90" t="s">
        <v>71</v>
      </c>
      <c r="D24" s="87" t="s">
        <v>72</v>
      </c>
      <c r="E24" s="90" t="s">
        <v>68</v>
      </c>
      <c r="F24" s="92">
        <v>35</v>
      </c>
      <c r="G24" s="45"/>
      <c r="H24" s="42">
        <v>20</v>
      </c>
      <c r="I24" s="46">
        <v>15</v>
      </c>
      <c r="J24" s="12"/>
      <c r="K24" s="46"/>
      <c r="L24" s="47"/>
      <c r="M24"/>
      <c r="N24"/>
      <c r="O24"/>
    </row>
    <row r="25" spans="3:15" ht="48" x14ac:dyDescent="0.3">
      <c r="C25" s="90" t="s">
        <v>74</v>
      </c>
      <c r="D25" s="87" t="s">
        <v>75</v>
      </c>
      <c r="E25" s="90" t="s">
        <v>68</v>
      </c>
      <c r="F25" s="92">
        <v>1</v>
      </c>
      <c r="G25" s="45"/>
      <c r="H25" s="42">
        <v>1</v>
      </c>
      <c r="I25" s="46"/>
      <c r="J25" s="12"/>
      <c r="K25" s="46"/>
      <c r="L25" s="47"/>
      <c r="M25"/>
      <c r="N25"/>
      <c r="O25"/>
    </row>
    <row r="26" spans="3:15" ht="48" x14ac:dyDescent="0.3">
      <c r="C26" s="90"/>
      <c r="D26" s="87" t="s">
        <v>77</v>
      </c>
      <c r="E26" s="90"/>
      <c r="F26" s="92"/>
      <c r="G26" s="45"/>
      <c r="H26" s="42"/>
      <c r="I26" s="46"/>
      <c r="J26" s="12"/>
      <c r="K26" s="46"/>
      <c r="L26" s="47"/>
      <c r="M26"/>
      <c r="N26"/>
      <c r="O26"/>
    </row>
    <row r="27" spans="3:15" ht="60" x14ac:dyDescent="0.3">
      <c r="C27" s="90" t="s">
        <v>78</v>
      </c>
      <c r="D27" s="87" t="s">
        <v>79</v>
      </c>
      <c r="E27" s="90" t="s">
        <v>68</v>
      </c>
      <c r="F27" s="92">
        <v>35</v>
      </c>
      <c r="G27" s="45"/>
      <c r="H27" s="42"/>
      <c r="I27" s="46">
        <v>20</v>
      </c>
      <c r="J27" s="12">
        <v>15</v>
      </c>
      <c r="K27" s="46"/>
      <c r="L27" s="47"/>
      <c r="M27"/>
      <c r="N27"/>
      <c r="O27"/>
    </row>
    <row r="28" spans="3:15" ht="48" x14ac:dyDescent="0.3">
      <c r="C28" s="90"/>
      <c r="D28" s="87" t="s">
        <v>81</v>
      </c>
      <c r="E28" s="90"/>
      <c r="F28" s="92"/>
      <c r="G28" s="45"/>
      <c r="H28" s="42"/>
      <c r="I28" s="46"/>
      <c r="J28" s="12"/>
      <c r="K28" s="46"/>
      <c r="L28" s="47"/>
      <c r="M28"/>
      <c r="N28"/>
      <c r="O28"/>
    </row>
    <row r="29" spans="3:15" ht="36" x14ac:dyDescent="0.3">
      <c r="C29" s="90" t="s">
        <v>82</v>
      </c>
      <c r="D29" s="87" t="s">
        <v>83</v>
      </c>
      <c r="E29" s="90" t="s">
        <v>68</v>
      </c>
      <c r="F29" s="92">
        <v>28</v>
      </c>
      <c r="G29" s="45"/>
      <c r="H29" s="42"/>
      <c r="I29" s="46">
        <v>28</v>
      </c>
      <c r="J29" s="12"/>
      <c r="K29" s="46"/>
      <c r="L29" s="47"/>
      <c r="M29"/>
      <c r="N29"/>
      <c r="O29"/>
    </row>
    <row r="30" spans="3:15" ht="36" x14ac:dyDescent="0.3">
      <c r="C30" s="90" t="s">
        <v>85</v>
      </c>
      <c r="D30" s="87" t="s">
        <v>86</v>
      </c>
      <c r="E30" s="90" t="s">
        <v>68</v>
      </c>
      <c r="F30" s="92">
        <v>1</v>
      </c>
      <c r="G30" s="45"/>
      <c r="H30" s="42"/>
      <c r="I30" s="46">
        <v>1</v>
      </c>
      <c r="J30" s="12"/>
      <c r="K30" s="46"/>
      <c r="L30" s="47"/>
      <c r="M30"/>
      <c r="N30"/>
      <c r="O30"/>
    </row>
    <row r="31" spans="3:15" ht="48" x14ac:dyDescent="0.3">
      <c r="C31" s="90"/>
      <c r="D31" s="87" t="s">
        <v>88</v>
      </c>
      <c r="E31" s="90"/>
      <c r="F31" s="92"/>
      <c r="G31" s="45"/>
      <c r="H31" s="42"/>
      <c r="I31" s="46"/>
      <c r="J31" s="12"/>
      <c r="K31" s="46"/>
      <c r="L31" s="47"/>
      <c r="M31"/>
      <c r="N31"/>
      <c r="O31"/>
    </row>
    <row r="32" spans="3:15" ht="36" x14ac:dyDescent="0.3">
      <c r="C32" s="90" t="s">
        <v>89</v>
      </c>
      <c r="D32" s="87" t="s">
        <v>90</v>
      </c>
      <c r="E32" s="90" t="s">
        <v>68</v>
      </c>
      <c r="F32" s="92">
        <v>13</v>
      </c>
      <c r="G32" s="45"/>
      <c r="H32" s="42"/>
      <c r="I32" s="46"/>
      <c r="J32" s="12">
        <v>13</v>
      </c>
      <c r="K32" s="46"/>
      <c r="L32" s="47"/>
      <c r="M32"/>
      <c r="N32"/>
      <c r="O32"/>
    </row>
    <row r="33" spans="3:15" ht="36" x14ac:dyDescent="0.3">
      <c r="C33" s="90"/>
      <c r="D33" s="87" t="s">
        <v>92</v>
      </c>
      <c r="E33" s="90"/>
      <c r="F33" s="92"/>
      <c r="G33" s="45"/>
      <c r="H33" s="42"/>
      <c r="I33" s="46"/>
      <c r="J33" s="12"/>
      <c r="K33" s="46"/>
      <c r="L33" s="47"/>
      <c r="M33"/>
      <c r="N33"/>
      <c r="O33"/>
    </row>
    <row r="34" spans="3:15" ht="48" x14ac:dyDescent="0.3">
      <c r="C34" s="90" t="s">
        <v>93</v>
      </c>
      <c r="D34" s="87" t="s">
        <v>94</v>
      </c>
      <c r="E34" s="90" t="s">
        <v>68</v>
      </c>
      <c r="F34" s="92">
        <v>6</v>
      </c>
      <c r="G34" s="45"/>
      <c r="H34" s="42"/>
      <c r="I34" s="46"/>
      <c r="J34" s="12">
        <v>6</v>
      </c>
      <c r="K34" s="46"/>
      <c r="L34" s="47"/>
      <c r="M34"/>
      <c r="N34"/>
      <c r="O34"/>
    </row>
    <row r="35" spans="3:15" ht="48" x14ac:dyDescent="0.3">
      <c r="C35" s="90"/>
      <c r="D35" s="87" t="s">
        <v>96</v>
      </c>
      <c r="E35" s="90"/>
      <c r="F35" s="92"/>
      <c r="G35" s="45"/>
      <c r="H35" s="42"/>
      <c r="I35" s="46"/>
      <c r="J35" s="12"/>
      <c r="K35" s="46"/>
      <c r="L35" s="47"/>
      <c r="M35"/>
      <c r="N35"/>
      <c r="O35"/>
    </row>
    <row r="36" spans="3:15" ht="48" x14ac:dyDescent="0.3">
      <c r="C36" s="90" t="s">
        <v>97</v>
      </c>
      <c r="D36" s="87" t="s">
        <v>98</v>
      </c>
      <c r="E36" s="90" t="s">
        <v>68</v>
      </c>
      <c r="F36" s="92">
        <v>6</v>
      </c>
      <c r="G36" s="45"/>
      <c r="H36" s="42"/>
      <c r="I36" s="46"/>
      <c r="J36" s="12">
        <v>6</v>
      </c>
      <c r="K36" s="46"/>
      <c r="L36" s="47"/>
      <c r="M36"/>
      <c r="N36"/>
      <c r="O36"/>
    </row>
    <row r="37" spans="3:15" ht="48" x14ac:dyDescent="0.3">
      <c r="C37" s="90" t="s">
        <v>100</v>
      </c>
      <c r="D37" s="87" t="s">
        <v>101</v>
      </c>
      <c r="E37" s="90" t="s">
        <v>68</v>
      </c>
      <c r="F37" s="92">
        <v>4</v>
      </c>
      <c r="G37" s="45"/>
      <c r="H37" s="42"/>
      <c r="I37" s="46"/>
      <c r="J37" s="12">
        <v>4</v>
      </c>
      <c r="K37" s="46"/>
      <c r="L37" s="47"/>
      <c r="M37"/>
      <c r="N37"/>
      <c r="O37"/>
    </row>
    <row r="38" spans="3:15" ht="48" x14ac:dyDescent="0.3">
      <c r="C38" s="90"/>
      <c r="D38" s="87" t="s">
        <v>103</v>
      </c>
      <c r="E38" s="90"/>
      <c r="F38" s="92"/>
      <c r="G38" s="45"/>
      <c r="H38" s="42"/>
      <c r="I38" s="46"/>
      <c r="J38" s="12"/>
      <c r="K38" s="46"/>
      <c r="L38" s="47"/>
      <c r="M38"/>
      <c r="N38"/>
      <c r="O38"/>
    </row>
    <row r="39" spans="3:15" ht="60" x14ac:dyDescent="0.3">
      <c r="C39" s="90" t="s">
        <v>104</v>
      </c>
      <c r="D39" s="87" t="s">
        <v>105</v>
      </c>
      <c r="E39" s="90" t="s">
        <v>68</v>
      </c>
      <c r="F39" s="92">
        <v>18</v>
      </c>
      <c r="G39" s="45"/>
      <c r="H39" s="42"/>
      <c r="I39" s="46"/>
      <c r="J39" s="12">
        <v>18</v>
      </c>
      <c r="K39" s="46"/>
      <c r="L39" s="47"/>
      <c r="M39"/>
      <c r="N39"/>
      <c r="O39"/>
    </row>
    <row r="40" spans="3:15" ht="48" x14ac:dyDescent="0.3">
      <c r="C40" s="90"/>
      <c r="D40" s="87" t="s">
        <v>107</v>
      </c>
      <c r="E40" s="90"/>
      <c r="F40" s="92"/>
      <c r="G40" s="45"/>
      <c r="H40" s="42"/>
      <c r="I40" s="46"/>
      <c r="J40" s="12"/>
      <c r="K40" s="46"/>
      <c r="L40" s="47"/>
      <c r="M40"/>
      <c r="N40"/>
      <c r="O40"/>
    </row>
    <row r="41" spans="3:15" ht="36" x14ac:dyDescent="0.3">
      <c r="C41" s="90" t="s">
        <v>108</v>
      </c>
      <c r="D41" s="87" t="s">
        <v>109</v>
      </c>
      <c r="E41" s="90" t="s">
        <v>50</v>
      </c>
      <c r="F41" s="92">
        <v>2.15</v>
      </c>
      <c r="G41" s="45">
        <v>2.15</v>
      </c>
      <c r="H41" s="42"/>
      <c r="I41" s="46"/>
      <c r="J41" s="12"/>
      <c r="K41" s="46"/>
      <c r="L41" s="47"/>
      <c r="M41"/>
      <c r="N41"/>
      <c r="O41"/>
    </row>
    <row r="42" spans="3:15" ht="36" x14ac:dyDescent="0.3">
      <c r="C42" s="90" t="s">
        <v>111</v>
      </c>
      <c r="D42" s="87" t="s">
        <v>112</v>
      </c>
      <c r="E42" s="90" t="s">
        <v>50</v>
      </c>
      <c r="F42" s="92">
        <v>1.6420999999999999</v>
      </c>
      <c r="G42" s="45"/>
      <c r="H42" s="42">
        <v>1.6420999999999999</v>
      </c>
      <c r="I42" s="46"/>
      <c r="J42" s="12"/>
      <c r="K42" s="46"/>
      <c r="L42" s="47"/>
      <c r="M42"/>
      <c r="N42"/>
      <c r="O42"/>
    </row>
    <row r="43" spans="3:15" ht="48" x14ac:dyDescent="0.3">
      <c r="C43" s="90"/>
      <c r="D43" s="87" t="s">
        <v>114</v>
      </c>
      <c r="E43" s="90"/>
      <c r="F43" s="92"/>
      <c r="G43" s="45"/>
      <c r="H43" s="42"/>
      <c r="I43" s="46"/>
      <c r="J43" s="12"/>
      <c r="K43" s="46"/>
      <c r="L43" s="47"/>
      <c r="M43"/>
      <c r="N43"/>
      <c r="O43"/>
    </row>
    <row r="44" spans="3:15" ht="36" x14ac:dyDescent="0.3">
      <c r="C44" s="90" t="s">
        <v>115</v>
      </c>
      <c r="D44" s="87" t="s">
        <v>116</v>
      </c>
      <c r="E44" s="90" t="s">
        <v>50</v>
      </c>
      <c r="F44" s="92">
        <v>1.46</v>
      </c>
      <c r="G44" s="45"/>
      <c r="H44" s="42"/>
      <c r="I44" s="46"/>
      <c r="J44" s="12">
        <v>1.46</v>
      </c>
      <c r="K44" s="46"/>
      <c r="L44" s="47"/>
      <c r="M44"/>
      <c r="N44"/>
      <c r="O44"/>
    </row>
    <row r="45" spans="3:15" ht="36" x14ac:dyDescent="0.3">
      <c r="C45" s="90" t="s">
        <v>118</v>
      </c>
      <c r="D45" s="87" t="s">
        <v>119</v>
      </c>
      <c r="E45" s="90" t="s">
        <v>50</v>
      </c>
      <c r="F45" s="92">
        <v>0.25890000000000002</v>
      </c>
      <c r="G45" s="45"/>
      <c r="H45" s="42"/>
      <c r="I45" s="46">
        <v>0.25890000000000002</v>
      </c>
      <c r="J45" s="12"/>
      <c r="K45" s="46"/>
      <c r="L45" s="47"/>
      <c r="M45"/>
      <c r="N45"/>
      <c r="O45"/>
    </row>
    <row r="46" spans="3:15" ht="36" x14ac:dyDescent="0.3">
      <c r="C46" s="90" t="s">
        <v>121</v>
      </c>
      <c r="D46" s="87" t="s">
        <v>122</v>
      </c>
      <c r="E46" s="90" t="s">
        <v>50</v>
      </c>
      <c r="F46" s="92">
        <v>1.49E-2</v>
      </c>
      <c r="G46" s="45"/>
      <c r="H46" s="42"/>
      <c r="I46" s="46">
        <v>1.49E-2</v>
      </c>
      <c r="J46" s="12"/>
      <c r="K46" s="46"/>
      <c r="L46" s="47"/>
      <c r="M46"/>
      <c r="N46"/>
      <c r="O46"/>
    </row>
    <row r="47" spans="3:15" ht="36" x14ac:dyDescent="0.3">
      <c r="C47" s="90" t="s">
        <v>124</v>
      </c>
      <c r="D47" s="87" t="s">
        <v>125</v>
      </c>
      <c r="E47" s="90" t="s">
        <v>50</v>
      </c>
      <c r="F47" s="92">
        <v>0.2102</v>
      </c>
      <c r="G47" s="45"/>
      <c r="H47" s="42"/>
      <c r="I47" s="46">
        <v>0.2102</v>
      </c>
      <c r="J47" s="12"/>
      <c r="K47" s="46"/>
      <c r="L47" s="47"/>
      <c r="M47"/>
      <c r="N47"/>
      <c r="O47"/>
    </row>
    <row r="48" spans="3:15" ht="36" x14ac:dyDescent="0.3">
      <c r="C48" s="90" t="s">
        <v>127</v>
      </c>
      <c r="D48" s="87" t="s">
        <v>128</v>
      </c>
      <c r="E48" s="90" t="s">
        <v>50</v>
      </c>
      <c r="F48" s="92">
        <v>0.66600000000000004</v>
      </c>
      <c r="G48" s="45"/>
      <c r="H48" s="42"/>
      <c r="I48" s="46">
        <v>0.66600000000000004</v>
      </c>
      <c r="J48" s="12"/>
      <c r="K48" s="46"/>
      <c r="L48" s="47"/>
      <c r="M48"/>
      <c r="N48"/>
      <c r="O48"/>
    </row>
    <row r="49" spans="3:15" ht="36" x14ac:dyDescent="0.3">
      <c r="C49" s="90" t="s">
        <v>130</v>
      </c>
      <c r="D49" s="87" t="s">
        <v>131</v>
      </c>
      <c r="E49" s="90" t="s">
        <v>50</v>
      </c>
      <c r="F49" s="92">
        <v>1.46</v>
      </c>
      <c r="G49" s="45"/>
      <c r="H49" s="42">
        <v>1.46</v>
      </c>
      <c r="I49" s="46"/>
      <c r="J49" s="12"/>
      <c r="K49" s="46"/>
      <c r="L49" s="47"/>
      <c r="M49"/>
      <c r="N49"/>
      <c r="O49"/>
    </row>
    <row r="50" spans="3:15" ht="36" x14ac:dyDescent="0.3">
      <c r="C50" s="90" t="s">
        <v>133</v>
      </c>
      <c r="D50" s="87" t="s">
        <v>109</v>
      </c>
      <c r="E50" s="90" t="s">
        <v>50</v>
      </c>
      <c r="F50" s="92">
        <v>3.097</v>
      </c>
      <c r="G50" s="45"/>
      <c r="H50" s="42"/>
      <c r="I50" s="46">
        <v>3.097</v>
      </c>
      <c r="J50" s="12"/>
      <c r="K50" s="46"/>
      <c r="L50" s="47"/>
      <c r="M50"/>
      <c r="N50"/>
      <c r="O50"/>
    </row>
    <row r="51" spans="3:15" ht="36" x14ac:dyDescent="0.3">
      <c r="C51" s="90" t="s">
        <v>135</v>
      </c>
      <c r="D51" s="87" t="s">
        <v>136</v>
      </c>
      <c r="E51" s="90" t="s">
        <v>50</v>
      </c>
      <c r="F51" s="92">
        <v>0.51300000000000001</v>
      </c>
      <c r="G51" s="45"/>
      <c r="H51" s="42"/>
      <c r="I51" s="46">
        <v>0.51300000000000001</v>
      </c>
      <c r="J51" s="12"/>
      <c r="K51" s="46"/>
      <c r="L51" s="47"/>
      <c r="M51"/>
      <c r="N51"/>
      <c r="O51"/>
    </row>
    <row r="52" spans="3:15" ht="36" x14ac:dyDescent="0.3">
      <c r="C52" s="90" t="s">
        <v>138</v>
      </c>
      <c r="D52" s="87" t="s">
        <v>139</v>
      </c>
      <c r="E52" s="90" t="s">
        <v>50</v>
      </c>
      <c r="F52" s="92">
        <v>1.91</v>
      </c>
      <c r="G52" s="45">
        <v>1.91</v>
      </c>
      <c r="H52" s="42"/>
      <c r="I52" s="46"/>
      <c r="J52" s="12"/>
      <c r="K52" s="46"/>
      <c r="L52" s="47"/>
      <c r="M52"/>
      <c r="N52"/>
      <c r="O52"/>
    </row>
    <row r="53" spans="3:15" ht="48" x14ac:dyDescent="0.3">
      <c r="C53" s="90"/>
      <c r="D53" s="87" t="s">
        <v>141</v>
      </c>
      <c r="E53" s="90"/>
      <c r="F53" s="92"/>
      <c r="G53" s="45"/>
      <c r="H53" s="42"/>
      <c r="I53" s="46"/>
      <c r="J53" s="12"/>
      <c r="K53" s="46"/>
      <c r="L53" s="47"/>
      <c r="M53"/>
      <c r="N53"/>
      <c r="O53"/>
    </row>
    <row r="54" spans="3:15" ht="36" x14ac:dyDescent="0.3">
      <c r="C54" s="90" t="s">
        <v>142</v>
      </c>
      <c r="D54" s="87" t="s">
        <v>143</v>
      </c>
      <c r="E54" s="90" t="s">
        <v>50</v>
      </c>
      <c r="F54" s="92">
        <v>2.3300000000000001E-2</v>
      </c>
      <c r="G54" s="45"/>
      <c r="H54" s="42"/>
      <c r="I54" s="46">
        <v>2.3300000000000001E-2</v>
      </c>
      <c r="J54" s="12"/>
      <c r="K54" s="46"/>
      <c r="L54" s="47"/>
      <c r="M54"/>
      <c r="N54"/>
      <c r="O54"/>
    </row>
    <row r="55" spans="3:15" ht="36" x14ac:dyDescent="0.3">
      <c r="C55" s="90" t="s">
        <v>145</v>
      </c>
      <c r="D55" s="87" t="s">
        <v>146</v>
      </c>
      <c r="E55" s="90" t="s">
        <v>50</v>
      </c>
      <c r="F55" s="92">
        <v>0.7</v>
      </c>
      <c r="G55" s="45"/>
      <c r="H55" s="42"/>
      <c r="I55" s="46">
        <v>0.7</v>
      </c>
      <c r="J55" s="12"/>
      <c r="K55" s="46"/>
      <c r="L55" s="47"/>
      <c r="M55"/>
      <c r="N55"/>
      <c r="O55"/>
    </row>
    <row r="56" spans="3:15" ht="36" x14ac:dyDescent="0.3">
      <c r="C56" s="90" t="s">
        <v>148</v>
      </c>
      <c r="D56" s="87" t="s">
        <v>149</v>
      </c>
      <c r="E56" s="90" t="s">
        <v>50</v>
      </c>
      <c r="F56" s="92">
        <v>4.4900000000000002E-2</v>
      </c>
      <c r="G56" s="45"/>
      <c r="H56" s="42"/>
      <c r="I56" s="46">
        <v>4.4900000000000002E-2</v>
      </c>
      <c r="J56" s="12"/>
      <c r="K56" s="46"/>
      <c r="L56" s="47"/>
      <c r="M56"/>
      <c r="N56"/>
      <c r="O56"/>
    </row>
    <row r="57" spans="3:15" ht="36" x14ac:dyDescent="0.3">
      <c r="C57" s="90" t="s">
        <v>151</v>
      </c>
      <c r="D57" s="87" t="s">
        <v>152</v>
      </c>
      <c r="E57" s="90" t="s">
        <v>50</v>
      </c>
      <c r="F57" s="92">
        <v>9.6199999999999994E-2</v>
      </c>
      <c r="G57" s="45"/>
      <c r="H57" s="42"/>
      <c r="I57" s="46">
        <v>9.6199999999999994E-2</v>
      </c>
      <c r="J57" s="12"/>
      <c r="K57" s="46"/>
      <c r="L57" s="47"/>
      <c r="M57"/>
      <c r="N57"/>
      <c r="O57"/>
    </row>
    <row r="58" spans="3:15" ht="48" x14ac:dyDescent="0.3">
      <c r="C58" s="90"/>
      <c r="D58" s="87" t="s">
        <v>154</v>
      </c>
      <c r="E58" s="90"/>
      <c r="F58" s="92"/>
      <c r="G58" s="45"/>
      <c r="H58" s="42"/>
      <c r="I58" s="46"/>
      <c r="J58" s="12"/>
      <c r="K58" s="46"/>
      <c r="L58" s="47"/>
      <c r="M58"/>
      <c r="N58"/>
      <c r="O58"/>
    </row>
    <row r="59" spans="3:15" ht="36" x14ac:dyDescent="0.3">
      <c r="C59" s="90" t="s">
        <v>155</v>
      </c>
      <c r="D59" s="87" t="s">
        <v>156</v>
      </c>
      <c r="E59" s="90" t="s">
        <v>50</v>
      </c>
      <c r="F59" s="92">
        <v>1.4188000000000001</v>
      </c>
      <c r="G59" s="45"/>
      <c r="H59" s="42"/>
      <c r="I59" s="46">
        <v>1.4188000000000001</v>
      </c>
      <c r="J59" s="12"/>
      <c r="K59" s="46"/>
      <c r="L59" s="47"/>
      <c r="M59"/>
      <c r="N59"/>
      <c r="O59"/>
    </row>
    <row r="60" spans="3:15" ht="36" x14ac:dyDescent="0.3">
      <c r="C60" s="90" t="s">
        <v>158</v>
      </c>
      <c r="D60" s="87" t="s">
        <v>159</v>
      </c>
      <c r="E60" s="90" t="s">
        <v>50</v>
      </c>
      <c r="F60" s="92">
        <v>3.6223999999999998</v>
      </c>
      <c r="G60" s="45"/>
      <c r="H60" s="42"/>
      <c r="I60" s="46">
        <v>3.6223999999999998</v>
      </c>
      <c r="J60" s="12"/>
      <c r="K60" s="46"/>
      <c r="L60" s="47"/>
      <c r="M60"/>
      <c r="N60"/>
      <c r="O60"/>
    </row>
    <row r="61" spans="3:15" ht="36" x14ac:dyDescent="0.3">
      <c r="C61" s="90" t="s">
        <v>161</v>
      </c>
      <c r="D61" s="87" t="s">
        <v>162</v>
      </c>
      <c r="E61" s="90" t="s">
        <v>50</v>
      </c>
      <c r="F61" s="92">
        <v>1.7749999999999999</v>
      </c>
      <c r="G61" s="45"/>
      <c r="H61" s="42"/>
      <c r="I61" s="46">
        <v>1.7749999999999999</v>
      </c>
      <c r="J61" s="12"/>
      <c r="K61" s="46"/>
      <c r="L61" s="47"/>
      <c r="M61"/>
      <c r="N61"/>
      <c r="O61"/>
    </row>
    <row r="62" spans="3:15" ht="36" x14ac:dyDescent="0.3">
      <c r="C62" s="90" t="s">
        <v>164</v>
      </c>
      <c r="D62" s="87" t="s">
        <v>165</v>
      </c>
      <c r="E62" s="90" t="s">
        <v>50</v>
      </c>
      <c r="F62" s="92">
        <v>1.4950000000000001</v>
      </c>
      <c r="G62" s="45"/>
      <c r="H62" s="42"/>
      <c r="I62" s="46">
        <v>1.4950000000000001</v>
      </c>
      <c r="J62" s="12"/>
      <c r="K62" s="46"/>
      <c r="L62" s="47"/>
      <c r="M62"/>
      <c r="N62"/>
      <c r="O62"/>
    </row>
    <row r="63" spans="3:15" ht="36" x14ac:dyDescent="0.3">
      <c r="C63" s="90" t="s">
        <v>167</v>
      </c>
      <c r="D63" s="87" t="s">
        <v>168</v>
      </c>
      <c r="E63" s="90" t="s">
        <v>50</v>
      </c>
      <c r="F63" s="92">
        <v>7.7160000000000002</v>
      </c>
      <c r="G63" s="45"/>
      <c r="H63" s="42"/>
      <c r="I63" s="46">
        <v>7.7160000000000002</v>
      </c>
      <c r="J63" s="12"/>
      <c r="K63" s="46"/>
      <c r="L63" s="47"/>
      <c r="M63"/>
      <c r="N63"/>
      <c r="O63"/>
    </row>
    <row r="64" spans="3:15" ht="36" x14ac:dyDescent="0.3">
      <c r="C64" s="90" t="s">
        <v>170</v>
      </c>
      <c r="D64" s="87" t="s">
        <v>171</v>
      </c>
      <c r="E64" s="90" t="s">
        <v>50</v>
      </c>
      <c r="F64" s="92">
        <v>0.215</v>
      </c>
      <c r="G64" s="45"/>
      <c r="H64" s="42"/>
      <c r="I64" s="46">
        <v>0.215</v>
      </c>
      <c r="J64" s="12"/>
      <c r="K64" s="46"/>
      <c r="L64" s="47"/>
      <c r="M64"/>
      <c r="N64"/>
      <c r="O64"/>
    </row>
    <row r="65" spans="3:15" ht="48" x14ac:dyDescent="0.3">
      <c r="C65" s="90"/>
      <c r="D65" s="87" t="s">
        <v>173</v>
      </c>
      <c r="E65" s="90"/>
      <c r="F65" s="92"/>
      <c r="G65" s="45"/>
      <c r="H65" s="42"/>
      <c r="I65" s="46"/>
      <c r="J65" s="12"/>
      <c r="K65" s="46"/>
      <c r="L65" s="47"/>
      <c r="M65"/>
      <c r="N65"/>
      <c r="O65"/>
    </row>
    <row r="66" spans="3:15" ht="36" x14ac:dyDescent="0.3">
      <c r="C66" s="90" t="s">
        <v>174</v>
      </c>
      <c r="D66" s="87" t="s">
        <v>175</v>
      </c>
      <c r="E66" s="90" t="s">
        <v>50</v>
      </c>
      <c r="F66" s="92">
        <v>7.0000000000000001E-3</v>
      </c>
      <c r="G66" s="45"/>
      <c r="H66" s="42"/>
      <c r="I66" s="46">
        <v>7.0000000000000001E-3</v>
      </c>
      <c r="J66" s="12"/>
      <c r="K66" s="46"/>
      <c r="L66" s="47"/>
      <c r="M66"/>
      <c r="N66"/>
      <c r="O66"/>
    </row>
    <row r="67" spans="3:15" ht="36" x14ac:dyDescent="0.3">
      <c r="C67" s="90" t="s">
        <v>177</v>
      </c>
      <c r="D67" s="87" t="s">
        <v>178</v>
      </c>
      <c r="E67" s="90" t="s">
        <v>50</v>
      </c>
      <c r="F67" s="92">
        <v>1.7999999999999999E-2</v>
      </c>
      <c r="G67" s="45"/>
      <c r="H67" s="42"/>
      <c r="I67" s="46">
        <v>1.7999999999999999E-2</v>
      </c>
      <c r="J67" s="12"/>
      <c r="K67" s="46"/>
      <c r="L67" s="47"/>
      <c r="M67"/>
      <c r="N67"/>
      <c r="O67"/>
    </row>
    <row r="68" spans="3:15" ht="36" x14ac:dyDescent="0.3">
      <c r="C68" s="90" t="s">
        <v>180</v>
      </c>
      <c r="D68" s="87" t="s">
        <v>181</v>
      </c>
      <c r="E68" s="90" t="s">
        <v>50</v>
      </c>
      <c r="F68" s="92">
        <v>1.35E-2</v>
      </c>
      <c r="G68" s="45"/>
      <c r="H68" s="42"/>
      <c r="I68" s="46">
        <v>1.35E-2</v>
      </c>
      <c r="J68" s="12"/>
      <c r="K68" s="46"/>
      <c r="L68" s="47"/>
      <c r="M68"/>
      <c r="N68"/>
      <c r="O68"/>
    </row>
    <row r="69" spans="3:15" ht="36" x14ac:dyDescent="0.3">
      <c r="C69" s="90"/>
      <c r="D69" s="87" t="s">
        <v>183</v>
      </c>
      <c r="E69" s="90"/>
      <c r="F69" s="92"/>
      <c r="G69" s="45"/>
      <c r="H69" s="42"/>
      <c r="I69" s="46"/>
      <c r="J69" s="12"/>
      <c r="K69" s="46"/>
      <c r="L69" s="47"/>
      <c r="M69"/>
      <c r="N69"/>
      <c r="O69"/>
    </row>
    <row r="70" spans="3:15" ht="36" x14ac:dyDescent="0.3">
      <c r="C70" s="90"/>
      <c r="D70" s="87" t="s">
        <v>184</v>
      </c>
      <c r="E70" s="90"/>
      <c r="F70" s="92"/>
      <c r="G70" s="45"/>
      <c r="H70" s="42"/>
      <c r="I70" s="46"/>
      <c r="J70" s="12"/>
      <c r="K70" s="46"/>
      <c r="L70" s="47"/>
      <c r="M70"/>
      <c r="N70"/>
      <c r="O70"/>
    </row>
    <row r="71" spans="3:15" ht="36" x14ac:dyDescent="0.3">
      <c r="C71" s="90" t="s">
        <v>185</v>
      </c>
      <c r="D71" s="87" t="s">
        <v>186</v>
      </c>
      <c r="E71" s="90" t="s">
        <v>50</v>
      </c>
      <c r="F71" s="92">
        <v>7.2599999999999998E-2</v>
      </c>
      <c r="G71" s="45"/>
      <c r="H71" s="42"/>
      <c r="I71" s="46">
        <v>7.2599999999999998E-2</v>
      </c>
      <c r="J71" s="12"/>
      <c r="K71" s="46"/>
      <c r="L71" s="47"/>
      <c r="M71"/>
      <c r="N71"/>
      <c r="O71"/>
    </row>
    <row r="72" spans="3:15" ht="36" x14ac:dyDescent="0.3">
      <c r="C72" s="90" t="s">
        <v>188</v>
      </c>
      <c r="D72" s="87" t="s">
        <v>189</v>
      </c>
      <c r="E72" s="90" t="s">
        <v>50</v>
      </c>
      <c r="F72" s="92">
        <v>0.7</v>
      </c>
      <c r="G72" s="45"/>
      <c r="H72" s="42"/>
      <c r="I72" s="46">
        <v>0.7</v>
      </c>
      <c r="J72" s="12"/>
      <c r="K72" s="46"/>
      <c r="L72" s="47"/>
      <c r="M72"/>
      <c r="N72"/>
      <c r="O72"/>
    </row>
    <row r="73" spans="3:15" ht="48" x14ac:dyDescent="0.3">
      <c r="C73" s="90" t="s">
        <v>287</v>
      </c>
      <c r="D73" s="87" t="s">
        <v>288</v>
      </c>
      <c r="E73" s="90"/>
      <c r="F73" s="92"/>
      <c r="G73" s="45"/>
      <c r="H73" s="42"/>
      <c r="I73" s="46"/>
      <c r="J73" s="12"/>
      <c r="K73" s="46"/>
      <c r="L73" s="47"/>
      <c r="M73"/>
      <c r="N73"/>
      <c r="O73"/>
    </row>
    <row r="74" spans="3:15" ht="60" x14ac:dyDescent="0.3">
      <c r="C74" s="90"/>
      <c r="D74" s="87" t="s">
        <v>289</v>
      </c>
      <c r="E74" s="90"/>
      <c r="F74" s="92"/>
      <c r="G74" s="45"/>
      <c r="H74" s="42"/>
      <c r="I74" s="46"/>
      <c r="J74" s="12"/>
      <c r="K74" s="46"/>
      <c r="L74" s="47"/>
      <c r="M74"/>
      <c r="N74"/>
      <c r="O74"/>
    </row>
    <row r="75" spans="3:15" ht="36" x14ac:dyDescent="0.3">
      <c r="C75" s="90" t="s">
        <v>290</v>
      </c>
      <c r="D75" s="87" t="s">
        <v>291</v>
      </c>
      <c r="E75" s="90" t="s">
        <v>68</v>
      </c>
      <c r="F75" s="92">
        <v>26</v>
      </c>
      <c r="G75" s="45"/>
      <c r="H75" s="42"/>
      <c r="I75" s="46"/>
      <c r="J75" s="12"/>
      <c r="K75" s="46">
        <v>26</v>
      </c>
      <c r="L75" s="47"/>
      <c r="M75"/>
      <c r="N75"/>
      <c r="O75"/>
    </row>
    <row r="76" spans="3:15" ht="60" x14ac:dyDescent="0.3">
      <c r="C76" s="90"/>
      <c r="D76" s="87" t="s">
        <v>293</v>
      </c>
      <c r="E76" s="90"/>
      <c r="F76" s="92"/>
      <c r="G76" s="45"/>
      <c r="H76" s="42"/>
      <c r="I76" s="46"/>
      <c r="J76" s="12"/>
      <c r="K76" s="46"/>
      <c r="L76" s="47"/>
      <c r="M76"/>
      <c r="N76"/>
      <c r="O76"/>
    </row>
    <row r="77" spans="3:15" ht="36" x14ac:dyDescent="0.3">
      <c r="C77" s="90" t="s">
        <v>294</v>
      </c>
      <c r="D77" s="87" t="s">
        <v>295</v>
      </c>
      <c r="E77" s="90" t="s">
        <v>68</v>
      </c>
      <c r="F77" s="92">
        <v>10</v>
      </c>
      <c r="G77" s="45"/>
      <c r="H77" s="42"/>
      <c r="I77" s="46"/>
      <c r="J77" s="12"/>
      <c r="K77" s="46">
        <v>10</v>
      </c>
      <c r="L77" s="47"/>
      <c r="M77"/>
      <c r="N77"/>
      <c r="O77"/>
    </row>
    <row r="78" spans="3:15" ht="36" x14ac:dyDescent="0.3">
      <c r="C78" s="90" t="s">
        <v>297</v>
      </c>
      <c r="D78" s="87" t="s">
        <v>298</v>
      </c>
      <c r="E78" s="90" t="s">
        <v>68</v>
      </c>
      <c r="F78" s="92">
        <v>38</v>
      </c>
      <c r="G78" s="45"/>
      <c r="H78" s="42"/>
      <c r="I78" s="46"/>
      <c r="J78" s="12"/>
      <c r="K78" s="46">
        <v>38</v>
      </c>
      <c r="L78" s="47"/>
      <c r="M78"/>
      <c r="N78"/>
      <c r="O78"/>
    </row>
    <row r="79" spans="3:15" ht="48" x14ac:dyDescent="0.3">
      <c r="C79" s="90"/>
      <c r="D79" s="87" t="s">
        <v>141</v>
      </c>
      <c r="E79" s="90"/>
      <c r="F79" s="92"/>
      <c r="G79" s="45"/>
      <c r="H79" s="42"/>
      <c r="I79" s="46"/>
      <c r="J79" s="12"/>
      <c r="K79" s="46"/>
      <c r="L79" s="47"/>
      <c r="M79"/>
      <c r="N79"/>
      <c r="O79"/>
    </row>
    <row r="80" spans="3:15" ht="48" x14ac:dyDescent="0.3">
      <c r="C80" s="90" t="s">
        <v>300</v>
      </c>
      <c r="D80" s="87" t="s">
        <v>301</v>
      </c>
      <c r="E80" s="90" t="s">
        <v>58</v>
      </c>
      <c r="F80" s="92">
        <v>188</v>
      </c>
      <c r="G80" s="45"/>
      <c r="H80" s="42"/>
      <c r="I80" s="46"/>
      <c r="J80" s="12"/>
      <c r="K80" s="46">
        <v>110</v>
      </c>
      <c r="L80" s="47">
        <v>78</v>
      </c>
      <c r="M80"/>
      <c r="N80"/>
      <c r="O80"/>
    </row>
    <row r="81" spans="3:15" ht="48" x14ac:dyDescent="0.3">
      <c r="C81" s="90"/>
      <c r="D81" s="87" t="s">
        <v>303</v>
      </c>
      <c r="E81" s="90"/>
      <c r="F81" s="92"/>
      <c r="G81" s="45"/>
      <c r="H81" s="42"/>
      <c r="I81" s="46"/>
      <c r="J81" s="12"/>
      <c r="K81" s="46"/>
      <c r="L81" s="47"/>
      <c r="M81"/>
      <c r="N81"/>
      <c r="O81"/>
    </row>
    <row r="82" spans="3:15" ht="48" x14ac:dyDescent="0.3">
      <c r="C82" s="90" t="s">
        <v>304</v>
      </c>
      <c r="D82" s="87" t="s">
        <v>305</v>
      </c>
      <c r="E82" s="90" t="s">
        <v>50</v>
      </c>
      <c r="F82" s="92">
        <v>8.5359999999999996</v>
      </c>
      <c r="G82" s="45"/>
      <c r="H82" s="42"/>
      <c r="I82" s="46"/>
      <c r="J82" s="12"/>
      <c r="K82" s="46"/>
      <c r="L82" s="47">
        <v>8.5359999999999996</v>
      </c>
      <c r="M82"/>
      <c r="N82"/>
      <c r="O82"/>
    </row>
    <row r="83" spans="3:15" ht="36" x14ac:dyDescent="0.3">
      <c r="C83" s="90"/>
      <c r="D83" s="87" t="s">
        <v>307</v>
      </c>
      <c r="E83" s="90"/>
      <c r="F83" s="92"/>
      <c r="G83" s="45"/>
      <c r="H83" s="42"/>
      <c r="I83" s="46"/>
      <c r="J83" s="12"/>
      <c r="K83" s="46"/>
      <c r="L83" s="47"/>
      <c r="M83"/>
      <c r="N83"/>
      <c r="O83"/>
    </row>
    <row r="84" spans="3:15" ht="36" x14ac:dyDescent="0.3">
      <c r="C84" s="90"/>
      <c r="D84" s="87" t="s">
        <v>308</v>
      </c>
      <c r="E84" s="90"/>
      <c r="F84" s="92"/>
      <c r="G84" s="45"/>
      <c r="H84" s="42"/>
      <c r="I84" s="46"/>
      <c r="J84" s="12"/>
      <c r="K84" s="46"/>
      <c r="L84" s="47"/>
      <c r="M84"/>
      <c r="N84"/>
      <c r="O84"/>
    </row>
    <row r="85" spans="3:15" ht="36" x14ac:dyDescent="0.3">
      <c r="C85" s="90" t="s">
        <v>309</v>
      </c>
      <c r="D85" s="87" t="s">
        <v>310</v>
      </c>
      <c r="E85" s="90" t="s">
        <v>68</v>
      </c>
      <c r="F85" s="92">
        <v>64</v>
      </c>
      <c r="G85" s="45"/>
      <c r="H85" s="42"/>
      <c r="I85" s="46"/>
      <c r="J85" s="12"/>
      <c r="K85" s="46"/>
      <c r="L85" s="47">
        <v>64</v>
      </c>
      <c r="M85"/>
      <c r="N85"/>
      <c r="O85"/>
    </row>
    <row r="86" spans="3:15" ht="36" x14ac:dyDescent="0.3">
      <c r="C86" s="90"/>
      <c r="D86" s="87" t="s">
        <v>312</v>
      </c>
      <c r="E86" s="90"/>
      <c r="F86" s="92"/>
      <c r="G86" s="45"/>
      <c r="H86" s="42"/>
      <c r="I86" s="46"/>
      <c r="J86" s="12"/>
      <c r="K86" s="46"/>
      <c r="L86" s="47"/>
      <c r="M86"/>
      <c r="N86"/>
      <c r="O86"/>
    </row>
    <row r="87" spans="3:15" ht="48" x14ac:dyDescent="0.3">
      <c r="C87" s="90" t="s">
        <v>313</v>
      </c>
      <c r="D87" s="87" t="s">
        <v>314</v>
      </c>
      <c r="E87" s="90" t="s">
        <v>68</v>
      </c>
      <c r="F87" s="92">
        <v>9</v>
      </c>
      <c r="G87" s="45"/>
      <c r="H87" s="42"/>
      <c r="I87" s="46"/>
      <c r="J87" s="12"/>
      <c r="K87" s="46"/>
      <c r="L87" s="47">
        <v>9</v>
      </c>
      <c r="M87"/>
      <c r="N87"/>
      <c r="O87"/>
    </row>
    <row r="88" spans="3:15" ht="48" x14ac:dyDescent="0.3">
      <c r="C88" s="90" t="s">
        <v>316</v>
      </c>
      <c r="D88" s="87" t="s">
        <v>317</v>
      </c>
      <c r="E88" s="90" t="s">
        <v>68</v>
      </c>
      <c r="F88" s="92">
        <v>14</v>
      </c>
      <c r="G88" s="45"/>
      <c r="H88" s="42"/>
      <c r="I88" s="46"/>
      <c r="J88" s="12"/>
      <c r="K88" s="46"/>
      <c r="L88" s="47">
        <v>14</v>
      </c>
      <c r="M88"/>
      <c r="N88"/>
      <c r="O88"/>
    </row>
    <row r="89" spans="3:15" ht="48" x14ac:dyDescent="0.3">
      <c r="C89" s="90" t="s">
        <v>319</v>
      </c>
      <c r="D89" s="87" t="s">
        <v>320</v>
      </c>
      <c r="E89" s="90" t="s">
        <v>68</v>
      </c>
      <c r="F89" s="92">
        <v>14</v>
      </c>
      <c r="G89" s="45"/>
      <c r="H89" s="42"/>
      <c r="I89" s="46"/>
      <c r="J89" s="12"/>
      <c r="K89" s="46"/>
      <c r="L89" s="47">
        <v>14</v>
      </c>
      <c r="M89"/>
      <c r="N89"/>
      <c r="O89"/>
    </row>
    <row r="90" spans="3:15" ht="36" x14ac:dyDescent="0.3">
      <c r="C90" s="90"/>
      <c r="D90" s="87" t="s">
        <v>322</v>
      </c>
      <c r="E90" s="90"/>
      <c r="F90" s="92"/>
      <c r="G90" s="45"/>
      <c r="H90" s="42"/>
      <c r="I90" s="46"/>
      <c r="J90" s="12"/>
      <c r="K90" s="46"/>
      <c r="L90" s="47"/>
      <c r="M90"/>
      <c r="N90"/>
      <c r="O90"/>
    </row>
    <row r="91" spans="3:15" ht="48" x14ac:dyDescent="0.3">
      <c r="C91" s="90" t="s">
        <v>323</v>
      </c>
      <c r="D91" s="87" t="s">
        <v>324</v>
      </c>
      <c r="E91" s="90" t="s">
        <v>68</v>
      </c>
      <c r="F91" s="92">
        <v>146</v>
      </c>
      <c r="G91" s="45"/>
      <c r="H91" s="42"/>
      <c r="I91" s="46"/>
      <c r="J91" s="12"/>
      <c r="K91" s="46">
        <v>60</v>
      </c>
      <c r="L91" s="47">
        <v>86</v>
      </c>
      <c r="M91"/>
      <c r="N91"/>
      <c r="O91"/>
    </row>
    <row r="92" spans="3:15" ht="48" x14ac:dyDescent="0.3">
      <c r="C92" s="90" t="s">
        <v>326</v>
      </c>
      <c r="D92" s="87" t="s">
        <v>327</v>
      </c>
      <c r="E92" s="90" t="s">
        <v>68</v>
      </c>
      <c r="F92" s="92">
        <v>104</v>
      </c>
      <c r="G92" s="45"/>
      <c r="H92" s="42"/>
      <c r="I92" s="46"/>
      <c r="J92" s="12"/>
      <c r="K92" s="46">
        <v>40</v>
      </c>
      <c r="L92" s="47">
        <v>64</v>
      </c>
      <c r="M92"/>
      <c r="N92"/>
      <c r="O92"/>
    </row>
    <row r="93" spans="3:15" ht="48" x14ac:dyDescent="0.3">
      <c r="C93" s="90" t="s">
        <v>329</v>
      </c>
      <c r="D93" s="87" t="s">
        <v>330</v>
      </c>
      <c r="E93" s="90" t="s">
        <v>68</v>
      </c>
      <c r="F93" s="92">
        <v>14</v>
      </c>
      <c r="G93" s="45"/>
      <c r="H93" s="42"/>
      <c r="I93" s="46"/>
      <c r="J93" s="12"/>
      <c r="K93" s="46">
        <v>14</v>
      </c>
      <c r="L93" s="47"/>
      <c r="M93"/>
      <c r="N93"/>
      <c r="O93"/>
    </row>
    <row r="94" spans="3:15" ht="48" x14ac:dyDescent="0.3">
      <c r="C94" s="90" t="s">
        <v>332</v>
      </c>
      <c r="D94" s="87" t="s">
        <v>333</v>
      </c>
      <c r="E94" s="90" t="s">
        <v>68</v>
      </c>
      <c r="F94" s="92">
        <v>46</v>
      </c>
      <c r="G94" s="45"/>
      <c r="H94" s="42"/>
      <c r="I94" s="46"/>
      <c r="J94" s="12"/>
      <c r="K94" s="46">
        <v>30</v>
      </c>
      <c r="L94" s="47">
        <v>16</v>
      </c>
      <c r="M94"/>
      <c r="N94"/>
      <c r="O94"/>
    </row>
    <row r="95" spans="3:15" ht="48" x14ac:dyDescent="0.3">
      <c r="C95" s="90" t="s">
        <v>335</v>
      </c>
      <c r="D95" s="87" t="s">
        <v>336</v>
      </c>
      <c r="E95" s="90" t="s">
        <v>68</v>
      </c>
      <c r="F95" s="92">
        <v>13</v>
      </c>
      <c r="G95" s="45"/>
      <c r="H95" s="42"/>
      <c r="I95" s="46"/>
      <c r="J95" s="12"/>
      <c r="K95" s="46">
        <v>13</v>
      </c>
      <c r="L95" s="47"/>
      <c r="M95"/>
      <c r="N95"/>
      <c r="O95"/>
    </row>
    <row r="96" spans="3:15" ht="36" x14ac:dyDescent="0.3">
      <c r="C96" s="90"/>
      <c r="D96" s="87" t="s">
        <v>338</v>
      </c>
      <c r="E96" s="90"/>
      <c r="F96" s="92"/>
      <c r="G96" s="45"/>
      <c r="H96" s="42"/>
      <c r="I96" s="46"/>
      <c r="J96" s="12"/>
      <c r="K96" s="46"/>
      <c r="L96" s="47"/>
      <c r="M96"/>
      <c r="N96"/>
      <c r="O96"/>
    </row>
    <row r="97" spans="3:15" ht="36" x14ac:dyDescent="0.3">
      <c r="C97" s="90" t="s">
        <v>339</v>
      </c>
      <c r="D97" s="87" t="s">
        <v>340</v>
      </c>
      <c r="E97" s="90" t="s">
        <v>68</v>
      </c>
      <c r="F97" s="92">
        <v>4</v>
      </c>
      <c r="G97" s="45"/>
      <c r="H97" s="42"/>
      <c r="I97" s="46"/>
      <c r="J97" s="12"/>
      <c r="K97" s="46">
        <v>4</v>
      </c>
      <c r="L97" s="47"/>
      <c r="M97"/>
      <c r="N97"/>
      <c r="O97"/>
    </row>
    <row r="98" spans="3:15" ht="36" x14ac:dyDescent="0.3">
      <c r="C98" s="90" t="s">
        <v>342</v>
      </c>
      <c r="D98" s="87" t="s">
        <v>343</v>
      </c>
      <c r="E98" s="90" t="s">
        <v>68</v>
      </c>
      <c r="F98" s="92">
        <v>30</v>
      </c>
      <c r="G98" s="45"/>
      <c r="H98" s="42"/>
      <c r="I98" s="46"/>
      <c r="J98" s="12"/>
      <c r="K98" s="46">
        <v>20</v>
      </c>
      <c r="L98" s="47">
        <v>10</v>
      </c>
      <c r="M98"/>
      <c r="N98"/>
      <c r="O98"/>
    </row>
    <row r="99" spans="3:15" ht="48" x14ac:dyDescent="0.3">
      <c r="C99" s="90" t="s">
        <v>345</v>
      </c>
      <c r="D99" s="87" t="s">
        <v>346</v>
      </c>
      <c r="E99" s="90" t="s">
        <v>68</v>
      </c>
      <c r="F99" s="92">
        <v>16</v>
      </c>
      <c r="G99" s="45"/>
      <c r="H99" s="42"/>
      <c r="I99" s="46"/>
      <c r="J99" s="12"/>
      <c r="K99" s="46">
        <v>16</v>
      </c>
      <c r="L99" s="47"/>
      <c r="M99"/>
      <c r="N99"/>
      <c r="O99"/>
    </row>
    <row r="100" spans="3:15" ht="36" x14ac:dyDescent="0.3">
      <c r="C100" s="90"/>
      <c r="D100" s="87" t="s">
        <v>348</v>
      </c>
      <c r="E100" s="90"/>
      <c r="F100" s="92"/>
      <c r="G100" s="45"/>
      <c r="H100" s="42"/>
      <c r="I100" s="46"/>
      <c r="J100" s="12"/>
      <c r="K100" s="46"/>
      <c r="L100" s="47"/>
      <c r="M100"/>
      <c r="N100"/>
      <c r="O100"/>
    </row>
    <row r="101" spans="3:15" ht="48" x14ac:dyDescent="0.3">
      <c r="C101" s="90" t="s">
        <v>349</v>
      </c>
      <c r="D101" s="87" t="s">
        <v>350</v>
      </c>
      <c r="E101" s="90" t="s">
        <v>58</v>
      </c>
      <c r="F101" s="92">
        <v>325</v>
      </c>
      <c r="G101" s="45"/>
      <c r="H101" s="42"/>
      <c r="I101" s="46"/>
      <c r="J101" s="12"/>
      <c r="K101" s="46">
        <v>200</v>
      </c>
      <c r="L101" s="47">
        <v>125</v>
      </c>
      <c r="M101"/>
      <c r="N101"/>
      <c r="O101"/>
    </row>
    <row r="102" spans="3:15" ht="48" x14ac:dyDescent="0.3">
      <c r="C102" s="90" t="s">
        <v>352</v>
      </c>
      <c r="D102" s="87" t="s">
        <v>353</v>
      </c>
      <c r="E102" s="90" t="s">
        <v>58</v>
      </c>
      <c r="F102" s="92">
        <v>1000</v>
      </c>
      <c r="G102" s="45"/>
      <c r="H102" s="42"/>
      <c r="I102" s="46"/>
      <c r="J102" s="12"/>
      <c r="K102" s="46">
        <v>600</v>
      </c>
      <c r="L102" s="47">
        <v>400</v>
      </c>
      <c r="M102"/>
      <c r="N102"/>
      <c r="O102"/>
    </row>
    <row r="103" spans="3:15" ht="48" x14ac:dyDescent="0.3">
      <c r="C103" s="90" t="s">
        <v>355</v>
      </c>
      <c r="D103" s="87" t="s">
        <v>356</v>
      </c>
      <c r="E103" s="90" t="s">
        <v>58</v>
      </c>
      <c r="F103" s="92">
        <v>22.1</v>
      </c>
      <c r="G103" s="45"/>
      <c r="H103" s="42"/>
      <c r="I103" s="46"/>
      <c r="J103" s="12"/>
      <c r="K103" s="46">
        <v>22.1</v>
      </c>
      <c r="L103" s="47"/>
      <c r="M103"/>
      <c r="N103"/>
      <c r="O103"/>
    </row>
    <row r="104" spans="3:15" ht="36" x14ac:dyDescent="0.3">
      <c r="C104" s="90"/>
      <c r="D104" s="87" t="s">
        <v>357</v>
      </c>
      <c r="E104" s="90"/>
      <c r="F104" s="92"/>
      <c r="G104" s="45"/>
      <c r="H104" s="42"/>
      <c r="I104" s="46"/>
      <c r="J104" s="12"/>
      <c r="K104" s="46"/>
      <c r="L104" s="47"/>
      <c r="M104"/>
      <c r="N104"/>
      <c r="O104"/>
    </row>
    <row r="105" spans="3:15" ht="48" x14ac:dyDescent="0.3">
      <c r="C105" s="90" t="s">
        <v>358</v>
      </c>
      <c r="D105" s="87" t="s">
        <v>359</v>
      </c>
      <c r="E105" s="90" t="s">
        <v>68</v>
      </c>
      <c r="F105" s="92">
        <v>6</v>
      </c>
      <c r="G105" s="45"/>
      <c r="H105" s="42"/>
      <c r="I105" s="46"/>
      <c r="J105" s="12"/>
      <c r="K105" s="46">
        <v>6</v>
      </c>
      <c r="L105" s="47"/>
      <c r="M105"/>
      <c r="N105"/>
      <c r="O105"/>
    </row>
    <row r="106" spans="3:15" ht="36" x14ac:dyDescent="0.3">
      <c r="C106" s="90"/>
      <c r="D106" s="87" t="s">
        <v>360</v>
      </c>
      <c r="E106" s="90"/>
      <c r="F106" s="92"/>
      <c r="G106" s="45"/>
      <c r="H106" s="42"/>
      <c r="I106" s="46"/>
      <c r="J106" s="12"/>
      <c r="K106" s="46"/>
      <c r="L106" s="47"/>
      <c r="M106"/>
      <c r="N106"/>
      <c r="O106"/>
    </row>
    <row r="107" spans="3:15" ht="48" x14ac:dyDescent="0.3">
      <c r="C107" s="90" t="s">
        <v>361</v>
      </c>
      <c r="D107" s="87" t="s">
        <v>362</v>
      </c>
      <c r="E107" s="90" t="s">
        <v>68</v>
      </c>
      <c r="F107" s="92">
        <v>50</v>
      </c>
      <c r="G107" s="45"/>
      <c r="H107" s="42"/>
      <c r="I107" s="46"/>
      <c r="J107" s="12"/>
      <c r="K107" s="46">
        <v>30</v>
      </c>
      <c r="L107" s="47">
        <v>20</v>
      </c>
      <c r="M107"/>
      <c r="N107"/>
      <c r="O107"/>
    </row>
    <row r="108" spans="3:15" ht="48" x14ac:dyDescent="0.3">
      <c r="C108" s="90" t="s">
        <v>364</v>
      </c>
      <c r="D108" s="87" t="s">
        <v>365</v>
      </c>
      <c r="E108" s="90" t="s">
        <v>68</v>
      </c>
      <c r="F108" s="92">
        <v>86</v>
      </c>
      <c r="G108" s="45"/>
      <c r="H108" s="42"/>
      <c r="I108" s="46"/>
      <c r="J108" s="12"/>
      <c r="K108" s="46">
        <v>56</v>
      </c>
      <c r="L108" s="47">
        <v>30</v>
      </c>
      <c r="M108"/>
      <c r="N108"/>
      <c r="O108"/>
    </row>
    <row r="109" spans="3:15" ht="36" x14ac:dyDescent="0.3">
      <c r="C109" s="90"/>
      <c r="D109" s="87" t="s">
        <v>367</v>
      </c>
      <c r="E109" s="90"/>
      <c r="F109" s="92"/>
      <c r="G109" s="45"/>
      <c r="H109" s="42"/>
      <c r="I109" s="46"/>
      <c r="J109" s="12"/>
      <c r="K109" s="46"/>
      <c r="L109" s="47"/>
      <c r="M109"/>
      <c r="N109"/>
      <c r="O109"/>
    </row>
    <row r="110" spans="3:15" ht="36" x14ac:dyDescent="0.3">
      <c r="C110" s="90"/>
      <c r="D110" s="87" t="s">
        <v>368</v>
      </c>
      <c r="E110" s="90"/>
      <c r="F110" s="92"/>
      <c r="G110" s="45"/>
      <c r="H110" s="42"/>
      <c r="I110" s="46"/>
      <c r="J110" s="12"/>
      <c r="K110" s="46"/>
      <c r="L110" s="47"/>
      <c r="M110"/>
      <c r="N110"/>
      <c r="O110"/>
    </row>
    <row r="111" spans="3:15" ht="60" x14ac:dyDescent="0.3">
      <c r="C111" s="90" t="s">
        <v>369</v>
      </c>
      <c r="D111" s="87" t="s">
        <v>370</v>
      </c>
      <c r="E111" s="90" t="s">
        <v>68</v>
      </c>
      <c r="F111" s="92">
        <v>67</v>
      </c>
      <c r="G111" s="45"/>
      <c r="H111" s="42"/>
      <c r="I111" s="46"/>
      <c r="J111" s="12"/>
      <c r="K111" s="46">
        <v>40</v>
      </c>
      <c r="L111" s="47">
        <v>27</v>
      </c>
      <c r="M111"/>
      <c r="N111"/>
      <c r="O111"/>
    </row>
    <row r="112" spans="3:15" ht="48" x14ac:dyDescent="0.3">
      <c r="C112" s="90"/>
      <c r="D112" s="87" t="s">
        <v>372</v>
      </c>
      <c r="E112" s="90"/>
      <c r="F112" s="92"/>
      <c r="G112" s="45"/>
      <c r="H112" s="42"/>
      <c r="I112" s="46"/>
      <c r="J112" s="12"/>
      <c r="K112" s="46"/>
      <c r="L112" s="47"/>
      <c r="M112"/>
      <c r="N112"/>
      <c r="O112"/>
    </row>
    <row r="113" spans="3:15" ht="48" x14ac:dyDescent="0.3">
      <c r="C113" s="90" t="s">
        <v>373</v>
      </c>
      <c r="D113" s="87" t="s">
        <v>374</v>
      </c>
      <c r="E113" s="90" t="s">
        <v>58</v>
      </c>
      <c r="F113" s="92">
        <v>100</v>
      </c>
      <c r="G113" s="45"/>
      <c r="H113" s="42"/>
      <c r="I113" s="46"/>
      <c r="J113" s="12"/>
      <c r="K113" s="46">
        <v>60</v>
      </c>
      <c r="L113" s="47">
        <v>40</v>
      </c>
      <c r="M113"/>
      <c r="N113"/>
      <c r="O113"/>
    </row>
    <row r="114" spans="3:15" ht="48" x14ac:dyDescent="0.3">
      <c r="C114" s="90" t="s">
        <v>376</v>
      </c>
      <c r="D114" s="87" t="s">
        <v>377</v>
      </c>
      <c r="E114" s="90" t="s">
        <v>58</v>
      </c>
      <c r="F114" s="92">
        <v>100</v>
      </c>
      <c r="G114" s="45"/>
      <c r="H114" s="42"/>
      <c r="I114" s="46"/>
      <c r="J114" s="12"/>
      <c r="K114" s="46">
        <v>60</v>
      </c>
      <c r="L114" s="47">
        <v>40</v>
      </c>
      <c r="M114"/>
      <c r="N114"/>
      <c r="O114"/>
    </row>
    <row r="115" spans="3:15" ht="48" x14ac:dyDescent="0.3">
      <c r="C115" s="90" t="s">
        <v>378</v>
      </c>
      <c r="D115" s="87" t="s">
        <v>379</v>
      </c>
      <c r="E115" s="90" t="s">
        <v>58</v>
      </c>
      <c r="F115" s="92">
        <v>100</v>
      </c>
      <c r="G115" s="45"/>
      <c r="H115" s="42"/>
      <c r="I115" s="46"/>
      <c r="J115" s="12"/>
      <c r="K115" s="46">
        <v>60</v>
      </c>
      <c r="L115" s="47">
        <v>40</v>
      </c>
      <c r="M115"/>
      <c r="N115"/>
      <c r="O115"/>
    </row>
    <row r="116" spans="3:15" ht="48" x14ac:dyDescent="0.3">
      <c r="C116" s="90" t="s">
        <v>381</v>
      </c>
      <c r="D116" s="87" t="s">
        <v>382</v>
      </c>
      <c r="E116" s="90" t="s">
        <v>58</v>
      </c>
      <c r="F116" s="92">
        <v>100</v>
      </c>
      <c r="G116" s="45"/>
      <c r="H116" s="42"/>
      <c r="I116" s="46"/>
      <c r="J116" s="12"/>
      <c r="K116" s="46">
        <v>60</v>
      </c>
      <c r="L116" s="47">
        <v>40</v>
      </c>
      <c r="M116"/>
      <c r="N116"/>
      <c r="O116"/>
    </row>
    <row r="117" spans="3:15" ht="48" x14ac:dyDescent="0.3">
      <c r="C117" s="90"/>
      <c r="D117" s="87" t="s">
        <v>384</v>
      </c>
      <c r="E117" s="90"/>
      <c r="F117" s="92"/>
      <c r="G117" s="45"/>
      <c r="H117" s="42"/>
      <c r="I117" s="46"/>
      <c r="J117" s="12"/>
      <c r="K117" s="46"/>
      <c r="L117" s="47"/>
      <c r="M117"/>
      <c r="N117"/>
      <c r="O117"/>
    </row>
    <row r="118" spans="3:15" ht="60" x14ac:dyDescent="0.3">
      <c r="C118" s="90" t="s">
        <v>385</v>
      </c>
      <c r="D118" s="87" t="s">
        <v>386</v>
      </c>
      <c r="E118" s="90" t="s">
        <v>68</v>
      </c>
      <c r="F118" s="92">
        <v>27</v>
      </c>
      <c r="G118" s="45"/>
      <c r="H118" s="42"/>
      <c r="I118" s="46"/>
      <c r="J118" s="12"/>
      <c r="K118" s="46">
        <v>10</v>
      </c>
      <c r="L118" s="47">
        <v>17</v>
      </c>
      <c r="M118"/>
      <c r="N118"/>
      <c r="O118"/>
    </row>
    <row r="119" spans="3:15" ht="60" x14ac:dyDescent="0.3">
      <c r="C119" s="90" t="s">
        <v>388</v>
      </c>
      <c r="D119" s="87" t="s">
        <v>389</v>
      </c>
      <c r="E119" s="90" t="s">
        <v>68</v>
      </c>
      <c r="F119" s="92">
        <v>1</v>
      </c>
      <c r="G119" s="45"/>
      <c r="H119" s="42"/>
      <c r="I119" s="46"/>
      <c r="J119" s="12"/>
      <c r="K119" s="46">
        <v>1</v>
      </c>
      <c r="L119" s="47"/>
      <c r="M119"/>
      <c r="N119"/>
      <c r="O119"/>
    </row>
    <row r="120" spans="3:15" ht="60" x14ac:dyDescent="0.3">
      <c r="C120" s="90" t="s">
        <v>390</v>
      </c>
      <c r="D120" s="87" t="s">
        <v>391</v>
      </c>
      <c r="E120" s="90" t="s">
        <v>68</v>
      </c>
      <c r="F120" s="92">
        <v>4</v>
      </c>
      <c r="G120" s="45"/>
      <c r="H120" s="42"/>
      <c r="I120" s="46"/>
      <c r="J120" s="12"/>
      <c r="K120" s="46">
        <v>4</v>
      </c>
      <c r="L120" s="47"/>
      <c r="M120"/>
      <c r="N120"/>
      <c r="O120"/>
    </row>
    <row r="121" spans="3:15" ht="36" x14ac:dyDescent="0.3">
      <c r="C121" s="90"/>
      <c r="D121" s="87" t="s">
        <v>393</v>
      </c>
      <c r="E121" s="90"/>
      <c r="F121" s="92"/>
      <c r="G121" s="45"/>
      <c r="H121" s="42"/>
      <c r="I121" s="46"/>
      <c r="J121" s="12"/>
      <c r="K121" s="46"/>
      <c r="L121" s="47"/>
      <c r="M121"/>
      <c r="N121"/>
      <c r="O121"/>
    </row>
    <row r="122" spans="3:15" ht="48" x14ac:dyDescent="0.3">
      <c r="C122" s="90" t="s">
        <v>394</v>
      </c>
      <c r="D122" s="87" t="s">
        <v>395</v>
      </c>
      <c r="E122" s="90" t="s">
        <v>68</v>
      </c>
      <c r="F122" s="92">
        <v>8</v>
      </c>
      <c r="G122" s="45"/>
      <c r="H122" s="42"/>
      <c r="I122" s="46"/>
      <c r="J122" s="12"/>
      <c r="K122" s="46">
        <v>8</v>
      </c>
      <c r="L122" s="47"/>
      <c r="M122"/>
      <c r="N122"/>
      <c r="O122"/>
    </row>
    <row r="123" spans="3:15" ht="36" x14ac:dyDescent="0.3">
      <c r="C123" s="90"/>
      <c r="D123" s="87" t="s">
        <v>397</v>
      </c>
      <c r="E123" s="90"/>
      <c r="F123" s="92"/>
      <c r="G123" s="45"/>
      <c r="H123" s="42"/>
      <c r="I123" s="46"/>
      <c r="J123" s="12"/>
      <c r="K123" s="46"/>
      <c r="L123" s="47"/>
      <c r="M123"/>
      <c r="N123"/>
      <c r="O123"/>
    </row>
    <row r="124" spans="3:15" ht="48" x14ac:dyDescent="0.3">
      <c r="C124" s="90" t="s">
        <v>398</v>
      </c>
      <c r="D124" s="87" t="s">
        <v>399</v>
      </c>
      <c r="E124" s="90" t="s">
        <v>68</v>
      </c>
      <c r="F124" s="92">
        <v>20</v>
      </c>
      <c r="G124" s="45"/>
      <c r="H124" s="42"/>
      <c r="I124" s="46"/>
      <c r="J124" s="12"/>
      <c r="K124" s="46"/>
      <c r="L124" s="47">
        <v>20</v>
      </c>
      <c r="M124"/>
      <c r="N124"/>
      <c r="O124"/>
    </row>
    <row r="125" spans="3:15" ht="48" x14ac:dyDescent="0.3">
      <c r="C125" s="90" t="s">
        <v>401</v>
      </c>
      <c r="D125" s="87" t="s">
        <v>402</v>
      </c>
      <c r="E125" s="90" t="s">
        <v>68</v>
      </c>
      <c r="F125" s="92">
        <v>6</v>
      </c>
      <c r="G125" s="45"/>
      <c r="H125" s="42"/>
      <c r="I125" s="46"/>
      <c r="J125" s="12"/>
      <c r="K125" s="46"/>
      <c r="L125" s="47">
        <v>6</v>
      </c>
      <c r="M125"/>
      <c r="N125"/>
      <c r="O125"/>
    </row>
    <row r="126" spans="3:15" ht="60" x14ac:dyDescent="0.3">
      <c r="C126" s="90"/>
      <c r="D126" s="87" t="s">
        <v>403</v>
      </c>
      <c r="E126" s="90"/>
      <c r="F126" s="92"/>
      <c r="G126" s="45"/>
      <c r="H126" s="42"/>
      <c r="I126" s="46"/>
      <c r="J126" s="12"/>
      <c r="K126" s="46"/>
      <c r="L126" s="47"/>
      <c r="M126"/>
      <c r="N126"/>
      <c r="O126"/>
    </row>
    <row r="127" spans="3:15" ht="60" x14ac:dyDescent="0.3">
      <c r="C127" s="90" t="s">
        <v>404</v>
      </c>
      <c r="D127" s="87" t="s">
        <v>405</v>
      </c>
      <c r="E127" s="90" t="s">
        <v>68</v>
      </c>
      <c r="F127" s="92">
        <v>12</v>
      </c>
      <c r="G127" s="45"/>
      <c r="H127" s="42"/>
      <c r="I127" s="46"/>
      <c r="J127" s="12"/>
      <c r="K127" s="46">
        <v>12</v>
      </c>
      <c r="L127" s="47"/>
      <c r="M127"/>
      <c r="N127"/>
      <c r="O127"/>
    </row>
    <row r="128" spans="3:15" ht="48" x14ac:dyDescent="0.3">
      <c r="C128" s="90"/>
      <c r="D128" s="87" t="s">
        <v>407</v>
      </c>
      <c r="E128" s="90"/>
      <c r="F128" s="92"/>
      <c r="G128" s="45"/>
      <c r="H128" s="42"/>
      <c r="I128" s="46"/>
      <c r="J128" s="12"/>
      <c r="K128" s="46"/>
      <c r="L128" s="47"/>
      <c r="M128"/>
      <c r="N128"/>
      <c r="O128"/>
    </row>
    <row r="129" spans="3:15" ht="48" x14ac:dyDescent="0.3">
      <c r="C129" s="90" t="s">
        <v>408</v>
      </c>
      <c r="D129" s="87" t="s">
        <v>409</v>
      </c>
      <c r="E129" s="90" t="s">
        <v>68</v>
      </c>
      <c r="F129" s="92">
        <v>23</v>
      </c>
      <c r="G129" s="45"/>
      <c r="H129" s="42"/>
      <c r="I129" s="46"/>
      <c r="J129" s="12"/>
      <c r="K129" s="46">
        <v>23</v>
      </c>
      <c r="L129" s="47"/>
      <c r="M129"/>
      <c r="N129"/>
      <c r="O129"/>
    </row>
    <row r="130" spans="3:15" ht="36" x14ac:dyDescent="0.3">
      <c r="C130" s="90"/>
      <c r="D130" s="87" t="s">
        <v>411</v>
      </c>
      <c r="E130" s="90"/>
      <c r="F130" s="92"/>
      <c r="G130" s="45"/>
      <c r="H130" s="42"/>
      <c r="I130" s="46"/>
      <c r="J130" s="12"/>
      <c r="K130" s="46"/>
      <c r="L130" s="47"/>
      <c r="M130"/>
      <c r="N130"/>
      <c r="O130"/>
    </row>
    <row r="131" spans="3:15" ht="72" x14ac:dyDescent="0.3">
      <c r="C131" s="90" t="s">
        <v>412</v>
      </c>
      <c r="D131" s="87" t="s">
        <v>413</v>
      </c>
      <c r="E131" s="90" t="s">
        <v>68</v>
      </c>
      <c r="F131" s="92">
        <v>25</v>
      </c>
      <c r="G131" s="45"/>
      <c r="H131" s="42"/>
      <c r="I131" s="46"/>
      <c r="J131" s="12"/>
      <c r="K131" s="46">
        <v>25</v>
      </c>
      <c r="L131" s="47"/>
      <c r="M131"/>
      <c r="N131"/>
      <c r="O131"/>
    </row>
    <row r="132" spans="3:15" ht="36" x14ac:dyDescent="0.3">
      <c r="C132" s="90"/>
      <c r="D132" s="87" t="s">
        <v>415</v>
      </c>
      <c r="E132" s="90"/>
      <c r="F132" s="92"/>
      <c r="G132" s="45"/>
      <c r="H132" s="42"/>
      <c r="I132" s="46"/>
      <c r="J132" s="12"/>
      <c r="K132" s="46"/>
      <c r="L132" s="47"/>
      <c r="M132"/>
      <c r="N132"/>
      <c r="O132"/>
    </row>
    <row r="133" spans="3:15" ht="48" x14ac:dyDescent="0.3">
      <c r="C133" s="90" t="s">
        <v>416</v>
      </c>
      <c r="D133" s="87" t="s">
        <v>417</v>
      </c>
      <c r="E133" s="90" t="s">
        <v>68</v>
      </c>
      <c r="F133" s="92">
        <v>9</v>
      </c>
      <c r="G133" s="45"/>
      <c r="H133" s="42"/>
      <c r="I133" s="46"/>
      <c r="J133" s="12"/>
      <c r="K133" s="46"/>
      <c r="L133" s="47">
        <v>9</v>
      </c>
      <c r="M133"/>
      <c r="N133"/>
      <c r="O133"/>
    </row>
    <row r="134" spans="3:15" ht="48" x14ac:dyDescent="0.3">
      <c r="C134" s="90"/>
      <c r="D134" s="87" t="s">
        <v>419</v>
      </c>
      <c r="E134" s="90"/>
      <c r="F134" s="92"/>
      <c r="G134" s="45"/>
      <c r="H134" s="42"/>
      <c r="I134" s="46"/>
      <c r="J134" s="12"/>
      <c r="K134" s="46"/>
      <c r="L134" s="47"/>
      <c r="M134"/>
      <c r="N134"/>
      <c r="O134"/>
    </row>
    <row r="135" spans="3:15" ht="48" x14ac:dyDescent="0.3">
      <c r="C135" s="90" t="s">
        <v>420</v>
      </c>
      <c r="D135" s="87" t="s">
        <v>421</v>
      </c>
      <c r="E135" s="90" t="s">
        <v>58</v>
      </c>
      <c r="F135" s="92">
        <v>106</v>
      </c>
      <c r="G135" s="45"/>
      <c r="H135" s="42"/>
      <c r="I135" s="46"/>
      <c r="J135" s="12"/>
      <c r="K135" s="46">
        <v>60</v>
      </c>
      <c r="L135" s="47">
        <v>46</v>
      </c>
      <c r="M135"/>
      <c r="N135"/>
      <c r="O135"/>
    </row>
    <row r="136" spans="3:15" ht="36" x14ac:dyDescent="0.3">
      <c r="C136" s="90"/>
      <c r="D136" s="87" t="s">
        <v>423</v>
      </c>
      <c r="E136" s="90"/>
      <c r="F136" s="92"/>
      <c r="G136" s="45"/>
      <c r="H136" s="42"/>
      <c r="I136" s="46"/>
      <c r="J136" s="12"/>
      <c r="K136" s="46"/>
      <c r="L136" s="47"/>
      <c r="M136"/>
      <c r="N136"/>
      <c r="O136"/>
    </row>
    <row r="137" spans="3:15" ht="36" x14ac:dyDescent="0.3">
      <c r="C137" s="90" t="s">
        <v>424</v>
      </c>
      <c r="D137" s="87" t="s">
        <v>425</v>
      </c>
      <c r="E137" s="90" t="s">
        <v>219</v>
      </c>
      <c r="F137" s="92">
        <v>0.5</v>
      </c>
      <c r="G137" s="45"/>
      <c r="H137" s="42"/>
      <c r="I137" s="46"/>
      <c r="J137" s="12"/>
      <c r="K137" s="46">
        <v>0.5</v>
      </c>
      <c r="L137" s="47"/>
      <c r="M137"/>
      <c r="N137"/>
      <c r="O137"/>
    </row>
    <row r="138" spans="3:15" ht="48" x14ac:dyDescent="0.3">
      <c r="C138" s="90"/>
      <c r="D138" s="87" t="s">
        <v>694</v>
      </c>
      <c r="E138" s="90"/>
      <c r="F138" s="92"/>
      <c r="G138" s="45"/>
      <c r="H138" s="42"/>
      <c r="I138" s="46"/>
      <c r="J138" s="12"/>
      <c r="K138" s="46"/>
      <c r="L138" s="47"/>
      <c r="M138"/>
      <c r="N138" t="s">
        <v>695</v>
      </c>
      <c r="O138" t="s">
        <v>696</v>
      </c>
    </row>
    <row r="139" spans="3:15" ht="60" x14ac:dyDescent="0.3">
      <c r="C139" s="90" t="s">
        <v>701</v>
      </c>
      <c r="D139" s="87" t="s">
        <v>702</v>
      </c>
      <c r="E139" s="90" t="s">
        <v>50</v>
      </c>
      <c r="F139" s="92">
        <v>1.8808</v>
      </c>
      <c r="G139" s="45"/>
      <c r="H139" s="42"/>
      <c r="I139" s="46">
        <v>1.8808</v>
      </c>
      <c r="J139" s="12"/>
      <c r="K139" s="46"/>
      <c r="L139" s="47"/>
      <c r="M139"/>
      <c r="N139">
        <v>1632.21</v>
      </c>
      <c r="O139">
        <v>1632.21</v>
      </c>
    </row>
    <row r="140" spans="3:15" ht="60" x14ac:dyDescent="0.3">
      <c r="C140" s="90" t="s">
        <v>704</v>
      </c>
      <c r="D140" s="87" t="s">
        <v>705</v>
      </c>
      <c r="E140" s="90" t="s">
        <v>50</v>
      </c>
      <c r="F140" s="92">
        <v>4.4328000000000003</v>
      </c>
      <c r="G140" s="45"/>
      <c r="H140" s="42">
        <v>4.4328000000000003</v>
      </c>
      <c r="I140" s="46"/>
      <c r="J140" s="12"/>
      <c r="K140" s="46"/>
      <c r="L140" s="47"/>
      <c r="M140"/>
      <c r="N140">
        <v>4401.96</v>
      </c>
      <c r="O140">
        <v>4401.96</v>
      </c>
    </row>
    <row r="141" spans="3:15" ht="48" x14ac:dyDescent="0.3">
      <c r="C141" s="90" t="s">
        <v>707</v>
      </c>
      <c r="D141" s="87" t="s">
        <v>708</v>
      </c>
      <c r="E141" s="90" t="s">
        <v>50</v>
      </c>
      <c r="F141" s="92">
        <v>0.36299999999999999</v>
      </c>
      <c r="G141" s="45"/>
      <c r="H141" s="42"/>
      <c r="I141" s="46">
        <v>0.36299999999999999</v>
      </c>
      <c r="J141" s="12"/>
      <c r="K141" s="46"/>
      <c r="L141" s="47"/>
      <c r="M141"/>
      <c r="N141">
        <v>4401.96</v>
      </c>
      <c r="O141">
        <v>4401.96</v>
      </c>
    </row>
    <row r="142" spans="3:15" ht="48" x14ac:dyDescent="0.3">
      <c r="C142" s="90" t="s">
        <v>710</v>
      </c>
      <c r="D142" s="87" t="s">
        <v>711</v>
      </c>
      <c r="E142" s="90" t="s">
        <v>712</v>
      </c>
      <c r="F142" s="92">
        <v>1.56</v>
      </c>
      <c r="G142" s="45"/>
      <c r="H142" s="42"/>
      <c r="I142" s="46"/>
      <c r="J142" s="12">
        <v>1.56</v>
      </c>
      <c r="K142" s="46"/>
      <c r="L142" s="47"/>
      <c r="M142"/>
      <c r="N142">
        <v>4401.96</v>
      </c>
      <c r="O142">
        <v>4401.96</v>
      </c>
    </row>
    <row r="143" spans="3:15" ht="48" x14ac:dyDescent="0.3">
      <c r="C143" s="90" t="s">
        <v>714</v>
      </c>
      <c r="D143" s="87" t="s">
        <v>715</v>
      </c>
      <c r="E143" s="90" t="s">
        <v>58</v>
      </c>
      <c r="F143" s="92">
        <v>42.57</v>
      </c>
      <c r="G143" s="45"/>
      <c r="H143" s="42"/>
      <c r="I143" s="46"/>
      <c r="J143" s="12">
        <v>42.57</v>
      </c>
      <c r="K143" s="46"/>
      <c r="L143" s="47"/>
      <c r="M143"/>
      <c r="N143">
        <v>170382.82</v>
      </c>
      <c r="O143">
        <v>170382.82</v>
      </c>
    </row>
    <row r="144" spans="3:15" ht="60" x14ac:dyDescent="0.3">
      <c r="C144" s="90" t="s">
        <v>717</v>
      </c>
      <c r="D144" s="87" t="s">
        <v>718</v>
      </c>
      <c r="E144" s="90" t="s">
        <v>58</v>
      </c>
      <c r="F144" s="92">
        <v>31.5</v>
      </c>
      <c r="G144" s="45"/>
      <c r="H144" s="42">
        <v>31.5</v>
      </c>
      <c r="I144" s="46"/>
      <c r="J144" s="12"/>
      <c r="K144" s="46"/>
      <c r="L144" s="47"/>
      <c r="M144"/>
      <c r="N144">
        <v>355295.07</v>
      </c>
      <c r="O144">
        <v>355295.07</v>
      </c>
    </row>
    <row r="145" spans="3:15" ht="72" x14ac:dyDescent="0.3">
      <c r="C145" s="90" t="s">
        <v>720</v>
      </c>
      <c r="D145" s="87" t="s">
        <v>721</v>
      </c>
      <c r="E145" s="90" t="s">
        <v>68</v>
      </c>
      <c r="F145" s="92">
        <v>1</v>
      </c>
      <c r="G145" s="45"/>
      <c r="H145" s="42">
        <v>1</v>
      </c>
      <c r="I145" s="46"/>
      <c r="J145" s="12"/>
      <c r="K145" s="46"/>
      <c r="L145" s="47"/>
      <c r="M145"/>
      <c r="N145">
        <v>355373.17</v>
      </c>
      <c r="O145">
        <v>355373.17</v>
      </c>
    </row>
    <row r="146" spans="3:15" ht="60" x14ac:dyDescent="0.3">
      <c r="C146" s="90" t="s">
        <v>723</v>
      </c>
      <c r="D146" s="87" t="s">
        <v>724</v>
      </c>
      <c r="E146" s="90" t="s">
        <v>68</v>
      </c>
      <c r="F146" s="92">
        <v>6</v>
      </c>
      <c r="G146" s="45"/>
      <c r="H146" s="42">
        <v>6</v>
      </c>
      <c r="I146" s="46"/>
      <c r="J146" s="12"/>
      <c r="K146" s="46"/>
      <c r="L146" s="47"/>
      <c r="M146"/>
      <c r="N146">
        <v>356414.53</v>
      </c>
      <c r="O146">
        <v>356414.53</v>
      </c>
    </row>
    <row r="147" spans="3:15" ht="60" x14ac:dyDescent="0.3">
      <c r="C147" s="90" t="s">
        <v>726</v>
      </c>
      <c r="D147" s="87" t="s">
        <v>727</v>
      </c>
      <c r="E147" s="90" t="s">
        <v>50</v>
      </c>
      <c r="F147" s="92">
        <v>0.44619999999999999</v>
      </c>
      <c r="G147" s="45"/>
      <c r="H147" s="42">
        <v>0.44619999999999999</v>
      </c>
      <c r="I147" s="46"/>
      <c r="J147" s="12"/>
      <c r="K147" s="46"/>
      <c r="L147" s="47"/>
      <c r="M147"/>
      <c r="N147">
        <v>356414.53</v>
      </c>
      <c r="O147">
        <v>356414.53</v>
      </c>
    </row>
    <row r="148" spans="3:15" ht="60" x14ac:dyDescent="0.3">
      <c r="C148" s="90" t="s">
        <v>729</v>
      </c>
      <c r="D148" s="87" t="s">
        <v>730</v>
      </c>
      <c r="E148" s="90" t="s">
        <v>50</v>
      </c>
      <c r="F148" s="92">
        <v>16.605</v>
      </c>
      <c r="G148" s="45"/>
      <c r="H148" s="42">
        <v>16.605</v>
      </c>
      <c r="I148" s="46"/>
      <c r="J148" s="12"/>
      <c r="K148" s="46"/>
      <c r="L148" s="47"/>
      <c r="M148"/>
      <c r="N148">
        <v>356414.53</v>
      </c>
      <c r="O148">
        <v>356414.53</v>
      </c>
    </row>
    <row r="149" spans="3:15" ht="48" x14ac:dyDescent="0.3">
      <c r="C149" s="90" t="s">
        <v>732</v>
      </c>
      <c r="D149" s="87" t="s">
        <v>733</v>
      </c>
      <c r="E149" s="90" t="s">
        <v>50</v>
      </c>
      <c r="F149" s="92">
        <v>1.1319999999999999</v>
      </c>
      <c r="G149" s="45"/>
      <c r="H149" s="42">
        <v>1.1319999999999999</v>
      </c>
      <c r="I149" s="46"/>
      <c r="J149" s="12"/>
      <c r="K149" s="46"/>
      <c r="L149" s="47"/>
      <c r="M149"/>
      <c r="N149">
        <v>356414.53</v>
      </c>
      <c r="O149">
        <v>356414.53</v>
      </c>
    </row>
    <row r="150" spans="3:15" ht="48" x14ac:dyDescent="0.3">
      <c r="C150" s="90" t="s">
        <v>735</v>
      </c>
      <c r="D150" s="87" t="s">
        <v>736</v>
      </c>
      <c r="E150" s="90" t="s">
        <v>50</v>
      </c>
      <c r="F150" s="92">
        <v>0.19020000000000001</v>
      </c>
      <c r="G150" s="45"/>
      <c r="H150" s="42">
        <v>0.19020000000000001</v>
      </c>
      <c r="I150" s="46"/>
      <c r="J150" s="12"/>
      <c r="K150" s="46"/>
      <c r="L150" s="47"/>
      <c r="M150"/>
      <c r="N150">
        <v>356414.53</v>
      </c>
      <c r="O150">
        <v>356414.53</v>
      </c>
    </row>
    <row r="151" spans="3:15" ht="48" x14ac:dyDescent="0.3">
      <c r="C151" s="90" t="s">
        <v>738</v>
      </c>
      <c r="D151" s="87" t="s">
        <v>739</v>
      </c>
      <c r="E151" s="90" t="s">
        <v>50</v>
      </c>
      <c r="F151" s="92">
        <v>13.801299999999999</v>
      </c>
      <c r="G151" s="45"/>
      <c r="H151" s="42">
        <v>13.801299999999999</v>
      </c>
      <c r="I151" s="46"/>
      <c r="J151" s="12"/>
      <c r="K151" s="46"/>
      <c r="L151" s="47"/>
      <c r="M151"/>
      <c r="N151">
        <v>356414.53</v>
      </c>
      <c r="O151">
        <v>356414.53</v>
      </c>
    </row>
    <row r="152" spans="3:15" ht="48" x14ac:dyDescent="0.3">
      <c r="C152" s="90" t="s">
        <v>741</v>
      </c>
      <c r="D152" s="87" t="s">
        <v>742</v>
      </c>
      <c r="E152" s="90" t="s">
        <v>50</v>
      </c>
      <c r="F152" s="92">
        <v>0.2742</v>
      </c>
      <c r="G152" s="45"/>
      <c r="H152" s="42"/>
      <c r="I152" s="46">
        <v>0.2742</v>
      </c>
      <c r="J152" s="12"/>
      <c r="K152" s="46"/>
      <c r="L152" s="47"/>
      <c r="M152"/>
      <c r="N152">
        <v>356414.53</v>
      </c>
      <c r="O152">
        <v>356414.53</v>
      </c>
    </row>
    <row r="153" spans="3:15" ht="48" x14ac:dyDescent="0.3">
      <c r="C153" s="90" t="s">
        <v>744</v>
      </c>
      <c r="D153" s="87" t="s">
        <v>745</v>
      </c>
      <c r="E153" s="90" t="s">
        <v>50</v>
      </c>
      <c r="F153" s="92">
        <v>0.30099999999999999</v>
      </c>
      <c r="G153" s="45"/>
      <c r="H153" s="42"/>
      <c r="I153" s="46"/>
      <c r="J153" s="12">
        <v>0.30099999999999999</v>
      </c>
      <c r="K153" s="46"/>
      <c r="L153" s="47"/>
      <c r="M153"/>
      <c r="N153">
        <v>356414.53</v>
      </c>
      <c r="O153">
        <v>356414.53</v>
      </c>
    </row>
    <row r="154" spans="3:15" ht="48" x14ac:dyDescent="0.3">
      <c r="C154" s="90" t="s">
        <v>747</v>
      </c>
      <c r="D154" s="87" t="s">
        <v>748</v>
      </c>
      <c r="E154" s="90" t="s">
        <v>50</v>
      </c>
      <c r="F154" s="92">
        <v>0.86399999999999999</v>
      </c>
      <c r="G154" s="45"/>
      <c r="H154" s="42"/>
      <c r="I154" s="46"/>
      <c r="J154" s="12">
        <v>0.86399999999999999</v>
      </c>
      <c r="K154" s="46"/>
      <c r="L154" s="47"/>
      <c r="M154"/>
      <c r="N154">
        <v>356414.53</v>
      </c>
      <c r="O154">
        <v>356414.53</v>
      </c>
    </row>
    <row r="155" spans="3:15" ht="48" x14ac:dyDescent="0.3">
      <c r="C155" s="90" t="s">
        <v>750</v>
      </c>
      <c r="D155" s="87" t="s">
        <v>751</v>
      </c>
      <c r="E155" s="90" t="s">
        <v>50</v>
      </c>
      <c r="F155" s="92">
        <v>9.7000000000000003E-2</v>
      </c>
      <c r="G155" s="45"/>
      <c r="H155" s="42"/>
      <c r="I155" s="46"/>
      <c r="J155" s="12">
        <v>9.7000000000000003E-2</v>
      </c>
      <c r="K155" s="46"/>
      <c r="L155" s="47"/>
      <c r="M155"/>
      <c r="N155">
        <v>356414.53</v>
      </c>
      <c r="O155">
        <v>356414.53</v>
      </c>
    </row>
    <row r="156" spans="3:15" ht="48" x14ac:dyDescent="0.3">
      <c r="C156" s="90" t="s">
        <v>753</v>
      </c>
      <c r="D156" s="87" t="s">
        <v>754</v>
      </c>
      <c r="E156" s="90" t="s">
        <v>50</v>
      </c>
      <c r="F156" s="92">
        <v>0.28000000000000003</v>
      </c>
      <c r="G156" s="45"/>
      <c r="H156" s="42"/>
      <c r="I156" s="46"/>
      <c r="J156" s="12">
        <v>0.28000000000000003</v>
      </c>
      <c r="K156" s="46"/>
      <c r="L156" s="47"/>
      <c r="M156"/>
      <c r="N156">
        <v>356414.53</v>
      </c>
      <c r="O156">
        <v>356414.53</v>
      </c>
    </row>
    <row r="157" spans="3:15" ht="48" x14ac:dyDescent="0.3">
      <c r="C157" s="90" t="s">
        <v>756</v>
      </c>
      <c r="D157" s="87" t="s">
        <v>757</v>
      </c>
      <c r="E157" s="90" t="s">
        <v>50</v>
      </c>
      <c r="F157" s="92">
        <v>0.432</v>
      </c>
      <c r="G157" s="45"/>
      <c r="H157" s="42"/>
      <c r="I157" s="46"/>
      <c r="J157" s="12">
        <v>0.432</v>
      </c>
      <c r="K157" s="46"/>
      <c r="L157" s="47"/>
      <c r="M157"/>
      <c r="N157">
        <v>356414.53</v>
      </c>
      <c r="O157">
        <v>356414.53</v>
      </c>
    </row>
    <row r="158" spans="3:15" ht="48" x14ac:dyDescent="0.3">
      <c r="C158" s="90" t="s">
        <v>759</v>
      </c>
      <c r="D158" s="87" t="s">
        <v>760</v>
      </c>
      <c r="E158" s="90" t="s">
        <v>50</v>
      </c>
      <c r="F158" s="92">
        <v>7.0000000000000007E-2</v>
      </c>
      <c r="G158" s="45"/>
      <c r="H158" s="42"/>
      <c r="I158" s="46"/>
      <c r="J158" s="12">
        <v>7.0000000000000007E-2</v>
      </c>
      <c r="K158" s="46"/>
      <c r="L158" s="47"/>
      <c r="M158"/>
      <c r="N158">
        <v>356414.53</v>
      </c>
      <c r="O158">
        <v>356414.53</v>
      </c>
    </row>
    <row r="159" spans="3:15" ht="48" x14ac:dyDescent="0.3">
      <c r="C159" s="90" t="s">
        <v>762</v>
      </c>
      <c r="D159" s="87" t="s">
        <v>763</v>
      </c>
      <c r="E159" s="90" t="s">
        <v>50</v>
      </c>
      <c r="F159" s="92">
        <v>4.5600000000000002E-2</v>
      </c>
      <c r="G159" s="45"/>
      <c r="H159" s="42"/>
      <c r="I159" s="46"/>
      <c r="J159" s="12">
        <v>4.5600000000000002E-2</v>
      </c>
      <c r="K159" s="46"/>
      <c r="L159" s="47"/>
      <c r="M159"/>
      <c r="N159">
        <v>356414.53</v>
      </c>
      <c r="O159">
        <v>356414.53</v>
      </c>
    </row>
    <row r="160" spans="3:15" ht="60" x14ac:dyDescent="0.3">
      <c r="C160" s="90" t="s">
        <v>765</v>
      </c>
      <c r="D160" s="87" t="s">
        <v>766</v>
      </c>
      <c r="E160" s="90" t="s">
        <v>50</v>
      </c>
      <c r="F160" s="92">
        <v>1.4999999999999999E-2</v>
      </c>
      <c r="G160" s="45"/>
      <c r="H160" s="42"/>
      <c r="I160" s="46">
        <v>1.4999999999999999E-2</v>
      </c>
      <c r="J160" s="12"/>
      <c r="K160" s="46"/>
      <c r="L160" s="47"/>
      <c r="M160"/>
      <c r="N160">
        <v>356414.53</v>
      </c>
      <c r="O160">
        <v>356414.53</v>
      </c>
    </row>
    <row r="161" spans="3:15" ht="60" x14ac:dyDescent="0.3">
      <c r="C161" s="90" t="s">
        <v>768</v>
      </c>
      <c r="D161" s="87" t="s">
        <v>769</v>
      </c>
      <c r="E161" s="90" t="s">
        <v>50</v>
      </c>
      <c r="F161" s="92">
        <v>1.6589</v>
      </c>
      <c r="G161" s="45"/>
      <c r="H161" s="42"/>
      <c r="I161" s="46">
        <v>1.6589</v>
      </c>
      <c r="J161" s="12"/>
      <c r="K161" s="46"/>
      <c r="L161" s="47"/>
      <c r="M161"/>
      <c r="N161">
        <v>356414.53</v>
      </c>
      <c r="O161">
        <v>356414.53</v>
      </c>
    </row>
    <row r="162" spans="3:15" ht="60" x14ac:dyDescent="0.3">
      <c r="C162" s="90" t="s">
        <v>770</v>
      </c>
      <c r="D162" s="87" t="s">
        <v>771</v>
      </c>
      <c r="E162" s="90" t="s">
        <v>50</v>
      </c>
      <c r="F162" s="92">
        <v>0.46479999999999999</v>
      </c>
      <c r="G162" s="45"/>
      <c r="H162" s="42"/>
      <c r="I162" s="46"/>
      <c r="J162" s="12">
        <v>0.46479999999999999</v>
      </c>
      <c r="K162" s="46"/>
      <c r="L162" s="47"/>
      <c r="M162"/>
      <c r="N162">
        <v>356414.53</v>
      </c>
      <c r="O162">
        <v>356414.53</v>
      </c>
    </row>
    <row r="163" spans="3:15" ht="60" x14ac:dyDescent="0.3">
      <c r="C163" s="90" t="s">
        <v>773</v>
      </c>
      <c r="D163" s="87" t="s">
        <v>774</v>
      </c>
      <c r="E163" s="90" t="s">
        <v>50</v>
      </c>
      <c r="F163" s="92">
        <v>1.675</v>
      </c>
      <c r="G163" s="45"/>
      <c r="H163" s="42"/>
      <c r="I163" s="46"/>
      <c r="J163" s="12">
        <v>1.675</v>
      </c>
      <c r="K163" s="46"/>
      <c r="L163" s="47"/>
      <c r="M163"/>
      <c r="N163">
        <v>356414.53</v>
      </c>
      <c r="O163">
        <v>356414.53</v>
      </c>
    </row>
    <row r="164" spans="3:15" ht="60" x14ac:dyDescent="0.3">
      <c r="C164" s="90" t="s">
        <v>776</v>
      </c>
      <c r="D164" s="87" t="s">
        <v>777</v>
      </c>
      <c r="E164" s="90" t="s">
        <v>50</v>
      </c>
      <c r="F164" s="92">
        <v>3.8559999999999999</v>
      </c>
      <c r="G164" s="45"/>
      <c r="H164" s="42">
        <v>3.8559999999999999</v>
      </c>
      <c r="I164" s="46"/>
      <c r="J164" s="12"/>
      <c r="K164" s="46"/>
      <c r="L164" s="47"/>
      <c r="M164"/>
      <c r="N164">
        <v>358823.87</v>
      </c>
      <c r="O164">
        <v>358823.87</v>
      </c>
    </row>
    <row r="165" spans="3:15" ht="72" x14ac:dyDescent="0.3">
      <c r="C165" s="90" t="s">
        <v>779</v>
      </c>
      <c r="D165" s="87" t="s">
        <v>780</v>
      </c>
      <c r="E165" s="90" t="s">
        <v>58</v>
      </c>
      <c r="F165" s="92">
        <v>18</v>
      </c>
      <c r="G165" s="45"/>
      <c r="H165" s="42"/>
      <c r="I165" s="46">
        <v>18</v>
      </c>
      <c r="J165" s="12"/>
      <c r="K165" s="46"/>
      <c r="L165" s="47"/>
      <c r="M165"/>
      <c r="N165">
        <v>358823.87</v>
      </c>
      <c r="O165">
        <v>358823.87</v>
      </c>
    </row>
    <row r="166" spans="3:15" ht="72" x14ac:dyDescent="0.3">
      <c r="C166" s="90" t="s">
        <v>782</v>
      </c>
      <c r="D166" s="87" t="s">
        <v>783</v>
      </c>
      <c r="E166" s="90" t="s">
        <v>68</v>
      </c>
      <c r="F166" s="92">
        <v>3</v>
      </c>
      <c r="G166" s="45"/>
      <c r="H166" s="42"/>
      <c r="I166" s="46">
        <v>3</v>
      </c>
      <c r="J166" s="12"/>
      <c r="K166" s="46"/>
      <c r="L166" s="47"/>
      <c r="M166"/>
      <c r="N166">
        <v>358823.87</v>
      </c>
      <c r="O166">
        <v>358823.87</v>
      </c>
    </row>
    <row r="167" spans="3:15" ht="72" x14ac:dyDescent="0.3">
      <c r="C167" s="90" t="s">
        <v>785</v>
      </c>
      <c r="D167" s="87" t="s">
        <v>786</v>
      </c>
      <c r="E167" s="90" t="s">
        <v>68</v>
      </c>
      <c r="F167" s="92">
        <v>1</v>
      </c>
      <c r="G167" s="45"/>
      <c r="H167" s="42"/>
      <c r="I167" s="46">
        <v>1</v>
      </c>
      <c r="J167" s="12"/>
      <c r="K167" s="46"/>
      <c r="L167" s="47"/>
      <c r="M167"/>
      <c r="N167">
        <v>358823.87</v>
      </c>
      <c r="O167">
        <v>358823.87</v>
      </c>
    </row>
    <row r="168" spans="3:15" ht="72" x14ac:dyDescent="0.3">
      <c r="C168" s="90" t="s">
        <v>788</v>
      </c>
      <c r="D168" s="87" t="s">
        <v>789</v>
      </c>
      <c r="E168" s="90" t="s">
        <v>68</v>
      </c>
      <c r="F168" s="92">
        <v>1</v>
      </c>
      <c r="G168" s="45"/>
      <c r="H168" s="42"/>
      <c r="I168" s="46">
        <v>1</v>
      </c>
      <c r="J168" s="12"/>
      <c r="K168" s="46"/>
      <c r="L168" s="47"/>
      <c r="M168"/>
      <c r="N168">
        <v>358836.88</v>
      </c>
      <c r="O168">
        <v>358836.88</v>
      </c>
    </row>
    <row r="169" spans="3:15" ht="72" x14ac:dyDescent="0.3">
      <c r="C169" s="90" t="s">
        <v>791</v>
      </c>
      <c r="D169" s="87" t="s">
        <v>792</v>
      </c>
      <c r="E169" s="90" t="s">
        <v>68</v>
      </c>
      <c r="F169" s="92">
        <v>26</v>
      </c>
      <c r="G169" s="45"/>
      <c r="H169" s="42"/>
      <c r="I169" s="46">
        <v>16</v>
      </c>
      <c r="J169" s="12">
        <v>10</v>
      </c>
      <c r="K169" s="46"/>
      <c r="L169" s="47"/>
      <c r="M169"/>
      <c r="N169">
        <v>358836.88</v>
      </c>
      <c r="O169">
        <v>358836.88</v>
      </c>
    </row>
    <row r="170" spans="3:15" ht="72" x14ac:dyDescent="0.3">
      <c r="C170" s="90" t="s">
        <v>794</v>
      </c>
      <c r="D170" s="87" t="s">
        <v>795</v>
      </c>
      <c r="E170" s="90" t="s">
        <v>68</v>
      </c>
      <c r="F170" s="92">
        <v>3</v>
      </c>
      <c r="G170" s="45"/>
      <c r="H170" s="42"/>
      <c r="I170" s="46">
        <v>3</v>
      </c>
      <c r="J170" s="12"/>
      <c r="K170" s="46"/>
      <c r="L170" s="47"/>
      <c r="M170"/>
      <c r="N170">
        <v>358954.03</v>
      </c>
      <c r="O170">
        <v>358954.03</v>
      </c>
    </row>
    <row r="171" spans="3:15" ht="72" x14ac:dyDescent="0.3">
      <c r="C171" s="90" t="s">
        <v>797</v>
      </c>
      <c r="D171" s="87" t="s">
        <v>798</v>
      </c>
      <c r="E171" s="90" t="s">
        <v>68</v>
      </c>
      <c r="F171" s="92">
        <v>6</v>
      </c>
      <c r="G171" s="45"/>
      <c r="H171" s="42">
        <v>6</v>
      </c>
      <c r="I171" s="46"/>
      <c r="J171" s="12"/>
      <c r="K171" s="46"/>
      <c r="L171" s="47"/>
      <c r="M171"/>
      <c r="N171">
        <v>359266.45</v>
      </c>
      <c r="O171">
        <v>359266.45</v>
      </c>
    </row>
    <row r="172" spans="3:15" ht="72" x14ac:dyDescent="0.3">
      <c r="C172" s="90" t="s">
        <v>800</v>
      </c>
      <c r="D172" s="87" t="s">
        <v>801</v>
      </c>
      <c r="E172" s="90" t="s">
        <v>68</v>
      </c>
      <c r="F172" s="92">
        <v>2</v>
      </c>
      <c r="G172" s="45"/>
      <c r="H172" s="42"/>
      <c r="I172" s="46">
        <v>2</v>
      </c>
      <c r="J172" s="12"/>
      <c r="K172" s="46"/>
      <c r="L172" s="47"/>
      <c r="M172"/>
      <c r="N172">
        <v>359344.55</v>
      </c>
      <c r="O172">
        <v>359344.55</v>
      </c>
    </row>
    <row r="173" spans="3:15" ht="72" x14ac:dyDescent="0.3">
      <c r="C173" s="90" t="s">
        <v>803</v>
      </c>
      <c r="D173" s="87" t="s">
        <v>804</v>
      </c>
      <c r="E173" s="90" t="s">
        <v>68</v>
      </c>
      <c r="F173" s="92">
        <v>9</v>
      </c>
      <c r="G173" s="45"/>
      <c r="H173" s="42"/>
      <c r="I173" s="46">
        <v>9</v>
      </c>
      <c r="J173" s="12"/>
      <c r="K173" s="46"/>
      <c r="L173" s="47"/>
      <c r="M173"/>
      <c r="N173">
        <v>359344.55</v>
      </c>
      <c r="O173">
        <v>359344.55</v>
      </c>
    </row>
    <row r="174" spans="3:15" ht="72" x14ac:dyDescent="0.3">
      <c r="C174" s="90" t="s">
        <v>806</v>
      </c>
      <c r="D174" s="87" t="s">
        <v>807</v>
      </c>
      <c r="E174" s="90" t="s">
        <v>68</v>
      </c>
      <c r="F174" s="92">
        <v>3</v>
      </c>
      <c r="G174" s="45"/>
      <c r="H174" s="42"/>
      <c r="I174" s="46">
        <v>3</v>
      </c>
      <c r="J174" s="12"/>
      <c r="K174" s="46"/>
      <c r="L174" s="47"/>
      <c r="M174"/>
      <c r="N174">
        <v>359344.55</v>
      </c>
      <c r="O174">
        <v>359344.55</v>
      </c>
    </row>
    <row r="175" spans="3:15" ht="72" x14ac:dyDescent="0.3">
      <c r="C175" s="90" t="s">
        <v>809</v>
      </c>
      <c r="D175" s="87" t="s">
        <v>810</v>
      </c>
      <c r="E175" s="90" t="s">
        <v>68</v>
      </c>
      <c r="F175" s="92">
        <v>4</v>
      </c>
      <c r="G175" s="45"/>
      <c r="H175" s="42"/>
      <c r="I175" s="46">
        <v>4</v>
      </c>
      <c r="J175" s="12"/>
      <c r="K175" s="46"/>
      <c r="L175" s="47"/>
      <c r="M175"/>
      <c r="N175">
        <v>359552.83</v>
      </c>
      <c r="O175">
        <v>359552.83</v>
      </c>
    </row>
    <row r="176" spans="3:15" ht="72" x14ac:dyDescent="0.3">
      <c r="C176" s="90" t="s">
        <v>812</v>
      </c>
      <c r="D176" s="87" t="s">
        <v>813</v>
      </c>
      <c r="E176" s="90" t="s">
        <v>68</v>
      </c>
      <c r="F176" s="92">
        <v>1</v>
      </c>
      <c r="G176" s="45"/>
      <c r="H176" s="45">
        <v>1</v>
      </c>
      <c r="I176" s="46"/>
      <c r="J176" s="12"/>
      <c r="K176" s="46"/>
      <c r="L176" s="47"/>
      <c r="M176"/>
      <c r="N176">
        <v>364194.04</v>
      </c>
      <c r="O176">
        <v>364194.04</v>
      </c>
    </row>
    <row r="177" spans="3:15" ht="60" x14ac:dyDescent="0.3">
      <c r="C177" s="90" t="s">
        <v>815</v>
      </c>
      <c r="D177" s="87" t="s">
        <v>816</v>
      </c>
      <c r="E177" s="90" t="s">
        <v>68</v>
      </c>
      <c r="F177" s="92">
        <v>2</v>
      </c>
      <c r="G177" s="45"/>
      <c r="H177" s="42"/>
      <c r="I177" s="46"/>
      <c r="J177" s="12">
        <v>2</v>
      </c>
      <c r="K177" s="46"/>
      <c r="L177" s="47"/>
      <c r="M177"/>
      <c r="N177">
        <v>364194.04</v>
      </c>
      <c r="O177">
        <v>364194.04</v>
      </c>
    </row>
    <row r="178" spans="3:15" ht="72" x14ac:dyDescent="0.3">
      <c r="C178" s="90" t="s">
        <v>818</v>
      </c>
      <c r="D178" s="87" t="s">
        <v>819</v>
      </c>
      <c r="E178" s="90" t="s">
        <v>68</v>
      </c>
      <c r="F178" s="92">
        <v>1</v>
      </c>
      <c r="G178" s="45"/>
      <c r="H178" s="42"/>
      <c r="I178" s="46"/>
      <c r="J178" s="12">
        <v>1</v>
      </c>
      <c r="K178" s="46"/>
      <c r="L178" s="47"/>
      <c r="M178"/>
      <c r="N178">
        <v>364194.04</v>
      </c>
      <c r="O178">
        <v>364194.04</v>
      </c>
    </row>
    <row r="179" spans="3:15" ht="72" x14ac:dyDescent="0.3">
      <c r="C179" s="90" t="s">
        <v>821</v>
      </c>
      <c r="D179" s="87" t="s">
        <v>822</v>
      </c>
      <c r="E179" s="90" t="s">
        <v>68</v>
      </c>
      <c r="F179" s="92">
        <v>1</v>
      </c>
      <c r="G179" s="45"/>
      <c r="H179" s="42"/>
      <c r="I179" s="46"/>
      <c r="J179" s="12">
        <v>1</v>
      </c>
      <c r="K179" s="46"/>
      <c r="L179" s="47"/>
      <c r="M179"/>
      <c r="N179">
        <v>364194.04</v>
      </c>
      <c r="O179">
        <v>364194.04</v>
      </c>
    </row>
    <row r="180" spans="3:15" ht="72" x14ac:dyDescent="0.3">
      <c r="C180" s="90" t="s">
        <v>824</v>
      </c>
      <c r="D180" s="87" t="s">
        <v>825</v>
      </c>
      <c r="E180" s="90" t="s">
        <v>68</v>
      </c>
      <c r="F180" s="92">
        <v>2</v>
      </c>
      <c r="G180" s="45"/>
      <c r="H180" s="42"/>
      <c r="I180" s="46"/>
      <c r="J180" s="12">
        <v>2</v>
      </c>
      <c r="K180" s="46"/>
      <c r="L180" s="47"/>
      <c r="M180"/>
      <c r="N180">
        <v>364194.04</v>
      </c>
      <c r="O180">
        <v>364194.04</v>
      </c>
    </row>
    <row r="181" spans="3:15" ht="60" x14ac:dyDescent="0.3">
      <c r="C181" s="90" t="s">
        <v>827</v>
      </c>
      <c r="D181" s="87" t="s">
        <v>828</v>
      </c>
      <c r="E181" s="90" t="s">
        <v>68</v>
      </c>
      <c r="F181" s="92">
        <v>2</v>
      </c>
      <c r="G181" s="45"/>
      <c r="H181" s="42"/>
      <c r="I181" s="46">
        <v>2</v>
      </c>
      <c r="J181" s="12"/>
      <c r="K181" s="46"/>
      <c r="L181" s="47"/>
      <c r="M181"/>
      <c r="N181">
        <v>364194.04</v>
      </c>
      <c r="O181">
        <v>364194.04</v>
      </c>
    </row>
    <row r="182" spans="3:15" ht="84" x14ac:dyDescent="0.3">
      <c r="C182" s="90" t="s">
        <v>830</v>
      </c>
      <c r="D182" s="87" t="s">
        <v>831</v>
      </c>
      <c r="E182" s="90" t="s">
        <v>68</v>
      </c>
      <c r="F182" s="92">
        <v>3</v>
      </c>
      <c r="G182" s="45"/>
      <c r="H182" s="42"/>
      <c r="I182" s="46"/>
      <c r="J182" s="12">
        <v>3</v>
      </c>
      <c r="K182" s="46"/>
      <c r="L182" s="47"/>
      <c r="M182"/>
      <c r="N182">
        <v>364194.04</v>
      </c>
      <c r="O182">
        <v>364194.04</v>
      </c>
    </row>
    <row r="183" spans="3:15" ht="48" x14ac:dyDescent="0.3">
      <c r="C183" s="90" t="s">
        <v>833</v>
      </c>
      <c r="D183" s="87" t="s">
        <v>834</v>
      </c>
      <c r="E183" s="90" t="s">
        <v>68</v>
      </c>
      <c r="F183" s="92">
        <v>2</v>
      </c>
      <c r="G183" s="45"/>
      <c r="H183" s="42"/>
      <c r="I183" s="46"/>
      <c r="J183" s="12">
        <v>2</v>
      </c>
      <c r="K183" s="46"/>
      <c r="L183" s="47"/>
      <c r="M183"/>
      <c r="N183">
        <v>364766.04</v>
      </c>
      <c r="O183">
        <v>364766.04</v>
      </c>
    </row>
    <row r="184" spans="3:15" ht="72" x14ac:dyDescent="0.3">
      <c r="C184" s="90" t="s">
        <v>836</v>
      </c>
      <c r="D184" s="87" t="s">
        <v>837</v>
      </c>
      <c r="E184" s="90" t="s">
        <v>58</v>
      </c>
      <c r="F184" s="92">
        <v>6.1</v>
      </c>
      <c r="G184" s="45"/>
      <c r="H184" s="42"/>
      <c r="I184" s="46"/>
      <c r="J184" s="12">
        <v>6.1</v>
      </c>
      <c r="K184" s="46"/>
      <c r="L184" s="47"/>
      <c r="M184"/>
      <c r="N184">
        <v>364766.04</v>
      </c>
      <c r="O184">
        <v>364766.04</v>
      </c>
    </row>
    <row r="185" spans="3:15" ht="72" x14ac:dyDescent="0.3">
      <c r="C185" s="90" t="s">
        <v>839</v>
      </c>
      <c r="D185" s="87" t="s">
        <v>840</v>
      </c>
      <c r="E185" s="90" t="s">
        <v>58</v>
      </c>
      <c r="F185" s="92">
        <v>6.1</v>
      </c>
      <c r="G185" s="45"/>
      <c r="H185" s="42"/>
      <c r="I185" s="46"/>
      <c r="J185" s="12">
        <v>6.1</v>
      </c>
      <c r="K185" s="46"/>
      <c r="L185" s="47"/>
      <c r="M185"/>
      <c r="N185">
        <v>364766.04</v>
      </c>
      <c r="O185">
        <v>364766.04</v>
      </c>
    </row>
    <row r="186" spans="3:15" ht="72" x14ac:dyDescent="0.3">
      <c r="C186" s="90" t="s">
        <v>842</v>
      </c>
      <c r="D186" s="87" t="s">
        <v>843</v>
      </c>
      <c r="E186" s="90" t="s">
        <v>58</v>
      </c>
      <c r="F186" s="92">
        <v>6.1</v>
      </c>
      <c r="G186" s="45"/>
      <c r="H186" s="42"/>
      <c r="I186" s="46"/>
      <c r="J186" s="12">
        <v>6.1</v>
      </c>
      <c r="K186" s="46"/>
      <c r="L186" s="47"/>
      <c r="M186"/>
      <c r="N186">
        <v>364766.04</v>
      </c>
      <c r="O186">
        <v>364766.04</v>
      </c>
    </row>
    <row r="187" spans="3:15" ht="72" x14ac:dyDescent="0.3">
      <c r="C187" s="90" t="s">
        <v>845</v>
      </c>
      <c r="D187" s="87" t="s">
        <v>846</v>
      </c>
      <c r="E187" s="90" t="s">
        <v>58</v>
      </c>
      <c r="F187" s="92">
        <v>17.5</v>
      </c>
      <c r="G187" s="45"/>
      <c r="H187" s="42"/>
      <c r="I187" s="46"/>
      <c r="J187" s="12">
        <v>17.5</v>
      </c>
      <c r="K187" s="46"/>
      <c r="L187" s="47"/>
      <c r="M187"/>
      <c r="N187">
        <v>364766.04</v>
      </c>
      <c r="O187">
        <v>364766.04</v>
      </c>
    </row>
    <row r="188" spans="3:15" ht="72" x14ac:dyDescent="0.3">
      <c r="C188" s="90" t="s">
        <v>848</v>
      </c>
      <c r="D188" s="87" t="s">
        <v>849</v>
      </c>
      <c r="E188" s="90" t="s">
        <v>68</v>
      </c>
      <c r="F188" s="92">
        <v>4</v>
      </c>
      <c r="G188" s="45"/>
      <c r="H188" s="42"/>
      <c r="I188" s="46"/>
      <c r="J188" s="12">
        <v>4</v>
      </c>
      <c r="K188" s="46"/>
      <c r="L188" s="47"/>
      <c r="M188"/>
      <c r="N188">
        <v>364766.04</v>
      </c>
      <c r="O188">
        <v>364766.04</v>
      </c>
    </row>
    <row r="189" spans="3:15" ht="72" x14ac:dyDescent="0.3">
      <c r="C189" s="90" t="s">
        <v>851</v>
      </c>
      <c r="D189" s="87" t="s">
        <v>852</v>
      </c>
      <c r="E189" s="90" t="s">
        <v>68</v>
      </c>
      <c r="F189" s="92">
        <v>4</v>
      </c>
      <c r="G189" s="45"/>
      <c r="H189" s="42"/>
      <c r="I189" s="46"/>
      <c r="J189" s="12">
        <v>4</v>
      </c>
      <c r="K189" s="46"/>
      <c r="L189" s="47"/>
      <c r="M189"/>
      <c r="N189">
        <v>364766.04</v>
      </c>
      <c r="O189">
        <v>364766.04</v>
      </c>
    </row>
    <row r="190" spans="3:15" ht="72" x14ac:dyDescent="0.3">
      <c r="C190" s="90" t="s">
        <v>854</v>
      </c>
      <c r="D190" s="87" t="s">
        <v>855</v>
      </c>
      <c r="E190" s="90" t="s">
        <v>68</v>
      </c>
      <c r="F190" s="92">
        <v>2</v>
      </c>
      <c r="G190" s="45"/>
      <c r="H190" s="42"/>
      <c r="I190" s="46">
        <v>2</v>
      </c>
      <c r="J190" s="12"/>
      <c r="K190" s="46"/>
      <c r="L190" s="47"/>
      <c r="M190"/>
      <c r="N190">
        <v>364766.04</v>
      </c>
      <c r="O190">
        <v>364766.04</v>
      </c>
    </row>
    <row r="191" spans="3:15" ht="72" x14ac:dyDescent="0.3">
      <c r="C191" s="90" t="s">
        <v>857</v>
      </c>
      <c r="D191" s="87" t="s">
        <v>858</v>
      </c>
      <c r="E191" s="90" t="s">
        <v>68</v>
      </c>
      <c r="F191" s="92">
        <v>8</v>
      </c>
      <c r="G191" s="45"/>
      <c r="H191" s="42"/>
      <c r="I191" s="46">
        <v>8</v>
      </c>
      <c r="J191" s="12"/>
      <c r="K191" s="46"/>
      <c r="L191" s="47"/>
      <c r="M191"/>
      <c r="N191">
        <v>364766.04</v>
      </c>
      <c r="O191">
        <v>364766.04</v>
      </c>
    </row>
    <row r="192" spans="3:15" ht="72" x14ac:dyDescent="0.3">
      <c r="C192" s="90" t="s">
        <v>860</v>
      </c>
      <c r="D192" s="87" t="s">
        <v>861</v>
      </c>
      <c r="E192" s="90" t="s">
        <v>68</v>
      </c>
      <c r="F192" s="92">
        <v>6</v>
      </c>
      <c r="G192" s="45"/>
      <c r="H192" s="42"/>
      <c r="I192" s="46"/>
      <c r="J192" s="12">
        <v>6</v>
      </c>
      <c r="K192" s="46"/>
      <c r="L192" s="47"/>
      <c r="M192"/>
      <c r="N192">
        <v>364766.04</v>
      </c>
      <c r="O192">
        <v>364766.04</v>
      </c>
    </row>
    <row r="193" spans="3:15" ht="72" x14ac:dyDescent="0.3">
      <c r="C193" s="90" t="s">
        <v>863</v>
      </c>
      <c r="D193" s="87" t="s">
        <v>864</v>
      </c>
      <c r="E193" s="90" t="s">
        <v>68</v>
      </c>
      <c r="F193" s="92">
        <v>6</v>
      </c>
      <c r="G193" s="45"/>
      <c r="H193" s="42"/>
      <c r="I193" s="46"/>
      <c r="J193" s="12">
        <v>6</v>
      </c>
      <c r="K193" s="46"/>
      <c r="L193" s="47"/>
      <c r="M193"/>
      <c r="N193">
        <v>364766.04</v>
      </c>
      <c r="O193">
        <v>364766.04</v>
      </c>
    </row>
    <row r="194" spans="3:15" ht="72" x14ac:dyDescent="0.3">
      <c r="C194" s="90" t="s">
        <v>866</v>
      </c>
      <c r="D194" s="87" t="s">
        <v>867</v>
      </c>
      <c r="E194" s="90" t="s">
        <v>68</v>
      </c>
      <c r="F194" s="92">
        <v>2</v>
      </c>
      <c r="G194" s="45"/>
      <c r="H194" s="42"/>
      <c r="I194" s="46">
        <v>2</v>
      </c>
      <c r="J194" s="12"/>
      <c r="K194" s="46"/>
      <c r="L194" s="47"/>
      <c r="M194"/>
      <c r="N194">
        <v>364766.04</v>
      </c>
      <c r="O194">
        <v>364766.04</v>
      </c>
    </row>
    <row r="195" spans="3:15" ht="72" x14ac:dyDescent="0.3">
      <c r="C195" s="90" t="s">
        <v>869</v>
      </c>
      <c r="D195" s="87" t="s">
        <v>870</v>
      </c>
      <c r="E195" s="90" t="s">
        <v>68</v>
      </c>
      <c r="F195" s="92">
        <v>2</v>
      </c>
      <c r="G195" s="45"/>
      <c r="H195" s="42"/>
      <c r="I195" s="46"/>
      <c r="J195" s="12">
        <v>2</v>
      </c>
      <c r="K195" s="46"/>
      <c r="L195" s="47"/>
      <c r="M195"/>
      <c r="N195">
        <v>364766.04</v>
      </c>
      <c r="O195">
        <v>364766.04</v>
      </c>
    </row>
    <row r="196" spans="3:15" ht="72" x14ac:dyDescent="0.3">
      <c r="C196" s="90" t="s">
        <v>872</v>
      </c>
      <c r="D196" s="87" t="s">
        <v>873</v>
      </c>
      <c r="E196" s="90" t="s">
        <v>68</v>
      </c>
      <c r="F196" s="92">
        <v>4</v>
      </c>
      <c r="G196" s="45"/>
      <c r="H196" s="42"/>
      <c r="I196" s="46"/>
      <c r="J196" s="12">
        <v>4</v>
      </c>
      <c r="K196" s="46"/>
      <c r="L196" s="47"/>
      <c r="M196"/>
      <c r="N196">
        <v>364766.04</v>
      </c>
      <c r="O196">
        <v>364766.04</v>
      </c>
    </row>
    <row r="197" spans="3:15" ht="72" x14ac:dyDescent="0.3">
      <c r="C197" s="90" t="s">
        <v>875</v>
      </c>
      <c r="D197" s="87" t="s">
        <v>876</v>
      </c>
      <c r="E197" s="90" t="s">
        <v>68</v>
      </c>
      <c r="F197" s="92">
        <v>1</v>
      </c>
      <c r="G197" s="45"/>
      <c r="H197" s="42"/>
      <c r="I197" s="46"/>
      <c r="J197" s="12">
        <v>1</v>
      </c>
      <c r="K197" s="46"/>
      <c r="L197" s="47"/>
      <c r="M197"/>
      <c r="N197">
        <v>364766.04</v>
      </c>
      <c r="O197">
        <v>364766.04</v>
      </c>
    </row>
    <row r="198" spans="3:15" ht="72" x14ac:dyDescent="0.3">
      <c r="C198" s="90" t="s">
        <v>878</v>
      </c>
      <c r="D198" s="87" t="s">
        <v>879</v>
      </c>
      <c r="E198" s="90" t="s">
        <v>68</v>
      </c>
      <c r="F198" s="92">
        <v>1</v>
      </c>
      <c r="G198" s="45"/>
      <c r="H198" s="42"/>
      <c r="I198" s="46">
        <v>1</v>
      </c>
      <c r="J198" s="12"/>
      <c r="K198" s="46"/>
      <c r="L198" s="47"/>
      <c r="M198"/>
      <c r="N198">
        <v>364766.04</v>
      </c>
      <c r="O198">
        <v>364766.04</v>
      </c>
    </row>
    <row r="199" spans="3:15" ht="72" x14ac:dyDescent="0.3">
      <c r="C199" s="90" t="s">
        <v>881</v>
      </c>
      <c r="D199" s="87" t="s">
        <v>882</v>
      </c>
      <c r="E199" s="90" t="s">
        <v>68</v>
      </c>
      <c r="F199" s="92">
        <v>1</v>
      </c>
      <c r="G199" s="45"/>
      <c r="H199" s="42"/>
      <c r="I199" s="46"/>
      <c r="J199" s="12">
        <v>1</v>
      </c>
      <c r="K199" s="46"/>
      <c r="L199" s="47"/>
      <c r="M199"/>
      <c r="N199">
        <v>364766.04</v>
      </c>
      <c r="O199">
        <v>364766.04</v>
      </c>
    </row>
    <row r="200" spans="3:15" ht="72" x14ac:dyDescent="0.3">
      <c r="C200" s="90" t="s">
        <v>884</v>
      </c>
      <c r="D200" s="87" t="s">
        <v>885</v>
      </c>
      <c r="E200" s="90" t="s">
        <v>68</v>
      </c>
      <c r="F200" s="92">
        <v>1</v>
      </c>
      <c r="G200" s="45"/>
      <c r="H200" s="42"/>
      <c r="I200" s="46">
        <v>1</v>
      </c>
      <c r="J200" s="12"/>
      <c r="K200" s="46"/>
      <c r="L200" s="47"/>
      <c r="M200"/>
      <c r="N200">
        <v>364766.04</v>
      </c>
      <c r="O200">
        <v>364766.04</v>
      </c>
    </row>
    <row r="201" spans="3:15" ht="72" x14ac:dyDescent="0.3">
      <c r="C201" s="90" t="s">
        <v>887</v>
      </c>
      <c r="D201" s="87" t="s">
        <v>888</v>
      </c>
      <c r="E201" s="90" t="s">
        <v>68</v>
      </c>
      <c r="F201" s="92">
        <v>1</v>
      </c>
      <c r="G201" s="45"/>
      <c r="H201" s="42"/>
      <c r="I201" s="46">
        <v>1</v>
      </c>
      <c r="J201" s="12"/>
      <c r="K201" s="46"/>
      <c r="L201" s="47"/>
      <c r="M201"/>
      <c r="N201">
        <v>364766.04</v>
      </c>
      <c r="O201">
        <v>364766.04</v>
      </c>
    </row>
    <row r="202" spans="3:15" ht="60" x14ac:dyDescent="0.3">
      <c r="C202" s="90" t="s">
        <v>890</v>
      </c>
      <c r="D202" s="87" t="s">
        <v>891</v>
      </c>
      <c r="E202" s="90" t="s">
        <v>68</v>
      </c>
      <c r="F202" s="92">
        <v>6</v>
      </c>
      <c r="G202" s="45"/>
      <c r="H202" s="42"/>
      <c r="I202" s="46">
        <v>6</v>
      </c>
      <c r="J202" s="12"/>
      <c r="K202" s="46"/>
      <c r="L202" s="47"/>
      <c r="M202"/>
      <c r="N202">
        <v>364766.04</v>
      </c>
      <c r="O202">
        <v>364766.04</v>
      </c>
    </row>
    <row r="203" spans="3:15" ht="72" x14ac:dyDescent="0.3">
      <c r="C203" s="90" t="s">
        <v>893</v>
      </c>
      <c r="D203" s="87" t="s">
        <v>894</v>
      </c>
      <c r="E203" s="90" t="s">
        <v>68</v>
      </c>
      <c r="F203" s="92">
        <v>1</v>
      </c>
      <c r="G203" s="45"/>
      <c r="H203" s="42"/>
      <c r="I203" s="46">
        <v>1</v>
      </c>
      <c r="J203" s="12"/>
      <c r="K203" s="46"/>
      <c r="L203" s="47"/>
      <c r="M203"/>
      <c r="N203">
        <v>364766.04</v>
      </c>
      <c r="O203">
        <v>364766.04</v>
      </c>
    </row>
    <row r="204" spans="3:15" ht="72" x14ac:dyDescent="0.3">
      <c r="C204" s="90" t="s">
        <v>896</v>
      </c>
      <c r="D204" s="87" t="s">
        <v>897</v>
      </c>
      <c r="E204" s="90" t="s">
        <v>68</v>
      </c>
      <c r="F204" s="92">
        <v>2</v>
      </c>
      <c r="G204" s="45"/>
      <c r="H204" s="42"/>
      <c r="I204" s="46"/>
      <c r="J204" s="12">
        <v>2</v>
      </c>
      <c r="K204" s="46"/>
      <c r="L204" s="47"/>
      <c r="M204"/>
      <c r="N204">
        <v>364766.04</v>
      </c>
      <c r="O204">
        <v>364766.04</v>
      </c>
    </row>
    <row r="205" spans="3:15" ht="72" x14ac:dyDescent="0.3">
      <c r="C205" s="90" t="s">
        <v>899</v>
      </c>
      <c r="D205" s="87" t="s">
        <v>900</v>
      </c>
      <c r="E205" s="90" t="s">
        <v>68</v>
      </c>
      <c r="F205" s="92">
        <v>2</v>
      </c>
      <c r="G205" s="45"/>
      <c r="H205" s="42"/>
      <c r="I205" s="46"/>
      <c r="J205" s="12">
        <v>2</v>
      </c>
      <c r="K205" s="46"/>
      <c r="L205" s="47"/>
      <c r="M205"/>
      <c r="N205">
        <v>364766.04</v>
      </c>
      <c r="O205">
        <v>364766.04</v>
      </c>
    </row>
    <row r="206" spans="3:15" ht="72" x14ac:dyDescent="0.3">
      <c r="C206" s="90" t="s">
        <v>902</v>
      </c>
      <c r="D206" s="87" t="s">
        <v>903</v>
      </c>
      <c r="E206" s="90" t="s">
        <v>68</v>
      </c>
      <c r="F206" s="92">
        <v>1</v>
      </c>
      <c r="G206" s="45"/>
      <c r="H206" s="42"/>
      <c r="I206" s="46"/>
      <c r="J206" s="12">
        <v>1</v>
      </c>
      <c r="K206" s="46"/>
      <c r="L206" s="47"/>
      <c r="M206"/>
      <c r="N206">
        <v>364766.04</v>
      </c>
      <c r="O206">
        <v>364766.04</v>
      </c>
    </row>
    <row r="207" spans="3:15" ht="72" x14ac:dyDescent="0.3">
      <c r="C207" s="90" t="s">
        <v>905</v>
      </c>
      <c r="D207" s="87" t="s">
        <v>906</v>
      </c>
      <c r="E207" s="90" t="s">
        <v>68</v>
      </c>
      <c r="F207" s="92">
        <v>2</v>
      </c>
      <c r="G207" s="45"/>
      <c r="H207" s="42"/>
      <c r="I207" s="46"/>
      <c r="J207" s="12">
        <v>2</v>
      </c>
      <c r="K207" s="46"/>
      <c r="L207" s="47"/>
      <c r="M207"/>
      <c r="N207">
        <v>364766.04</v>
      </c>
      <c r="O207">
        <v>364766.04</v>
      </c>
    </row>
    <row r="208" spans="3:15" ht="48" x14ac:dyDescent="0.3">
      <c r="C208" s="90" t="s">
        <v>908</v>
      </c>
      <c r="D208" s="87" t="s">
        <v>909</v>
      </c>
      <c r="E208" s="90" t="s">
        <v>50</v>
      </c>
      <c r="F208" s="92">
        <v>3.282</v>
      </c>
      <c r="G208" s="45"/>
      <c r="H208" s="42">
        <v>3.282</v>
      </c>
      <c r="I208" s="46"/>
      <c r="J208" s="12"/>
      <c r="K208" s="46"/>
      <c r="L208" s="47"/>
      <c r="M208"/>
      <c r="N208">
        <v>367096.36</v>
      </c>
      <c r="O208">
        <v>367096.36</v>
      </c>
    </row>
    <row r="209" spans="3:15" ht="60" x14ac:dyDescent="0.3">
      <c r="C209" s="90" t="s">
        <v>911</v>
      </c>
      <c r="D209" s="87" t="s">
        <v>912</v>
      </c>
      <c r="E209" s="90" t="s">
        <v>50</v>
      </c>
      <c r="F209" s="92">
        <v>5.9669999999999996</v>
      </c>
      <c r="G209" s="45"/>
      <c r="H209" s="42"/>
      <c r="I209" s="46">
        <v>5.9669999999999996</v>
      </c>
      <c r="J209" s="12"/>
      <c r="K209" s="46"/>
      <c r="L209" s="47"/>
      <c r="M209"/>
      <c r="N209">
        <v>370824.72</v>
      </c>
      <c r="O209">
        <v>370824.72</v>
      </c>
    </row>
    <row r="210" spans="3:15" ht="48" x14ac:dyDescent="0.3">
      <c r="C210" s="90" t="s">
        <v>914</v>
      </c>
      <c r="D210" s="87" t="s">
        <v>915</v>
      </c>
      <c r="E210" s="90" t="s">
        <v>50</v>
      </c>
      <c r="F210" s="92">
        <v>1.863</v>
      </c>
      <c r="G210" s="45"/>
      <c r="H210" s="42"/>
      <c r="I210" s="46">
        <v>1.863</v>
      </c>
      <c r="J210" s="12"/>
      <c r="K210" s="46"/>
      <c r="L210" s="47"/>
      <c r="M210"/>
      <c r="N210">
        <v>371988.78</v>
      </c>
      <c r="O210">
        <v>371988.78</v>
      </c>
    </row>
    <row r="211" spans="3:15" ht="72" x14ac:dyDescent="0.3">
      <c r="C211" s="90" t="s">
        <v>917</v>
      </c>
      <c r="D211" s="87" t="s">
        <v>918</v>
      </c>
      <c r="E211" s="90" t="s">
        <v>68</v>
      </c>
      <c r="F211" s="92">
        <v>3</v>
      </c>
      <c r="G211" s="45"/>
      <c r="H211" s="42"/>
      <c r="I211" s="46"/>
      <c r="J211" s="12">
        <v>3</v>
      </c>
      <c r="K211" s="46"/>
      <c r="L211" s="47"/>
      <c r="M211"/>
      <c r="N211">
        <v>371988.78</v>
      </c>
      <c r="O211">
        <v>371988.78</v>
      </c>
    </row>
    <row r="212" spans="3:15" ht="72" x14ac:dyDescent="0.3">
      <c r="C212" s="90" t="s">
        <v>920</v>
      </c>
      <c r="D212" s="87" t="s">
        <v>921</v>
      </c>
      <c r="E212" s="90" t="s">
        <v>68</v>
      </c>
      <c r="F212" s="92">
        <v>1</v>
      </c>
      <c r="G212" s="45"/>
      <c r="H212" s="42"/>
      <c r="I212" s="46">
        <v>1</v>
      </c>
      <c r="J212" s="12"/>
      <c r="K212" s="46"/>
      <c r="L212" s="47"/>
      <c r="M212"/>
      <c r="N212">
        <v>372144.99</v>
      </c>
      <c r="O212">
        <v>372144.99</v>
      </c>
    </row>
    <row r="213" spans="3:15" ht="72" x14ac:dyDescent="0.3">
      <c r="C213" s="90" t="s">
        <v>923</v>
      </c>
      <c r="D213" s="87" t="s">
        <v>924</v>
      </c>
      <c r="E213" s="90" t="s">
        <v>68</v>
      </c>
      <c r="F213" s="92">
        <v>1</v>
      </c>
      <c r="G213" s="45"/>
      <c r="H213" s="42"/>
      <c r="I213" s="46">
        <v>1</v>
      </c>
      <c r="J213" s="12"/>
      <c r="K213" s="46"/>
      <c r="L213" s="47"/>
      <c r="M213"/>
      <c r="N213">
        <v>372144.99</v>
      </c>
      <c r="O213">
        <v>372144.99</v>
      </c>
    </row>
    <row r="214" spans="3:15" ht="72" x14ac:dyDescent="0.3">
      <c r="C214" s="90" t="s">
        <v>926</v>
      </c>
      <c r="D214" s="87" t="s">
        <v>927</v>
      </c>
      <c r="E214" s="90" t="s">
        <v>68</v>
      </c>
      <c r="F214" s="92">
        <v>2</v>
      </c>
      <c r="G214" s="45"/>
      <c r="H214" s="42"/>
      <c r="I214" s="46">
        <v>2</v>
      </c>
      <c r="J214" s="12"/>
      <c r="K214" s="46"/>
      <c r="L214" s="47"/>
      <c r="M214"/>
      <c r="N214">
        <v>372144.99</v>
      </c>
      <c r="O214">
        <v>372144.99</v>
      </c>
    </row>
    <row r="215" spans="3:15" ht="72" x14ac:dyDescent="0.3">
      <c r="C215" s="90" t="s">
        <v>929</v>
      </c>
      <c r="D215" s="87" t="s">
        <v>930</v>
      </c>
      <c r="E215" s="90" t="s">
        <v>58</v>
      </c>
      <c r="F215" s="92">
        <v>15</v>
      </c>
      <c r="G215" s="45"/>
      <c r="H215" s="42"/>
      <c r="I215" s="46"/>
      <c r="J215" s="12">
        <v>15</v>
      </c>
      <c r="K215" s="46"/>
      <c r="L215" s="47"/>
      <c r="M215"/>
      <c r="N215">
        <v>372144.99</v>
      </c>
      <c r="O215">
        <v>372144.99</v>
      </c>
    </row>
    <row r="216" spans="3:15" ht="48" x14ac:dyDescent="0.3">
      <c r="C216" s="90" t="s">
        <v>935</v>
      </c>
      <c r="D216" s="87" t="s">
        <v>936</v>
      </c>
      <c r="E216" s="90" t="s">
        <v>68</v>
      </c>
      <c r="F216" s="92">
        <v>10</v>
      </c>
      <c r="G216" s="45"/>
      <c r="H216" s="42"/>
      <c r="I216" s="46"/>
      <c r="J216" s="12">
        <v>10</v>
      </c>
      <c r="K216" s="46"/>
      <c r="L216" s="47"/>
      <c r="M216"/>
      <c r="N216">
        <v>372180.04</v>
      </c>
      <c r="O216">
        <v>372180.04</v>
      </c>
    </row>
    <row r="217" spans="3:15" ht="72" x14ac:dyDescent="0.3">
      <c r="C217" s="90" t="s">
        <v>945</v>
      </c>
      <c r="D217" s="87" t="s">
        <v>946</v>
      </c>
      <c r="E217" s="90" t="s">
        <v>58</v>
      </c>
      <c r="F217" s="92">
        <v>73.2</v>
      </c>
      <c r="G217" s="45"/>
      <c r="H217" s="42"/>
      <c r="I217" s="46"/>
      <c r="J217" s="12">
        <v>73.2</v>
      </c>
      <c r="K217" s="46"/>
      <c r="L217" s="47"/>
      <c r="M217"/>
      <c r="N217">
        <v>372922.58</v>
      </c>
      <c r="O217">
        <v>372922.58</v>
      </c>
    </row>
    <row r="218" spans="3:15" ht="72" x14ac:dyDescent="0.3">
      <c r="C218" s="90" t="s">
        <v>948</v>
      </c>
      <c r="D218" s="87" t="s">
        <v>949</v>
      </c>
      <c r="E218" s="90" t="s">
        <v>68</v>
      </c>
      <c r="F218" s="92">
        <v>6</v>
      </c>
      <c r="G218" s="45"/>
      <c r="H218" s="42"/>
      <c r="I218" s="46">
        <v>6</v>
      </c>
      <c r="J218" s="12"/>
      <c r="K218" s="46"/>
      <c r="L218" s="47"/>
      <c r="M218"/>
      <c r="N218">
        <v>372922.58</v>
      </c>
      <c r="O218">
        <v>372922.58</v>
      </c>
    </row>
    <row r="219" spans="3:15" ht="84" x14ac:dyDescent="0.3">
      <c r="C219" s="90" t="s">
        <v>951</v>
      </c>
      <c r="D219" s="87" t="s">
        <v>952</v>
      </c>
      <c r="E219" s="90" t="s">
        <v>68</v>
      </c>
      <c r="F219" s="92">
        <v>35</v>
      </c>
      <c r="G219" s="45"/>
      <c r="H219" s="42"/>
      <c r="I219" s="46">
        <v>35</v>
      </c>
      <c r="J219" s="12"/>
      <c r="K219" s="46"/>
      <c r="L219" s="47"/>
      <c r="M219"/>
      <c r="N219">
        <v>372922.58</v>
      </c>
      <c r="O219">
        <v>372922.58</v>
      </c>
    </row>
    <row r="220" spans="3:15" ht="48" x14ac:dyDescent="0.3">
      <c r="C220" s="90"/>
      <c r="D220" s="87" t="s">
        <v>955</v>
      </c>
      <c r="E220" s="90"/>
      <c r="F220" s="92"/>
      <c r="G220" s="45"/>
      <c r="H220" s="42"/>
      <c r="I220" s="46"/>
      <c r="J220" s="12"/>
      <c r="K220" s="46"/>
      <c r="L220" s="47"/>
      <c r="M220"/>
      <c r="N220"/>
      <c r="O220"/>
    </row>
    <row r="221" spans="3:15" ht="48" x14ac:dyDescent="0.3">
      <c r="C221" s="90" t="s">
        <v>956</v>
      </c>
      <c r="D221" s="87" t="s">
        <v>957</v>
      </c>
      <c r="E221" s="90" t="s">
        <v>68</v>
      </c>
      <c r="F221" s="92">
        <v>2</v>
      </c>
      <c r="G221" s="45"/>
      <c r="H221" s="42"/>
      <c r="I221" s="46"/>
      <c r="J221" s="12"/>
      <c r="K221" s="46">
        <v>2</v>
      </c>
      <c r="L221" s="47"/>
      <c r="M221"/>
      <c r="N221"/>
      <c r="O221"/>
    </row>
    <row r="222" spans="3:15" ht="96" x14ac:dyDescent="0.3">
      <c r="C222" s="90" t="s">
        <v>959</v>
      </c>
      <c r="D222" s="87" t="s">
        <v>960</v>
      </c>
      <c r="E222" s="90" t="s">
        <v>68</v>
      </c>
      <c r="F222" s="92">
        <v>23</v>
      </c>
      <c r="G222" s="45"/>
      <c r="H222" s="42"/>
      <c r="I222" s="46"/>
      <c r="J222" s="12"/>
      <c r="K222" s="46"/>
      <c r="L222" s="47">
        <v>23</v>
      </c>
      <c r="M222"/>
      <c r="N222"/>
      <c r="O222"/>
    </row>
    <row r="223" spans="3:15" ht="60" x14ac:dyDescent="0.3">
      <c r="C223" s="90" t="s">
        <v>962</v>
      </c>
      <c r="D223" s="87" t="s">
        <v>963</v>
      </c>
      <c r="E223" s="90" t="s">
        <v>68</v>
      </c>
      <c r="F223" s="92">
        <v>1</v>
      </c>
      <c r="G223" s="45"/>
      <c r="H223" s="42"/>
      <c r="I223" s="46"/>
      <c r="J223" s="12"/>
      <c r="K223" s="46"/>
      <c r="L223" s="47">
        <v>1</v>
      </c>
      <c r="M223"/>
      <c r="N223"/>
      <c r="O223"/>
    </row>
    <row r="224" spans="3:15" ht="48" x14ac:dyDescent="0.3">
      <c r="C224" s="90" t="s">
        <v>965</v>
      </c>
      <c r="D224" s="87" t="s">
        <v>966</v>
      </c>
      <c r="E224" s="90" t="s">
        <v>68</v>
      </c>
      <c r="F224" s="92">
        <v>2</v>
      </c>
      <c r="G224" s="45"/>
      <c r="H224" s="42"/>
      <c r="I224" s="46"/>
      <c r="J224" s="12"/>
      <c r="K224" s="46"/>
      <c r="L224" s="47">
        <v>2</v>
      </c>
      <c r="M224"/>
      <c r="N224"/>
      <c r="O224"/>
    </row>
    <row r="225" spans="3:15" ht="96" x14ac:dyDescent="0.3">
      <c r="C225" s="90" t="s">
        <v>968</v>
      </c>
      <c r="D225" s="87" t="s">
        <v>969</v>
      </c>
      <c r="E225" s="90" t="s">
        <v>68</v>
      </c>
      <c r="F225" s="92">
        <v>3</v>
      </c>
      <c r="G225" s="45"/>
      <c r="H225" s="42"/>
      <c r="I225" s="46"/>
      <c r="J225" s="12"/>
      <c r="K225" s="46"/>
      <c r="L225" s="47">
        <v>3</v>
      </c>
      <c r="M225"/>
      <c r="N225"/>
      <c r="O225"/>
    </row>
    <row r="226" spans="3:15" ht="60" x14ac:dyDescent="0.3">
      <c r="C226" s="90" t="s">
        <v>971</v>
      </c>
      <c r="D226" s="87" t="s">
        <v>972</v>
      </c>
      <c r="E226" s="90" t="s">
        <v>68</v>
      </c>
      <c r="F226" s="92">
        <v>46</v>
      </c>
      <c r="G226" s="45"/>
      <c r="H226" s="42"/>
      <c r="I226" s="46"/>
      <c r="J226" s="12"/>
      <c r="K226" s="46">
        <v>46</v>
      </c>
      <c r="L226" s="47"/>
      <c r="M226"/>
      <c r="N226"/>
      <c r="O226"/>
    </row>
    <row r="227" spans="3:15" ht="60" x14ac:dyDescent="0.3">
      <c r="C227" s="90" t="s">
        <v>974</v>
      </c>
      <c r="D227" s="87" t="s">
        <v>975</v>
      </c>
      <c r="E227" s="90" t="s">
        <v>976</v>
      </c>
      <c r="F227" s="92">
        <v>42</v>
      </c>
      <c r="G227" s="45"/>
      <c r="H227" s="42"/>
      <c r="I227" s="46"/>
      <c r="J227" s="12"/>
      <c r="K227" s="46"/>
      <c r="L227" s="47">
        <v>42</v>
      </c>
      <c r="M227"/>
      <c r="N227"/>
      <c r="O227"/>
    </row>
    <row r="228" spans="3:15" ht="72" x14ac:dyDescent="0.3">
      <c r="C228" s="90" t="s">
        <v>978</v>
      </c>
      <c r="D228" s="87" t="s">
        <v>979</v>
      </c>
      <c r="E228" s="90" t="s">
        <v>68</v>
      </c>
      <c r="F228" s="92">
        <v>5</v>
      </c>
      <c r="G228" s="45"/>
      <c r="H228" s="42"/>
      <c r="I228" s="46"/>
      <c r="J228" s="12"/>
      <c r="K228" s="46">
        <v>5</v>
      </c>
      <c r="L228" s="47"/>
      <c r="M228"/>
      <c r="N228"/>
      <c r="O228"/>
    </row>
    <row r="229" spans="3:15" ht="60" x14ac:dyDescent="0.3">
      <c r="C229" s="90" t="s">
        <v>981</v>
      </c>
      <c r="D229" s="87" t="s">
        <v>982</v>
      </c>
      <c r="E229" s="90" t="s">
        <v>68</v>
      </c>
      <c r="F229" s="92">
        <v>6</v>
      </c>
      <c r="G229" s="45"/>
      <c r="H229" s="42"/>
      <c r="I229" s="46"/>
      <c r="J229" s="12"/>
      <c r="K229" s="46">
        <v>6</v>
      </c>
      <c r="L229" s="47"/>
      <c r="M229"/>
      <c r="N229"/>
      <c r="O229"/>
    </row>
    <row r="230" spans="3:15" ht="60" x14ac:dyDescent="0.3">
      <c r="C230" s="90" t="s">
        <v>984</v>
      </c>
      <c r="D230" s="87" t="s">
        <v>985</v>
      </c>
      <c r="E230" s="90" t="s">
        <v>68</v>
      </c>
      <c r="F230" s="92">
        <v>1</v>
      </c>
      <c r="G230" s="45"/>
      <c r="H230" s="42"/>
      <c r="I230" s="46"/>
      <c r="J230" s="12"/>
      <c r="K230" s="46">
        <v>1</v>
      </c>
      <c r="L230" s="47"/>
      <c r="M230"/>
      <c r="N230"/>
      <c r="O230"/>
    </row>
    <row r="231" spans="3:15" ht="60" x14ac:dyDescent="0.3">
      <c r="C231" s="90" t="s">
        <v>987</v>
      </c>
      <c r="D231" s="87" t="s">
        <v>988</v>
      </c>
      <c r="E231" s="90" t="s">
        <v>68</v>
      </c>
      <c r="F231" s="92">
        <v>1</v>
      </c>
      <c r="G231" s="45"/>
      <c r="H231" s="42"/>
      <c r="I231" s="46"/>
      <c r="J231" s="12"/>
      <c r="K231" s="46">
        <v>1</v>
      </c>
      <c r="L231" s="47"/>
      <c r="M231"/>
      <c r="N231"/>
      <c r="O231"/>
    </row>
    <row r="232" spans="3:15" ht="72" x14ac:dyDescent="0.3">
      <c r="C232" s="90" t="s">
        <v>990</v>
      </c>
      <c r="D232" s="87" t="s">
        <v>991</v>
      </c>
      <c r="E232" s="90" t="s">
        <v>68</v>
      </c>
      <c r="F232" s="92">
        <v>1</v>
      </c>
      <c r="G232" s="45"/>
      <c r="H232" s="42"/>
      <c r="I232" s="46"/>
      <c r="J232" s="12"/>
      <c r="K232" s="46">
        <v>1</v>
      </c>
      <c r="L232" s="47"/>
      <c r="M232"/>
      <c r="N232"/>
      <c r="O232"/>
    </row>
    <row r="233" spans="3:15" ht="60" x14ac:dyDescent="0.3">
      <c r="C233" s="90" t="s">
        <v>1000</v>
      </c>
      <c r="D233" s="87" t="s">
        <v>1001</v>
      </c>
      <c r="E233" s="90" t="s">
        <v>68</v>
      </c>
      <c r="F233" s="92">
        <v>1</v>
      </c>
      <c r="G233" s="45"/>
      <c r="H233" s="42"/>
      <c r="I233" s="46"/>
      <c r="J233" s="12"/>
      <c r="K233" s="46">
        <v>1</v>
      </c>
      <c r="L233" s="47"/>
      <c r="M233"/>
      <c r="N233"/>
      <c r="O233"/>
    </row>
    <row r="234" spans="3:15" ht="60" x14ac:dyDescent="0.3">
      <c r="C234" s="90" t="s">
        <v>1003</v>
      </c>
      <c r="D234" s="87" t="s">
        <v>1004</v>
      </c>
      <c r="E234" s="90" t="s">
        <v>68</v>
      </c>
      <c r="F234" s="92">
        <v>204</v>
      </c>
      <c r="G234" s="45"/>
      <c r="H234" s="42"/>
      <c r="I234" s="46"/>
      <c r="J234" s="12"/>
      <c r="K234" s="46"/>
      <c r="L234" s="47">
        <v>204</v>
      </c>
      <c r="M234"/>
      <c r="N234"/>
      <c r="O234"/>
    </row>
    <row r="235" spans="3:15" ht="60" x14ac:dyDescent="0.3">
      <c r="C235" s="90" t="s">
        <v>1006</v>
      </c>
      <c r="D235" s="87" t="s">
        <v>1007</v>
      </c>
      <c r="E235" s="90" t="s">
        <v>68</v>
      </c>
      <c r="F235" s="92">
        <v>126</v>
      </c>
      <c r="G235" s="45"/>
      <c r="H235" s="42"/>
      <c r="I235" s="46"/>
      <c r="J235" s="12"/>
      <c r="K235" s="46"/>
      <c r="L235" s="47">
        <v>126</v>
      </c>
      <c r="M235"/>
      <c r="N235"/>
      <c r="O235"/>
    </row>
    <row r="236" spans="3:15" ht="72" x14ac:dyDescent="0.3">
      <c r="C236" s="90" t="s">
        <v>1009</v>
      </c>
      <c r="D236" s="87" t="s">
        <v>1010</v>
      </c>
      <c r="E236" s="90" t="s">
        <v>68</v>
      </c>
      <c r="F236" s="92">
        <v>10</v>
      </c>
      <c r="G236" s="45"/>
      <c r="H236" s="42"/>
      <c r="I236" s="46"/>
      <c r="J236" s="12"/>
      <c r="K236" s="46"/>
      <c r="L236" s="47">
        <v>10</v>
      </c>
      <c r="M236"/>
      <c r="N236"/>
      <c r="O236"/>
    </row>
    <row r="237" spans="3:15" ht="60" x14ac:dyDescent="0.3">
      <c r="C237" s="90" t="s">
        <v>1012</v>
      </c>
      <c r="D237" s="87" t="s">
        <v>1013</v>
      </c>
      <c r="E237" s="90" t="s">
        <v>68</v>
      </c>
      <c r="F237" s="92">
        <v>8</v>
      </c>
      <c r="G237" s="45"/>
      <c r="H237" s="42"/>
      <c r="I237" s="46"/>
      <c r="J237" s="12"/>
      <c r="K237" s="46"/>
      <c r="L237" s="47">
        <v>8</v>
      </c>
      <c r="M237"/>
      <c r="N237"/>
      <c r="O237"/>
    </row>
    <row r="238" spans="3:15" ht="72" x14ac:dyDescent="0.3">
      <c r="C238" s="90" t="s">
        <v>1015</v>
      </c>
      <c r="D238" s="87" t="s">
        <v>1016</v>
      </c>
      <c r="E238" s="90" t="s">
        <v>68</v>
      </c>
      <c r="F238" s="92">
        <v>24</v>
      </c>
      <c r="G238" s="45"/>
      <c r="H238" s="42"/>
      <c r="I238" s="46"/>
      <c r="J238" s="12"/>
      <c r="K238" s="46"/>
      <c r="L238" s="47">
        <v>24</v>
      </c>
      <c r="M238"/>
      <c r="N238"/>
      <c r="O238"/>
    </row>
    <row r="239" spans="3:15" ht="72" x14ac:dyDescent="0.3">
      <c r="C239" s="90" t="s">
        <v>1018</v>
      </c>
      <c r="D239" s="87" t="s">
        <v>1019</v>
      </c>
      <c r="E239" s="90" t="s">
        <v>68</v>
      </c>
      <c r="F239" s="92">
        <v>24</v>
      </c>
      <c r="G239" s="45"/>
      <c r="H239" s="42"/>
      <c r="I239" s="46"/>
      <c r="J239" s="12"/>
      <c r="K239" s="46"/>
      <c r="L239" s="47">
        <v>24</v>
      </c>
      <c r="M239"/>
      <c r="N239"/>
      <c r="O239"/>
    </row>
    <row r="240" spans="3:15" ht="72" x14ac:dyDescent="0.3">
      <c r="C240" s="90" t="s">
        <v>1021</v>
      </c>
      <c r="D240" s="87" t="s">
        <v>1022</v>
      </c>
      <c r="E240" s="90" t="s">
        <v>68</v>
      </c>
      <c r="F240" s="92">
        <v>72</v>
      </c>
      <c r="G240" s="45"/>
      <c r="H240" s="42"/>
      <c r="I240" s="46"/>
      <c r="J240" s="12"/>
      <c r="K240" s="46"/>
      <c r="L240" s="47">
        <v>72</v>
      </c>
      <c r="M240"/>
      <c r="N240"/>
      <c r="O240"/>
    </row>
    <row r="241" spans="3:15" ht="84" x14ac:dyDescent="0.3">
      <c r="C241" s="90" t="s">
        <v>1023</v>
      </c>
      <c r="D241" s="87" t="s">
        <v>1024</v>
      </c>
      <c r="E241" s="90" t="s">
        <v>68</v>
      </c>
      <c r="F241" s="92">
        <v>8</v>
      </c>
      <c r="G241" s="45"/>
      <c r="H241" s="42"/>
      <c r="I241" s="46"/>
      <c r="J241" s="12"/>
      <c r="K241" s="46">
        <v>8</v>
      </c>
      <c r="L241" s="47"/>
      <c r="M241"/>
      <c r="N241"/>
      <c r="O241"/>
    </row>
    <row r="242" spans="3:15" ht="72" x14ac:dyDescent="0.3">
      <c r="C242" s="90" t="s">
        <v>1026</v>
      </c>
      <c r="D242" s="87" t="s">
        <v>1027</v>
      </c>
      <c r="E242" s="90" t="s">
        <v>68</v>
      </c>
      <c r="F242" s="92">
        <v>130</v>
      </c>
      <c r="G242" s="45"/>
      <c r="H242" s="42"/>
      <c r="I242" s="46"/>
      <c r="J242" s="12"/>
      <c r="K242" s="46">
        <v>130</v>
      </c>
      <c r="L242" s="47"/>
      <c r="M242"/>
      <c r="N242"/>
      <c r="O242"/>
    </row>
    <row r="243" spans="3:15" ht="84" x14ac:dyDescent="0.3">
      <c r="C243" s="90" t="s">
        <v>1029</v>
      </c>
      <c r="D243" s="87" t="s">
        <v>1030</v>
      </c>
      <c r="E243" s="90" t="s">
        <v>68</v>
      </c>
      <c r="F243" s="92">
        <v>172</v>
      </c>
      <c r="G243" s="45"/>
      <c r="H243" s="42"/>
      <c r="I243" s="46"/>
      <c r="J243" s="12"/>
      <c r="K243" s="46">
        <v>172</v>
      </c>
      <c r="L243" s="47"/>
      <c r="M243"/>
      <c r="N243"/>
      <c r="O243"/>
    </row>
    <row r="244" spans="3:15" ht="84" x14ac:dyDescent="0.3">
      <c r="C244" s="90" t="s">
        <v>1032</v>
      </c>
      <c r="D244" s="87" t="s">
        <v>1033</v>
      </c>
      <c r="E244" s="90" t="s">
        <v>68</v>
      </c>
      <c r="F244" s="92">
        <v>204</v>
      </c>
      <c r="G244" s="45"/>
      <c r="H244" s="42"/>
      <c r="I244" s="46"/>
      <c r="J244" s="12"/>
      <c r="K244" s="46">
        <v>204</v>
      </c>
      <c r="L244" s="47"/>
      <c r="M244"/>
      <c r="N244"/>
      <c r="O244"/>
    </row>
    <row r="245" spans="3:15" ht="72" x14ac:dyDescent="0.3">
      <c r="C245" s="90" t="s">
        <v>1035</v>
      </c>
      <c r="D245" s="87" t="s">
        <v>1036</v>
      </c>
      <c r="E245" s="90" t="s">
        <v>68</v>
      </c>
      <c r="F245" s="92">
        <v>12</v>
      </c>
      <c r="G245" s="45"/>
      <c r="H245" s="42"/>
      <c r="I245" s="46"/>
      <c r="J245" s="12"/>
      <c r="K245" s="46">
        <v>12</v>
      </c>
      <c r="L245" s="47"/>
      <c r="M245"/>
      <c r="N245"/>
      <c r="O245"/>
    </row>
    <row r="246" spans="3:15" ht="84" x14ac:dyDescent="0.3">
      <c r="C246" s="90" t="s">
        <v>1038</v>
      </c>
      <c r="D246" s="87" t="s">
        <v>1039</v>
      </c>
      <c r="E246" s="90" t="s">
        <v>68</v>
      </c>
      <c r="F246" s="92">
        <v>144</v>
      </c>
      <c r="G246" s="45"/>
      <c r="H246" s="42"/>
      <c r="I246" s="46"/>
      <c r="J246" s="12"/>
      <c r="K246" s="46">
        <v>144</v>
      </c>
      <c r="L246" s="47"/>
      <c r="M246"/>
      <c r="N246"/>
      <c r="O246"/>
    </row>
    <row r="247" spans="3:15" ht="84" x14ac:dyDescent="0.3">
      <c r="C247" s="90" t="s">
        <v>1041</v>
      </c>
      <c r="D247" s="87" t="s">
        <v>1042</v>
      </c>
      <c r="E247" s="90" t="s">
        <v>68</v>
      </c>
      <c r="F247" s="92">
        <v>48</v>
      </c>
      <c r="G247" s="45"/>
      <c r="H247" s="42"/>
      <c r="I247" s="46"/>
      <c r="J247" s="12"/>
      <c r="K247" s="46">
        <v>48</v>
      </c>
      <c r="L247" s="47"/>
      <c r="M247"/>
      <c r="N247"/>
      <c r="O247"/>
    </row>
    <row r="248" spans="3:15" ht="84" x14ac:dyDescent="0.3">
      <c r="C248" s="90" t="s">
        <v>1044</v>
      </c>
      <c r="D248" s="87" t="s">
        <v>1045</v>
      </c>
      <c r="E248" s="90" t="s">
        <v>68</v>
      </c>
      <c r="F248" s="92">
        <v>8</v>
      </c>
      <c r="G248" s="45"/>
      <c r="H248" s="42"/>
      <c r="I248" s="46"/>
      <c r="J248" s="12"/>
      <c r="K248" s="46">
        <v>8</v>
      </c>
      <c r="L248" s="47"/>
      <c r="M248"/>
      <c r="N248"/>
      <c r="O248"/>
    </row>
    <row r="249" spans="3:15" ht="84" x14ac:dyDescent="0.3">
      <c r="C249" s="90" t="s">
        <v>1047</v>
      </c>
      <c r="D249" s="87" t="s">
        <v>1048</v>
      </c>
      <c r="E249" s="90" t="s">
        <v>68</v>
      </c>
      <c r="F249" s="92">
        <v>16</v>
      </c>
      <c r="G249" s="45"/>
      <c r="H249" s="42"/>
      <c r="I249" s="46"/>
      <c r="J249" s="12"/>
      <c r="K249" s="46">
        <v>16</v>
      </c>
      <c r="L249" s="47"/>
      <c r="M249"/>
      <c r="N249"/>
      <c r="O249"/>
    </row>
    <row r="250" spans="3:15" ht="84" x14ac:dyDescent="0.3">
      <c r="C250" s="90" t="s">
        <v>1050</v>
      </c>
      <c r="D250" s="87" t="s">
        <v>1051</v>
      </c>
      <c r="E250" s="90" t="s">
        <v>68</v>
      </c>
      <c r="F250" s="92">
        <v>20</v>
      </c>
      <c r="G250" s="45"/>
      <c r="H250" s="42"/>
      <c r="I250" s="46"/>
      <c r="J250" s="12"/>
      <c r="K250" s="46">
        <v>20</v>
      </c>
      <c r="L250" s="47"/>
      <c r="M250"/>
      <c r="N250"/>
      <c r="O250"/>
    </row>
    <row r="251" spans="3:15" ht="84" x14ac:dyDescent="0.3">
      <c r="C251" s="90" t="s">
        <v>1053</v>
      </c>
      <c r="D251" s="87" t="s">
        <v>1054</v>
      </c>
      <c r="E251" s="90" t="s">
        <v>68</v>
      </c>
      <c r="F251" s="92">
        <v>12</v>
      </c>
      <c r="G251" s="45"/>
      <c r="H251" s="42"/>
      <c r="I251" s="46"/>
      <c r="J251" s="12"/>
      <c r="K251" s="46">
        <v>12</v>
      </c>
      <c r="L251" s="47"/>
      <c r="M251"/>
      <c r="N251"/>
      <c r="O251"/>
    </row>
    <row r="252" spans="3:15" ht="72" x14ac:dyDescent="0.3">
      <c r="C252" s="90" t="s">
        <v>1056</v>
      </c>
      <c r="D252" s="87" t="s">
        <v>1057</v>
      </c>
      <c r="E252" s="90" t="s">
        <v>68</v>
      </c>
      <c r="F252" s="92">
        <v>18</v>
      </c>
      <c r="G252" s="45"/>
      <c r="H252" s="42"/>
      <c r="I252" s="46"/>
      <c r="J252" s="12"/>
      <c r="K252" s="46">
        <v>18</v>
      </c>
      <c r="L252" s="47"/>
      <c r="M252"/>
      <c r="N252"/>
      <c r="O252"/>
    </row>
    <row r="253" spans="3:15" ht="72" x14ac:dyDescent="0.3">
      <c r="C253" s="90" t="s">
        <v>1059</v>
      </c>
      <c r="D253" s="87" t="s">
        <v>1060</v>
      </c>
      <c r="E253" s="90" t="s">
        <v>68</v>
      </c>
      <c r="F253" s="92">
        <v>3</v>
      </c>
      <c r="G253" s="45"/>
      <c r="H253" s="42"/>
      <c r="I253" s="46"/>
      <c r="J253" s="12"/>
      <c r="K253" s="46">
        <v>3</v>
      </c>
      <c r="L253" s="47"/>
      <c r="M253"/>
      <c r="N253"/>
      <c r="O253"/>
    </row>
    <row r="254" spans="3:15" ht="72" x14ac:dyDescent="0.3">
      <c r="C254" s="90" t="s">
        <v>1062</v>
      </c>
      <c r="D254" s="87" t="s">
        <v>1063</v>
      </c>
      <c r="E254" s="90" t="s">
        <v>68</v>
      </c>
      <c r="F254" s="92">
        <v>21</v>
      </c>
      <c r="G254" s="45"/>
      <c r="H254" s="42"/>
      <c r="I254" s="46"/>
      <c r="J254" s="12"/>
      <c r="K254" s="46">
        <v>21</v>
      </c>
      <c r="L254" s="47"/>
      <c r="M254"/>
      <c r="N254"/>
      <c r="O254"/>
    </row>
    <row r="255" spans="3:15" ht="72" x14ac:dyDescent="0.3">
      <c r="C255" s="90" t="s">
        <v>1065</v>
      </c>
      <c r="D255" s="87" t="s">
        <v>1066</v>
      </c>
      <c r="E255" s="90" t="s">
        <v>68</v>
      </c>
      <c r="F255" s="92">
        <v>6</v>
      </c>
      <c r="G255" s="45"/>
      <c r="H255" s="42"/>
      <c r="I255" s="46"/>
      <c r="J255" s="12"/>
      <c r="K255" s="46">
        <v>6</v>
      </c>
      <c r="L255" s="47"/>
      <c r="M255"/>
      <c r="N255"/>
      <c r="O255"/>
    </row>
    <row r="256" spans="3:15" ht="72" x14ac:dyDescent="0.3">
      <c r="C256" s="90" t="s">
        <v>1068</v>
      </c>
      <c r="D256" s="87" t="s">
        <v>1069</v>
      </c>
      <c r="E256" s="90" t="s">
        <v>68</v>
      </c>
      <c r="F256" s="92">
        <v>1</v>
      </c>
      <c r="G256" s="45"/>
      <c r="H256" s="42"/>
      <c r="I256" s="46"/>
      <c r="J256" s="12"/>
      <c r="K256" s="46">
        <v>1</v>
      </c>
      <c r="L256" s="47"/>
      <c r="M256"/>
      <c r="N256"/>
      <c r="O256"/>
    </row>
    <row r="257" spans="3:15" ht="72" x14ac:dyDescent="0.3">
      <c r="C257" s="90" t="s">
        <v>1071</v>
      </c>
      <c r="D257" s="87" t="s">
        <v>1072</v>
      </c>
      <c r="E257" s="90" t="s">
        <v>68</v>
      </c>
      <c r="F257" s="92">
        <v>2</v>
      </c>
      <c r="G257" s="45"/>
      <c r="H257" s="42"/>
      <c r="I257" s="46"/>
      <c r="J257" s="12"/>
      <c r="K257" s="46">
        <v>2</v>
      </c>
      <c r="L257" s="47"/>
      <c r="M257"/>
      <c r="N257"/>
      <c r="O257"/>
    </row>
    <row r="258" spans="3:15" ht="72" x14ac:dyDescent="0.3">
      <c r="C258" s="90" t="s">
        <v>1074</v>
      </c>
      <c r="D258" s="87" t="s">
        <v>1075</v>
      </c>
      <c r="E258" s="90" t="s">
        <v>68</v>
      </c>
      <c r="F258" s="92">
        <v>2</v>
      </c>
      <c r="G258" s="45"/>
      <c r="H258" s="42"/>
      <c r="I258" s="46"/>
      <c r="J258" s="12"/>
      <c r="K258" s="46">
        <v>2</v>
      </c>
      <c r="L258" s="47"/>
      <c r="M258"/>
      <c r="N258"/>
      <c r="O258"/>
    </row>
    <row r="259" spans="3:15" ht="72" x14ac:dyDescent="0.3">
      <c r="C259" s="90" t="s">
        <v>1077</v>
      </c>
      <c r="D259" s="87" t="s">
        <v>1078</v>
      </c>
      <c r="E259" s="90" t="s">
        <v>68</v>
      </c>
      <c r="F259" s="92">
        <v>2</v>
      </c>
      <c r="G259" s="45"/>
      <c r="H259" s="42"/>
      <c r="I259" s="46"/>
      <c r="J259" s="12"/>
      <c r="K259" s="46">
        <v>2</v>
      </c>
      <c r="L259" s="47"/>
      <c r="M259"/>
      <c r="N259"/>
      <c r="O259"/>
    </row>
    <row r="260" spans="3:15" ht="72" x14ac:dyDescent="0.3">
      <c r="C260" s="90" t="s">
        <v>1080</v>
      </c>
      <c r="D260" s="87" t="s">
        <v>1081</v>
      </c>
      <c r="E260" s="90" t="s">
        <v>68</v>
      </c>
      <c r="F260" s="92">
        <v>4</v>
      </c>
      <c r="G260" s="45"/>
      <c r="H260" s="42"/>
      <c r="I260" s="46"/>
      <c r="J260" s="12"/>
      <c r="K260" s="46">
        <v>4</v>
      </c>
      <c r="L260" s="47"/>
      <c r="M260"/>
      <c r="N260"/>
      <c r="O260"/>
    </row>
    <row r="261" spans="3:15" ht="96" x14ac:dyDescent="0.3">
      <c r="C261" s="90" t="s">
        <v>1083</v>
      </c>
      <c r="D261" s="87" t="s">
        <v>1084</v>
      </c>
      <c r="E261" s="90" t="s">
        <v>68</v>
      </c>
      <c r="F261" s="92">
        <v>41</v>
      </c>
      <c r="G261" s="45"/>
      <c r="H261" s="42"/>
      <c r="I261" s="46"/>
      <c r="J261" s="12"/>
      <c r="K261" s="46">
        <v>41</v>
      </c>
      <c r="L261" s="47"/>
      <c r="M261"/>
      <c r="N261"/>
      <c r="O261"/>
    </row>
    <row r="262" spans="3:15" ht="96" x14ac:dyDescent="0.3">
      <c r="C262" s="90" t="s">
        <v>1086</v>
      </c>
      <c r="D262" s="87" t="s">
        <v>1087</v>
      </c>
      <c r="E262" s="90" t="s">
        <v>68</v>
      </c>
      <c r="F262" s="92">
        <v>1</v>
      </c>
      <c r="G262" s="45"/>
      <c r="H262" s="42"/>
      <c r="I262" s="46"/>
      <c r="J262" s="12"/>
      <c r="K262" s="46">
        <v>1</v>
      </c>
      <c r="L262" s="47"/>
      <c r="M262"/>
      <c r="N262"/>
      <c r="O262"/>
    </row>
    <row r="263" spans="3:15" ht="96" x14ac:dyDescent="0.3">
      <c r="C263" s="90" t="s">
        <v>1089</v>
      </c>
      <c r="D263" s="87" t="s">
        <v>1090</v>
      </c>
      <c r="E263" s="90" t="s">
        <v>68</v>
      </c>
      <c r="F263" s="92">
        <v>2</v>
      </c>
      <c r="G263" s="45"/>
      <c r="H263" s="42"/>
      <c r="I263" s="46"/>
      <c r="J263" s="12"/>
      <c r="K263" s="46">
        <v>2</v>
      </c>
      <c r="L263" s="47"/>
      <c r="M263"/>
      <c r="N263"/>
      <c r="O263"/>
    </row>
    <row r="264" spans="3:15" ht="108" x14ac:dyDescent="0.3">
      <c r="C264" s="90" t="s">
        <v>1092</v>
      </c>
      <c r="D264" s="87" t="s">
        <v>1093</v>
      </c>
      <c r="E264" s="90" t="s">
        <v>68</v>
      </c>
      <c r="F264" s="92">
        <v>3</v>
      </c>
      <c r="G264" s="45"/>
      <c r="H264" s="42"/>
      <c r="I264" s="46"/>
      <c r="J264" s="12"/>
      <c r="K264" s="46">
        <v>3</v>
      </c>
      <c r="L264" s="47"/>
      <c r="M264"/>
      <c r="N264"/>
      <c r="O264"/>
    </row>
    <row r="265" spans="3:15" ht="108" x14ac:dyDescent="0.3">
      <c r="C265" s="90" t="s">
        <v>1095</v>
      </c>
      <c r="D265" s="87" t="s">
        <v>1096</v>
      </c>
      <c r="E265" s="90" t="s">
        <v>68</v>
      </c>
      <c r="F265" s="92">
        <v>10</v>
      </c>
      <c r="G265" s="45"/>
      <c r="H265" s="42"/>
      <c r="I265" s="46"/>
      <c r="J265" s="12"/>
      <c r="K265" s="46"/>
      <c r="L265" s="47">
        <v>10</v>
      </c>
      <c r="M265"/>
      <c r="N265"/>
      <c r="O265"/>
    </row>
    <row r="266" spans="3:15" ht="228" x14ac:dyDescent="0.3">
      <c r="C266" s="90" t="s">
        <v>1098</v>
      </c>
      <c r="D266" s="87" t="s">
        <v>1099</v>
      </c>
      <c r="E266" s="90" t="s">
        <v>68</v>
      </c>
      <c r="F266" s="92">
        <v>14</v>
      </c>
      <c r="G266" s="45"/>
      <c r="H266" s="42"/>
      <c r="I266" s="46"/>
      <c r="J266" s="12"/>
      <c r="K266" s="46"/>
      <c r="L266" s="47">
        <v>14</v>
      </c>
      <c r="M266"/>
      <c r="N266"/>
      <c r="O266"/>
    </row>
    <row r="267" spans="3:15" ht="72" x14ac:dyDescent="0.3">
      <c r="C267" s="90" t="s">
        <v>1101</v>
      </c>
      <c r="D267" s="87" t="s">
        <v>1102</v>
      </c>
      <c r="E267" s="90" t="s">
        <v>68</v>
      </c>
      <c r="F267" s="92">
        <v>6</v>
      </c>
      <c r="G267" s="45"/>
      <c r="H267" s="42"/>
      <c r="I267" s="46"/>
      <c r="J267" s="12"/>
      <c r="K267" s="46"/>
      <c r="L267" s="47">
        <v>6</v>
      </c>
      <c r="M267"/>
      <c r="N267"/>
      <c r="O267"/>
    </row>
    <row r="268" spans="3:15" ht="96" x14ac:dyDescent="0.3">
      <c r="C268" s="90" t="s">
        <v>1104</v>
      </c>
      <c r="D268" s="87" t="s">
        <v>1105</v>
      </c>
      <c r="E268" s="90" t="s">
        <v>68</v>
      </c>
      <c r="F268" s="92">
        <v>19</v>
      </c>
      <c r="G268" s="45"/>
      <c r="H268" s="42"/>
      <c r="I268" s="46"/>
      <c r="J268" s="12"/>
      <c r="K268" s="46"/>
      <c r="L268" s="47">
        <v>19</v>
      </c>
      <c r="M268"/>
      <c r="N268"/>
      <c r="O268"/>
    </row>
    <row r="269" spans="3:15" ht="96" x14ac:dyDescent="0.3">
      <c r="C269" s="90" t="s">
        <v>1107</v>
      </c>
      <c r="D269" s="87" t="s">
        <v>1108</v>
      </c>
      <c r="E269" s="90" t="s">
        <v>68</v>
      </c>
      <c r="F269" s="92">
        <v>6</v>
      </c>
      <c r="G269" s="45"/>
      <c r="H269" s="42"/>
      <c r="I269" s="46"/>
      <c r="J269" s="12"/>
      <c r="K269" s="46"/>
      <c r="L269" s="47">
        <v>6</v>
      </c>
      <c r="M269"/>
      <c r="N269"/>
      <c r="O269"/>
    </row>
    <row r="270" spans="3:15" ht="96" x14ac:dyDescent="0.3">
      <c r="C270" s="90" t="s">
        <v>1110</v>
      </c>
      <c r="D270" s="87" t="s">
        <v>1111</v>
      </c>
      <c r="E270" s="90" t="s">
        <v>68</v>
      </c>
      <c r="F270" s="92">
        <v>3</v>
      </c>
      <c r="G270" s="45"/>
      <c r="H270" s="42"/>
      <c r="I270" s="46"/>
      <c r="J270" s="12"/>
      <c r="K270" s="46"/>
      <c r="L270" s="47">
        <v>3</v>
      </c>
      <c r="M270"/>
      <c r="N270"/>
      <c r="O270"/>
    </row>
    <row r="271" spans="3:15" ht="96" x14ac:dyDescent="0.3">
      <c r="C271" s="90" t="s">
        <v>1113</v>
      </c>
      <c r="D271" s="87" t="s">
        <v>1114</v>
      </c>
      <c r="E271" s="90" t="s">
        <v>68</v>
      </c>
      <c r="F271" s="92">
        <v>3</v>
      </c>
      <c r="G271" s="45"/>
      <c r="H271" s="42"/>
      <c r="I271" s="46"/>
      <c r="J271" s="12"/>
      <c r="K271" s="46"/>
      <c r="L271" s="47">
        <v>3</v>
      </c>
      <c r="M271"/>
      <c r="N271"/>
      <c r="O271"/>
    </row>
    <row r="272" spans="3:15" ht="84" x14ac:dyDescent="0.3">
      <c r="C272" s="90" t="s">
        <v>1116</v>
      </c>
      <c r="D272" s="87" t="s">
        <v>1117</v>
      </c>
      <c r="E272" s="90" t="s">
        <v>68</v>
      </c>
      <c r="F272" s="92">
        <v>12</v>
      </c>
      <c r="G272" s="45"/>
      <c r="H272" s="42"/>
      <c r="I272" s="46"/>
      <c r="J272" s="12"/>
      <c r="K272" s="46"/>
      <c r="L272" s="47">
        <v>12</v>
      </c>
      <c r="M272"/>
      <c r="N272"/>
      <c r="O272"/>
    </row>
    <row r="273" spans="3:15" ht="108" x14ac:dyDescent="0.3">
      <c r="C273" s="90" t="s">
        <v>1119</v>
      </c>
      <c r="D273" s="87" t="s">
        <v>1120</v>
      </c>
      <c r="E273" s="90" t="s">
        <v>68</v>
      </c>
      <c r="F273" s="92">
        <v>1</v>
      </c>
      <c r="G273" s="45"/>
      <c r="H273" s="42"/>
      <c r="I273" s="46"/>
      <c r="J273" s="12"/>
      <c r="K273" s="46"/>
      <c r="L273" s="47">
        <v>1</v>
      </c>
      <c r="M273"/>
      <c r="N273"/>
      <c r="O273"/>
    </row>
    <row r="274" spans="3:15" ht="60" x14ac:dyDescent="0.3">
      <c r="C274" s="90" t="s">
        <v>1122</v>
      </c>
      <c r="D274" s="87" t="s">
        <v>1123</v>
      </c>
      <c r="E274" s="90" t="s">
        <v>68</v>
      </c>
      <c r="F274" s="92">
        <v>2</v>
      </c>
      <c r="G274" s="45"/>
      <c r="H274" s="42"/>
      <c r="I274" s="46"/>
      <c r="J274" s="12"/>
      <c r="K274" s="46"/>
      <c r="L274" s="47">
        <v>2</v>
      </c>
      <c r="M274"/>
      <c r="N274"/>
      <c r="O274"/>
    </row>
    <row r="275" spans="3:15" ht="84" x14ac:dyDescent="0.3">
      <c r="C275" s="90" t="s">
        <v>1125</v>
      </c>
      <c r="D275" s="87" t="s">
        <v>1126</v>
      </c>
      <c r="E275" s="90" t="s">
        <v>68</v>
      </c>
      <c r="F275" s="92">
        <v>3</v>
      </c>
      <c r="G275" s="45"/>
      <c r="H275" s="42"/>
      <c r="I275" s="46"/>
      <c r="J275" s="12"/>
      <c r="K275" s="46"/>
      <c r="L275" s="47">
        <v>3</v>
      </c>
      <c r="M275"/>
      <c r="N275"/>
      <c r="O275"/>
    </row>
    <row r="276" spans="3:15" ht="60" x14ac:dyDescent="0.3">
      <c r="C276" s="90" t="s">
        <v>1128</v>
      </c>
      <c r="D276" s="87" t="s">
        <v>1129</v>
      </c>
      <c r="E276" s="90" t="s">
        <v>68</v>
      </c>
      <c r="F276" s="92">
        <v>14</v>
      </c>
      <c r="G276" s="45"/>
      <c r="H276" s="42"/>
      <c r="I276" s="46"/>
      <c r="J276" s="12"/>
      <c r="K276" s="46">
        <v>14</v>
      </c>
      <c r="L276" s="47"/>
      <c r="M276"/>
      <c r="N276"/>
      <c r="O276"/>
    </row>
    <row r="277" spans="3:15" ht="60" x14ac:dyDescent="0.3">
      <c r="C277" s="90" t="s">
        <v>1131</v>
      </c>
      <c r="D277" s="87" t="s">
        <v>1132</v>
      </c>
      <c r="E277" s="90" t="s">
        <v>68</v>
      </c>
      <c r="F277" s="92">
        <v>26</v>
      </c>
      <c r="G277" s="45"/>
      <c r="H277" s="42"/>
      <c r="I277" s="46"/>
      <c r="J277" s="12"/>
      <c r="K277" s="46">
        <v>26</v>
      </c>
      <c r="L277" s="47"/>
      <c r="M277"/>
      <c r="N277"/>
      <c r="O277"/>
    </row>
    <row r="278" spans="3:15" ht="60" x14ac:dyDescent="0.3">
      <c r="C278" s="90" t="s">
        <v>1134</v>
      </c>
      <c r="D278" s="87" t="s">
        <v>1135</v>
      </c>
      <c r="E278" s="90" t="s">
        <v>68</v>
      </c>
      <c r="F278" s="92">
        <v>8</v>
      </c>
      <c r="G278" s="45"/>
      <c r="H278" s="42"/>
      <c r="I278" s="46"/>
      <c r="J278" s="12"/>
      <c r="K278" s="46">
        <v>8</v>
      </c>
      <c r="L278" s="47"/>
      <c r="M278"/>
      <c r="N278"/>
      <c r="O278"/>
    </row>
    <row r="279" spans="3:15" ht="60" x14ac:dyDescent="0.3">
      <c r="C279" s="90" t="s">
        <v>1137</v>
      </c>
      <c r="D279" s="87" t="s">
        <v>1138</v>
      </c>
      <c r="E279" s="90" t="s">
        <v>68</v>
      </c>
      <c r="F279" s="92">
        <v>4</v>
      </c>
      <c r="G279" s="45"/>
      <c r="H279" s="42"/>
      <c r="I279" s="46"/>
      <c r="J279" s="12"/>
      <c r="K279" s="46">
        <v>4</v>
      </c>
      <c r="L279" s="47"/>
      <c r="M279"/>
      <c r="N279"/>
      <c r="O279"/>
    </row>
    <row r="280" spans="3:15" ht="48" x14ac:dyDescent="0.3">
      <c r="C280" s="90" t="s">
        <v>1140</v>
      </c>
      <c r="D280" s="87" t="s">
        <v>1141</v>
      </c>
      <c r="E280" s="90" t="s">
        <v>68</v>
      </c>
      <c r="F280" s="92">
        <v>2</v>
      </c>
      <c r="G280" s="45"/>
      <c r="H280" s="42"/>
      <c r="I280" s="46"/>
      <c r="J280" s="12"/>
      <c r="K280" s="46">
        <v>2</v>
      </c>
      <c r="L280" s="47"/>
      <c r="M280"/>
      <c r="N280"/>
      <c r="O280"/>
    </row>
    <row r="281" spans="3:15" ht="60" x14ac:dyDescent="0.3">
      <c r="C281" s="90" t="s">
        <v>1143</v>
      </c>
      <c r="D281" s="87" t="s">
        <v>1144</v>
      </c>
      <c r="E281" s="90" t="s">
        <v>68</v>
      </c>
      <c r="F281" s="92">
        <v>32</v>
      </c>
      <c r="G281" s="45"/>
      <c r="H281" s="42"/>
      <c r="I281" s="46"/>
      <c r="J281" s="12"/>
      <c r="K281" s="46">
        <v>32</v>
      </c>
      <c r="L281" s="47"/>
      <c r="M281"/>
      <c r="N281"/>
      <c r="O281"/>
    </row>
    <row r="282" spans="3:15" ht="48" x14ac:dyDescent="0.3">
      <c r="C282" s="90" t="s">
        <v>1146</v>
      </c>
      <c r="D282" s="87" t="s">
        <v>1147</v>
      </c>
      <c r="E282" s="90" t="s">
        <v>68</v>
      </c>
      <c r="F282" s="92">
        <v>5</v>
      </c>
      <c r="G282" s="45"/>
      <c r="H282" s="42"/>
      <c r="I282" s="46"/>
      <c r="J282" s="12"/>
      <c r="K282" s="46">
        <v>5</v>
      </c>
      <c r="L282" s="47"/>
      <c r="M282"/>
      <c r="N282"/>
      <c r="O282"/>
    </row>
    <row r="283" spans="3:15" ht="60" x14ac:dyDescent="0.3">
      <c r="C283" s="90" t="s">
        <v>1149</v>
      </c>
      <c r="D283" s="87" t="s">
        <v>1150</v>
      </c>
      <c r="E283" s="90" t="s">
        <v>68</v>
      </c>
      <c r="F283" s="92">
        <v>3</v>
      </c>
      <c r="G283" s="45"/>
      <c r="H283" s="42"/>
      <c r="I283" s="46"/>
      <c r="J283" s="12"/>
      <c r="K283" s="46">
        <v>3</v>
      </c>
      <c r="L283" s="47"/>
      <c r="M283"/>
      <c r="N283"/>
      <c r="O283"/>
    </row>
    <row r="284" spans="3:15" ht="60" x14ac:dyDescent="0.3">
      <c r="C284" s="90" t="s">
        <v>1152</v>
      </c>
      <c r="D284" s="87" t="s">
        <v>1153</v>
      </c>
      <c r="E284" s="90" t="s">
        <v>68</v>
      </c>
      <c r="F284" s="92">
        <v>3</v>
      </c>
      <c r="G284" s="45"/>
      <c r="H284" s="42"/>
      <c r="I284" s="46"/>
      <c r="J284" s="12"/>
      <c r="K284" s="46">
        <v>3</v>
      </c>
      <c r="L284" s="47"/>
      <c r="M284"/>
      <c r="N284"/>
      <c r="O284"/>
    </row>
    <row r="285" spans="3:15" ht="60" x14ac:dyDescent="0.3">
      <c r="C285" s="90" t="s">
        <v>1155</v>
      </c>
      <c r="D285" s="87" t="s">
        <v>1156</v>
      </c>
      <c r="E285" s="90" t="s">
        <v>68</v>
      </c>
      <c r="F285" s="92">
        <v>5</v>
      </c>
      <c r="G285" s="45"/>
      <c r="H285" s="42"/>
      <c r="I285" s="46"/>
      <c r="J285" s="12"/>
      <c r="K285" s="46">
        <v>5</v>
      </c>
      <c r="L285" s="47"/>
      <c r="M285"/>
      <c r="N285"/>
      <c r="O285"/>
    </row>
    <row r="286" spans="3:15" ht="60" x14ac:dyDescent="0.3">
      <c r="C286" s="90" t="s">
        <v>1158</v>
      </c>
      <c r="D286" s="87" t="s">
        <v>1159</v>
      </c>
      <c r="E286" s="90" t="s">
        <v>712</v>
      </c>
      <c r="F286" s="92">
        <v>4.5</v>
      </c>
      <c r="G286" s="45"/>
      <c r="H286" s="42"/>
      <c r="I286" s="46"/>
      <c r="J286" s="12"/>
      <c r="K286" s="46">
        <v>4.5</v>
      </c>
      <c r="L286" s="47"/>
      <c r="M286"/>
      <c r="N286"/>
      <c r="O286"/>
    </row>
    <row r="287" spans="3:15" ht="60" x14ac:dyDescent="0.3">
      <c r="C287" s="90" t="s">
        <v>1161</v>
      </c>
      <c r="D287" s="87" t="s">
        <v>1162</v>
      </c>
      <c r="E287" s="90" t="s">
        <v>712</v>
      </c>
      <c r="F287" s="92">
        <v>2.5</v>
      </c>
      <c r="G287" s="45"/>
      <c r="H287" s="42"/>
      <c r="I287" s="46"/>
      <c r="J287" s="12"/>
      <c r="K287" s="46">
        <v>2.5</v>
      </c>
      <c r="L287" s="47"/>
      <c r="M287"/>
      <c r="N287"/>
      <c r="O287"/>
    </row>
    <row r="288" spans="3:15" ht="180" x14ac:dyDescent="0.3">
      <c r="C288" s="90" t="s">
        <v>1164</v>
      </c>
      <c r="D288" s="87" t="s">
        <v>1165</v>
      </c>
      <c r="E288" s="90" t="s">
        <v>1166</v>
      </c>
      <c r="F288" s="92">
        <v>1</v>
      </c>
      <c r="G288" s="45"/>
      <c r="H288" s="42"/>
      <c r="I288" s="46"/>
      <c r="J288" s="12"/>
      <c r="K288" s="46"/>
      <c r="L288" s="47">
        <v>1</v>
      </c>
      <c r="M288"/>
      <c r="N288"/>
      <c r="O288"/>
    </row>
    <row r="289" spans="3:15" ht="348" x14ac:dyDescent="0.3">
      <c r="C289" s="90" t="s">
        <v>1168</v>
      </c>
      <c r="D289" s="87" t="s">
        <v>1169</v>
      </c>
      <c r="E289" s="90" t="s">
        <v>1170</v>
      </c>
      <c r="F289" s="92">
        <v>1</v>
      </c>
      <c r="G289" s="45"/>
      <c r="H289" s="42"/>
      <c r="I289" s="46"/>
      <c r="J289" s="12"/>
      <c r="K289" s="46"/>
      <c r="L289" s="47">
        <v>1</v>
      </c>
      <c r="M289"/>
      <c r="N289"/>
      <c r="O289"/>
    </row>
    <row r="290" spans="3:15" ht="180" x14ac:dyDescent="0.3">
      <c r="C290" s="90" t="s">
        <v>1172</v>
      </c>
      <c r="D290" s="87" t="s">
        <v>1173</v>
      </c>
      <c r="E290" s="90" t="s">
        <v>68</v>
      </c>
      <c r="F290" s="92">
        <v>1</v>
      </c>
      <c r="G290" s="45"/>
      <c r="H290" s="42"/>
      <c r="I290" s="46"/>
      <c r="J290" s="12"/>
      <c r="K290" s="46"/>
      <c r="L290" s="47">
        <v>1</v>
      </c>
      <c r="M290"/>
      <c r="N290"/>
      <c r="O290"/>
    </row>
    <row r="291" spans="3:15" ht="72" x14ac:dyDescent="0.3">
      <c r="C291" s="90" t="s">
        <v>1175</v>
      </c>
      <c r="D291" s="87" t="s">
        <v>1176</v>
      </c>
      <c r="E291" s="90" t="s">
        <v>68</v>
      </c>
      <c r="F291" s="92">
        <v>2</v>
      </c>
      <c r="G291" s="45"/>
      <c r="H291" s="42"/>
      <c r="I291" s="46"/>
      <c r="J291" s="12"/>
      <c r="K291" s="46">
        <v>2</v>
      </c>
      <c r="L291" s="47"/>
      <c r="M291"/>
      <c r="N291"/>
      <c r="O291"/>
    </row>
    <row r="292" spans="3:15" ht="72" x14ac:dyDescent="0.3">
      <c r="C292" s="90" t="s">
        <v>1178</v>
      </c>
      <c r="D292" s="87" t="s">
        <v>1179</v>
      </c>
      <c r="E292" s="90" t="s">
        <v>68</v>
      </c>
      <c r="F292" s="92">
        <v>1</v>
      </c>
      <c r="G292" s="45"/>
      <c r="H292" s="42"/>
      <c r="I292" s="46"/>
      <c r="J292" s="12"/>
      <c r="K292" s="46">
        <v>1</v>
      </c>
      <c r="L292" s="47"/>
      <c r="M292"/>
      <c r="N292"/>
      <c r="O292"/>
    </row>
    <row r="293" spans="3:15" ht="72" x14ac:dyDescent="0.3">
      <c r="C293" s="90" t="s">
        <v>1181</v>
      </c>
      <c r="D293" s="87" t="s">
        <v>1182</v>
      </c>
      <c r="E293" s="90" t="s">
        <v>58</v>
      </c>
      <c r="F293" s="92">
        <v>55</v>
      </c>
      <c r="G293" s="45"/>
      <c r="H293" s="42"/>
      <c r="I293" s="46"/>
      <c r="J293" s="12"/>
      <c r="K293" s="46"/>
      <c r="L293" s="47">
        <v>55</v>
      </c>
      <c r="M293"/>
      <c r="N293"/>
      <c r="O293"/>
    </row>
    <row r="294" spans="3:15" ht="72" x14ac:dyDescent="0.3">
      <c r="C294" s="90" t="s">
        <v>1184</v>
      </c>
      <c r="D294" s="87" t="s">
        <v>1185</v>
      </c>
      <c r="E294" s="90" t="s">
        <v>58</v>
      </c>
      <c r="F294" s="92">
        <v>55</v>
      </c>
      <c r="G294" s="45"/>
      <c r="H294" s="42"/>
      <c r="I294" s="46"/>
      <c r="J294" s="12"/>
      <c r="K294" s="46"/>
      <c r="L294" s="47">
        <v>55</v>
      </c>
      <c r="M294"/>
      <c r="N294"/>
      <c r="O294"/>
    </row>
    <row r="295" spans="3:15" ht="48" x14ac:dyDescent="0.3">
      <c r="C295" s="90" t="s">
        <v>1186</v>
      </c>
      <c r="D295" s="87" t="s">
        <v>1187</v>
      </c>
      <c r="E295" s="90" t="s">
        <v>68</v>
      </c>
      <c r="F295" s="92">
        <v>50</v>
      </c>
      <c r="G295" s="45"/>
      <c r="H295" s="42"/>
      <c r="I295" s="46"/>
      <c r="J295" s="12"/>
      <c r="K295" s="46">
        <v>50</v>
      </c>
      <c r="L295" s="47"/>
      <c r="M295"/>
      <c r="N295"/>
      <c r="O295"/>
    </row>
    <row r="296" spans="3:15" ht="48" x14ac:dyDescent="0.3">
      <c r="C296" s="90" t="s">
        <v>1188</v>
      </c>
      <c r="D296" s="87" t="s">
        <v>1189</v>
      </c>
      <c r="E296" s="90" t="s">
        <v>68</v>
      </c>
      <c r="F296" s="92">
        <v>100</v>
      </c>
      <c r="G296" s="45"/>
      <c r="H296" s="42"/>
      <c r="I296" s="46"/>
      <c r="J296" s="12"/>
      <c r="K296" s="46"/>
      <c r="L296" s="47">
        <v>100</v>
      </c>
      <c r="M296"/>
      <c r="N296"/>
      <c r="O296"/>
    </row>
    <row r="297" spans="3:15" ht="60" x14ac:dyDescent="0.3">
      <c r="C297" s="90" t="s">
        <v>1191</v>
      </c>
      <c r="D297" s="87" t="s">
        <v>1192</v>
      </c>
      <c r="E297" s="90" t="s">
        <v>68</v>
      </c>
      <c r="F297" s="92">
        <v>1</v>
      </c>
      <c r="G297" s="45"/>
      <c r="H297" s="42"/>
      <c r="I297" s="46"/>
      <c r="J297" s="12"/>
      <c r="K297" s="46"/>
      <c r="L297" s="47">
        <v>1</v>
      </c>
      <c r="M297"/>
      <c r="N297"/>
      <c r="O297"/>
    </row>
    <row r="298" spans="3:15" ht="60" x14ac:dyDescent="0.3">
      <c r="C298" s="90" t="s">
        <v>1194</v>
      </c>
      <c r="D298" s="87" t="s">
        <v>1195</v>
      </c>
      <c r="E298" s="90" t="s">
        <v>68</v>
      </c>
      <c r="F298" s="92">
        <v>1</v>
      </c>
      <c r="G298" s="45"/>
      <c r="H298" s="42"/>
      <c r="I298" s="46"/>
      <c r="J298" s="12"/>
      <c r="K298" s="46"/>
      <c r="L298" s="47">
        <v>1</v>
      </c>
      <c r="M298"/>
      <c r="N298"/>
      <c r="O298"/>
    </row>
    <row r="299" spans="3:15" ht="60" x14ac:dyDescent="0.3">
      <c r="C299" s="90" t="s">
        <v>1197</v>
      </c>
      <c r="D299" s="87" t="s">
        <v>1198</v>
      </c>
      <c r="E299" s="90" t="s">
        <v>68</v>
      </c>
      <c r="F299" s="92">
        <v>1</v>
      </c>
      <c r="G299" s="45"/>
      <c r="H299" s="42"/>
      <c r="I299" s="46"/>
      <c r="J299" s="12"/>
      <c r="K299" s="46"/>
      <c r="L299" s="47">
        <v>1</v>
      </c>
      <c r="M299"/>
      <c r="N299"/>
      <c r="O299"/>
    </row>
    <row r="300" spans="3:15" ht="60" x14ac:dyDescent="0.3">
      <c r="C300" s="90" t="s">
        <v>1200</v>
      </c>
      <c r="D300" s="87" t="s">
        <v>1201</v>
      </c>
      <c r="E300" s="90" t="s">
        <v>68</v>
      </c>
      <c r="F300" s="92">
        <v>25</v>
      </c>
      <c r="G300" s="45"/>
      <c r="H300" s="42"/>
      <c r="I300" s="46"/>
      <c r="J300" s="12"/>
      <c r="K300" s="46">
        <v>25</v>
      </c>
      <c r="L300" s="47"/>
      <c r="M300"/>
      <c r="N300"/>
      <c r="O300"/>
    </row>
    <row r="301" spans="3:15" ht="72" x14ac:dyDescent="0.3">
      <c r="C301" s="90" t="s">
        <v>1203</v>
      </c>
      <c r="D301" s="87" t="s">
        <v>1204</v>
      </c>
      <c r="E301" s="90" t="s">
        <v>58</v>
      </c>
      <c r="F301" s="92">
        <v>7</v>
      </c>
      <c r="G301" s="45"/>
      <c r="H301" s="42"/>
      <c r="I301" s="46"/>
      <c r="J301" s="12"/>
      <c r="K301" s="46">
        <v>7</v>
      </c>
      <c r="L301" s="47"/>
      <c r="M301"/>
      <c r="N301"/>
      <c r="O301"/>
    </row>
    <row r="302" spans="3:15" ht="72" x14ac:dyDescent="0.3">
      <c r="C302" s="90" t="s">
        <v>1206</v>
      </c>
      <c r="D302" s="87" t="s">
        <v>1207</v>
      </c>
      <c r="E302" s="90" t="s">
        <v>68</v>
      </c>
      <c r="F302" s="92">
        <v>2</v>
      </c>
      <c r="G302" s="45"/>
      <c r="H302" s="42"/>
      <c r="I302" s="46"/>
      <c r="J302" s="12"/>
      <c r="K302" s="46">
        <v>2</v>
      </c>
      <c r="L302" s="47"/>
      <c r="M302"/>
      <c r="N302"/>
      <c r="O302"/>
    </row>
    <row r="303" spans="3:15" ht="72" x14ac:dyDescent="0.3">
      <c r="C303" s="90" t="s">
        <v>1209</v>
      </c>
      <c r="D303" s="87" t="s">
        <v>1210</v>
      </c>
      <c r="E303" s="90" t="s">
        <v>68</v>
      </c>
      <c r="F303" s="92">
        <v>4</v>
      </c>
      <c r="G303" s="45"/>
      <c r="H303" s="42"/>
      <c r="I303" s="46"/>
      <c r="J303" s="12"/>
      <c r="K303" s="46">
        <v>4</v>
      </c>
      <c r="L303" s="47"/>
      <c r="M303"/>
      <c r="N303"/>
      <c r="O303"/>
    </row>
    <row r="304" spans="3:15" ht="72" x14ac:dyDescent="0.3">
      <c r="C304" s="90" t="s">
        <v>1212</v>
      </c>
      <c r="D304" s="87" t="s">
        <v>1213</v>
      </c>
      <c r="E304" s="90" t="s">
        <v>68</v>
      </c>
      <c r="F304" s="92">
        <v>1</v>
      </c>
      <c r="G304" s="45"/>
      <c r="H304" s="42"/>
      <c r="I304" s="46"/>
      <c r="J304" s="12"/>
      <c r="K304" s="46">
        <v>1</v>
      </c>
      <c r="L304" s="47"/>
      <c r="M304"/>
      <c r="N304"/>
      <c r="O304"/>
    </row>
    <row r="305" spans="3:15" ht="48" x14ac:dyDescent="0.3">
      <c r="C305" s="90" t="s">
        <v>1215</v>
      </c>
      <c r="D305" s="87" t="s">
        <v>1216</v>
      </c>
      <c r="E305" s="90" t="s">
        <v>68</v>
      </c>
      <c r="F305" s="92">
        <v>14</v>
      </c>
      <c r="G305" s="45"/>
      <c r="H305" s="42"/>
      <c r="I305" s="46"/>
      <c r="J305" s="12"/>
      <c r="K305" s="46">
        <v>14</v>
      </c>
      <c r="L305" s="47"/>
      <c r="M305"/>
      <c r="N305"/>
      <c r="O305"/>
    </row>
    <row r="306" spans="3:15" ht="48" x14ac:dyDescent="0.3">
      <c r="C306" s="90" t="s">
        <v>1218</v>
      </c>
      <c r="D306" s="87" t="s">
        <v>1219</v>
      </c>
      <c r="E306" s="90" t="s">
        <v>68</v>
      </c>
      <c r="F306" s="92">
        <v>56</v>
      </c>
      <c r="G306" s="45"/>
      <c r="H306" s="42"/>
      <c r="I306" s="46"/>
      <c r="J306" s="12"/>
      <c r="K306" s="46">
        <v>56</v>
      </c>
      <c r="L306" s="47"/>
      <c r="M306"/>
      <c r="N306"/>
      <c r="O306"/>
    </row>
    <row r="307" spans="3:15" ht="60" x14ac:dyDescent="0.3">
      <c r="C307" s="90" t="s">
        <v>1221</v>
      </c>
      <c r="D307" s="87" t="s">
        <v>1222</v>
      </c>
      <c r="E307" s="90" t="s">
        <v>68</v>
      </c>
      <c r="F307" s="92">
        <v>7</v>
      </c>
      <c r="G307" s="45"/>
      <c r="H307" s="42"/>
      <c r="I307" s="46"/>
      <c r="J307" s="12"/>
      <c r="K307" s="46">
        <v>7</v>
      </c>
      <c r="L307" s="47"/>
      <c r="M307"/>
      <c r="N307"/>
      <c r="O307"/>
    </row>
    <row r="308" spans="3:15" ht="48" x14ac:dyDescent="0.3">
      <c r="C308" s="90" t="s">
        <v>1224</v>
      </c>
      <c r="D308" s="87" t="s">
        <v>1225</v>
      </c>
      <c r="E308" s="90" t="s">
        <v>58</v>
      </c>
      <c r="F308" s="92">
        <v>35</v>
      </c>
      <c r="G308" s="45"/>
      <c r="H308" s="42"/>
      <c r="I308" s="46"/>
      <c r="J308" s="12"/>
      <c r="K308" s="46"/>
      <c r="L308" s="47">
        <v>35</v>
      </c>
      <c r="M308"/>
      <c r="N308"/>
      <c r="O308"/>
    </row>
    <row r="309" spans="3:15" ht="132" x14ac:dyDescent="0.3">
      <c r="C309" s="90" t="s">
        <v>1227</v>
      </c>
      <c r="D309" s="87" t="s">
        <v>1228</v>
      </c>
      <c r="E309" s="90" t="s">
        <v>68</v>
      </c>
      <c r="F309" s="92">
        <v>1</v>
      </c>
      <c r="G309" s="45"/>
      <c r="H309" s="42"/>
      <c r="I309" s="46"/>
      <c r="J309" s="12"/>
      <c r="K309" s="46"/>
      <c r="L309" s="47">
        <v>1</v>
      </c>
      <c r="M309"/>
      <c r="N309"/>
      <c r="O309"/>
    </row>
    <row r="310" spans="3:15" ht="264" x14ac:dyDescent="0.3">
      <c r="C310" s="90" t="s">
        <v>1230</v>
      </c>
      <c r="D310" s="87" t="s">
        <v>1231</v>
      </c>
      <c r="E310" s="90" t="s">
        <v>68</v>
      </c>
      <c r="F310" s="92">
        <v>9</v>
      </c>
      <c r="G310" s="45"/>
      <c r="H310" s="42"/>
      <c r="I310" s="46"/>
      <c r="J310" s="12"/>
      <c r="K310" s="46"/>
      <c r="L310" s="47">
        <v>9</v>
      </c>
      <c r="M310"/>
      <c r="N310"/>
      <c r="O310"/>
    </row>
    <row r="311" spans="3:15" ht="264" x14ac:dyDescent="0.3">
      <c r="C311" s="90" t="s">
        <v>1233</v>
      </c>
      <c r="D311" s="87" t="s">
        <v>1234</v>
      </c>
      <c r="E311" s="90" t="s">
        <v>68</v>
      </c>
      <c r="F311" s="92">
        <v>3</v>
      </c>
      <c r="G311" s="45"/>
      <c r="H311" s="42"/>
      <c r="I311" s="46"/>
      <c r="J311" s="12"/>
      <c r="K311" s="46"/>
      <c r="L311" s="47">
        <v>3</v>
      </c>
      <c r="M311"/>
      <c r="N311"/>
      <c r="O311"/>
    </row>
    <row r="312" spans="3:15" ht="228" x14ac:dyDescent="0.3">
      <c r="C312" s="90" t="s">
        <v>1235</v>
      </c>
      <c r="D312" s="87" t="s">
        <v>1236</v>
      </c>
      <c r="E312" s="90" t="s">
        <v>68</v>
      </c>
      <c r="F312" s="92">
        <v>6</v>
      </c>
      <c r="G312" s="45"/>
      <c r="H312" s="42"/>
      <c r="I312" s="46"/>
      <c r="J312" s="12"/>
      <c r="K312" s="46"/>
      <c r="L312" s="47">
        <v>6</v>
      </c>
      <c r="M312"/>
      <c r="N312"/>
      <c r="O312"/>
    </row>
    <row r="313" spans="3:15" ht="120" x14ac:dyDescent="0.3">
      <c r="C313" s="90" t="s">
        <v>1238</v>
      </c>
      <c r="D313" s="87" t="s">
        <v>1239</v>
      </c>
      <c r="E313" s="90" t="s">
        <v>68</v>
      </c>
      <c r="F313" s="92">
        <v>9</v>
      </c>
      <c r="G313" s="45"/>
      <c r="H313" s="42"/>
      <c r="I313" s="46"/>
      <c r="J313" s="12"/>
      <c r="K313" s="46"/>
      <c r="L313" s="47">
        <v>9</v>
      </c>
      <c r="M313"/>
      <c r="N313"/>
      <c r="O313"/>
    </row>
    <row r="314" spans="3:15" ht="120" x14ac:dyDescent="0.3">
      <c r="C314" s="90" t="s">
        <v>1241</v>
      </c>
      <c r="D314" s="87" t="s">
        <v>1242</v>
      </c>
      <c r="E314" s="90" t="s">
        <v>68</v>
      </c>
      <c r="F314" s="92">
        <v>3</v>
      </c>
      <c r="G314" s="45"/>
      <c r="H314" s="42"/>
      <c r="I314" s="46"/>
      <c r="J314" s="12"/>
      <c r="K314" s="46"/>
      <c r="L314" s="47">
        <v>3</v>
      </c>
      <c r="M314"/>
      <c r="N314"/>
      <c r="O314"/>
    </row>
    <row r="315" spans="3:15" ht="120" x14ac:dyDescent="0.3">
      <c r="C315" s="90" t="s">
        <v>1244</v>
      </c>
      <c r="D315" s="87" t="s">
        <v>1245</v>
      </c>
      <c r="E315" s="90" t="s">
        <v>68</v>
      </c>
      <c r="F315" s="92">
        <v>2</v>
      </c>
      <c r="G315" s="45"/>
      <c r="H315" s="42"/>
      <c r="I315" s="46"/>
      <c r="J315" s="12"/>
      <c r="K315" s="46"/>
      <c r="L315" s="47">
        <v>2</v>
      </c>
      <c r="M315"/>
      <c r="N315"/>
      <c r="O315"/>
    </row>
    <row r="316" spans="3:15" ht="96" x14ac:dyDescent="0.3">
      <c r="C316" s="90" t="s">
        <v>1247</v>
      </c>
      <c r="D316" s="87" t="s">
        <v>1248</v>
      </c>
      <c r="E316" s="90" t="s">
        <v>68</v>
      </c>
      <c r="F316" s="92">
        <v>3</v>
      </c>
      <c r="G316" s="45"/>
      <c r="H316" s="42"/>
      <c r="I316" s="46"/>
      <c r="J316" s="12"/>
      <c r="K316" s="46"/>
      <c r="L316" s="47">
        <v>3</v>
      </c>
      <c r="M316"/>
      <c r="N316"/>
      <c r="O316"/>
    </row>
    <row r="317" spans="3:15" ht="180" x14ac:dyDescent="0.3">
      <c r="C317" s="90" t="s">
        <v>1250</v>
      </c>
      <c r="D317" s="87" t="s">
        <v>1251</v>
      </c>
      <c r="E317" s="90" t="s">
        <v>68</v>
      </c>
      <c r="F317" s="92">
        <v>3</v>
      </c>
      <c r="G317" s="45"/>
      <c r="H317" s="42"/>
      <c r="I317" s="46"/>
      <c r="J317" s="12"/>
      <c r="K317" s="46"/>
      <c r="L317" s="47">
        <v>3</v>
      </c>
      <c r="M317"/>
      <c r="N317"/>
      <c r="O317"/>
    </row>
    <row r="318" spans="3:15" ht="120" x14ac:dyDescent="0.3">
      <c r="C318" s="90" t="s">
        <v>1253</v>
      </c>
      <c r="D318" s="87" t="s">
        <v>1254</v>
      </c>
      <c r="E318" s="90" t="s">
        <v>68</v>
      </c>
      <c r="F318" s="92">
        <v>3</v>
      </c>
      <c r="G318" s="45"/>
      <c r="H318" s="42"/>
      <c r="I318" s="46"/>
      <c r="J318" s="12"/>
      <c r="K318" s="46"/>
      <c r="L318" s="47">
        <v>3</v>
      </c>
      <c r="M318"/>
      <c r="N318"/>
      <c r="O318"/>
    </row>
    <row r="319" spans="3:15" ht="132" x14ac:dyDescent="0.3">
      <c r="C319" s="90" t="s">
        <v>1256</v>
      </c>
      <c r="D319" s="87" t="s">
        <v>1257</v>
      </c>
      <c r="E319" s="90" t="s">
        <v>68</v>
      </c>
      <c r="F319" s="92">
        <v>3</v>
      </c>
      <c r="G319" s="45"/>
      <c r="H319" s="42"/>
      <c r="I319" s="46"/>
      <c r="J319" s="12"/>
      <c r="K319" s="46"/>
      <c r="L319" s="47">
        <v>3</v>
      </c>
      <c r="M319"/>
      <c r="N319"/>
      <c r="O319"/>
    </row>
    <row r="320" spans="3:15" ht="228" x14ac:dyDescent="0.3">
      <c r="C320" s="90" t="s">
        <v>1259</v>
      </c>
      <c r="D320" s="87" t="s">
        <v>1260</v>
      </c>
      <c r="E320" s="90" t="s">
        <v>68</v>
      </c>
      <c r="F320" s="92">
        <v>1</v>
      </c>
      <c r="G320" s="45"/>
      <c r="H320" s="42"/>
      <c r="I320" s="46"/>
      <c r="J320" s="12"/>
      <c r="K320" s="46"/>
      <c r="L320" s="47">
        <v>1</v>
      </c>
      <c r="M320"/>
      <c r="N320"/>
      <c r="O320"/>
    </row>
    <row r="321" spans="3:15" ht="60" x14ac:dyDescent="0.3">
      <c r="C321" s="90" t="s">
        <v>1262</v>
      </c>
      <c r="D321" s="87" t="s">
        <v>1263</v>
      </c>
      <c r="E321" s="90" t="s">
        <v>58</v>
      </c>
      <c r="F321" s="92">
        <v>525</v>
      </c>
      <c r="G321" s="45"/>
      <c r="H321" s="42"/>
      <c r="I321" s="46"/>
      <c r="J321" s="12"/>
      <c r="K321" s="46">
        <v>400</v>
      </c>
      <c r="L321" s="47">
        <v>125</v>
      </c>
      <c r="M321"/>
      <c r="N321"/>
      <c r="O321"/>
    </row>
    <row r="322" spans="3:15" ht="48" x14ac:dyDescent="0.3">
      <c r="C322" s="90" t="s">
        <v>1265</v>
      </c>
      <c r="D322" s="87" t="s">
        <v>1266</v>
      </c>
      <c r="E322" s="90" t="s">
        <v>58</v>
      </c>
      <c r="F322" s="92">
        <v>60</v>
      </c>
      <c r="G322" s="45"/>
      <c r="H322" s="42"/>
      <c r="I322" s="46"/>
      <c r="J322" s="12"/>
      <c r="K322" s="46">
        <v>60</v>
      </c>
      <c r="L322" s="47"/>
      <c r="M322"/>
      <c r="N322"/>
      <c r="O322"/>
    </row>
    <row r="323" spans="3:15" ht="48" x14ac:dyDescent="0.3">
      <c r="C323" s="90" t="s">
        <v>1268</v>
      </c>
      <c r="D323" s="87" t="s">
        <v>1269</v>
      </c>
      <c r="E323" s="90" t="s">
        <v>68</v>
      </c>
      <c r="F323" s="92">
        <v>48</v>
      </c>
      <c r="G323" s="45"/>
      <c r="H323" s="42"/>
      <c r="I323" s="46"/>
      <c r="J323" s="12"/>
      <c r="K323" s="46">
        <v>28</v>
      </c>
      <c r="L323" s="47">
        <v>20</v>
      </c>
      <c r="M323"/>
      <c r="N323"/>
      <c r="O323"/>
    </row>
    <row r="324" spans="3:15" ht="48" x14ac:dyDescent="0.3">
      <c r="C324" s="90" t="s">
        <v>1271</v>
      </c>
      <c r="D324" s="87" t="s">
        <v>1272</v>
      </c>
      <c r="E324" s="90" t="s">
        <v>68</v>
      </c>
      <c r="F324" s="92">
        <v>1</v>
      </c>
      <c r="G324" s="45"/>
      <c r="H324" s="42"/>
      <c r="I324" s="46"/>
      <c r="J324" s="12"/>
      <c r="K324" s="46"/>
      <c r="L324" s="47">
        <v>1</v>
      </c>
      <c r="M324"/>
      <c r="N324"/>
      <c r="O324"/>
    </row>
    <row r="325" spans="3:15" ht="60" x14ac:dyDescent="0.3">
      <c r="C325" s="90" t="s">
        <v>1274</v>
      </c>
      <c r="D325" s="87" t="s">
        <v>1275</v>
      </c>
      <c r="E325" s="90" t="s">
        <v>68</v>
      </c>
      <c r="F325" s="92">
        <v>6</v>
      </c>
      <c r="G325" s="45"/>
      <c r="H325" s="42"/>
      <c r="I325" s="46"/>
      <c r="J325" s="12"/>
      <c r="K325" s="46"/>
      <c r="L325" s="47">
        <v>6</v>
      </c>
      <c r="M325"/>
      <c r="N325"/>
      <c r="O325"/>
    </row>
    <row r="326" spans="3:15" ht="48" x14ac:dyDescent="0.3">
      <c r="C326" s="90" t="s">
        <v>1277</v>
      </c>
      <c r="D326" s="87" t="s">
        <v>1278</v>
      </c>
      <c r="E326" s="90" t="s">
        <v>68</v>
      </c>
      <c r="F326" s="92">
        <v>27</v>
      </c>
      <c r="G326" s="45"/>
      <c r="H326" s="42"/>
      <c r="I326" s="46"/>
      <c r="J326" s="12"/>
      <c r="K326" s="46">
        <v>27</v>
      </c>
      <c r="L326" s="47"/>
      <c r="M326"/>
      <c r="N326"/>
      <c r="O326"/>
    </row>
    <row r="327" spans="3:15" ht="48" x14ac:dyDescent="0.3">
      <c r="C327" s="90" t="s">
        <v>1280</v>
      </c>
      <c r="D327" s="87" t="s">
        <v>1281</v>
      </c>
      <c r="E327" s="90" t="s">
        <v>68</v>
      </c>
      <c r="F327" s="92">
        <v>12</v>
      </c>
      <c r="G327" s="45"/>
      <c r="H327" s="42"/>
      <c r="I327" s="46"/>
      <c r="J327" s="12"/>
      <c r="K327" s="46">
        <v>12</v>
      </c>
      <c r="L327" s="47"/>
      <c r="M327"/>
      <c r="N327"/>
      <c r="O327"/>
    </row>
    <row r="328" spans="3:15" ht="48" x14ac:dyDescent="0.3">
      <c r="C328" s="90" t="s">
        <v>1283</v>
      </c>
      <c r="D328" s="87" t="s">
        <v>1284</v>
      </c>
      <c r="E328" s="90" t="s">
        <v>68</v>
      </c>
      <c r="F328" s="92">
        <v>2</v>
      </c>
      <c r="G328" s="45"/>
      <c r="H328" s="42"/>
      <c r="I328" s="46"/>
      <c r="J328" s="12"/>
      <c r="K328" s="46">
        <v>2</v>
      </c>
      <c r="L328" s="47"/>
      <c r="M328"/>
      <c r="N328"/>
      <c r="O328"/>
    </row>
    <row r="329" spans="3:15" ht="60" x14ac:dyDescent="0.3">
      <c r="C329" s="90" t="s">
        <v>1286</v>
      </c>
      <c r="D329" s="87" t="s">
        <v>1287</v>
      </c>
      <c r="E329" s="90" t="s">
        <v>68</v>
      </c>
      <c r="F329" s="92">
        <v>90</v>
      </c>
      <c r="G329" s="45"/>
      <c r="H329" s="42"/>
      <c r="I329" s="46"/>
      <c r="J329" s="12"/>
      <c r="K329" s="46">
        <v>60</v>
      </c>
      <c r="L329" s="47">
        <v>30</v>
      </c>
      <c r="M329"/>
      <c r="N329"/>
      <c r="O329"/>
    </row>
    <row r="330" spans="3:15" ht="48" x14ac:dyDescent="0.3">
      <c r="C330" s="90" t="s">
        <v>1289</v>
      </c>
      <c r="D330" s="87" t="s">
        <v>1290</v>
      </c>
      <c r="E330" s="90" t="s">
        <v>68</v>
      </c>
      <c r="F330" s="92">
        <v>12</v>
      </c>
      <c r="G330" s="45"/>
      <c r="H330" s="42"/>
      <c r="I330" s="46"/>
      <c r="J330" s="12"/>
      <c r="K330" s="46">
        <v>12</v>
      </c>
      <c r="L330" s="47"/>
      <c r="M330"/>
      <c r="N330"/>
      <c r="O330"/>
    </row>
    <row r="331" spans="3:15" ht="48" x14ac:dyDescent="0.3">
      <c r="C331" s="90" t="s">
        <v>1292</v>
      </c>
      <c r="D331" s="87" t="s">
        <v>1293</v>
      </c>
      <c r="E331" s="90" t="s">
        <v>68</v>
      </c>
      <c r="F331" s="92">
        <v>28</v>
      </c>
      <c r="G331" s="45"/>
      <c r="H331" s="42"/>
      <c r="I331" s="46"/>
      <c r="J331" s="12"/>
      <c r="K331" s="46">
        <v>28</v>
      </c>
      <c r="L331" s="47"/>
      <c r="M331"/>
      <c r="N331"/>
      <c r="O331"/>
    </row>
    <row r="332" spans="3:15" ht="48" x14ac:dyDescent="0.3">
      <c r="C332" s="90" t="s">
        <v>1295</v>
      </c>
      <c r="D332" s="87" t="s">
        <v>1296</v>
      </c>
      <c r="E332" s="90" t="s">
        <v>68</v>
      </c>
      <c r="F332" s="92">
        <v>9</v>
      </c>
      <c r="G332" s="45"/>
      <c r="H332" s="42"/>
      <c r="I332" s="46"/>
      <c r="J332" s="12"/>
      <c r="K332" s="46">
        <v>9</v>
      </c>
      <c r="L332" s="47"/>
      <c r="M332"/>
      <c r="N332"/>
      <c r="O332"/>
    </row>
    <row r="333" spans="3:15" ht="60" x14ac:dyDescent="0.3">
      <c r="C333" s="90" t="s">
        <v>1298</v>
      </c>
      <c r="D333" s="87" t="s">
        <v>1299</v>
      </c>
      <c r="E333" s="90" t="s">
        <v>68</v>
      </c>
      <c r="F333" s="92">
        <v>84</v>
      </c>
      <c r="G333" s="45"/>
      <c r="H333" s="42"/>
      <c r="I333" s="46"/>
      <c r="J333" s="12"/>
      <c r="K333" s="46">
        <v>84</v>
      </c>
      <c r="L333" s="47"/>
      <c r="M333"/>
      <c r="N333"/>
      <c r="O333"/>
    </row>
    <row r="334" spans="3:15" ht="48" x14ac:dyDescent="0.3">
      <c r="C334" s="90" t="s">
        <v>1301</v>
      </c>
      <c r="D334" s="87" t="s">
        <v>1302</v>
      </c>
      <c r="E334" s="90" t="s">
        <v>68</v>
      </c>
      <c r="F334" s="92">
        <v>15</v>
      </c>
      <c r="G334" s="45"/>
      <c r="H334" s="42"/>
      <c r="I334" s="46"/>
      <c r="J334" s="12"/>
      <c r="K334" s="46">
        <v>15</v>
      </c>
      <c r="L334" s="47"/>
      <c r="M334"/>
      <c r="N334"/>
      <c r="O334"/>
    </row>
    <row r="335" spans="3:15" ht="48" x14ac:dyDescent="0.3">
      <c r="C335" s="90" t="s">
        <v>1304</v>
      </c>
      <c r="D335" s="87" t="s">
        <v>1305</v>
      </c>
      <c r="E335" s="90" t="s">
        <v>68</v>
      </c>
      <c r="F335" s="92">
        <v>29</v>
      </c>
      <c r="G335" s="45"/>
      <c r="H335" s="42"/>
      <c r="I335" s="46"/>
      <c r="J335" s="12"/>
      <c r="K335" s="46">
        <v>29</v>
      </c>
      <c r="L335" s="47"/>
      <c r="M335"/>
      <c r="N335"/>
      <c r="O335"/>
    </row>
    <row r="336" spans="3:15" ht="48" x14ac:dyDescent="0.3">
      <c r="C336" s="90" t="s">
        <v>1307</v>
      </c>
      <c r="D336" s="87" t="s">
        <v>1308</v>
      </c>
      <c r="E336" s="90" t="s">
        <v>68</v>
      </c>
      <c r="F336" s="92">
        <v>8</v>
      </c>
      <c r="G336" s="45"/>
      <c r="H336" s="42"/>
      <c r="I336" s="46"/>
      <c r="J336" s="12"/>
      <c r="K336" s="46">
        <v>8</v>
      </c>
      <c r="L336" s="47"/>
      <c r="M336"/>
      <c r="N336"/>
      <c r="O336"/>
    </row>
    <row r="337" spans="3:15" ht="48" x14ac:dyDescent="0.3">
      <c r="C337" s="90" t="s">
        <v>1310</v>
      </c>
      <c r="D337" s="87" t="s">
        <v>1311</v>
      </c>
      <c r="E337" s="90" t="s">
        <v>68</v>
      </c>
      <c r="F337" s="92">
        <v>24</v>
      </c>
      <c r="G337" s="45"/>
      <c r="H337" s="42"/>
      <c r="I337" s="46"/>
      <c r="J337" s="12"/>
      <c r="K337" s="46">
        <v>24</v>
      </c>
      <c r="L337" s="47"/>
      <c r="M337"/>
      <c r="N337"/>
      <c r="O337"/>
    </row>
    <row r="338" spans="3:15" ht="48" x14ac:dyDescent="0.3">
      <c r="C338" s="90" t="s">
        <v>1312</v>
      </c>
      <c r="D338" s="87" t="s">
        <v>1313</v>
      </c>
      <c r="E338" s="90" t="s">
        <v>68</v>
      </c>
      <c r="F338" s="92">
        <v>41</v>
      </c>
      <c r="G338" s="45"/>
      <c r="H338" s="42"/>
      <c r="I338" s="46"/>
      <c r="J338" s="12"/>
      <c r="K338" s="46">
        <v>41</v>
      </c>
      <c r="L338" s="47"/>
      <c r="M338"/>
      <c r="N338"/>
      <c r="O338"/>
    </row>
    <row r="339" spans="3:15" ht="48" x14ac:dyDescent="0.3">
      <c r="C339" s="90" t="s">
        <v>1315</v>
      </c>
      <c r="D339" s="87" t="s">
        <v>1316</v>
      </c>
      <c r="E339" s="90" t="s">
        <v>68</v>
      </c>
      <c r="F339" s="92">
        <v>2</v>
      </c>
      <c r="G339" s="45"/>
      <c r="H339" s="42"/>
      <c r="I339" s="46"/>
      <c r="J339" s="12"/>
      <c r="K339" s="46">
        <v>2</v>
      </c>
      <c r="L339" s="47"/>
      <c r="M339"/>
      <c r="N339"/>
      <c r="O339"/>
    </row>
    <row r="340" spans="3:15" ht="48" x14ac:dyDescent="0.3">
      <c r="C340" s="90" t="s">
        <v>1318</v>
      </c>
      <c r="D340" s="87" t="s">
        <v>1319</v>
      </c>
      <c r="E340" s="90" t="s">
        <v>58</v>
      </c>
      <c r="F340" s="92">
        <v>2.8</v>
      </c>
      <c r="G340" s="45"/>
      <c r="H340" s="42"/>
      <c r="I340" s="46"/>
      <c r="J340" s="12"/>
      <c r="K340" s="46">
        <v>2.8</v>
      </c>
      <c r="L340" s="47"/>
      <c r="M340"/>
      <c r="N340"/>
      <c r="O340"/>
    </row>
    <row r="341" spans="3:15" ht="48" x14ac:dyDescent="0.3">
      <c r="C341" s="90" t="s">
        <v>1320</v>
      </c>
      <c r="D341" s="87" t="s">
        <v>1321</v>
      </c>
      <c r="E341" s="90" t="s">
        <v>58</v>
      </c>
      <c r="F341" s="92">
        <v>105.6</v>
      </c>
      <c r="G341" s="45"/>
      <c r="H341" s="42"/>
      <c r="I341" s="46"/>
      <c r="J341" s="12"/>
      <c r="K341" s="46">
        <v>105.6</v>
      </c>
      <c r="L341" s="47"/>
      <c r="M341"/>
      <c r="N341"/>
      <c r="O341"/>
    </row>
    <row r="342" spans="3:15" ht="48" x14ac:dyDescent="0.3">
      <c r="C342" s="90" t="s">
        <v>1323</v>
      </c>
      <c r="D342" s="87" t="s">
        <v>1324</v>
      </c>
      <c r="E342" s="90" t="s">
        <v>68</v>
      </c>
      <c r="F342" s="92">
        <v>277</v>
      </c>
      <c r="G342" s="45"/>
      <c r="H342" s="42"/>
      <c r="I342" s="46"/>
      <c r="J342" s="12"/>
      <c r="K342" s="46">
        <v>160</v>
      </c>
      <c r="L342" s="47">
        <v>117</v>
      </c>
      <c r="M342"/>
      <c r="N342"/>
      <c r="O342"/>
    </row>
    <row r="343" spans="3:15" ht="48" x14ac:dyDescent="0.3">
      <c r="C343" s="90" t="s">
        <v>1326</v>
      </c>
      <c r="D343" s="87" t="s">
        <v>1327</v>
      </c>
      <c r="E343" s="90" t="s">
        <v>68</v>
      </c>
      <c r="F343" s="92">
        <v>8</v>
      </c>
      <c r="G343" s="45"/>
      <c r="H343" s="42"/>
      <c r="I343" s="46"/>
      <c r="J343" s="12"/>
      <c r="K343" s="46">
        <v>8</v>
      </c>
      <c r="L343" s="47"/>
      <c r="M343"/>
      <c r="N343"/>
      <c r="O343"/>
    </row>
    <row r="344" spans="3:15" ht="48" x14ac:dyDescent="0.3">
      <c r="C344" s="90" t="s">
        <v>1329</v>
      </c>
      <c r="D344" s="87" t="s">
        <v>1330</v>
      </c>
      <c r="E344" s="90" t="s">
        <v>699</v>
      </c>
      <c r="F344" s="92">
        <v>0.82</v>
      </c>
      <c r="G344" s="45"/>
      <c r="H344" s="42"/>
      <c r="I344" s="46"/>
      <c r="J344" s="12"/>
      <c r="K344" s="46">
        <v>0.82</v>
      </c>
      <c r="L344" s="47"/>
      <c r="M344"/>
      <c r="N344"/>
      <c r="O344"/>
    </row>
    <row r="345" spans="3:15" ht="60" x14ac:dyDescent="0.3">
      <c r="C345" s="90" t="s">
        <v>1332</v>
      </c>
      <c r="D345" s="87" t="s">
        <v>1333</v>
      </c>
      <c r="E345" s="90" t="s">
        <v>68</v>
      </c>
      <c r="F345" s="92">
        <v>33</v>
      </c>
      <c r="G345" s="45"/>
      <c r="H345" s="42"/>
      <c r="I345" s="46"/>
      <c r="J345" s="12"/>
      <c r="K345" s="46"/>
      <c r="L345" s="47">
        <v>33</v>
      </c>
      <c r="M345"/>
      <c r="N345"/>
      <c r="O345"/>
    </row>
    <row r="346" spans="3:15" ht="96" x14ac:dyDescent="0.3">
      <c r="C346" s="90" t="s">
        <v>1338</v>
      </c>
      <c r="D346" s="87" t="s">
        <v>1339</v>
      </c>
      <c r="E346" s="90" t="s">
        <v>68</v>
      </c>
      <c r="F346" s="92">
        <v>4</v>
      </c>
      <c r="G346" s="45"/>
      <c r="H346" s="42"/>
      <c r="I346" s="46"/>
      <c r="J346" s="12"/>
      <c r="K346" s="46"/>
      <c r="L346" s="47">
        <v>4</v>
      </c>
      <c r="M346"/>
      <c r="N346"/>
      <c r="O346"/>
    </row>
    <row r="347" spans="3:15" ht="72" x14ac:dyDescent="0.3">
      <c r="C347" s="90" t="s">
        <v>1341</v>
      </c>
      <c r="D347" s="87" t="s">
        <v>1342</v>
      </c>
      <c r="E347" s="90" t="s">
        <v>68</v>
      </c>
      <c r="F347" s="92">
        <v>6</v>
      </c>
      <c r="G347" s="45"/>
      <c r="H347" s="42"/>
      <c r="I347" s="46"/>
      <c r="J347" s="12"/>
      <c r="K347" s="46"/>
      <c r="L347" s="47">
        <v>6</v>
      </c>
      <c r="M347"/>
      <c r="N347"/>
      <c r="O347"/>
    </row>
    <row r="348" spans="3:15" ht="84" x14ac:dyDescent="0.3">
      <c r="C348" s="90" t="s">
        <v>1344</v>
      </c>
      <c r="D348" s="87" t="s">
        <v>1345</v>
      </c>
      <c r="E348" s="90" t="s">
        <v>68</v>
      </c>
      <c r="F348" s="92">
        <v>2</v>
      </c>
      <c r="G348" s="45"/>
      <c r="H348" s="42"/>
      <c r="I348" s="46"/>
      <c r="J348" s="12"/>
      <c r="K348" s="46"/>
      <c r="L348" s="47">
        <v>2</v>
      </c>
      <c r="M348"/>
      <c r="N348"/>
      <c r="O348"/>
    </row>
    <row r="349" spans="3:15" ht="84" x14ac:dyDescent="0.3">
      <c r="C349" s="90" t="s">
        <v>1347</v>
      </c>
      <c r="D349" s="87" t="s">
        <v>1348</v>
      </c>
      <c r="E349" s="90" t="s">
        <v>68</v>
      </c>
      <c r="F349" s="92">
        <v>2</v>
      </c>
      <c r="G349" s="45"/>
      <c r="H349" s="42"/>
      <c r="I349" s="46"/>
      <c r="J349" s="12"/>
      <c r="K349" s="46"/>
      <c r="L349" s="47">
        <v>2</v>
      </c>
      <c r="M349"/>
      <c r="N349"/>
      <c r="O349"/>
    </row>
    <row r="350" spans="3:15" ht="84" x14ac:dyDescent="0.3">
      <c r="C350" s="90" t="s">
        <v>1349</v>
      </c>
      <c r="D350" s="87" t="s">
        <v>1350</v>
      </c>
      <c r="E350" s="90" t="s">
        <v>68</v>
      </c>
      <c r="F350" s="92">
        <v>2</v>
      </c>
      <c r="G350" s="45"/>
      <c r="H350" s="42"/>
      <c r="I350" s="46"/>
      <c r="J350" s="12"/>
      <c r="K350" s="46"/>
      <c r="L350" s="47">
        <v>2</v>
      </c>
      <c r="M350"/>
      <c r="N350"/>
      <c r="O350"/>
    </row>
    <row r="351" spans="3:15" ht="84" x14ac:dyDescent="0.3">
      <c r="C351" s="90" t="s">
        <v>1351</v>
      </c>
      <c r="D351" s="87" t="s">
        <v>1352</v>
      </c>
      <c r="E351" s="90" t="s">
        <v>68</v>
      </c>
      <c r="F351" s="92">
        <v>1</v>
      </c>
      <c r="G351" s="45"/>
      <c r="H351" s="42"/>
      <c r="I351" s="46"/>
      <c r="J351" s="12"/>
      <c r="K351" s="46"/>
      <c r="L351" s="47">
        <v>1</v>
      </c>
      <c r="M351"/>
      <c r="N351"/>
      <c r="O351"/>
    </row>
    <row r="352" spans="3:15" ht="226.8" x14ac:dyDescent="0.3">
      <c r="C352" s="90" t="s">
        <v>1359</v>
      </c>
      <c r="D352" s="28" t="s">
        <v>1360</v>
      </c>
      <c r="E352" s="90" t="s">
        <v>68</v>
      </c>
      <c r="F352" s="92">
        <v>6</v>
      </c>
      <c r="G352" s="45"/>
      <c r="H352" s="42"/>
      <c r="I352" s="46"/>
      <c r="J352" s="12"/>
      <c r="K352" s="46"/>
      <c r="L352" s="47">
        <v>6</v>
      </c>
      <c r="M352"/>
      <c r="N352"/>
      <c r="O352"/>
    </row>
    <row r="353" spans="3:15" ht="120" x14ac:dyDescent="0.3">
      <c r="C353" s="90" t="s">
        <v>1362</v>
      </c>
      <c r="D353" s="87" t="s">
        <v>1363</v>
      </c>
      <c r="E353" s="90" t="s">
        <v>68</v>
      </c>
      <c r="F353" s="92">
        <v>4</v>
      </c>
      <c r="G353" s="45"/>
      <c r="H353" s="42"/>
      <c r="I353" s="46"/>
      <c r="J353" s="12"/>
      <c r="K353" s="46"/>
      <c r="L353" s="47">
        <v>4</v>
      </c>
      <c r="M353"/>
      <c r="N353"/>
      <c r="O353"/>
    </row>
    <row r="354" spans="3:15" ht="60" x14ac:dyDescent="0.3">
      <c r="C354" s="90" t="s">
        <v>1365</v>
      </c>
      <c r="D354" s="87" t="s">
        <v>1366</v>
      </c>
      <c r="E354" s="90" t="s">
        <v>68</v>
      </c>
      <c r="F354" s="92">
        <v>4</v>
      </c>
      <c r="G354" s="45"/>
      <c r="H354" s="42"/>
      <c r="I354" s="46"/>
      <c r="J354" s="12"/>
      <c r="K354" s="46">
        <v>4</v>
      </c>
      <c r="L354" s="47"/>
      <c r="M354"/>
      <c r="N354"/>
      <c r="O354"/>
    </row>
    <row r="355" spans="3:15" ht="72" x14ac:dyDescent="0.3">
      <c r="C355" s="90" t="s">
        <v>1375</v>
      </c>
      <c r="D355" s="87" t="s">
        <v>1376</v>
      </c>
      <c r="E355" s="90" t="s">
        <v>68</v>
      </c>
      <c r="F355" s="92">
        <v>1</v>
      </c>
      <c r="G355" s="45"/>
      <c r="H355" s="42"/>
      <c r="I355" s="46"/>
      <c r="J355" s="12"/>
      <c r="K355" s="46">
        <v>1</v>
      </c>
      <c r="L355" s="47"/>
      <c r="M355"/>
      <c r="N355"/>
      <c r="O355"/>
    </row>
    <row r="356" spans="3:15" ht="72" x14ac:dyDescent="0.3">
      <c r="C356" s="90" t="s">
        <v>1378</v>
      </c>
      <c r="D356" s="87" t="s">
        <v>1379</v>
      </c>
      <c r="E356" s="90" t="s">
        <v>68</v>
      </c>
      <c r="F356" s="92">
        <v>3</v>
      </c>
      <c r="G356" s="45"/>
      <c r="H356" s="42"/>
      <c r="I356" s="46"/>
      <c r="J356" s="12"/>
      <c r="K356" s="46">
        <v>3</v>
      </c>
      <c r="L356" s="47"/>
      <c r="M356"/>
      <c r="N356"/>
      <c r="O356"/>
    </row>
    <row r="357" spans="3:15" ht="72" x14ac:dyDescent="0.3">
      <c r="C357" s="90" t="s">
        <v>1381</v>
      </c>
      <c r="D357" s="87" t="s">
        <v>1382</v>
      </c>
      <c r="E357" s="90" t="s">
        <v>68</v>
      </c>
      <c r="F357" s="92">
        <v>21</v>
      </c>
      <c r="G357" s="45"/>
      <c r="H357" s="42"/>
      <c r="I357" s="46"/>
      <c r="J357" s="12"/>
      <c r="K357" s="46">
        <v>21</v>
      </c>
      <c r="L357" s="47"/>
      <c r="M357"/>
      <c r="N357"/>
      <c r="O357"/>
    </row>
    <row r="358" spans="3:15" ht="72" x14ac:dyDescent="0.3">
      <c r="C358" s="90" t="s">
        <v>1384</v>
      </c>
      <c r="D358" s="87" t="s">
        <v>1385</v>
      </c>
      <c r="E358" s="90" t="s">
        <v>68</v>
      </c>
      <c r="F358" s="92">
        <v>1</v>
      </c>
      <c r="G358" s="45"/>
      <c r="H358" s="42"/>
      <c r="I358" s="46"/>
      <c r="J358" s="12"/>
      <c r="K358" s="46">
        <v>1</v>
      </c>
      <c r="L358" s="47"/>
      <c r="M358"/>
      <c r="N358"/>
      <c r="O358"/>
    </row>
    <row r="359" spans="3:15" x14ac:dyDescent="0.3">
      <c r="C359" s="90"/>
      <c r="D359" s="87"/>
      <c r="E359" s="90"/>
      <c r="F359" s="92"/>
      <c r="G359" s="45"/>
      <c r="H359" s="42"/>
      <c r="I359" s="42"/>
      <c r="J359" s="41"/>
      <c r="K359" s="42"/>
      <c r="L359" s="45"/>
      <c r="M359" s="45"/>
      <c r="N359" s="45"/>
      <c r="O359" s="45"/>
    </row>
    <row r="360" spans="3:15" x14ac:dyDescent="0.3">
      <c r="C360" s="90"/>
      <c r="D360" s="87"/>
      <c r="E360" s="90"/>
      <c r="F360" s="92"/>
      <c r="G360" s="45"/>
      <c r="H360" s="42"/>
      <c r="I360" s="42"/>
      <c r="J360" s="41"/>
      <c r="K360" s="42"/>
      <c r="L360" s="45"/>
      <c r="M360" s="45"/>
      <c r="N360" s="45"/>
      <c r="O360" s="45"/>
    </row>
    <row r="361" spans="3:15" x14ac:dyDescent="0.3">
      <c r="C361" s="90"/>
      <c r="D361" s="87"/>
      <c r="E361" s="90"/>
      <c r="F361" s="92"/>
      <c r="G361" s="45"/>
      <c r="H361" s="42"/>
      <c r="I361" s="42"/>
      <c r="J361" s="41"/>
      <c r="K361" s="42"/>
      <c r="L361" s="45"/>
      <c r="M361" s="45"/>
      <c r="N361" s="45"/>
      <c r="O361" s="45"/>
    </row>
    <row r="362" spans="3:15" x14ac:dyDescent="0.3">
      <c r="C362" s="90"/>
      <c r="D362" s="87"/>
      <c r="E362" s="90"/>
      <c r="F362" s="92"/>
      <c r="G362" s="45"/>
      <c r="H362" s="42"/>
      <c r="I362" s="42"/>
      <c r="J362" s="41"/>
      <c r="K362" s="42"/>
      <c r="L362" s="45"/>
      <c r="M362" s="45"/>
      <c r="N362" s="45"/>
      <c r="O362" s="45"/>
    </row>
    <row r="363" spans="3:15" x14ac:dyDescent="0.3">
      <c r="C363" s="90"/>
      <c r="D363" s="87"/>
      <c r="E363" s="90"/>
      <c r="F363" s="92"/>
      <c r="G363" s="45"/>
      <c r="H363" s="42"/>
      <c r="I363" s="42"/>
      <c r="J363" s="41"/>
      <c r="K363" s="42"/>
      <c r="L363" s="45"/>
      <c r="M363" s="45"/>
      <c r="N363" s="45"/>
      <c r="O363" s="45"/>
    </row>
    <row r="364" spans="3:15" x14ac:dyDescent="0.3">
      <c r="C364" s="90"/>
      <c r="D364" s="87"/>
      <c r="E364" s="90"/>
      <c r="F364" s="92"/>
      <c r="G364" s="45"/>
      <c r="H364" s="42"/>
      <c r="I364" s="42"/>
      <c r="J364" s="41"/>
      <c r="K364" s="42"/>
      <c r="L364" s="45"/>
      <c r="M364" s="45"/>
      <c r="N364" s="45"/>
      <c r="O364" s="45"/>
    </row>
    <row r="365" spans="3:15" x14ac:dyDescent="0.3">
      <c r="C365" s="90"/>
      <c r="D365" s="87"/>
      <c r="E365" s="90"/>
      <c r="F365" s="92"/>
      <c r="G365" s="45"/>
      <c r="H365" s="42"/>
      <c r="I365" s="42"/>
      <c r="J365" s="41"/>
      <c r="K365" s="42"/>
      <c r="L365" s="45"/>
      <c r="M365" s="45"/>
      <c r="N365" s="45"/>
      <c r="O365" s="45"/>
    </row>
    <row r="366" spans="3:15" x14ac:dyDescent="0.3">
      <c r="C366" s="90"/>
      <c r="D366" s="87"/>
      <c r="E366" s="90"/>
      <c r="F366" s="92"/>
      <c r="G366" s="45"/>
      <c r="H366" s="42"/>
      <c r="I366" s="42"/>
      <c r="J366" s="41"/>
      <c r="K366" s="42"/>
      <c r="L366" s="45"/>
      <c r="M366" s="45"/>
      <c r="N366" s="45"/>
      <c r="O366" s="45"/>
    </row>
    <row r="367" spans="3:15" x14ac:dyDescent="0.3">
      <c r="C367" s="90"/>
      <c r="D367" s="87"/>
      <c r="E367" s="90"/>
      <c r="F367" s="92"/>
      <c r="G367" s="45"/>
      <c r="H367" s="42"/>
      <c r="I367" s="42"/>
      <c r="J367" s="41"/>
      <c r="K367" s="42"/>
      <c r="L367" s="45"/>
      <c r="M367" s="45"/>
      <c r="N367" s="45"/>
      <c r="O367" s="45"/>
    </row>
    <row r="368" spans="3:15" x14ac:dyDescent="0.3">
      <c r="C368" s="90"/>
      <c r="D368" s="87"/>
      <c r="E368" s="90"/>
      <c r="F368" s="92"/>
      <c r="G368" s="45"/>
      <c r="H368" s="42"/>
      <c r="I368" s="42"/>
      <c r="J368" s="41"/>
      <c r="K368" s="42"/>
      <c r="L368" s="45"/>
      <c r="M368" s="45"/>
      <c r="N368" s="45"/>
      <c r="O368" s="45"/>
    </row>
    <row r="369" spans="3:15" x14ac:dyDescent="0.3">
      <c r="C369" s="90"/>
      <c r="D369" s="87"/>
      <c r="E369" s="90"/>
      <c r="F369" s="92"/>
      <c r="G369" s="45"/>
      <c r="H369" s="42"/>
      <c r="I369" s="42"/>
      <c r="J369" s="41"/>
      <c r="K369" s="42"/>
      <c r="L369" s="45"/>
      <c r="M369" s="45"/>
      <c r="N369" s="45"/>
      <c r="O369" s="45"/>
    </row>
    <row r="370" spans="3:15" x14ac:dyDescent="0.3">
      <c r="C370" s="90"/>
      <c r="D370" s="87"/>
      <c r="E370" s="90"/>
      <c r="F370" s="92"/>
      <c r="G370" s="45"/>
      <c r="H370" s="42"/>
      <c r="I370" s="42"/>
      <c r="J370" s="41"/>
      <c r="K370" s="42"/>
      <c r="L370" s="45"/>
      <c r="M370" s="45"/>
      <c r="N370" s="45"/>
      <c r="O370" s="45"/>
    </row>
    <row r="371" spans="3:15" x14ac:dyDescent="0.3">
      <c r="C371" s="90"/>
      <c r="D371" s="87"/>
      <c r="E371" s="90"/>
      <c r="F371" s="92"/>
      <c r="G371" s="45"/>
      <c r="H371" s="42"/>
      <c r="I371" s="42"/>
      <c r="J371" s="41"/>
      <c r="K371" s="42"/>
      <c r="L371" s="45"/>
      <c r="M371" s="45"/>
      <c r="N371" s="45"/>
      <c r="O371" s="45"/>
    </row>
    <row r="372" spans="3:15" x14ac:dyDescent="0.3">
      <c r="C372" s="90"/>
      <c r="D372" s="87"/>
      <c r="E372" s="90"/>
      <c r="F372" s="92"/>
      <c r="G372" s="45"/>
      <c r="H372" s="42"/>
      <c r="I372" s="42"/>
      <c r="J372" s="41"/>
      <c r="K372" s="42"/>
      <c r="L372" s="45"/>
      <c r="M372" s="45"/>
      <c r="N372" s="45"/>
      <c r="O372" s="45"/>
    </row>
    <row r="373" spans="3:15" x14ac:dyDescent="0.3">
      <c r="C373" s="90"/>
      <c r="D373" s="87"/>
      <c r="E373" s="90"/>
      <c r="F373" s="92"/>
      <c r="G373" s="45"/>
      <c r="H373" s="42"/>
      <c r="I373" s="42"/>
      <c r="J373" s="41"/>
      <c r="K373" s="42"/>
      <c r="L373" s="45"/>
      <c r="M373" s="45"/>
      <c r="N373" s="45"/>
      <c r="O373" s="45"/>
    </row>
    <row r="374" spans="3:15" x14ac:dyDescent="0.3">
      <c r="C374" s="90"/>
      <c r="D374" s="87"/>
      <c r="E374" s="90"/>
      <c r="F374" s="92"/>
      <c r="G374" s="45"/>
      <c r="H374" s="42"/>
      <c r="I374" s="42"/>
      <c r="J374" s="41"/>
      <c r="K374" s="42"/>
      <c r="L374" s="45"/>
      <c r="M374" s="45"/>
      <c r="N374" s="45"/>
      <c r="O374" s="45"/>
    </row>
    <row r="375" spans="3:15" x14ac:dyDescent="0.3">
      <c r="C375" s="90"/>
      <c r="D375" s="87"/>
      <c r="E375" s="90"/>
      <c r="F375" s="92"/>
      <c r="G375" s="45"/>
      <c r="H375" s="42"/>
      <c r="I375" s="42"/>
      <c r="J375" s="41"/>
      <c r="K375" s="42"/>
      <c r="L375" s="45"/>
      <c r="M375" s="45"/>
      <c r="N375" s="45"/>
      <c r="O375" s="45"/>
    </row>
    <row r="376" spans="3:15" x14ac:dyDescent="0.3">
      <c r="C376" s="90"/>
      <c r="D376" s="87"/>
      <c r="E376" s="90"/>
      <c r="F376" s="92"/>
      <c r="G376" s="45"/>
      <c r="H376" s="42"/>
      <c r="I376" s="42"/>
      <c r="J376" s="41"/>
      <c r="K376" s="42"/>
      <c r="L376" s="45"/>
      <c r="M376" s="45"/>
      <c r="N376" s="45"/>
      <c r="O376" s="45"/>
    </row>
    <row r="377" spans="3:15" x14ac:dyDescent="0.3">
      <c r="C377" s="90"/>
      <c r="D377" s="87"/>
      <c r="E377" s="90"/>
      <c r="F377" s="92"/>
      <c r="G377" s="45"/>
      <c r="H377" s="42"/>
      <c r="I377" s="42"/>
      <c r="J377" s="41"/>
      <c r="K377" s="42"/>
      <c r="L377" s="45"/>
      <c r="M377" s="45"/>
      <c r="N377" s="45"/>
      <c r="O377" s="45"/>
    </row>
    <row r="378" spans="3:15" x14ac:dyDescent="0.3">
      <c r="C378" s="90"/>
      <c r="D378" s="87"/>
      <c r="E378" s="90"/>
      <c r="F378" s="92"/>
      <c r="G378" s="45"/>
      <c r="H378" s="42"/>
      <c r="I378" s="42"/>
      <c r="J378" s="41"/>
      <c r="K378" s="42"/>
      <c r="L378" s="45"/>
      <c r="M378" s="45"/>
      <c r="N378" s="45"/>
      <c r="O378" s="45"/>
    </row>
    <row r="379" spans="3:15" x14ac:dyDescent="0.3">
      <c r="C379" s="90"/>
      <c r="D379" s="87"/>
      <c r="E379" s="90"/>
      <c r="F379" s="92"/>
      <c r="G379" s="45"/>
      <c r="H379" s="42"/>
      <c r="I379" s="42"/>
      <c r="J379" s="41"/>
      <c r="K379" s="42"/>
      <c r="L379" s="45"/>
      <c r="M379" s="45"/>
      <c r="N379" s="45"/>
      <c r="O379" s="45"/>
    </row>
    <row r="380" spans="3:15" x14ac:dyDescent="0.3">
      <c r="C380" s="90"/>
      <c r="D380" s="87"/>
      <c r="E380" s="90"/>
      <c r="F380" s="92"/>
      <c r="G380" s="45"/>
      <c r="H380" s="42"/>
      <c r="I380" s="42"/>
      <c r="J380" s="41"/>
      <c r="K380" s="42"/>
      <c r="L380" s="45"/>
      <c r="M380" s="45"/>
      <c r="N380" s="45"/>
      <c r="O380" s="45"/>
    </row>
    <row r="381" spans="3:15" x14ac:dyDescent="0.3">
      <c r="C381" s="90"/>
      <c r="D381" s="87"/>
      <c r="E381" s="90"/>
      <c r="F381" s="92"/>
      <c r="G381" s="45"/>
      <c r="H381" s="42"/>
      <c r="I381" s="42"/>
      <c r="J381" s="41"/>
      <c r="K381" s="42"/>
      <c r="L381" s="45"/>
      <c r="M381" s="45"/>
      <c r="N381" s="45"/>
      <c r="O381" s="45"/>
    </row>
    <row r="382" spans="3:15" x14ac:dyDescent="0.3">
      <c r="C382" s="90"/>
      <c r="D382" s="87"/>
      <c r="E382" s="90"/>
      <c r="F382" s="92"/>
      <c r="G382" s="45"/>
      <c r="H382" s="42"/>
      <c r="I382" s="42"/>
      <c r="J382" s="41"/>
      <c r="K382" s="42"/>
      <c r="L382" s="45"/>
      <c r="M382" s="45"/>
      <c r="N382" s="45"/>
      <c r="O382" s="45"/>
    </row>
    <row r="383" spans="3:15" x14ac:dyDescent="0.3">
      <c r="C383" s="90"/>
      <c r="D383" s="87"/>
      <c r="E383" s="90"/>
      <c r="F383" s="92"/>
      <c r="G383" s="45"/>
      <c r="H383" s="42"/>
      <c r="I383" s="42"/>
      <c r="J383" s="41"/>
      <c r="K383" s="42"/>
      <c r="L383" s="45"/>
      <c r="M383" s="45"/>
      <c r="N383" s="45"/>
      <c r="O383" s="45"/>
    </row>
    <row r="384" spans="3:15" x14ac:dyDescent="0.3">
      <c r="C384" s="90"/>
      <c r="D384" s="87"/>
      <c r="E384" s="90"/>
      <c r="F384" s="92"/>
      <c r="G384" s="45"/>
      <c r="H384" s="42"/>
      <c r="I384" s="42"/>
      <c r="J384" s="41"/>
      <c r="K384" s="42"/>
      <c r="L384" s="45"/>
      <c r="M384" s="45"/>
      <c r="N384" s="45"/>
      <c r="O384" s="45"/>
    </row>
    <row r="385" spans="3:15" x14ac:dyDescent="0.3">
      <c r="C385" s="90"/>
      <c r="D385" s="87"/>
      <c r="E385" s="90"/>
      <c r="F385" s="92"/>
      <c r="G385" s="45"/>
      <c r="H385" s="42"/>
      <c r="I385" s="42"/>
      <c r="J385" s="41"/>
      <c r="K385" s="42"/>
      <c r="L385" s="45"/>
      <c r="M385" s="45"/>
      <c r="N385" s="45"/>
      <c r="O385" s="45"/>
    </row>
    <row r="386" spans="3:15" x14ac:dyDescent="0.3">
      <c r="C386" s="90"/>
      <c r="D386" s="87"/>
      <c r="E386" s="90"/>
      <c r="F386" s="92"/>
      <c r="G386" s="45"/>
      <c r="H386" s="42"/>
      <c r="I386" s="42"/>
      <c r="J386" s="41"/>
      <c r="K386" s="42"/>
      <c r="L386" s="45"/>
      <c r="M386" s="45"/>
      <c r="N386" s="45"/>
      <c r="O386" s="45"/>
    </row>
    <row r="387" spans="3:15" x14ac:dyDescent="0.3">
      <c r="C387" s="90"/>
      <c r="D387" s="87"/>
      <c r="E387" s="90"/>
      <c r="F387" s="92"/>
      <c r="G387" s="45"/>
      <c r="H387" s="42"/>
      <c r="I387" s="42"/>
      <c r="J387" s="41"/>
      <c r="K387" s="42"/>
      <c r="L387" s="45"/>
      <c r="M387" s="45"/>
      <c r="N387" s="45"/>
      <c r="O387" s="45"/>
    </row>
    <row r="388" spans="3:15" x14ac:dyDescent="0.3">
      <c r="C388" s="90"/>
      <c r="D388" s="87"/>
      <c r="E388" s="90"/>
      <c r="F388" s="92"/>
      <c r="G388" s="45"/>
      <c r="H388" s="42"/>
      <c r="I388" s="42"/>
      <c r="J388" s="41"/>
      <c r="K388" s="42"/>
      <c r="L388" s="45"/>
      <c r="M388" s="45"/>
      <c r="N388" s="45"/>
      <c r="O388" s="45"/>
    </row>
    <row r="389" spans="3:15" x14ac:dyDescent="0.3">
      <c r="C389" s="90"/>
      <c r="D389" s="87"/>
      <c r="E389" s="90"/>
      <c r="F389" s="92"/>
      <c r="G389" s="45"/>
      <c r="H389" s="42"/>
      <c r="I389" s="42"/>
      <c r="J389" s="41"/>
      <c r="K389" s="42"/>
      <c r="L389" s="45"/>
      <c r="M389" s="45"/>
      <c r="N389" s="45"/>
      <c r="O389" s="45"/>
    </row>
    <row r="390" spans="3:15" x14ac:dyDescent="0.3">
      <c r="C390" s="90"/>
      <c r="D390" s="87"/>
      <c r="E390" s="90"/>
      <c r="F390" s="92"/>
      <c r="G390" s="45"/>
      <c r="H390" s="42"/>
      <c r="I390" s="42"/>
      <c r="J390" s="41"/>
      <c r="K390" s="42"/>
      <c r="L390" s="45"/>
      <c r="M390" s="45"/>
      <c r="N390" s="45"/>
      <c r="O390" s="45"/>
    </row>
    <row r="391" spans="3:15" x14ac:dyDescent="0.3">
      <c r="C391" s="90"/>
      <c r="D391" s="87"/>
      <c r="E391" s="90"/>
      <c r="F391" s="92"/>
      <c r="G391" s="45"/>
      <c r="H391" s="42"/>
      <c r="I391" s="42"/>
      <c r="J391" s="41"/>
      <c r="K391" s="42"/>
      <c r="L391" s="45"/>
      <c r="M391" s="45"/>
      <c r="N391" s="45"/>
      <c r="O391" s="45"/>
    </row>
    <row r="392" spans="3:15" x14ac:dyDescent="0.3">
      <c r="C392" s="90"/>
      <c r="D392" s="87"/>
      <c r="E392" s="90"/>
      <c r="F392" s="92"/>
      <c r="G392" s="45"/>
      <c r="H392" s="42"/>
      <c r="I392" s="42"/>
      <c r="J392" s="41"/>
      <c r="K392" s="42"/>
      <c r="L392" s="45"/>
      <c r="M392" s="45"/>
      <c r="N392" s="45"/>
      <c r="O392" s="45"/>
    </row>
    <row r="393" spans="3:15" x14ac:dyDescent="0.3">
      <c r="C393" s="90"/>
      <c r="D393" s="87"/>
      <c r="E393" s="90"/>
      <c r="F393" s="92"/>
      <c r="G393" s="45"/>
      <c r="H393" s="42"/>
      <c r="I393" s="42"/>
      <c r="J393" s="41"/>
      <c r="K393" s="42"/>
      <c r="L393" s="45"/>
      <c r="M393" s="45"/>
      <c r="N393" s="45"/>
      <c r="O393" s="45"/>
    </row>
    <row r="394" spans="3:15" x14ac:dyDescent="0.3">
      <c r="C394" s="90"/>
      <c r="D394" s="87"/>
      <c r="E394" s="90"/>
      <c r="F394" s="92"/>
      <c r="G394" s="45"/>
      <c r="H394" s="42"/>
      <c r="I394" s="42"/>
      <c r="J394" s="41"/>
      <c r="K394" s="42"/>
      <c r="L394" s="45"/>
      <c r="M394" s="45"/>
      <c r="N394" s="45"/>
      <c r="O394" s="45"/>
    </row>
    <row r="395" spans="3:15" x14ac:dyDescent="0.3">
      <c r="C395" s="90"/>
      <c r="D395" s="87"/>
      <c r="E395" s="90"/>
      <c r="F395" s="92"/>
      <c r="G395" s="45"/>
      <c r="H395" s="42"/>
      <c r="I395" s="42"/>
      <c r="J395" s="41"/>
      <c r="K395" s="42"/>
      <c r="L395" s="45"/>
      <c r="M395" s="45"/>
      <c r="N395" s="45"/>
      <c r="O395" s="45"/>
    </row>
    <row r="396" spans="3:15" x14ac:dyDescent="0.3">
      <c r="C396" s="90"/>
      <c r="D396" s="87"/>
      <c r="E396" s="90"/>
      <c r="F396" s="92"/>
      <c r="G396" s="45"/>
      <c r="H396" s="42"/>
      <c r="I396" s="42"/>
      <c r="J396" s="41"/>
      <c r="K396" s="42"/>
      <c r="L396" s="45"/>
      <c r="M396" s="45"/>
      <c r="N396" s="45"/>
      <c r="O396" s="45"/>
    </row>
    <row r="397" spans="3:15" x14ac:dyDescent="0.3">
      <c r="C397" s="90"/>
      <c r="D397" s="87"/>
      <c r="E397" s="90"/>
      <c r="F397" s="92"/>
      <c r="G397" s="45"/>
      <c r="H397" s="42"/>
      <c r="I397" s="42"/>
      <c r="J397" s="41"/>
      <c r="K397" s="42"/>
      <c r="L397" s="45"/>
      <c r="M397" s="45"/>
      <c r="N397" s="45"/>
      <c r="O397" s="45"/>
    </row>
    <row r="398" spans="3:15" x14ac:dyDescent="0.3">
      <c r="C398" s="90"/>
      <c r="D398" s="87"/>
      <c r="E398" s="90"/>
      <c r="F398" s="92"/>
      <c r="G398" s="45"/>
      <c r="H398" s="42"/>
      <c r="I398" s="42"/>
      <c r="J398" s="41"/>
      <c r="K398" s="42"/>
      <c r="L398" s="45"/>
      <c r="M398" s="45"/>
      <c r="N398" s="45"/>
      <c r="O398" s="45"/>
    </row>
    <row r="399" spans="3:15" x14ac:dyDescent="0.3">
      <c r="C399" s="90"/>
      <c r="D399" s="87"/>
      <c r="E399" s="90"/>
      <c r="F399" s="92"/>
      <c r="G399" s="45"/>
      <c r="H399" s="42"/>
      <c r="I399" s="42"/>
      <c r="J399" s="41"/>
      <c r="K399" s="42"/>
      <c r="L399" s="45"/>
      <c r="M399" s="45"/>
      <c r="N399" s="45"/>
      <c r="O399" s="45"/>
    </row>
    <row r="400" spans="3:15" x14ac:dyDescent="0.3">
      <c r="C400" s="90"/>
      <c r="D400" s="87"/>
      <c r="E400" s="90"/>
      <c r="F400" s="92"/>
      <c r="G400" s="45"/>
      <c r="H400" s="42"/>
      <c r="I400" s="42"/>
      <c r="J400" s="41"/>
      <c r="K400" s="42"/>
      <c r="L400" s="45"/>
      <c r="M400" s="45"/>
      <c r="N400" s="45"/>
      <c r="O400" s="45"/>
    </row>
    <row r="401" spans="3:15" x14ac:dyDescent="0.3">
      <c r="C401" s="90"/>
      <c r="D401" s="87"/>
      <c r="E401" s="90"/>
      <c r="F401" s="92"/>
      <c r="G401" s="45"/>
      <c r="H401" s="42"/>
      <c r="I401" s="42"/>
      <c r="J401" s="41"/>
      <c r="K401" s="42"/>
      <c r="L401" s="45"/>
      <c r="M401" s="45"/>
      <c r="N401" s="45"/>
      <c r="O401" s="45"/>
    </row>
    <row r="402" spans="3:15" x14ac:dyDescent="0.3">
      <c r="C402" s="90"/>
      <c r="D402" s="87"/>
      <c r="E402" s="90"/>
      <c r="F402" s="92"/>
      <c r="G402" s="45"/>
      <c r="H402" s="42"/>
      <c r="I402" s="42"/>
      <c r="J402" s="41"/>
      <c r="K402" s="42"/>
      <c r="L402" s="45"/>
      <c r="M402" s="45"/>
      <c r="N402" s="45"/>
      <c r="O402" s="45"/>
    </row>
    <row r="403" spans="3:15" x14ac:dyDescent="0.3">
      <c r="C403" s="90"/>
      <c r="D403" s="87"/>
      <c r="E403" s="90"/>
      <c r="F403" s="92"/>
      <c r="G403" s="45"/>
      <c r="H403" s="42"/>
      <c r="I403" s="42"/>
      <c r="J403" s="41"/>
      <c r="K403" s="42"/>
      <c r="L403" s="45"/>
      <c r="M403" s="45"/>
      <c r="N403" s="45"/>
      <c r="O403" s="45"/>
    </row>
    <row r="404" spans="3:15" x14ac:dyDescent="0.3">
      <c r="C404" s="90"/>
      <c r="D404" s="87"/>
      <c r="E404" s="90"/>
      <c r="F404" s="92"/>
      <c r="G404" s="45"/>
      <c r="H404" s="42"/>
      <c r="I404" s="42"/>
      <c r="J404" s="41"/>
      <c r="K404" s="42"/>
      <c r="L404" s="45"/>
      <c r="M404" s="45"/>
      <c r="N404" s="45"/>
      <c r="O404" s="45"/>
    </row>
    <row r="405" spans="3:15" x14ac:dyDescent="0.3">
      <c r="C405" s="90"/>
      <c r="D405" s="87"/>
      <c r="E405" s="90"/>
      <c r="F405" s="92"/>
      <c r="G405" s="45"/>
      <c r="H405" s="42"/>
      <c r="I405" s="42"/>
      <c r="J405" s="41"/>
      <c r="K405" s="42"/>
      <c r="L405" s="45"/>
      <c r="M405" s="45"/>
      <c r="N405" s="45"/>
      <c r="O405" s="45"/>
    </row>
    <row r="406" spans="3:15" x14ac:dyDescent="0.3">
      <c r="C406" s="90"/>
      <c r="D406" s="87"/>
      <c r="E406" s="90"/>
      <c r="F406" s="92"/>
      <c r="G406" s="45"/>
      <c r="H406" s="42"/>
      <c r="I406" s="42"/>
      <c r="J406" s="41"/>
      <c r="K406" s="42"/>
      <c r="L406" s="45"/>
      <c r="M406" s="45"/>
      <c r="N406" s="45"/>
      <c r="O406" s="45"/>
    </row>
    <row r="407" spans="3:15" x14ac:dyDescent="0.3">
      <c r="C407" s="90"/>
      <c r="D407" s="87"/>
      <c r="E407" s="90"/>
      <c r="F407" s="92"/>
      <c r="G407" s="45"/>
      <c r="H407" s="42"/>
      <c r="I407" s="42"/>
      <c r="J407" s="41"/>
      <c r="K407" s="42"/>
      <c r="L407" s="45"/>
      <c r="M407" s="45"/>
      <c r="N407" s="45"/>
      <c r="O407" s="45"/>
    </row>
    <row r="408" spans="3:15" x14ac:dyDescent="0.3">
      <c r="C408" s="90"/>
      <c r="D408" s="87"/>
      <c r="E408" s="90"/>
      <c r="F408" s="92"/>
      <c r="G408" s="45"/>
      <c r="H408" s="42"/>
      <c r="I408" s="42"/>
      <c r="J408" s="41"/>
      <c r="K408" s="42"/>
      <c r="L408" s="45"/>
      <c r="M408" s="45"/>
      <c r="N408" s="45"/>
      <c r="O408" s="45"/>
    </row>
    <row r="409" spans="3:15" x14ac:dyDescent="0.3">
      <c r="C409" s="90"/>
      <c r="D409" s="87"/>
      <c r="E409" s="90"/>
      <c r="F409" s="92"/>
      <c r="G409" s="45"/>
      <c r="H409" s="42"/>
      <c r="I409" s="42"/>
      <c r="J409" s="41"/>
      <c r="K409" s="42"/>
      <c r="L409" s="45"/>
      <c r="M409" s="45"/>
      <c r="N409" s="45"/>
      <c r="O409" s="45"/>
    </row>
    <row r="410" spans="3:15" x14ac:dyDescent="0.3">
      <c r="C410" s="90"/>
      <c r="D410" s="87"/>
      <c r="E410" s="90"/>
      <c r="F410" s="92"/>
      <c r="G410" s="45"/>
      <c r="H410" s="42"/>
      <c r="I410" s="42"/>
      <c r="J410" s="41"/>
      <c r="K410" s="42"/>
      <c r="L410" s="45"/>
      <c r="M410" s="45"/>
      <c r="N410" s="45"/>
      <c r="O410" s="45"/>
    </row>
    <row r="411" spans="3:15" x14ac:dyDescent="0.3">
      <c r="C411" s="90"/>
      <c r="D411" s="87"/>
      <c r="E411" s="90"/>
      <c r="F411" s="92"/>
      <c r="G411" s="45"/>
      <c r="H411" s="42"/>
      <c r="I411" s="42"/>
      <c r="J411" s="41"/>
      <c r="K411" s="42"/>
      <c r="L411" s="45"/>
      <c r="M411" s="45"/>
      <c r="N411" s="45"/>
      <c r="O411" s="45"/>
    </row>
    <row r="412" spans="3:15" x14ac:dyDescent="0.3">
      <c r="C412" s="90"/>
      <c r="D412" s="87"/>
      <c r="E412" s="90"/>
      <c r="F412" s="92"/>
      <c r="G412" s="45"/>
      <c r="H412" s="42"/>
      <c r="I412" s="42"/>
      <c r="J412" s="41"/>
      <c r="K412" s="42"/>
      <c r="L412" s="45"/>
      <c r="M412" s="45"/>
      <c r="N412" s="45"/>
      <c r="O412" s="45"/>
    </row>
    <row r="413" spans="3:15" x14ac:dyDescent="0.3">
      <c r="C413" s="90"/>
      <c r="D413" s="87"/>
      <c r="E413" s="90"/>
      <c r="F413" s="92"/>
      <c r="G413" s="45"/>
      <c r="H413" s="42"/>
      <c r="I413" s="42"/>
      <c r="J413" s="41"/>
      <c r="K413" s="42"/>
      <c r="L413" s="45"/>
      <c r="M413" s="45"/>
      <c r="N413" s="45"/>
      <c r="O413" s="45"/>
    </row>
    <row r="414" spans="3:15" x14ac:dyDescent="0.3">
      <c r="C414" s="90"/>
      <c r="D414" s="87"/>
      <c r="E414" s="90"/>
      <c r="F414" s="92"/>
      <c r="G414" s="45"/>
      <c r="H414" s="42"/>
      <c r="I414" s="42"/>
      <c r="J414" s="41"/>
      <c r="K414" s="42"/>
      <c r="L414" s="45"/>
      <c r="M414" s="45"/>
      <c r="N414" s="45"/>
      <c r="O414" s="45"/>
    </row>
    <row r="415" spans="3:15" x14ac:dyDescent="0.3">
      <c r="C415" s="90"/>
      <c r="D415" s="87"/>
      <c r="E415" s="90"/>
      <c r="F415" s="92"/>
      <c r="G415" s="45"/>
      <c r="H415" s="42"/>
      <c r="I415" s="42"/>
      <c r="J415" s="41"/>
      <c r="K415" s="42"/>
      <c r="L415" s="45"/>
      <c r="M415" s="45"/>
      <c r="N415" s="45"/>
      <c r="O415" s="45"/>
    </row>
    <row r="416" spans="3:15" x14ac:dyDescent="0.3">
      <c r="C416" s="90"/>
      <c r="D416" s="87"/>
      <c r="E416" s="90"/>
      <c r="F416" s="92"/>
      <c r="G416" s="45"/>
      <c r="H416" s="42"/>
      <c r="I416" s="42"/>
      <c r="J416" s="41"/>
      <c r="K416" s="42"/>
      <c r="L416" s="45"/>
      <c r="M416" s="45"/>
      <c r="N416" s="45"/>
      <c r="O416" s="45"/>
    </row>
    <row r="417" spans="3:15" x14ac:dyDescent="0.3">
      <c r="C417" s="90"/>
      <c r="D417" s="87"/>
      <c r="E417" s="90"/>
      <c r="F417" s="92"/>
      <c r="G417" s="45"/>
      <c r="H417" s="42"/>
      <c r="I417" s="42"/>
      <c r="J417" s="41"/>
      <c r="K417" s="42"/>
      <c r="L417" s="45"/>
      <c r="M417" s="45"/>
      <c r="N417" s="45"/>
      <c r="O417" s="45"/>
    </row>
    <row r="418" spans="3:15" x14ac:dyDescent="0.3">
      <c r="C418" s="90"/>
      <c r="D418" s="87"/>
      <c r="E418" s="90"/>
      <c r="F418" s="92"/>
      <c r="G418" s="45"/>
      <c r="H418" s="42"/>
      <c r="I418" s="42"/>
      <c r="J418" s="41"/>
      <c r="K418" s="42"/>
      <c r="L418" s="45"/>
      <c r="M418" s="45"/>
      <c r="N418" s="45"/>
      <c r="O418" s="45"/>
    </row>
    <row r="419" spans="3:15" x14ac:dyDescent="0.3">
      <c r="C419" s="90"/>
      <c r="D419" s="87"/>
      <c r="E419" s="90"/>
      <c r="F419" s="92"/>
      <c r="G419" s="45"/>
      <c r="H419" s="42"/>
      <c r="I419" s="42"/>
      <c r="J419" s="41"/>
      <c r="K419" s="42"/>
      <c r="L419" s="45"/>
      <c r="M419" s="45"/>
      <c r="N419" s="45"/>
      <c r="O419" s="45"/>
    </row>
    <row r="420" spans="3:15" x14ac:dyDescent="0.3">
      <c r="C420" s="90"/>
      <c r="D420" s="87"/>
      <c r="E420" s="90"/>
      <c r="F420" s="92"/>
      <c r="G420" s="45"/>
      <c r="H420" s="42"/>
      <c r="I420" s="42"/>
      <c r="J420" s="41"/>
      <c r="K420" s="42"/>
      <c r="L420" s="45"/>
      <c r="M420" s="45"/>
      <c r="N420" s="45"/>
      <c r="O420" s="45"/>
    </row>
    <row r="421" spans="3:15" x14ac:dyDescent="0.3">
      <c r="C421" s="90"/>
      <c r="D421" s="87"/>
      <c r="E421" s="90"/>
      <c r="F421" s="92"/>
      <c r="G421" s="45"/>
      <c r="H421" s="42"/>
      <c r="I421" s="42"/>
      <c r="J421" s="41"/>
      <c r="K421" s="42"/>
      <c r="L421" s="45"/>
      <c r="M421" s="45"/>
      <c r="N421" s="45"/>
      <c r="O421" s="45"/>
    </row>
    <row r="422" spans="3:15" x14ac:dyDescent="0.3">
      <c r="C422" s="90"/>
      <c r="D422" s="87"/>
      <c r="E422" s="90"/>
      <c r="F422" s="92"/>
      <c r="G422" s="45"/>
      <c r="H422" s="42"/>
      <c r="I422" s="42"/>
      <c r="J422" s="41"/>
      <c r="K422" s="42"/>
      <c r="L422" s="45"/>
      <c r="M422" s="45"/>
      <c r="N422" s="45"/>
      <c r="O422" s="45"/>
    </row>
    <row r="423" spans="3:15" x14ac:dyDescent="0.3">
      <c r="C423" s="90"/>
      <c r="D423" s="87"/>
      <c r="E423" s="90"/>
      <c r="F423" s="92"/>
      <c r="G423" s="45"/>
      <c r="H423" s="42"/>
      <c r="I423" s="42"/>
      <c r="J423" s="41"/>
      <c r="K423" s="42"/>
      <c r="L423" s="45"/>
      <c r="M423" s="45"/>
      <c r="N423" s="45"/>
      <c r="O423" s="45"/>
    </row>
    <row r="424" spans="3:15" x14ac:dyDescent="0.3">
      <c r="C424" s="90"/>
      <c r="D424" s="87"/>
      <c r="E424" s="90"/>
      <c r="F424" s="92"/>
      <c r="G424" s="45"/>
      <c r="H424" s="42"/>
      <c r="I424" s="42"/>
      <c r="J424" s="41"/>
      <c r="K424" s="42"/>
      <c r="L424" s="45"/>
      <c r="M424" s="45"/>
      <c r="N424" s="45"/>
      <c r="O424" s="45"/>
    </row>
    <row r="425" spans="3:15" x14ac:dyDescent="0.3">
      <c r="C425" s="90"/>
      <c r="D425" s="87"/>
      <c r="E425" s="90"/>
      <c r="F425" s="92"/>
      <c r="G425" s="45"/>
      <c r="H425" s="42"/>
      <c r="I425" s="42"/>
      <c r="J425" s="41"/>
      <c r="K425" s="42"/>
      <c r="L425" s="45"/>
      <c r="M425" s="45"/>
      <c r="N425" s="45"/>
      <c r="O425" s="45"/>
    </row>
    <row r="426" spans="3:15" x14ac:dyDescent="0.3">
      <c r="C426" s="90"/>
      <c r="D426" s="87"/>
      <c r="E426" s="90"/>
      <c r="F426" s="92"/>
      <c r="G426" s="45"/>
      <c r="H426" s="42"/>
      <c r="I426" s="42"/>
      <c r="J426" s="41"/>
      <c r="K426" s="42"/>
      <c r="L426" s="45"/>
      <c r="M426" s="45"/>
      <c r="N426" s="45"/>
      <c r="O426" s="45"/>
    </row>
    <row r="427" spans="3:15" x14ac:dyDescent="0.3">
      <c r="C427" s="90"/>
      <c r="D427" s="87"/>
      <c r="E427" s="90"/>
      <c r="F427" s="92"/>
      <c r="G427" s="45"/>
      <c r="H427" s="42"/>
      <c r="I427" s="42"/>
      <c r="J427" s="41"/>
      <c r="K427" s="42"/>
      <c r="L427" s="45"/>
      <c r="M427" s="45"/>
      <c r="N427" s="45"/>
      <c r="O427" s="45"/>
    </row>
    <row r="428" spans="3:15" x14ac:dyDescent="0.3">
      <c r="C428" s="90"/>
      <c r="D428" s="87"/>
      <c r="E428" s="90"/>
      <c r="F428" s="92"/>
      <c r="G428" s="45"/>
      <c r="H428" s="42"/>
      <c r="I428" s="42"/>
      <c r="J428" s="41"/>
      <c r="K428" s="42"/>
      <c r="L428" s="45"/>
      <c r="M428" s="45"/>
      <c r="N428" s="45"/>
      <c r="O428" s="45"/>
    </row>
    <row r="429" spans="3:15" x14ac:dyDescent="0.3">
      <c r="C429" s="90"/>
      <c r="D429" s="87"/>
      <c r="E429" s="90"/>
      <c r="F429" s="92"/>
      <c r="G429" s="45"/>
      <c r="H429" s="42"/>
      <c r="I429" s="42"/>
      <c r="J429" s="41"/>
      <c r="K429" s="42"/>
      <c r="L429" s="45"/>
      <c r="M429" s="45"/>
      <c r="N429" s="45"/>
      <c r="O429" s="45"/>
    </row>
    <row r="430" spans="3:15" x14ac:dyDescent="0.3">
      <c r="C430" s="90"/>
      <c r="D430" s="87"/>
      <c r="E430" s="90"/>
      <c r="F430" s="92"/>
      <c r="G430" s="45"/>
      <c r="H430" s="42"/>
      <c r="I430" s="42"/>
      <c r="J430" s="41"/>
      <c r="K430" s="42"/>
      <c r="L430" s="45"/>
      <c r="M430" s="45"/>
      <c r="N430" s="45"/>
      <c r="O430" s="45"/>
    </row>
    <row r="431" spans="3:15" x14ac:dyDescent="0.3">
      <c r="C431" s="90"/>
      <c r="D431" s="87"/>
      <c r="E431" s="90"/>
      <c r="F431" s="92"/>
      <c r="G431" s="45"/>
      <c r="H431" s="42"/>
      <c r="I431" s="42"/>
      <c r="J431" s="41"/>
      <c r="K431" s="42"/>
      <c r="L431" s="45"/>
      <c r="M431" s="45"/>
      <c r="N431" s="45"/>
      <c r="O431" s="45"/>
    </row>
    <row r="432" spans="3:15" x14ac:dyDescent="0.3">
      <c r="C432" s="90"/>
      <c r="D432" s="87"/>
      <c r="E432" s="90"/>
      <c r="F432" s="92"/>
      <c r="G432" s="45"/>
      <c r="H432" s="42"/>
      <c r="I432" s="42"/>
      <c r="J432" s="41"/>
      <c r="K432" s="42"/>
      <c r="L432" s="45"/>
      <c r="M432" s="45"/>
      <c r="N432" s="45"/>
      <c r="O432" s="45"/>
    </row>
    <row r="433" spans="3:15" x14ac:dyDescent="0.3">
      <c r="C433" s="90"/>
      <c r="D433" s="87"/>
      <c r="E433" s="90"/>
      <c r="F433" s="92"/>
      <c r="G433" s="45"/>
      <c r="H433" s="42"/>
      <c r="I433" s="42"/>
      <c r="J433" s="41"/>
      <c r="K433" s="42"/>
      <c r="L433" s="45"/>
      <c r="M433" s="45"/>
      <c r="N433" s="45"/>
      <c r="O433" s="45"/>
    </row>
    <row r="434" spans="3:15" x14ac:dyDescent="0.3">
      <c r="C434" s="90"/>
      <c r="D434" s="87"/>
      <c r="E434" s="90"/>
      <c r="F434" s="92"/>
      <c r="G434" s="45"/>
      <c r="H434" s="42"/>
      <c r="I434" s="42"/>
      <c r="J434" s="41"/>
      <c r="K434" s="42"/>
      <c r="L434" s="45"/>
      <c r="M434" s="45"/>
      <c r="N434" s="45"/>
      <c r="O434" s="45"/>
    </row>
    <row r="435" spans="3:15" x14ac:dyDescent="0.3">
      <c r="C435" s="90"/>
      <c r="D435" s="87"/>
      <c r="E435" s="90"/>
      <c r="F435" s="92"/>
      <c r="G435" s="45"/>
      <c r="H435" s="42"/>
      <c r="I435" s="42"/>
      <c r="J435" s="41"/>
      <c r="K435" s="42"/>
      <c r="L435" s="45"/>
      <c r="M435" s="45"/>
      <c r="N435" s="45"/>
      <c r="O435" s="45"/>
    </row>
    <row r="436" spans="3:15" x14ac:dyDescent="0.3">
      <c r="C436" s="90"/>
      <c r="D436" s="87"/>
      <c r="E436" s="90"/>
      <c r="F436" s="92"/>
      <c r="G436" s="45"/>
      <c r="H436" s="42"/>
      <c r="I436" s="42"/>
      <c r="J436" s="41"/>
      <c r="K436" s="42"/>
      <c r="L436" s="45"/>
      <c r="M436" s="45"/>
      <c r="N436" s="45"/>
      <c r="O436" s="45"/>
    </row>
    <row r="437" spans="3:15" x14ac:dyDescent="0.3">
      <c r="C437" s="90"/>
      <c r="D437" s="87"/>
      <c r="E437" s="90"/>
      <c r="F437" s="92"/>
      <c r="G437" s="45"/>
      <c r="H437" s="42"/>
      <c r="I437" s="42"/>
      <c r="J437" s="41"/>
      <c r="K437" s="42"/>
      <c r="L437" s="45"/>
      <c r="M437" s="45"/>
      <c r="N437" s="45"/>
      <c r="O437" s="45"/>
    </row>
    <row r="438" spans="3:15" x14ac:dyDescent="0.3">
      <c r="C438" s="90"/>
      <c r="D438" s="87"/>
      <c r="E438" s="90"/>
      <c r="F438" s="92"/>
      <c r="G438" s="45"/>
      <c r="H438" s="42"/>
      <c r="I438" s="42"/>
      <c r="J438" s="41"/>
      <c r="K438" s="42"/>
      <c r="L438" s="45"/>
      <c r="M438" s="45"/>
      <c r="N438" s="45"/>
      <c r="O438" s="45"/>
    </row>
    <row r="439" spans="3:15" x14ac:dyDescent="0.3">
      <c r="C439" s="90"/>
      <c r="D439" s="87"/>
      <c r="E439" s="90"/>
      <c r="F439" s="92"/>
      <c r="G439" s="45"/>
      <c r="H439" s="42"/>
      <c r="I439" s="42"/>
      <c r="J439" s="41"/>
      <c r="K439" s="42"/>
      <c r="L439" s="45"/>
      <c r="M439" s="45"/>
      <c r="N439" s="45"/>
      <c r="O439" s="45"/>
    </row>
    <row r="440" spans="3:15" x14ac:dyDescent="0.3">
      <c r="C440" s="90"/>
      <c r="D440" s="87"/>
      <c r="E440" s="90"/>
      <c r="F440" s="92"/>
      <c r="G440" s="45"/>
      <c r="H440" s="42"/>
      <c r="I440" s="42"/>
      <c r="J440" s="41"/>
      <c r="K440" s="42"/>
      <c r="L440" s="45"/>
      <c r="M440" s="45"/>
      <c r="N440" s="45"/>
      <c r="O440" s="45"/>
    </row>
    <row r="441" spans="3:15" x14ac:dyDescent="0.3">
      <c r="C441" s="90"/>
      <c r="D441" s="87"/>
      <c r="E441" s="90"/>
      <c r="F441" s="92"/>
      <c r="G441" s="45"/>
      <c r="H441" s="42"/>
      <c r="I441" s="42"/>
      <c r="J441" s="41"/>
      <c r="K441" s="42"/>
      <c r="L441" s="45"/>
      <c r="M441" s="45"/>
      <c r="N441" s="45"/>
      <c r="O441" s="45"/>
    </row>
    <row r="442" spans="3:15" x14ac:dyDescent="0.3">
      <c r="C442" s="90"/>
      <c r="D442" s="87"/>
      <c r="E442" s="90"/>
      <c r="F442" s="92"/>
      <c r="G442" s="45"/>
      <c r="H442" s="42"/>
      <c r="I442" s="42"/>
      <c r="J442" s="41"/>
      <c r="K442" s="42"/>
      <c r="L442" s="45"/>
      <c r="M442" s="45"/>
      <c r="N442" s="45"/>
      <c r="O442" s="45"/>
    </row>
    <row r="443" spans="3:15" x14ac:dyDescent="0.3">
      <c r="C443" s="90"/>
      <c r="D443" s="87"/>
      <c r="E443" s="90"/>
      <c r="F443" s="92"/>
      <c r="G443" s="45"/>
      <c r="H443" s="42"/>
      <c r="I443" s="42"/>
      <c r="J443" s="41"/>
      <c r="K443" s="42"/>
      <c r="L443" s="45"/>
      <c r="M443" s="45"/>
      <c r="N443" s="45"/>
      <c r="O443" s="45"/>
    </row>
    <row r="444" spans="3:15" x14ac:dyDescent="0.3">
      <c r="C444" s="90"/>
      <c r="D444" s="87"/>
      <c r="E444" s="90"/>
      <c r="F444" s="92"/>
      <c r="G444" s="45"/>
      <c r="H444" s="42"/>
      <c r="I444" s="42"/>
      <c r="J444" s="41"/>
      <c r="K444" s="42"/>
      <c r="L444" s="45"/>
      <c r="M444" s="45"/>
      <c r="N444" s="45"/>
      <c r="O444" s="45"/>
    </row>
    <row r="445" spans="3:15" x14ac:dyDescent="0.3">
      <c r="C445" s="90"/>
      <c r="D445" s="87"/>
      <c r="E445" s="90"/>
      <c r="F445" s="92"/>
      <c r="G445" s="45"/>
      <c r="H445" s="42"/>
      <c r="I445" s="42"/>
      <c r="J445" s="41"/>
      <c r="K445" s="42"/>
      <c r="L445" s="45"/>
      <c r="M445" s="45"/>
      <c r="N445" s="45"/>
      <c r="O445" s="45"/>
    </row>
    <row r="446" spans="3:15" x14ac:dyDescent="0.3">
      <c r="C446" s="90"/>
      <c r="D446" s="87"/>
      <c r="E446" s="90"/>
      <c r="F446" s="92"/>
      <c r="G446" s="45"/>
      <c r="H446" s="42"/>
      <c r="I446" s="42"/>
      <c r="J446" s="41"/>
      <c r="K446" s="42"/>
      <c r="L446" s="45"/>
      <c r="M446" s="45"/>
      <c r="N446" s="45"/>
      <c r="O446" s="45"/>
    </row>
    <row r="447" spans="3:15" x14ac:dyDescent="0.3">
      <c r="C447" s="90"/>
      <c r="D447" s="87"/>
      <c r="E447" s="90"/>
      <c r="F447" s="92"/>
      <c r="G447" s="45"/>
      <c r="H447" s="42"/>
      <c r="I447" s="42"/>
      <c r="J447" s="41"/>
      <c r="K447" s="42"/>
      <c r="L447" s="45"/>
      <c r="M447" s="45"/>
      <c r="N447" s="45"/>
      <c r="O447" s="45"/>
    </row>
    <row r="448" spans="3:15" x14ac:dyDescent="0.3">
      <c r="C448" s="90"/>
      <c r="D448" s="87"/>
      <c r="E448" s="90"/>
      <c r="F448" s="92"/>
      <c r="G448" s="45"/>
      <c r="H448" s="42"/>
      <c r="I448" s="42"/>
      <c r="J448" s="41"/>
      <c r="K448" s="42"/>
      <c r="L448" s="45"/>
      <c r="M448" s="45"/>
      <c r="N448" s="45"/>
      <c r="O448" s="45"/>
    </row>
    <row r="449" spans="3:15" x14ac:dyDescent="0.3">
      <c r="C449" s="90"/>
      <c r="D449" s="87"/>
      <c r="E449" s="90"/>
      <c r="F449" s="92"/>
      <c r="G449" s="45"/>
      <c r="H449" s="42"/>
      <c r="I449" s="42"/>
      <c r="J449" s="41"/>
      <c r="K449" s="42"/>
      <c r="L449" s="45"/>
      <c r="M449" s="45"/>
      <c r="N449" s="45"/>
      <c r="O449" s="45"/>
    </row>
    <row r="450" spans="3:15" x14ac:dyDescent="0.3">
      <c r="C450" s="90"/>
      <c r="D450" s="87"/>
      <c r="E450" s="90"/>
      <c r="F450" s="92"/>
      <c r="G450" s="45"/>
      <c r="H450" s="42"/>
      <c r="I450" s="42"/>
      <c r="J450" s="41"/>
      <c r="K450" s="42"/>
      <c r="L450" s="45"/>
      <c r="M450" s="45"/>
      <c r="N450" s="45"/>
      <c r="O450" s="45"/>
    </row>
    <row r="451" spans="3:15" x14ac:dyDescent="0.3">
      <c r="C451" s="90"/>
      <c r="D451" s="87"/>
      <c r="E451" s="90"/>
      <c r="F451" s="92"/>
      <c r="G451" s="45"/>
      <c r="H451" s="42"/>
      <c r="I451" s="42"/>
      <c r="J451" s="41"/>
      <c r="K451" s="42"/>
      <c r="L451" s="45"/>
      <c r="M451" s="45"/>
      <c r="N451" s="45"/>
      <c r="O451" s="45"/>
    </row>
    <row r="452" spans="3:15" x14ac:dyDescent="0.3">
      <c r="C452" s="90"/>
      <c r="D452" s="87"/>
      <c r="E452" s="90"/>
      <c r="F452" s="92"/>
      <c r="G452" s="45"/>
      <c r="H452" s="42"/>
      <c r="I452" s="42"/>
      <c r="J452" s="41"/>
      <c r="K452" s="42"/>
      <c r="L452" s="45"/>
      <c r="M452" s="45"/>
      <c r="N452" s="45"/>
      <c r="O452" s="45"/>
    </row>
    <row r="453" spans="3:15" x14ac:dyDescent="0.3">
      <c r="C453" s="90"/>
      <c r="D453" s="87"/>
      <c r="E453" s="90"/>
      <c r="F453" s="92"/>
      <c r="G453" s="45"/>
      <c r="H453" s="42"/>
      <c r="I453" s="42"/>
      <c r="J453" s="41"/>
      <c r="K453" s="42"/>
      <c r="L453" s="45"/>
      <c r="M453" s="45"/>
      <c r="N453" s="45"/>
      <c r="O453" s="45"/>
    </row>
    <row r="454" spans="3:15" x14ac:dyDescent="0.3">
      <c r="C454" s="90"/>
      <c r="D454" s="87"/>
      <c r="E454" s="90"/>
      <c r="F454" s="92"/>
      <c r="G454" s="45"/>
      <c r="H454" s="42"/>
      <c r="I454" s="42"/>
      <c r="J454" s="41"/>
      <c r="K454" s="42"/>
      <c r="L454" s="45"/>
      <c r="M454" s="45"/>
      <c r="N454" s="45"/>
      <c r="O454" s="45"/>
    </row>
    <row r="455" spans="3:15" x14ac:dyDescent="0.3">
      <c r="C455" s="90"/>
      <c r="D455" s="87"/>
      <c r="E455" s="90"/>
      <c r="F455" s="92"/>
      <c r="G455" s="45"/>
      <c r="H455" s="42"/>
      <c r="I455" s="42"/>
      <c r="J455" s="41"/>
      <c r="K455" s="42"/>
      <c r="L455" s="45"/>
      <c r="M455" s="45"/>
      <c r="N455" s="45"/>
      <c r="O455" s="45"/>
    </row>
    <row r="456" spans="3:15" x14ac:dyDescent="0.3">
      <c r="C456" s="90"/>
      <c r="D456" s="87"/>
      <c r="E456" s="90"/>
      <c r="F456" s="92"/>
      <c r="G456" s="45"/>
      <c r="H456" s="42"/>
      <c r="I456" s="42"/>
      <c r="J456" s="41"/>
      <c r="K456" s="42"/>
      <c r="L456" s="45"/>
      <c r="M456" s="45"/>
      <c r="N456" s="45"/>
      <c r="O456" s="45"/>
    </row>
    <row r="457" spans="3:15" x14ac:dyDescent="0.3">
      <c r="C457" s="90"/>
      <c r="D457" s="87"/>
      <c r="E457" s="90"/>
      <c r="F457" s="92"/>
      <c r="G457" s="45"/>
      <c r="H457" s="42"/>
      <c r="I457" s="42"/>
      <c r="J457" s="41"/>
      <c r="K457" s="42"/>
      <c r="L457" s="45"/>
      <c r="M457" s="45"/>
      <c r="N457" s="45"/>
      <c r="O457" s="45"/>
    </row>
    <row r="458" spans="3:15" x14ac:dyDescent="0.3">
      <c r="C458" s="90"/>
      <c r="D458" s="87"/>
      <c r="E458" s="90"/>
      <c r="F458" s="92"/>
      <c r="G458" s="45"/>
      <c r="H458" s="42"/>
      <c r="I458" s="42"/>
      <c r="J458" s="41"/>
      <c r="K458" s="42"/>
      <c r="L458" s="45"/>
      <c r="M458" s="45"/>
      <c r="N458" s="45"/>
      <c r="O458" s="45"/>
    </row>
    <row r="459" spans="3:15" x14ac:dyDescent="0.3">
      <c r="C459" s="90"/>
      <c r="D459" s="87"/>
      <c r="E459" s="90"/>
      <c r="F459" s="92"/>
      <c r="G459" s="45"/>
      <c r="H459" s="42"/>
      <c r="I459" s="42"/>
      <c r="J459" s="41"/>
      <c r="K459" s="42"/>
      <c r="L459" s="45"/>
      <c r="M459" s="45"/>
      <c r="N459" s="45"/>
      <c r="O459" s="45"/>
    </row>
    <row r="460" spans="3:15" x14ac:dyDescent="0.3">
      <c r="C460" s="90"/>
      <c r="D460" s="87"/>
      <c r="E460" s="90"/>
      <c r="F460" s="92"/>
      <c r="G460" s="45"/>
      <c r="H460" s="42"/>
      <c r="I460" s="42"/>
      <c r="J460" s="41"/>
      <c r="K460" s="42"/>
      <c r="L460" s="45"/>
      <c r="M460" s="45"/>
      <c r="N460" s="45"/>
      <c r="O460" s="45"/>
    </row>
    <row r="461" spans="3:15" x14ac:dyDescent="0.3">
      <c r="C461" s="90"/>
      <c r="D461" s="87"/>
      <c r="E461" s="90"/>
      <c r="F461" s="92"/>
      <c r="G461" s="45"/>
      <c r="H461" s="42"/>
      <c r="I461" s="42"/>
      <c r="J461" s="41"/>
      <c r="K461" s="42"/>
      <c r="L461" s="45"/>
      <c r="M461" s="45"/>
      <c r="N461" s="45"/>
      <c r="O461" s="45"/>
    </row>
    <row r="462" spans="3:15" x14ac:dyDescent="0.3">
      <c r="C462" s="90"/>
      <c r="D462" s="87"/>
      <c r="E462" s="90"/>
      <c r="F462" s="92"/>
      <c r="G462" s="45"/>
      <c r="H462" s="42"/>
      <c r="I462" s="42"/>
      <c r="J462" s="41"/>
      <c r="K462" s="42"/>
      <c r="L462" s="45"/>
      <c r="M462" s="45"/>
      <c r="N462" s="45"/>
      <c r="O462" s="45"/>
    </row>
    <row r="463" spans="3:15" x14ac:dyDescent="0.3">
      <c r="C463" s="90"/>
      <c r="D463" s="87"/>
      <c r="E463" s="90"/>
      <c r="F463" s="92"/>
      <c r="G463" s="45"/>
      <c r="H463" s="42"/>
      <c r="I463" s="42"/>
      <c r="J463" s="41"/>
      <c r="K463" s="42"/>
      <c r="L463" s="45"/>
      <c r="M463" s="45"/>
      <c r="N463" s="45"/>
      <c r="O463" s="45"/>
    </row>
    <row r="464" spans="3:15" x14ac:dyDescent="0.3">
      <c r="C464" s="90"/>
      <c r="D464" s="87"/>
      <c r="E464" s="90"/>
      <c r="F464" s="92"/>
      <c r="G464" s="45"/>
      <c r="H464" s="42"/>
      <c r="I464" s="42"/>
      <c r="J464" s="41"/>
      <c r="K464" s="42"/>
      <c r="L464" s="45"/>
      <c r="M464" s="45"/>
      <c r="N464" s="45"/>
      <c r="O464" s="45"/>
    </row>
    <row r="465" spans="3:15" x14ac:dyDescent="0.3">
      <c r="C465" s="90"/>
      <c r="D465" s="87"/>
      <c r="E465" s="90"/>
      <c r="F465" s="92"/>
      <c r="G465" s="45"/>
      <c r="H465" s="42"/>
      <c r="I465" s="42"/>
      <c r="J465" s="41"/>
      <c r="K465" s="42"/>
      <c r="L465" s="45"/>
      <c r="M465" s="45"/>
      <c r="N465" s="45"/>
      <c r="O465" s="45"/>
    </row>
    <row r="466" spans="3:15" x14ac:dyDescent="0.3">
      <c r="C466" s="90"/>
      <c r="D466" s="87"/>
      <c r="E466" s="90"/>
      <c r="F466" s="92"/>
      <c r="G466" s="45"/>
      <c r="H466" s="42"/>
      <c r="I466" s="42"/>
      <c r="J466" s="41"/>
      <c r="K466" s="42"/>
      <c r="L466" s="45"/>
      <c r="M466" s="45"/>
      <c r="N466" s="45"/>
      <c r="O466" s="45"/>
    </row>
    <row r="467" spans="3:15" x14ac:dyDescent="0.3">
      <c r="C467" s="90"/>
      <c r="D467" s="87"/>
      <c r="E467" s="90"/>
      <c r="F467" s="92"/>
      <c r="G467" s="45"/>
      <c r="H467" s="42"/>
      <c r="I467" s="42"/>
      <c r="J467" s="41"/>
      <c r="K467" s="42"/>
      <c r="L467" s="45"/>
      <c r="M467" s="45"/>
      <c r="N467" s="45"/>
      <c r="O467" s="45"/>
    </row>
    <row r="468" spans="3:15" x14ac:dyDescent="0.3">
      <c r="C468" s="90"/>
      <c r="D468" s="87"/>
      <c r="E468" s="90"/>
      <c r="F468" s="92"/>
      <c r="G468" s="45"/>
      <c r="H468" s="42"/>
      <c r="I468" s="42"/>
      <c r="J468" s="41"/>
      <c r="K468" s="42"/>
      <c r="L468" s="45"/>
      <c r="M468" s="45"/>
      <c r="N468" s="45"/>
      <c r="O468" s="45"/>
    </row>
    <row r="469" spans="3:15" x14ac:dyDescent="0.3">
      <c r="C469" s="90"/>
      <c r="D469" s="87"/>
      <c r="E469" s="90"/>
      <c r="F469" s="92"/>
      <c r="G469" s="45"/>
      <c r="H469" s="42"/>
      <c r="I469" s="42"/>
      <c r="J469" s="41"/>
      <c r="K469" s="42"/>
      <c r="L469" s="45"/>
      <c r="M469" s="45"/>
      <c r="N469" s="45"/>
      <c r="O469" s="45"/>
    </row>
    <row r="470" spans="3:15" x14ac:dyDescent="0.3">
      <c r="C470" s="90"/>
      <c r="D470" s="87"/>
      <c r="E470" s="90"/>
      <c r="F470" s="92"/>
      <c r="G470" s="45"/>
      <c r="H470" s="42"/>
      <c r="I470" s="42"/>
      <c r="J470" s="41"/>
      <c r="K470" s="42"/>
      <c r="L470" s="45"/>
      <c r="M470" s="45"/>
      <c r="N470" s="45"/>
      <c r="O470" s="45"/>
    </row>
    <row r="471" spans="3:15" x14ac:dyDescent="0.3">
      <c r="C471" s="90"/>
      <c r="D471" s="87"/>
      <c r="E471" s="90"/>
      <c r="F471" s="92"/>
      <c r="G471" s="45"/>
      <c r="H471" s="42"/>
      <c r="I471" s="42"/>
      <c r="J471" s="41"/>
      <c r="K471" s="42"/>
      <c r="L471" s="45"/>
      <c r="M471" s="45"/>
      <c r="N471" s="45"/>
      <c r="O471" s="45"/>
    </row>
    <row r="472" spans="3:15" x14ac:dyDescent="0.3">
      <c r="C472" s="90"/>
      <c r="D472" s="87"/>
      <c r="E472" s="90"/>
      <c r="F472" s="92"/>
      <c r="G472" s="45"/>
      <c r="H472" s="42"/>
      <c r="I472" s="42"/>
      <c r="J472" s="41"/>
      <c r="K472" s="42"/>
      <c r="L472" s="45"/>
      <c r="M472" s="45"/>
      <c r="N472" s="45"/>
      <c r="O472" s="45"/>
    </row>
    <row r="473" spans="3:15" x14ac:dyDescent="0.3">
      <c r="C473" s="90"/>
      <c r="D473" s="87"/>
      <c r="E473" s="90"/>
      <c r="F473" s="92"/>
      <c r="G473" s="45"/>
      <c r="H473" s="42"/>
      <c r="I473" s="42"/>
      <c r="J473" s="41"/>
      <c r="K473" s="42"/>
      <c r="L473" s="45"/>
      <c r="M473" s="45"/>
      <c r="N473" s="45"/>
      <c r="O473" s="45"/>
    </row>
    <row r="474" spans="3:15" x14ac:dyDescent="0.3">
      <c r="C474" s="90"/>
      <c r="D474" s="87"/>
      <c r="E474" s="90"/>
      <c r="F474" s="92"/>
      <c r="G474" s="45"/>
      <c r="H474" s="42"/>
      <c r="I474" s="42"/>
      <c r="J474" s="41"/>
      <c r="K474" s="42"/>
      <c r="L474" s="45"/>
      <c r="M474" s="45"/>
      <c r="N474" s="45"/>
      <c r="O474" s="45"/>
    </row>
    <row r="475" spans="3:15" x14ac:dyDescent="0.3">
      <c r="C475" s="90"/>
      <c r="D475" s="87"/>
      <c r="E475" s="90"/>
      <c r="F475" s="92"/>
      <c r="G475" s="45"/>
      <c r="H475" s="42"/>
      <c r="I475" s="42"/>
      <c r="J475" s="41"/>
      <c r="K475" s="42"/>
      <c r="L475" s="45"/>
      <c r="M475" s="45"/>
      <c r="N475" s="45"/>
      <c r="O475" s="45"/>
    </row>
    <row r="476" spans="3:15" x14ac:dyDescent="0.3">
      <c r="C476" s="90"/>
      <c r="D476" s="87"/>
      <c r="E476" s="90"/>
      <c r="F476" s="92"/>
      <c r="G476" s="45"/>
      <c r="H476" s="42"/>
      <c r="I476" s="42"/>
      <c r="J476" s="41"/>
      <c r="K476" s="42"/>
      <c r="L476" s="45"/>
      <c r="M476" s="45"/>
      <c r="N476" s="45"/>
      <c r="O476" s="45"/>
    </row>
    <row r="477" spans="3:15" x14ac:dyDescent="0.3">
      <c r="C477" s="90"/>
      <c r="D477" s="87"/>
      <c r="E477" s="90"/>
      <c r="F477" s="92"/>
      <c r="G477" s="45"/>
      <c r="H477" s="42"/>
      <c r="I477" s="42"/>
      <c r="J477" s="41"/>
      <c r="K477" s="42"/>
      <c r="L477" s="45"/>
      <c r="M477" s="45"/>
      <c r="N477" s="45"/>
      <c r="O477" s="45"/>
    </row>
    <row r="478" spans="3:15" x14ac:dyDescent="0.3">
      <c r="C478" s="90"/>
      <c r="D478" s="87"/>
      <c r="E478" s="90"/>
      <c r="F478" s="92"/>
      <c r="G478" s="45"/>
      <c r="H478" s="42"/>
      <c r="I478" s="42"/>
      <c r="J478" s="41"/>
      <c r="K478" s="42"/>
      <c r="L478" s="45"/>
      <c r="M478" s="45"/>
      <c r="N478" s="45"/>
      <c r="O478" s="45"/>
    </row>
    <row r="479" spans="3:15" x14ac:dyDescent="0.3">
      <c r="C479" s="90"/>
      <c r="D479" s="87"/>
      <c r="E479" s="90"/>
      <c r="F479" s="92"/>
      <c r="G479" s="45"/>
      <c r="H479" s="42"/>
      <c r="I479" s="42"/>
      <c r="J479" s="41"/>
      <c r="K479" s="42"/>
      <c r="L479" s="45"/>
      <c r="M479" s="45"/>
      <c r="N479" s="45"/>
      <c r="O479" s="45"/>
    </row>
    <row r="480" spans="3:15" x14ac:dyDescent="0.3">
      <c r="C480" s="90"/>
      <c r="D480" s="87"/>
      <c r="E480" s="90"/>
      <c r="F480" s="92"/>
      <c r="G480" s="45"/>
      <c r="H480" s="42"/>
      <c r="I480" s="42"/>
      <c r="J480" s="41"/>
      <c r="K480" s="42"/>
      <c r="L480" s="45"/>
      <c r="M480" s="45"/>
      <c r="N480" s="45"/>
      <c r="O480" s="45"/>
    </row>
    <row r="481" spans="3:15" x14ac:dyDescent="0.3">
      <c r="C481" s="90"/>
      <c r="D481" s="87"/>
      <c r="E481" s="90"/>
      <c r="F481" s="92"/>
      <c r="G481" s="45"/>
      <c r="H481" s="42"/>
      <c r="I481" s="42"/>
      <c r="J481" s="41"/>
      <c r="K481" s="42"/>
      <c r="L481" s="45"/>
      <c r="M481" s="45"/>
      <c r="N481" s="45"/>
      <c r="O481" s="45"/>
    </row>
    <row r="482" spans="3:15" x14ac:dyDescent="0.3">
      <c r="C482" s="90"/>
      <c r="D482" s="87"/>
      <c r="E482" s="90"/>
      <c r="F482" s="92"/>
      <c r="G482" s="45"/>
      <c r="H482" s="42"/>
      <c r="I482" s="42"/>
      <c r="J482" s="41"/>
      <c r="K482" s="42"/>
      <c r="L482" s="45"/>
      <c r="M482" s="45"/>
      <c r="N482" s="45"/>
      <c r="O482" s="45"/>
    </row>
    <row r="483" spans="3:15" x14ac:dyDescent="0.3">
      <c r="C483" s="90"/>
      <c r="D483" s="87"/>
      <c r="E483" s="90"/>
      <c r="F483" s="92"/>
      <c r="G483" s="45"/>
      <c r="H483" s="42"/>
      <c r="I483" s="42"/>
      <c r="J483" s="41"/>
      <c r="K483" s="42"/>
      <c r="L483" s="45"/>
      <c r="M483" s="45"/>
      <c r="N483" s="45"/>
      <c r="O483" s="45"/>
    </row>
    <row r="484" spans="3:15" x14ac:dyDescent="0.3">
      <c r="C484" s="90"/>
      <c r="D484" s="87"/>
      <c r="E484" s="90"/>
      <c r="F484" s="92"/>
      <c r="G484" s="45"/>
      <c r="H484" s="42"/>
      <c r="I484" s="42"/>
      <c r="J484" s="41"/>
      <c r="K484" s="42"/>
      <c r="L484" s="45"/>
      <c r="M484" s="45"/>
      <c r="N484" s="45"/>
      <c r="O484" s="45"/>
    </row>
    <row r="485" spans="3:15" x14ac:dyDescent="0.3">
      <c r="C485" s="90"/>
      <c r="D485" s="87"/>
      <c r="E485" s="90"/>
      <c r="F485" s="92"/>
      <c r="G485" s="45"/>
      <c r="H485" s="42"/>
      <c r="I485" s="42"/>
      <c r="J485" s="41"/>
      <c r="K485" s="42"/>
      <c r="L485" s="45"/>
      <c r="M485" s="45"/>
      <c r="N485" s="45"/>
      <c r="O485" s="45"/>
    </row>
    <row r="486" spans="3:15" x14ac:dyDescent="0.3">
      <c r="C486" s="90"/>
      <c r="D486" s="87"/>
      <c r="E486" s="90"/>
      <c r="F486" s="92"/>
      <c r="G486" s="45"/>
      <c r="H486" s="42"/>
      <c r="I486" s="42"/>
      <c r="J486" s="41"/>
      <c r="K486" s="42"/>
      <c r="L486" s="45"/>
      <c r="M486" s="45"/>
      <c r="N486" s="45"/>
      <c r="O486" s="45"/>
    </row>
    <row r="487" spans="3:15" x14ac:dyDescent="0.3">
      <c r="C487" s="90"/>
      <c r="D487" s="87"/>
      <c r="E487" s="90"/>
      <c r="F487" s="92"/>
      <c r="G487" s="45"/>
      <c r="H487" s="42"/>
      <c r="I487" s="42"/>
      <c r="J487" s="41"/>
      <c r="K487" s="42"/>
      <c r="L487" s="45"/>
      <c r="M487" s="45"/>
      <c r="N487" s="45"/>
      <c r="O487" s="45"/>
    </row>
    <row r="488" spans="3:15" x14ac:dyDescent="0.3">
      <c r="C488" s="90"/>
      <c r="D488" s="87"/>
      <c r="E488" s="90"/>
      <c r="F488" s="92"/>
      <c r="G488" s="45"/>
      <c r="H488" s="42"/>
      <c r="I488" s="42"/>
      <c r="J488" s="41"/>
      <c r="K488" s="42"/>
      <c r="L488" s="45"/>
      <c r="M488" s="45"/>
      <c r="N488" s="45"/>
      <c r="O488" s="45"/>
    </row>
    <row r="489" spans="3:15" x14ac:dyDescent="0.3">
      <c r="C489" s="90"/>
      <c r="D489" s="87"/>
      <c r="E489" s="90"/>
      <c r="F489" s="92"/>
      <c r="G489" s="45"/>
      <c r="H489" s="42"/>
      <c r="I489" s="42"/>
      <c r="J489" s="41"/>
      <c r="K489" s="42"/>
      <c r="L489" s="45"/>
      <c r="M489" s="45"/>
      <c r="N489" s="45"/>
      <c r="O489" s="45"/>
    </row>
    <row r="490" spans="3:15" x14ac:dyDescent="0.3">
      <c r="C490" s="90"/>
      <c r="D490" s="87"/>
      <c r="E490" s="90"/>
      <c r="F490" s="92"/>
      <c r="G490" s="45"/>
      <c r="H490" s="42"/>
      <c r="I490" s="42"/>
      <c r="J490" s="41"/>
      <c r="K490" s="42"/>
      <c r="L490" s="45"/>
      <c r="M490" s="45"/>
      <c r="N490" s="45"/>
      <c r="O490" s="45"/>
    </row>
    <row r="491" spans="3:15" x14ac:dyDescent="0.3">
      <c r="C491" s="90"/>
      <c r="D491" s="87"/>
      <c r="E491" s="90"/>
      <c r="F491" s="92"/>
      <c r="G491" s="45"/>
      <c r="H491" s="42"/>
      <c r="I491" s="42"/>
      <c r="J491" s="41"/>
      <c r="K491" s="42"/>
      <c r="L491" s="45"/>
      <c r="M491" s="45"/>
      <c r="N491" s="45"/>
      <c r="O491" s="45"/>
    </row>
    <row r="492" spans="3:15" x14ac:dyDescent="0.3">
      <c r="C492" s="90"/>
      <c r="D492" s="87"/>
      <c r="E492" s="90"/>
      <c r="F492" s="92"/>
      <c r="G492" s="45"/>
      <c r="H492" s="42"/>
      <c r="I492" s="42"/>
      <c r="J492" s="41"/>
      <c r="K492" s="42"/>
      <c r="L492" s="45"/>
      <c r="M492" s="45"/>
      <c r="N492" s="45"/>
      <c r="O492" s="45"/>
    </row>
    <row r="493" spans="3:15" x14ac:dyDescent="0.3">
      <c r="C493" s="90"/>
      <c r="D493" s="87"/>
      <c r="E493" s="90"/>
      <c r="F493" s="92"/>
      <c r="G493" s="45"/>
      <c r="H493" s="42"/>
      <c r="I493" s="42"/>
      <c r="J493" s="41"/>
      <c r="K493" s="42"/>
      <c r="L493" s="45"/>
      <c r="M493" s="45"/>
      <c r="N493" s="45"/>
      <c r="O493" s="45"/>
    </row>
    <row r="494" spans="3:15" x14ac:dyDescent="0.3">
      <c r="C494" s="90"/>
      <c r="D494" s="87"/>
      <c r="E494" s="90"/>
      <c r="F494" s="92"/>
      <c r="G494" s="45"/>
      <c r="H494" s="42"/>
      <c r="I494" s="42"/>
      <c r="J494" s="41"/>
      <c r="K494" s="42"/>
      <c r="L494" s="45"/>
      <c r="M494" s="45"/>
      <c r="N494" s="45"/>
      <c r="O494" s="45"/>
    </row>
    <row r="495" spans="3:15" x14ac:dyDescent="0.3">
      <c r="C495" s="90"/>
      <c r="D495" s="87"/>
      <c r="E495" s="90"/>
      <c r="F495" s="92"/>
      <c r="G495" s="45"/>
      <c r="H495" s="42"/>
      <c r="I495" s="42"/>
      <c r="J495" s="41"/>
      <c r="K495" s="42"/>
      <c r="L495" s="45"/>
      <c r="M495" s="45"/>
      <c r="N495" s="45"/>
      <c r="O495" s="45"/>
    </row>
    <row r="496" spans="3:15" x14ac:dyDescent="0.3">
      <c r="C496" s="90"/>
      <c r="D496" s="87"/>
      <c r="E496" s="90"/>
      <c r="F496" s="92"/>
      <c r="G496" s="45"/>
      <c r="H496" s="42"/>
      <c r="I496" s="42"/>
      <c r="J496" s="41"/>
      <c r="K496" s="42"/>
      <c r="L496" s="45"/>
      <c r="M496" s="45"/>
      <c r="N496" s="45"/>
      <c r="O496" s="45"/>
    </row>
    <row r="497" spans="3:15" x14ac:dyDescent="0.3">
      <c r="C497" s="90"/>
      <c r="D497" s="87"/>
      <c r="E497" s="90"/>
      <c r="F497" s="92"/>
      <c r="G497" s="45"/>
      <c r="H497" s="42"/>
      <c r="I497" s="42"/>
      <c r="J497" s="41"/>
      <c r="K497" s="42"/>
      <c r="L497" s="45"/>
      <c r="M497" s="45"/>
      <c r="N497" s="45"/>
      <c r="O497" s="45"/>
    </row>
    <row r="498" spans="3:15" x14ac:dyDescent="0.3">
      <c r="C498" s="90"/>
      <c r="D498" s="87"/>
      <c r="E498" s="90"/>
      <c r="F498" s="92"/>
      <c r="G498" s="45"/>
      <c r="H498" s="42"/>
      <c r="I498" s="42"/>
      <c r="J498" s="41"/>
      <c r="K498" s="42"/>
      <c r="L498" s="45"/>
      <c r="M498" s="45"/>
      <c r="N498" s="45"/>
      <c r="O498" s="45"/>
    </row>
    <row r="499" spans="3:15" x14ac:dyDescent="0.3">
      <c r="C499" s="90"/>
      <c r="D499" s="87"/>
      <c r="E499" s="90"/>
      <c r="F499" s="92"/>
      <c r="G499" s="45"/>
      <c r="H499" s="42"/>
      <c r="I499" s="42"/>
      <c r="J499" s="41"/>
      <c r="K499" s="42"/>
      <c r="L499" s="45"/>
      <c r="M499" s="45"/>
      <c r="N499" s="45"/>
      <c r="O499" s="45"/>
    </row>
    <row r="500" spans="3:15" x14ac:dyDescent="0.3">
      <c r="C500" s="90"/>
      <c r="D500" s="87"/>
      <c r="E500" s="90"/>
      <c r="F500" s="92"/>
      <c r="G500" s="45"/>
      <c r="H500" s="42"/>
      <c r="I500" s="42"/>
      <c r="J500" s="41"/>
      <c r="K500" s="42"/>
      <c r="L500" s="45"/>
      <c r="M500" s="45"/>
      <c r="N500" s="45"/>
      <c r="O500" s="45"/>
    </row>
    <row r="501" spans="3:15" x14ac:dyDescent="0.3">
      <c r="C501" s="90"/>
      <c r="D501" s="87"/>
      <c r="E501" s="90"/>
      <c r="F501" s="92"/>
      <c r="G501" s="45"/>
      <c r="H501" s="42"/>
      <c r="I501" s="42"/>
      <c r="J501" s="41"/>
      <c r="K501" s="42"/>
      <c r="L501" s="45"/>
      <c r="M501" s="45"/>
      <c r="N501" s="45"/>
      <c r="O501" s="45"/>
    </row>
    <row r="502" spans="3:15" x14ac:dyDescent="0.3">
      <c r="C502" s="90"/>
      <c r="D502" s="87"/>
      <c r="E502" s="90"/>
      <c r="F502" s="92"/>
      <c r="G502" s="45"/>
      <c r="H502" s="42"/>
      <c r="I502" s="42"/>
      <c r="J502" s="41"/>
      <c r="K502" s="42"/>
      <c r="L502" s="45"/>
      <c r="M502" s="45"/>
      <c r="N502" s="45"/>
      <c r="O502" s="45"/>
    </row>
    <row r="503" spans="3:15" x14ac:dyDescent="0.3">
      <c r="C503" s="90"/>
      <c r="D503" s="87"/>
      <c r="E503" s="90"/>
      <c r="F503" s="92"/>
      <c r="G503" s="45"/>
      <c r="H503" s="42"/>
      <c r="I503" s="42"/>
      <c r="J503" s="41"/>
      <c r="K503" s="42"/>
      <c r="L503" s="45"/>
      <c r="M503" s="45"/>
      <c r="N503" s="45"/>
      <c r="O503" s="45"/>
    </row>
    <row r="504" spans="3:15" x14ac:dyDescent="0.3">
      <c r="C504" s="90"/>
      <c r="D504" s="87"/>
      <c r="E504" s="90"/>
      <c r="F504" s="92"/>
      <c r="G504" s="45"/>
      <c r="H504" s="42"/>
      <c r="I504" s="42"/>
      <c r="J504" s="41"/>
      <c r="K504" s="42"/>
      <c r="L504" s="45"/>
      <c r="M504" s="45"/>
      <c r="N504" s="45"/>
      <c r="O504" s="45"/>
    </row>
    <row r="505" spans="3:15" x14ac:dyDescent="0.3">
      <c r="C505" s="90"/>
      <c r="D505" s="87"/>
      <c r="E505" s="90"/>
      <c r="F505" s="92"/>
      <c r="G505" s="45"/>
      <c r="H505" s="42"/>
      <c r="I505" s="42"/>
      <c r="J505" s="41"/>
      <c r="K505" s="42"/>
      <c r="L505" s="45"/>
      <c r="M505" s="45"/>
      <c r="N505" s="45"/>
      <c r="O505" s="45"/>
    </row>
    <row r="506" spans="3:15" x14ac:dyDescent="0.3">
      <c r="C506" s="90"/>
      <c r="D506" s="87"/>
      <c r="E506" s="90"/>
      <c r="F506" s="92"/>
      <c r="G506" s="45"/>
      <c r="H506" s="42"/>
      <c r="I506" s="42"/>
      <c r="J506" s="41"/>
      <c r="K506" s="42"/>
      <c r="L506" s="45"/>
      <c r="M506" s="45"/>
      <c r="N506" s="45"/>
      <c r="O506" s="45"/>
    </row>
    <row r="507" spans="3:15" x14ac:dyDescent="0.3">
      <c r="C507" s="90"/>
      <c r="D507" s="87"/>
      <c r="E507" s="90"/>
      <c r="F507" s="92"/>
      <c r="G507" s="45"/>
      <c r="H507" s="42"/>
      <c r="I507" s="42"/>
      <c r="J507" s="41"/>
      <c r="K507" s="42"/>
      <c r="L507" s="45"/>
      <c r="M507" s="45"/>
      <c r="N507" s="45"/>
      <c r="O507" s="45"/>
    </row>
    <row r="508" spans="3:15" x14ac:dyDescent="0.3">
      <c r="C508" s="90"/>
      <c r="D508" s="87"/>
      <c r="E508" s="90"/>
      <c r="F508" s="92"/>
      <c r="G508" s="45"/>
      <c r="H508" s="42"/>
      <c r="I508" s="42"/>
      <c r="J508" s="41"/>
      <c r="K508" s="42"/>
      <c r="L508" s="45"/>
      <c r="M508" s="45"/>
      <c r="N508" s="45"/>
      <c r="O508" s="45"/>
    </row>
    <row r="509" spans="3:15" x14ac:dyDescent="0.3">
      <c r="C509" s="90"/>
      <c r="D509" s="87"/>
      <c r="E509" s="90"/>
      <c r="F509" s="92"/>
      <c r="G509" s="45"/>
      <c r="H509" s="42"/>
      <c r="I509" s="42"/>
      <c r="J509" s="41"/>
      <c r="K509" s="42"/>
      <c r="L509" s="45"/>
      <c r="M509" s="45"/>
      <c r="N509" s="45"/>
      <c r="O509" s="45"/>
    </row>
    <row r="510" spans="3:15" x14ac:dyDescent="0.3">
      <c r="C510" s="90"/>
      <c r="D510" s="87"/>
      <c r="E510" s="90"/>
      <c r="F510" s="92"/>
      <c r="G510" s="45"/>
      <c r="H510" s="42"/>
      <c r="I510" s="42"/>
      <c r="J510" s="41"/>
      <c r="K510" s="42"/>
      <c r="L510" s="45"/>
      <c r="M510" s="45"/>
      <c r="N510" s="45"/>
      <c r="O510" s="45"/>
    </row>
    <row r="511" spans="3:15" x14ac:dyDescent="0.3">
      <c r="C511" s="90"/>
      <c r="D511" s="87"/>
      <c r="E511" s="90"/>
      <c r="F511" s="92"/>
      <c r="G511" s="45"/>
      <c r="H511" s="42"/>
      <c r="I511" s="42"/>
      <c r="J511" s="41"/>
      <c r="K511" s="42"/>
      <c r="L511" s="45"/>
      <c r="M511" s="45"/>
      <c r="N511" s="45"/>
      <c r="O511" s="45"/>
    </row>
    <row r="512" spans="3:15" x14ac:dyDescent="0.3">
      <c r="C512" s="90"/>
      <c r="D512" s="87"/>
      <c r="E512" s="90"/>
      <c r="F512" s="92"/>
      <c r="G512" s="45"/>
      <c r="H512" s="42"/>
      <c r="I512" s="42"/>
      <c r="J512" s="41"/>
      <c r="K512" s="42"/>
      <c r="L512" s="45"/>
      <c r="M512" s="45"/>
      <c r="N512" s="45"/>
      <c r="O512" s="45"/>
    </row>
    <row r="513" spans="3:15" x14ac:dyDescent="0.3">
      <c r="C513" s="90"/>
      <c r="D513" s="87"/>
      <c r="E513" s="90"/>
      <c r="F513" s="92"/>
      <c r="G513" s="45"/>
      <c r="H513" s="42"/>
      <c r="I513" s="42"/>
      <c r="J513" s="41"/>
      <c r="K513" s="42"/>
      <c r="L513" s="45"/>
      <c r="M513" s="45"/>
      <c r="N513" s="45"/>
      <c r="O513" s="45"/>
    </row>
    <row r="514" spans="3:15" x14ac:dyDescent="0.3">
      <c r="C514" s="90"/>
      <c r="D514" s="87"/>
      <c r="E514" s="90"/>
      <c r="F514" s="92"/>
      <c r="G514" s="45"/>
      <c r="H514" s="42"/>
      <c r="I514" s="42"/>
      <c r="J514" s="41"/>
      <c r="K514" s="42"/>
      <c r="L514" s="45"/>
      <c r="M514" s="45"/>
      <c r="N514" s="45"/>
      <c r="O514" s="45"/>
    </row>
    <row r="515" spans="3:15" x14ac:dyDescent="0.3">
      <c r="C515" s="90"/>
      <c r="D515" s="87"/>
      <c r="E515" s="90"/>
      <c r="F515" s="92"/>
      <c r="G515" s="45"/>
      <c r="H515" s="42"/>
      <c r="I515" s="42"/>
      <c r="J515" s="41"/>
      <c r="K515" s="42"/>
      <c r="L515" s="45"/>
      <c r="M515" s="45"/>
      <c r="N515" s="45"/>
      <c r="O515" s="45"/>
    </row>
    <row r="516" spans="3:15" x14ac:dyDescent="0.3">
      <c r="C516" s="90"/>
      <c r="D516" s="87"/>
      <c r="E516" s="90"/>
      <c r="F516" s="92"/>
      <c r="G516" s="45"/>
      <c r="H516" s="42"/>
      <c r="I516" s="42"/>
      <c r="J516" s="41"/>
      <c r="K516" s="42"/>
      <c r="L516" s="45"/>
      <c r="M516" s="45"/>
      <c r="N516" s="45"/>
      <c r="O516" s="45"/>
    </row>
    <row r="517" spans="3:15" x14ac:dyDescent="0.3">
      <c r="C517" s="90"/>
      <c r="D517" s="87"/>
      <c r="E517" s="90"/>
      <c r="F517" s="92"/>
      <c r="G517" s="45"/>
      <c r="H517" s="42"/>
      <c r="I517" s="42"/>
      <c r="J517" s="41"/>
      <c r="K517" s="42"/>
      <c r="L517" s="45"/>
      <c r="M517" s="45"/>
      <c r="N517" s="45"/>
      <c r="O517" s="45"/>
    </row>
    <row r="518" spans="3:15" x14ac:dyDescent="0.3">
      <c r="C518" s="90"/>
      <c r="D518" s="87"/>
      <c r="E518" s="90"/>
      <c r="F518" s="92"/>
      <c r="G518" s="45"/>
      <c r="H518" s="42"/>
      <c r="I518" s="42"/>
      <c r="J518" s="41"/>
      <c r="K518" s="42"/>
      <c r="L518" s="45"/>
      <c r="M518" s="45"/>
      <c r="N518" s="45"/>
      <c r="O518" s="45"/>
    </row>
    <row r="519" spans="3:15" x14ac:dyDescent="0.3">
      <c r="C519" s="90"/>
      <c r="D519" s="87"/>
      <c r="E519" s="90"/>
      <c r="F519" s="92"/>
      <c r="G519" s="45"/>
      <c r="H519" s="42"/>
      <c r="I519" s="42"/>
      <c r="J519" s="41"/>
      <c r="K519" s="42"/>
      <c r="L519" s="45"/>
      <c r="M519" s="45"/>
      <c r="N519" s="45"/>
      <c r="O519" s="45"/>
    </row>
    <row r="520" spans="3:15" x14ac:dyDescent="0.3">
      <c r="C520" s="90"/>
      <c r="D520" s="87"/>
      <c r="E520" s="90"/>
      <c r="F520" s="92"/>
      <c r="G520" s="45"/>
      <c r="H520" s="42"/>
      <c r="I520" s="42"/>
      <c r="J520" s="41"/>
      <c r="K520" s="42"/>
      <c r="L520" s="45"/>
      <c r="M520" s="45"/>
      <c r="N520" s="45"/>
      <c r="O520" s="45"/>
    </row>
    <row r="521" spans="3:15" x14ac:dyDescent="0.3">
      <c r="C521" s="90"/>
      <c r="D521" s="87"/>
      <c r="E521" s="90"/>
      <c r="F521" s="92"/>
      <c r="G521" s="45"/>
      <c r="H521" s="42"/>
      <c r="I521" s="42"/>
      <c r="J521" s="41"/>
      <c r="K521" s="42"/>
      <c r="L521" s="45"/>
      <c r="M521" s="45"/>
      <c r="N521" s="45"/>
      <c r="O521" s="45"/>
    </row>
    <row r="522" spans="3:15" x14ac:dyDescent="0.3">
      <c r="C522" s="90"/>
      <c r="D522" s="87"/>
      <c r="E522" s="90"/>
      <c r="F522" s="92"/>
      <c r="G522" s="45"/>
      <c r="H522" s="42"/>
      <c r="I522" s="42"/>
      <c r="J522" s="41"/>
      <c r="K522" s="42"/>
      <c r="L522" s="45"/>
      <c r="M522" s="45"/>
      <c r="N522" s="45"/>
      <c r="O522" s="45"/>
    </row>
    <row r="523" spans="3:15" x14ac:dyDescent="0.3">
      <c r="C523" s="90"/>
      <c r="D523" s="87"/>
      <c r="E523" s="90"/>
      <c r="F523" s="92"/>
      <c r="G523" s="45"/>
      <c r="H523" s="42"/>
      <c r="I523" s="42"/>
      <c r="J523" s="41"/>
      <c r="K523" s="42"/>
      <c r="L523" s="45"/>
      <c r="M523" s="45"/>
      <c r="N523" s="45"/>
      <c r="O523" s="45"/>
    </row>
    <row r="524" spans="3:15" x14ac:dyDescent="0.3">
      <c r="C524" s="90"/>
      <c r="D524" s="87"/>
      <c r="E524" s="90"/>
      <c r="F524" s="92"/>
      <c r="G524" s="45"/>
      <c r="H524" s="42"/>
      <c r="I524" s="42"/>
      <c r="J524" s="41"/>
      <c r="K524" s="42"/>
      <c r="L524" s="45"/>
      <c r="M524" s="45"/>
      <c r="N524" s="45"/>
      <c r="O524" s="45"/>
    </row>
    <row r="525" spans="3:15" x14ac:dyDescent="0.3">
      <c r="C525" s="90"/>
      <c r="D525" s="87"/>
      <c r="E525" s="90"/>
      <c r="F525" s="92"/>
      <c r="G525" s="45"/>
      <c r="H525" s="42"/>
      <c r="I525" s="42"/>
      <c r="J525" s="41"/>
      <c r="K525" s="42"/>
      <c r="L525" s="45"/>
      <c r="M525" s="45"/>
      <c r="N525" s="45"/>
      <c r="O525" s="45"/>
    </row>
    <row r="526" spans="3:15" x14ac:dyDescent="0.3">
      <c r="C526" s="90"/>
      <c r="D526" s="87"/>
      <c r="E526" s="90"/>
      <c r="F526" s="92"/>
      <c r="G526" s="45"/>
      <c r="H526" s="42"/>
      <c r="I526" s="42"/>
      <c r="J526" s="41"/>
      <c r="K526" s="42"/>
      <c r="L526" s="45"/>
      <c r="M526" s="45"/>
      <c r="N526" s="45"/>
      <c r="O526" s="45"/>
    </row>
    <row r="527" spans="3:15" x14ac:dyDescent="0.3">
      <c r="C527" s="90"/>
      <c r="D527" s="87"/>
      <c r="E527" s="90"/>
      <c r="F527" s="92"/>
      <c r="G527" s="45"/>
      <c r="H527" s="42"/>
      <c r="I527" s="42"/>
      <c r="J527" s="41"/>
      <c r="K527" s="42"/>
      <c r="L527" s="45"/>
      <c r="M527" s="45"/>
      <c r="N527" s="45"/>
      <c r="O527" s="45"/>
    </row>
    <row r="528" spans="3:15" x14ac:dyDescent="0.3">
      <c r="C528" s="90"/>
      <c r="D528" s="87"/>
      <c r="E528" s="90"/>
      <c r="F528" s="92"/>
      <c r="G528" s="45"/>
      <c r="H528" s="42"/>
      <c r="I528" s="42"/>
      <c r="J528" s="41"/>
      <c r="K528" s="42"/>
      <c r="L528" s="45"/>
      <c r="M528" s="45"/>
      <c r="N528" s="45"/>
      <c r="O528" s="45"/>
    </row>
    <row r="529" spans="3:15" x14ac:dyDescent="0.3">
      <c r="C529" s="90"/>
      <c r="D529" s="87"/>
      <c r="E529" s="90"/>
      <c r="F529" s="92"/>
      <c r="G529" s="45"/>
      <c r="H529" s="42"/>
      <c r="I529" s="42"/>
      <c r="J529" s="41"/>
      <c r="K529" s="42"/>
      <c r="L529" s="45"/>
      <c r="M529" s="45"/>
      <c r="N529" s="45"/>
      <c r="O529" s="45"/>
    </row>
    <row r="530" spans="3:15" x14ac:dyDescent="0.3">
      <c r="C530" s="90"/>
      <c r="D530" s="87"/>
      <c r="E530" s="90"/>
      <c r="F530" s="92"/>
      <c r="G530" s="45"/>
      <c r="H530" s="42"/>
      <c r="I530" s="42"/>
      <c r="J530" s="41"/>
      <c r="K530" s="42"/>
      <c r="L530" s="45"/>
      <c r="M530" s="45"/>
      <c r="N530" s="45"/>
      <c r="O530" s="45"/>
    </row>
    <row r="531" spans="3:15" x14ac:dyDescent="0.3">
      <c r="C531" s="90"/>
      <c r="D531" s="87"/>
      <c r="E531" s="90"/>
      <c r="F531" s="92"/>
      <c r="G531" s="45"/>
      <c r="H531" s="42"/>
      <c r="I531" s="42"/>
      <c r="J531" s="41"/>
      <c r="K531" s="42"/>
      <c r="L531" s="45"/>
      <c r="M531" s="45"/>
      <c r="N531" s="45"/>
      <c r="O531" s="45"/>
    </row>
    <row r="532" spans="3:15" x14ac:dyDescent="0.3">
      <c r="C532" s="90"/>
      <c r="D532" s="87"/>
      <c r="E532" s="90"/>
      <c r="F532" s="92"/>
      <c r="G532" s="45"/>
      <c r="H532" s="42"/>
      <c r="I532" s="42"/>
      <c r="J532" s="41"/>
      <c r="K532" s="42"/>
      <c r="L532" s="45"/>
      <c r="M532" s="45"/>
      <c r="N532" s="45"/>
      <c r="O532" s="45"/>
    </row>
    <row r="533" spans="3:15" x14ac:dyDescent="0.3">
      <c r="C533" s="90"/>
      <c r="D533" s="87"/>
      <c r="E533" s="90"/>
      <c r="F533" s="92"/>
      <c r="G533" s="45"/>
      <c r="H533" s="42"/>
      <c r="I533" s="42"/>
      <c r="J533" s="41"/>
      <c r="K533" s="42"/>
      <c r="L533" s="45"/>
      <c r="M533" s="45"/>
      <c r="N533" s="45"/>
      <c r="O533" s="45"/>
    </row>
    <row r="534" spans="3:15" x14ac:dyDescent="0.3">
      <c r="C534" s="90"/>
      <c r="D534" s="87"/>
      <c r="E534" s="90"/>
      <c r="F534" s="92"/>
      <c r="G534" s="45"/>
      <c r="H534" s="42"/>
      <c r="I534" s="42"/>
      <c r="J534" s="41"/>
      <c r="K534" s="42"/>
      <c r="L534" s="45"/>
      <c r="M534" s="45"/>
      <c r="N534" s="45"/>
      <c r="O534" s="45"/>
    </row>
    <row r="535" spans="3:15" x14ac:dyDescent="0.3">
      <c r="C535" s="90"/>
      <c r="D535" s="87"/>
      <c r="E535" s="90"/>
      <c r="F535" s="92"/>
      <c r="G535" s="45"/>
      <c r="H535" s="42"/>
      <c r="I535" s="42"/>
      <c r="J535" s="41"/>
      <c r="K535" s="42"/>
      <c r="L535" s="45"/>
      <c r="M535" s="45"/>
      <c r="N535" s="45"/>
      <c r="O535" s="45"/>
    </row>
    <row r="536" spans="3:15" x14ac:dyDescent="0.3">
      <c r="C536" s="90"/>
      <c r="D536" s="87"/>
      <c r="E536" s="90"/>
      <c r="F536" s="92"/>
      <c r="G536" s="45"/>
      <c r="H536" s="42"/>
      <c r="I536" s="42"/>
      <c r="J536" s="41"/>
      <c r="K536" s="42"/>
      <c r="L536" s="45"/>
      <c r="M536" s="45"/>
      <c r="N536" s="45"/>
      <c r="O536" s="45"/>
    </row>
    <row r="537" spans="3:15" x14ac:dyDescent="0.3">
      <c r="C537" s="90"/>
      <c r="D537" s="87"/>
      <c r="E537" s="90"/>
      <c r="F537" s="92"/>
      <c r="G537" s="45"/>
      <c r="H537" s="42"/>
      <c r="I537" s="42"/>
      <c r="J537" s="41"/>
      <c r="K537" s="42"/>
      <c r="L537" s="45"/>
      <c r="M537" s="45"/>
      <c r="N537" s="45"/>
      <c r="O537" s="45"/>
    </row>
    <row r="538" spans="3:15" x14ac:dyDescent="0.3">
      <c r="C538" s="90"/>
      <c r="D538" s="87"/>
      <c r="E538" s="90"/>
      <c r="F538" s="92"/>
      <c r="G538" s="45"/>
      <c r="H538" s="42"/>
      <c r="I538" s="42"/>
      <c r="J538" s="41"/>
      <c r="K538" s="42"/>
      <c r="L538" s="45"/>
      <c r="M538" s="45"/>
      <c r="N538" s="45"/>
      <c r="O538" s="45"/>
    </row>
    <row r="539" spans="3:15" x14ac:dyDescent="0.3">
      <c r="C539" s="90"/>
      <c r="D539" s="87"/>
      <c r="E539" s="90"/>
      <c r="F539" s="92"/>
      <c r="G539" s="45"/>
      <c r="H539" s="42"/>
      <c r="I539" s="42"/>
      <c r="J539" s="41"/>
      <c r="K539" s="42"/>
      <c r="L539" s="45"/>
      <c r="M539" s="45"/>
      <c r="N539" s="45"/>
      <c r="O539" s="45"/>
    </row>
    <row r="540" spans="3:15" x14ac:dyDescent="0.3">
      <c r="C540" s="90"/>
      <c r="D540" s="87"/>
      <c r="E540" s="90"/>
      <c r="F540" s="92"/>
      <c r="G540" s="45"/>
      <c r="H540" s="42"/>
      <c r="I540" s="42"/>
      <c r="J540" s="41"/>
      <c r="K540" s="42"/>
      <c r="L540" s="45"/>
      <c r="M540" s="45"/>
      <c r="N540" s="45"/>
      <c r="O540" s="45"/>
    </row>
    <row r="541" spans="3:15" x14ac:dyDescent="0.3">
      <c r="C541" s="90"/>
      <c r="D541" s="87"/>
      <c r="E541" s="90"/>
      <c r="F541" s="92"/>
      <c r="G541" s="45"/>
      <c r="H541" s="42"/>
      <c r="I541" s="42"/>
      <c r="J541" s="41"/>
      <c r="K541" s="42"/>
      <c r="L541" s="45"/>
      <c r="M541" s="45"/>
      <c r="N541" s="45"/>
      <c r="O541" s="45"/>
    </row>
    <row r="542" spans="3:15" x14ac:dyDescent="0.3">
      <c r="C542" s="90"/>
      <c r="D542" s="87"/>
      <c r="E542" s="90"/>
      <c r="F542" s="92"/>
      <c r="G542" s="45"/>
      <c r="H542" s="42"/>
      <c r="I542" s="42"/>
      <c r="J542" s="41"/>
      <c r="K542" s="42"/>
      <c r="L542" s="45"/>
      <c r="M542" s="45"/>
      <c r="N542" s="45"/>
      <c r="O542" s="45"/>
    </row>
    <row r="543" spans="3:15" x14ac:dyDescent="0.3">
      <c r="C543" s="90"/>
      <c r="D543" s="87"/>
      <c r="E543" s="90"/>
      <c r="F543" s="92"/>
      <c r="G543" s="45"/>
      <c r="H543" s="42"/>
      <c r="I543" s="42"/>
      <c r="J543" s="41"/>
      <c r="K543" s="42"/>
      <c r="L543" s="45"/>
      <c r="M543" s="45"/>
      <c r="N543" s="45"/>
      <c r="O543" s="45"/>
    </row>
    <row r="544" spans="3:15" x14ac:dyDescent="0.3">
      <c r="C544" s="90"/>
      <c r="D544" s="87"/>
      <c r="E544" s="90"/>
      <c r="F544" s="92"/>
      <c r="G544" s="45"/>
      <c r="H544" s="42"/>
      <c r="I544" s="42"/>
      <c r="J544" s="41"/>
      <c r="K544" s="42"/>
      <c r="L544" s="45"/>
      <c r="M544" s="45"/>
      <c r="N544" s="45"/>
      <c r="O544" s="45"/>
    </row>
    <row r="545" spans="3:15" x14ac:dyDescent="0.3">
      <c r="C545" s="90"/>
      <c r="D545" s="87"/>
      <c r="E545" s="90"/>
      <c r="F545" s="92"/>
      <c r="G545" s="45"/>
      <c r="H545" s="42"/>
      <c r="I545" s="42"/>
      <c r="J545" s="41"/>
      <c r="K545" s="42"/>
      <c r="L545" s="45"/>
      <c r="M545" s="45"/>
      <c r="N545" s="45"/>
      <c r="O545" s="45"/>
    </row>
    <row r="546" spans="3:15" x14ac:dyDescent="0.3">
      <c r="C546" s="90"/>
      <c r="D546" s="87"/>
      <c r="E546" s="90"/>
      <c r="F546" s="92"/>
      <c r="G546" s="45"/>
      <c r="H546" s="42"/>
      <c r="I546" s="42"/>
      <c r="J546" s="41"/>
      <c r="K546" s="42"/>
      <c r="L546" s="45"/>
      <c r="M546" s="45"/>
      <c r="N546" s="45"/>
      <c r="O546" s="45"/>
    </row>
    <row r="547" spans="3:15" x14ac:dyDescent="0.3">
      <c r="C547" s="90"/>
      <c r="D547" s="87"/>
      <c r="E547" s="90"/>
      <c r="F547" s="92"/>
      <c r="G547" s="45"/>
      <c r="H547" s="42"/>
      <c r="I547" s="42"/>
      <c r="J547" s="41"/>
      <c r="K547" s="42"/>
      <c r="L547" s="45"/>
      <c r="M547" s="45"/>
      <c r="N547" s="45"/>
      <c r="O547" s="45"/>
    </row>
    <row r="548" spans="3:15" x14ac:dyDescent="0.3">
      <c r="C548" s="90"/>
      <c r="D548" s="87"/>
      <c r="E548" s="90"/>
      <c r="F548" s="92"/>
      <c r="G548" s="45"/>
      <c r="H548" s="42"/>
      <c r="I548" s="42"/>
      <c r="J548" s="41"/>
      <c r="K548" s="42"/>
      <c r="L548" s="45"/>
      <c r="M548" s="45"/>
      <c r="N548" s="45"/>
      <c r="O548" s="45"/>
    </row>
    <row r="549" spans="3:15" x14ac:dyDescent="0.3">
      <c r="C549" s="90"/>
      <c r="D549" s="87"/>
      <c r="E549" s="90"/>
      <c r="F549" s="92"/>
      <c r="G549" s="45"/>
      <c r="H549" s="42"/>
      <c r="I549" s="42"/>
      <c r="J549" s="41"/>
      <c r="K549" s="42"/>
      <c r="L549" s="45"/>
      <c r="M549" s="45"/>
      <c r="N549" s="45"/>
      <c r="O549" s="45"/>
    </row>
    <row r="550" spans="3:15" x14ac:dyDescent="0.3">
      <c r="C550" s="90"/>
      <c r="D550" s="87"/>
      <c r="E550" s="90"/>
      <c r="F550" s="92"/>
      <c r="G550" s="45"/>
      <c r="H550" s="42"/>
      <c r="I550" s="42"/>
      <c r="J550" s="41"/>
      <c r="K550" s="42"/>
      <c r="L550" s="45"/>
      <c r="M550" s="45"/>
      <c r="N550" s="45"/>
      <c r="O550" s="45"/>
    </row>
    <row r="551" spans="3:15" x14ac:dyDescent="0.3">
      <c r="C551" s="90"/>
      <c r="D551" s="87"/>
      <c r="E551" s="90"/>
      <c r="F551" s="92"/>
      <c r="G551" s="45"/>
      <c r="H551" s="42"/>
      <c r="I551" s="42"/>
      <c r="J551" s="41"/>
      <c r="K551" s="42"/>
      <c r="L551" s="45"/>
      <c r="M551" s="45"/>
      <c r="N551" s="45"/>
      <c r="O551" s="45"/>
    </row>
    <row r="552" spans="3:15" x14ac:dyDescent="0.3">
      <c r="C552" s="90"/>
      <c r="D552" s="87"/>
      <c r="E552" s="90"/>
      <c r="F552" s="92"/>
      <c r="G552" s="45"/>
      <c r="H552" s="42"/>
      <c r="I552" s="42"/>
      <c r="J552" s="41"/>
      <c r="K552" s="42"/>
      <c r="L552" s="45"/>
      <c r="M552" s="45"/>
      <c r="N552" s="45"/>
      <c r="O552" s="45"/>
    </row>
    <row r="553" spans="3:15" x14ac:dyDescent="0.3">
      <c r="C553" s="90"/>
      <c r="D553" s="87"/>
      <c r="E553" s="90"/>
      <c r="F553" s="92"/>
      <c r="G553" s="45"/>
      <c r="H553" s="42"/>
      <c r="I553" s="42"/>
      <c r="J553" s="41"/>
      <c r="K553" s="42"/>
      <c r="L553" s="45"/>
      <c r="M553" s="45"/>
      <c r="N553" s="45"/>
      <c r="O553" s="45"/>
    </row>
    <row r="554" spans="3:15" x14ac:dyDescent="0.3">
      <c r="C554" s="90"/>
      <c r="D554" s="87"/>
      <c r="E554" s="90"/>
      <c r="F554" s="92"/>
      <c r="G554" s="45"/>
      <c r="H554" s="42"/>
      <c r="I554" s="42"/>
      <c r="J554" s="41"/>
      <c r="K554" s="42"/>
      <c r="L554" s="45"/>
      <c r="M554" s="45"/>
      <c r="N554" s="45"/>
      <c r="O554" s="45"/>
    </row>
    <row r="555" spans="3:15" x14ac:dyDescent="0.3">
      <c r="C555" s="90"/>
      <c r="D555" s="87"/>
      <c r="E555" s="90"/>
      <c r="F555" s="92"/>
      <c r="G555" s="45"/>
      <c r="H555" s="42"/>
      <c r="I555" s="42"/>
      <c r="J555" s="41"/>
      <c r="K555" s="42"/>
      <c r="L555" s="45"/>
      <c r="M555" s="45"/>
      <c r="N555" s="45"/>
      <c r="O555" s="45"/>
    </row>
    <row r="556" spans="3:15" x14ac:dyDescent="0.3">
      <c r="C556" s="90"/>
      <c r="D556" s="87"/>
      <c r="E556" s="90"/>
      <c r="F556" s="92"/>
      <c r="G556" s="45"/>
      <c r="H556" s="42"/>
      <c r="I556" s="42"/>
      <c r="J556" s="41"/>
      <c r="K556" s="42"/>
      <c r="L556" s="45"/>
      <c r="M556" s="45"/>
      <c r="N556" s="45"/>
      <c r="O556" s="45"/>
    </row>
    <row r="557" spans="3:15" x14ac:dyDescent="0.3">
      <c r="C557" s="90"/>
      <c r="D557" s="87"/>
      <c r="E557" s="90"/>
      <c r="F557" s="92"/>
      <c r="G557" s="45"/>
      <c r="H557" s="42"/>
      <c r="I557" s="42"/>
      <c r="J557" s="41"/>
      <c r="K557" s="42"/>
      <c r="L557" s="45"/>
      <c r="M557" s="45"/>
      <c r="N557" s="45"/>
      <c r="O557" s="45"/>
    </row>
    <row r="558" spans="3:15" x14ac:dyDescent="0.3">
      <c r="C558" s="90"/>
      <c r="D558" s="87"/>
      <c r="E558" s="90"/>
      <c r="F558" s="92"/>
      <c r="G558" s="45"/>
      <c r="H558" s="42"/>
      <c r="I558" s="42"/>
      <c r="J558" s="41"/>
      <c r="K558" s="42"/>
      <c r="L558" s="45"/>
      <c r="M558" s="45"/>
      <c r="N558" s="45"/>
      <c r="O558" s="45"/>
    </row>
    <row r="559" spans="3:15" x14ac:dyDescent="0.3">
      <c r="C559" s="90"/>
      <c r="D559" s="87"/>
      <c r="E559" s="90"/>
      <c r="F559" s="92"/>
      <c r="G559" s="45"/>
      <c r="H559" s="42"/>
      <c r="I559" s="42"/>
      <c r="J559" s="41"/>
      <c r="K559" s="42"/>
      <c r="L559" s="45"/>
      <c r="M559" s="45"/>
      <c r="N559" s="45"/>
      <c r="O559" s="45"/>
    </row>
    <row r="560" spans="3:15" x14ac:dyDescent="0.3">
      <c r="C560" s="90"/>
      <c r="D560" s="87"/>
      <c r="E560" s="90"/>
      <c r="F560" s="92"/>
      <c r="G560" s="45"/>
      <c r="H560" s="42"/>
      <c r="I560" s="42"/>
      <c r="J560" s="41"/>
      <c r="K560" s="42"/>
      <c r="L560" s="45"/>
      <c r="M560" s="45"/>
      <c r="N560" s="45"/>
      <c r="O560" s="45"/>
    </row>
    <row r="561" spans="3:15" x14ac:dyDescent="0.3">
      <c r="C561" s="90"/>
      <c r="D561" s="87"/>
      <c r="E561" s="90"/>
      <c r="F561" s="92"/>
      <c r="G561" s="45"/>
      <c r="H561" s="42"/>
      <c r="I561" s="42"/>
      <c r="J561" s="41"/>
      <c r="K561" s="42"/>
      <c r="L561" s="45"/>
      <c r="M561" s="45"/>
      <c r="N561" s="45"/>
      <c r="O561" s="45"/>
    </row>
    <row r="562" spans="3:15" x14ac:dyDescent="0.3">
      <c r="C562" s="90"/>
      <c r="D562" s="87"/>
      <c r="E562" s="90"/>
      <c r="F562" s="92"/>
      <c r="G562" s="45"/>
      <c r="H562" s="42"/>
      <c r="I562" s="42"/>
      <c r="J562" s="41"/>
      <c r="K562" s="42"/>
      <c r="L562" s="45"/>
      <c r="M562" s="45"/>
      <c r="N562" s="45"/>
      <c r="O562" s="45"/>
    </row>
    <row r="563" spans="3:15" x14ac:dyDescent="0.3">
      <c r="C563" s="90"/>
      <c r="D563" s="87"/>
      <c r="E563" s="90"/>
      <c r="F563" s="92"/>
      <c r="G563" s="45"/>
      <c r="H563" s="42"/>
      <c r="I563" s="42"/>
      <c r="J563" s="41"/>
      <c r="K563" s="42"/>
      <c r="L563" s="45"/>
      <c r="M563" s="45"/>
      <c r="N563" s="45"/>
      <c r="O563" s="45"/>
    </row>
    <row r="564" spans="3:15" x14ac:dyDescent="0.3">
      <c r="C564" s="90"/>
      <c r="D564" s="87"/>
      <c r="E564" s="90"/>
      <c r="F564" s="92"/>
      <c r="G564" s="45"/>
      <c r="H564" s="42"/>
      <c r="I564" s="42"/>
      <c r="J564" s="41"/>
      <c r="K564" s="42"/>
      <c r="L564" s="45"/>
      <c r="M564" s="45"/>
      <c r="N564" s="45"/>
      <c r="O564" s="45"/>
    </row>
    <row r="565" spans="3:15" x14ac:dyDescent="0.3">
      <c r="C565" s="90"/>
      <c r="D565" s="87"/>
      <c r="E565" s="90"/>
      <c r="F565" s="92"/>
      <c r="G565" s="45"/>
      <c r="H565" s="42"/>
      <c r="I565" s="42"/>
      <c r="J565" s="41"/>
      <c r="K565" s="42"/>
      <c r="L565" s="45"/>
      <c r="M565" s="45"/>
      <c r="N565" s="45"/>
      <c r="O565" s="45"/>
    </row>
    <row r="566" spans="3:15" x14ac:dyDescent="0.3">
      <c r="C566" s="90"/>
      <c r="D566" s="87"/>
      <c r="E566" s="90"/>
      <c r="F566" s="92"/>
      <c r="G566" s="45"/>
      <c r="H566" s="42"/>
      <c r="I566" s="42"/>
      <c r="J566" s="41"/>
      <c r="K566" s="42"/>
      <c r="L566" s="45"/>
      <c r="M566" s="45"/>
      <c r="N566" s="45"/>
      <c r="O566" s="45"/>
    </row>
    <row r="567" spans="3:15" x14ac:dyDescent="0.3">
      <c r="C567" s="90"/>
      <c r="D567" s="87"/>
      <c r="E567" s="90"/>
      <c r="F567" s="92"/>
      <c r="G567" s="45"/>
      <c r="H567" s="42"/>
      <c r="I567" s="42"/>
      <c r="J567" s="41"/>
      <c r="K567" s="42"/>
      <c r="L567" s="45"/>
      <c r="M567" s="45"/>
      <c r="N567" s="45"/>
      <c r="O567" s="45"/>
    </row>
    <row r="568" spans="3:15" x14ac:dyDescent="0.3">
      <c r="C568" s="90"/>
      <c r="D568" s="87"/>
      <c r="E568" s="90"/>
      <c r="F568" s="92"/>
      <c r="G568" s="45"/>
      <c r="H568" s="42"/>
      <c r="I568" s="42"/>
      <c r="J568" s="41"/>
      <c r="K568" s="42"/>
      <c r="L568" s="45"/>
      <c r="M568" s="45"/>
      <c r="N568" s="45"/>
      <c r="O568" s="45"/>
    </row>
    <row r="569" spans="3:15" x14ac:dyDescent="0.3">
      <c r="C569" s="90"/>
      <c r="D569" s="87"/>
      <c r="E569" s="90"/>
      <c r="F569" s="92"/>
      <c r="G569" s="45"/>
      <c r="H569" s="42"/>
      <c r="I569" s="42"/>
      <c r="J569" s="41"/>
      <c r="K569" s="42"/>
      <c r="L569" s="45"/>
      <c r="M569" s="45"/>
      <c r="N569" s="45"/>
      <c r="O569" s="45"/>
    </row>
    <row r="570" spans="3:15" x14ac:dyDescent="0.3">
      <c r="C570" s="90"/>
      <c r="D570" s="87"/>
      <c r="E570" s="90"/>
      <c r="F570" s="92"/>
      <c r="G570" s="45"/>
      <c r="H570" s="42"/>
      <c r="I570" s="42"/>
      <c r="J570" s="41"/>
      <c r="K570" s="42"/>
      <c r="L570" s="45"/>
      <c r="M570" s="45"/>
      <c r="N570" s="45"/>
      <c r="O570" s="45"/>
    </row>
    <row r="571" spans="3:15" x14ac:dyDescent="0.3">
      <c r="C571" s="90"/>
      <c r="D571" s="87"/>
      <c r="E571" s="90"/>
      <c r="F571" s="92"/>
      <c r="G571" s="45"/>
      <c r="H571" s="42"/>
      <c r="I571" s="42"/>
      <c r="J571" s="41"/>
      <c r="K571" s="42"/>
      <c r="L571" s="45"/>
      <c r="M571" s="45"/>
      <c r="N571" s="45"/>
      <c r="O571" s="45"/>
    </row>
    <row r="572" spans="3:15" x14ac:dyDescent="0.3">
      <c r="C572" s="90"/>
      <c r="D572" s="87"/>
      <c r="E572" s="90"/>
      <c r="F572" s="92"/>
      <c r="G572" s="45"/>
      <c r="H572" s="42"/>
      <c r="I572" s="42"/>
      <c r="J572" s="41"/>
      <c r="K572" s="42"/>
      <c r="L572" s="45"/>
      <c r="M572" s="45"/>
      <c r="N572" s="45"/>
      <c r="O572" s="45"/>
    </row>
    <row r="573" spans="3:15" x14ac:dyDescent="0.3">
      <c r="C573" s="90"/>
      <c r="D573" s="87"/>
      <c r="E573" s="90"/>
      <c r="F573" s="92"/>
      <c r="G573" s="45"/>
      <c r="H573" s="42"/>
      <c r="I573" s="42"/>
      <c r="J573" s="41"/>
      <c r="K573" s="42"/>
      <c r="L573" s="45"/>
      <c r="M573" s="45"/>
      <c r="N573" s="45"/>
      <c r="O573" s="45"/>
    </row>
    <row r="574" spans="3:15" x14ac:dyDescent="0.3">
      <c r="C574" s="90"/>
      <c r="D574" s="87"/>
      <c r="E574" s="90"/>
      <c r="F574" s="92"/>
      <c r="G574" s="45"/>
      <c r="H574" s="42"/>
      <c r="I574" s="42"/>
      <c r="J574" s="41"/>
      <c r="K574" s="42"/>
      <c r="L574" s="45"/>
      <c r="M574" s="45"/>
      <c r="N574" s="45"/>
      <c r="O574" s="45"/>
    </row>
    <row r="575" spans="3:15" x14ac:dyDescent="0.3">
      <c r="C575" s="90"/>
      <c r="D575" s="87"/>
      <c r="E575" s="90"/>
      <c r="F575" s="92"/>
      <c r="G575" s="45"/>
      <c r="H575" s="42"/>
      <c r="I575" s="42"/>
      <c r="J575" s="41"/>
      <c r="K575" s="42"/>
      <c r="L575" s="45"/>
      <c r="M575" s="45"/>
      <c r="N575" s="45"/>
      <c r="O575" s="45"/>
    </row>
    <row r="576" spans="3:15" x14ac:dyDescent="0.3">
      <c r="C576" s="90"/>
      <c r="D576" s="87"/>
      <c r="E576" s="90"/>
      <c r="F576" s="92"/>
      <c r="G576" s="45"/>
      <c r="H576" s="42"/>
      <c r="I576" s="42"/>
      <c r="J576" s="41"/>
      <c r="K576" s="42"/>
      <c r="L576" s="45"/>
      <c r="M576" s="45"/>
      <c r="N576" s="45"/>
      <c r="O576" s="45"/>
    </row>
    <row r="577" spans="3:15" x14ac:dyDescent="0.3">
      <c r="C577" s="90"/>
      <c r="D577" s="87"/>
      <c r="E577" s="90"/>
      <c r="F577" s="92"/>
      <c r="G577" s="45"/>
      <c r="H577" s="42"/>
      <c r="I577" s="42"/>
      <c r="J577" s="41"/>
      <c r="K577" s="42"/>
      <c r="L577" s="45"/>
      <c r="M577" s="45"/>
      <c r="N577" s="45"/>
      <c r="O577" s="45"/>
    </row>
    <row r="578" spans="3:15" x14ac:dyDescent="0.3">
      <c r="C578" s="90"/>
      <c r="D578" s="87"/>
      <c r="E578" s="90"/>
      <c r="F578" s="92"/>
      <c r="G578" s="45"/>
      <c r="H578" s="42"/>
      <c r="I578" s="42"/>
      <c r="J578" s="41"/>
      <c r="K578" s="42"/>
      <c r="L578" s="45"/>
      <c r="M578" s="45"/>
      <c r="N578" s="45"/>
      <c r="O578" s="45"/>
    </row>
    <row r="579" spans="3:15" x14ac:dyDescent="0.3">
      <c r="C579" s="90"/>
      <c r="D579" s="87"/>
      <c r="E579" s="90"/>
      <c r="F579" s="92"/>
      <c r="G579" s="45"/>
      <c r="H579" s="42"/>
      <c r="I579" s="42"/>
      <c r="J579" s="41"/>
      <c r="K579" s="42"/>
      <c r="L579" s="45"/>
      <c r="M579" s="45"/>
      <c r="N579" s="45"/>
      <c r="O579" s="45"/>
    </row>
    <row r="580" spans="3:15" x14ac:dyDescent="0.3">
      <c r="C580" s="90"/>
      <c r="D580" s="87"/>
      <c r="E580" s="90"/>
      <c r="F580" s="92"/>
      <c r="G580" s="45"/>
      <c r="H580" s="42"/>
      <c r="I580" s="42"/>
      <c r="J580" s="41"/>
      <c r="K580" s="42"/>
      <c r="L580" s="45"/>
      <c r="M580" s="45"/>
      <c r="N580" s="45"/>
      <c r="O580" s="45"/>
    </row>
    <row r="581" spans="3:15" x14ac:dyDescent="0.3">
      <c r="C581" s="90"/>
      <c r="D581" s="87"/>
      <c r="E581" s="90"/>
      <c r="F581" s="92"/>
      <c r="G581" s="45"/>
      <c r="H581" s="42"/>
      <c r="I581" s="42"/>
      <c r="J581" s="41"/>
      <c r="K581" s="42"/>
      <c r="L581" s="45"/>
      <c r="M581" s="45"/>
      <c r="N581" s="45"/>
      <c r="O581" s="45"/>
    </row>
    <row r="582" spans="3:15" x14ac:dyDescent="0.3">
      <c r="C582" s="90"/>
      <c r="D582" s="87"/>
      <c r="E582" s="90"/>
      <c r="F582" s="92"/>
      <c r="G582" s="45"/>
      <c r="H582" s="42"/>
      <c r="I582" s="42"/>
      <c r="J582" s="41"/>
      <c r="K582" s="42"/>
      <c r="L582" s="45"/>
      <c r="M582" s="45"/>
      <c r="N582" s="45"/>
      <c r="O582" s="45"/>
    </row>
    <row r="583" spans="3:15" x14ac:dyDescent="0.3">
      <c r="C583" s="90"/>
      <c r="D583" s="87"/>
      <c r="E583" s="90"/>
      <c r="F583" s="92"/>
      <c r="G583" s="45"/>
      <c r="H583" s="42"/>
      <c r="I583" s="42"/>
      <c r="J583" s="41"/>
      <c r="K583" s="42"/>
      <c r="L583" s="45"/>
      <c r="M583" s="45"/>
      <c r="N583" s="45"/>
      <c r="O583" s="45"/>
    </row>
    <row r="584" spans="3:15" x14ac:dyDescent="0.3">
      <c r="C584" s="90"/>
      <c r="D584" s="87"/>
      <c r="E584" s="90"/>
      <c r="F584" s="92"/>
      <c r="G584" s="45"/>
      <c r="H584" s="42"/>
      <c r="I584" s="42"/>
      <c r="J584" s="41"/>
      <c r="K584" s="42"/>
      <c r="L584" s="45"/>
      <c r="M584" s="45"/>
      <c r="N584" s="45"/>
      <c r="O584" s="45"/>
    </row>
    <row r="585" spans="3:15" x14ac:dyDescent="0.3">
      <c r="C585" s="90"/>
      <c r="D585" s="87"/>
      <c r="E585" s="90"/>
      <c r="F585" s="92"/>
      <c r="G585" s="45"/>
      <c r="H585" s="42"/>
      <c r="I585" s="42"/>
      <c r="J585" s="41"/>
      <c r="K585" s="42"/>
      <c r="L585" s="45"/>
      <c r="M585" s="45"/>
      <c r="N585" s="45"/>
      <c r="O585" s="45"/>
    </row>
    <row r="586" spans="3:15" x14ac:dyDescent="0.3">
      <c r="C586" s="90"/>
      <c r="D586" s="87"/>
      <c r="E586" s="90"/>
      <c r="F586" s="92"/>
      <c r="G586" s="45"/>
      <c r="H586" s="42"/>
      <c r="I586" s="42"/>
      <c r="J586" s="41"/>
      <c r="K586" s="42"/>
      <c r="L586" s="45"/>
      <c r="M586" s="45"/>
      <c r="N586" s="45"/>
      <c r="O586" s="45"/>
    </row>
    <row r="587" spans="3:15" x14ac:dyDescent="0.3">
      <c r="C587" s="90"/>
      <c r="D587" s="87"/>
      <c r="E587" s="90"/>
      <c r="F587" s="92"/>
      <c r="G587" s="45"/>
      <c r="H587" s="42"/>
      <c r="I587" s="42"/>
      <c r="J587" s="41"/>
      <c r="K587" s="42"/>
      <c r="L587" s="45"/>
      <c r="M587" s="45"/>
      <c r="N587" s="45"/>
      <c r="O587" s="45"/>
    </row>
    <row r="588" spans="3:15" x14ac:dyDescent="0.3">
      <c r="C588" s="90"/>
      <c r="D588" s="87"/>
      <c r="E588" s="90"/>
      <c r="F588" s="92"/>
      <c r="G588" s="45"/>
      <c r="H588" s="42"/>
      <c r="I588" s="42"/>
      <c r="J588" s="41"/>
      <c r="K588" s="42"/>
      <c r="L588" s="45"/>
      <c r="M588" s="45"/>
      <c r="N588" s="45"/>
      <c r="O588" s="45"/>
    </row>
    <row r="589" spans="3:15" x14ac:dyDescent="0.3">
      <c r="C589" s="90"/>
      <c r="D589" s="87"/>
      <c r="E589" s="90"/>
      <c r="F589" s="92"/>
      <c r="G589" s="45"/>
      <c r="H589" s="42"/>
      <c r="I589" s="42"/>
      <c r="J589" s="41"/>
      <c r="K589" s="42"/>
      <c r="L589" s="45"/>
      <c r="M589" s="45"/>
      <c r="N589" s="45"/>
      <c r="O589" s="45"/>
    </row>
    <row r="590" spans="3:15" x14ac:dyDescent="0.3">
      <c r="C590" s="90"/>
      <c r="D590" s="87"/>
      <c r="E590" s="90"/>
      <c r="F590" s="92"/>
      <c r="G590" s="45"/>
      <c r="H590" s="42"/>
      <c r="I590" s="42"/>
      <c r="J590" s="41"/>
      <c r="K590" s="42"/>
      <c r="L590" s="45"/>
      <c r="M590" s="45"/>
      <c r="N590" s="45"/>
      <c r="O590" s="45"/>
    </row>
    <row r="591" spans="3:15" x14ac:dyDescent="0.3">
      <c r="C591" s="90"/>
      <c r="D591" s="87"/>
      <c r="E591" s="90"/>
      <c r="F591" s="92"/>
      <c r="G591" s="45"/>
      <c r="H591" s="42"/>
      <c r="I591" s="42"/>
      <c r="J591" s="41"/>
      <c r="K591" s="42"/>
      <c r="L591" s="45"/>
      <c r="M591" s="45"/>
      <c r="N591" s="45"/>
      <c r="O591" s="45"/>
    </row>
    <row r="592" spans="3:15" x14ac:dyDescent="0.3">
      <c r="C592" s="90"/>
      <c r="D592" s="87"/>
      <c r="E592" s="90"/>
      <c r="F592" s="92"/>
      <c r="G592" s="45"/>
      <c r="H592" s="42"/>
      <c r="I592" s="42"/>
      <c r="J592" s="41"/>
      <c r="K592" s="42"/>
      <c r="L592" s="45"/>
      <c r="M592" s="45"/>
      <c r="N592" s="45"/>
      <c r="O592" s="45"/>
    </row>
    <row r="593" spans="3:15" x14ac:dyDescent="0.3">
      <c r="C593" s="90"/>
      <c r="D593" s="87"/>
      <c r="E593" s="90"/>
      <c r="F593" s="92"/>
      <c r="G593" s="45"/>
      <c r="H593" s="42"/>
      <c r="I593" s="42"/>
      <c r="J593" s="41"/>
      <c r="K593" s="42"/>
      <c r="L593" s="45"/>
      <c r="M593" s="45"/>
      <c r="N593" s="45"/>
      <c r="O593" s="45"/>
    </row>
    <row r="594" spans="3:15" x14ac:dyDescent="0.3">
      <c r="C594" s="90"/>
      <c r="D594" s="87"/>
      <c r="E594" s="90"/>
      <c r="F594" s="92"/>
      <c r="G594" s="45"/>
      <c r="H594" s="42"/>
      <c r="I594" s="42"/>
      <c r="J594" s="41"/>
      <c r="K594" s="42"/>
      <c r="L594" s="45"/>
      <c r="M594" s="45"/>
      <c r="N594" s="45"/>
      <c r="O594" s="45"/>
    </row>
    <row r="595" spans="3:15" x14ac:dyDescent="0.3">
      <c r="C595" s="90"/>
      <c r="D595" s="87"/>
      <c r="E595" s="90"/>
      <c r="F595" s="92"/>
      <c r="G595" s="45"/>
      <c r="H595" s="42"/>
      <c r="I595" s="42"/>
      <c r="J595" s="41"/>
      <c r="K595" s="42"/>
      <c r="L595" s="45"/>
      <c r="M595" s="45"/>
      <c r="N595" s="45"/>
      <c r="O595" s="45"/>
    </row>
    <row r="596" spans="3:15" x14ac:dyDescent="0.3">
      <c r="C596" s="90"/>
      <c r="D596" s="87"/>
      <c r="E596" s="90"/>
      <c r="F596" s="92"/>
      <c r="G596" s="45"/>
      <c r="H596" s="42"/>
      <c r="I596" s="42"/>
      <c r="J596" s="41"/>
      <c r="K596" s="42"/>
      <c r="L596" s="45"/>
      <c r="M596" s="45"/>
      <c r="N596" s="45"/>
      <c r="O596" s="45"/>
    </row>
    <row r="597" spans="3:15" x14ac:dyDescent="0.3">
      <c r="C597" s="90"/>
      <c r="D597" s="87"/>
      <c r="E597" s="90"/>
      <c r="F597" s="92"/>
      <c r="G597" s="45"/>
      <c r="H597" s="42"/>
      <c r="I597" s="42"/>
      <c r="J597" s="41"/>
      <c r="K597" s="42"/>
      <c r="L597" s="45"/>
      <c r="M597" s="45"/>
      <c r="N597" s="45"/>
      <c r="O597" s="45"/>
    </row>
    <row r="598" spans="3:15" x14ac:dyDescent="0.3">
      <c r="C598" s="90"/>
      <c r="D598" s="87"/>
      <c r="E598" s="90"/>
      <c r="F598" s="92"/>
      <c r="G598" s="45"/>
      <c r="H598" s="42"/>
      <c r="I598" s="42"/>
      <c r="J598" s="41"/>
      <c r="K598" s="42"/>
      <c r="L598" s="45"/>
      <c r="M598" s="45"/>
      <c r="N598" s="45"/>
      <c r="O598" s="45"/>
    </row>
    <row r="599" spans="3:15" x14ac:dyDescent="0.3">
      <c r="C599" s="90"/>
      <c r="D599" s="87"/>
      <c r="E599" s="90"/>
      <c r="F599" s="92"/>
      <c r="G599" s="45"/>
      <c r="H599" s="42"/>
      <c r="I599" s="42"/>
      <c r="J599" s="41"/>
      <c r="K599" s="42"/>
      <c r="L599" s="45"/>
      <c r="M599" s="45"/>
      <c r="N599" s="45"/>
      <c r="O599" s="45"/>
    </row>
    <row r="600" spans="3:15" x14ac:dyDescent="0.3">
      <c r="C600" s="90"/>
      <c r="D600" s="87"/>
      <c r="E600" s="90"/>
      <c r="F600" s="92"/>
      <c r="G600" s="45"/>
      <c r="H600" s="42"/>
      <c r="I600" s="42"/>
      <c r="J600" s="41"/>
      <c r="K600" s="42"/>
      <c r="L600" s="45"/>
      <c r="M600" s="45"/>
      <c r="N600" s="45"/>
      <c r="O600" s="45"/>
    </row>
    <row r="601" spans="3:15" x14ac:dyDescent="0.3">
      <c r="C601" s="90"/>
      <c r="D601" s="87"/>
      <c r="E601" s="90"/>
      <c r="F601" s="92"/>
      <c r="G601" s="45"/>
      <c r="H601" s="42"/>
      <c r="I601" s="42"/>
      <c r="J601" s="41"/>
      <c r="K601" s="42"/>
      <c r="L601" s="45"/>
      <c r="M601" s="45"/>
      <c r="N601" s="45"/>
      <c r="O601" s="45"/>
    </row>
    <row r="602" spans="3:15" x14ac:dyDescent="0.3">
      <c r="C602" s="90"/>
      <c r="D602" s="87"/>
      <c r="E602" s="90"/>
      <c r="F602" s="92"/>
      <c r="G602" s="45"/>
      <c r="H602" s="42"/>
      <c r="I602" s="42"/>
      <c r="J602" s="41"/>
      <c r="K602" s="42"/>
      <c r="L602" s="45"/>
      <c r="M602" s="45"/>
      <c r="N602" s="45"/>
      <c r="O602" s="45"/>
    </row>
    <row r="603" spans="3:15" x14ac:dyDescent="0.3">
      <c r="C603" s="90"/>
      <c r="D603" s="87"/>
      <c r="E603" s="90"/>
      <c r="F603" s="92"/>
      <c r="G603" s="45"/>
      <c r="H603" s="42"/>
      <c r="I603" s="42"/>
      <c r="J603" s="41"/>
      <c r="K603" s="42"/>
      <c r="L603" s="45"/>
      <c r="M603" s="45"/>
      <c r="N603" s="45"/>
      <c r="O603" s="45"/>
    </row>
    <row r="604" spans="3:15" x14ac:dyDescent="0.3">
      <c r="C604" s="90"/>
      <c r="D604" s="87"/>
      <c r="E604" s="90"/>
      <c r="F604" s="92"/>
      <c r="G604" s="45"/>
      <c r="H604" s="42"/>
      <c r="I604" s="42"/>
      <c r="J604" s="41"/>
      <c r="K604" s="42"/>
      <c r="L604" s="45"/>
      <c r="M604" s="45"/>
      <c r="N604" s="45"/>
      <c r="O604" s="45"/>
    </row>
    <row r="605" spans="3:15" x14ac:dyDescent="0.3">
      <c r="C605" s="90"/>
      <c r="D605" s="87"/>
      <c r="E605" s="90"/>
      <c r="F605" s="92"/>
      <c r="G605" s="45"/>
      <c r="H605" s="42"/>
      <c r="I605" s="42"/>
      <c r="J605" s="41"/>
      <c r="K605" s="42"/>
      <c r="L605" s="45"/>
      <c r="M605" s="45"/>
      <c r="N605" s="45"/>
      <c r="O605" s="45"/>
    </row>
    <row r="606" spans="3:15" x14ac:dyDescent="0.3">
      <c r="C606" s="90"/>
      <c r="D606" s="87"/>
      <c r="E606" s="90"/>
      <c r="F606" s="92"/>
      <c r="G606" s="45"/>
      <c r="H606" s="42"/>
      <c r="I606" s="42"/>
      <c r="J606" s="41"/>
      <c r="K606" s="42"/>
      <c r="L606" s="45"/>
      <c r="M606" s="45"/>
      <c r="N606" s="45"/>
      <c r="O606" s="45"/>
    </row>
    <row r="607" spans="3:15" x14ac:dyDescent="0.3">
      <c r="C607" s="90"/>
      <c r="D607" s="87"/>
      <c r="E607" s="90"/>
      <c r="F607" s="92"/>
      <c r="G607" s="45"/>
      <c r="H607" s="42"/>
      <c r="I607" s="42"/>
      <c r="J607" s="41"/>
      <c r="K607" s="42"/>
      <c r="L607" s="45"/>
      <c r="M607" s="45"/>
      <c r="N607" s="45"/>
      <c r="O607" s="45"/>
    </row>
    <row r="608" spans="3:15" x14ac:dyDescent="0.3">
      <c r="C608" s="90"/>
      <c r="D608" s="87"/>
      <c r="E608" s="90"/>
      <c r="F608" s="92"/>
      <c r="G608" s="45"/>
      <c r="H608" s="42"/>
      <c r="I608" s="42"/>
      <c r="J608" s="41"/>
      <c r="K608" s="42"/>
      <c r="L608" s="45"/>
      <c r="M608" s="45"/>
      <c r="N608" s="45"/>
      <c r="O608" s="45"/>
    </row>
    <row r="609" spans="3:15" x14ac:dyDescent="0.3">
      <c r="C609" s="90"/>
      <c r="D609" s="87"/>
      <c r="E609" s="90"/>
      <c r="F609" s="92"/>
      <c r="G609" s="45"/>
      <c r="H609" s="42"/>
      <c r="I609" s="42"/>
      <c r="J609" s="41"/>
      <c r="K609" s="42"/>
      <c r="L609" s="45"/>
      <c r="M609" s="45"/>
      <c r="N609" s="45"/>
      <c r="O609" s="45"/>
    </row>
    <row r="610" spans="3:15" x14ac:dyDescent="0.3">
      <c r="C610" s="90"/>
      <c r="D610" s="87"/>
      <c r="E610" s="90"/>
      <c r="F610" s="92"/>
      <c r="G610" s="45"/>
      <c r="H610" s="42"/>
      <c r="I610" s="42"/>
      <c r="J610" s="41"/>
      <c r="K610" s="42"/>
      <c r="L610" s="45"/>
      <c r="M610" s="45"/>
      <c r="N610" s="45"/>
      <c r="O610" s="45"/>
    </row>
    <row r="611" spans="3:15" x14ac:dyDescent="0.3">
      <c r="C611" s="90"/>
      <c r="D611" s="87"/>
      <c r="E611" s="90"/>
      <c r="F611" s="92"/>
      <c r="G611" s="45"/>
      <c r="H611" s="42"/>
      <c r="I611" s="42"/>
      <c r="J611" s="41"/>
      <c r="K611" s="42"/>
      <c r="L611" s="45"/>
      <c r="M611" s="45"/>
      <c r="N611" s="45"/>
      <c r="O611" s="45"/>
    </row>
    <row r="612" spans="3:15" x14ac:dyDescent="0.3">
      <c r="C612" s="90"/>
      <c r="D612" s="87"/>
      <c r="E612" s="90"/>
      <c r="F612" s="92"/>
      <c r="G612" s="45"/>
      <c r="H612" s="42"/>
      <c r="I612" s="42"/>
      <c r="J612" s="41"/>
      <c r="K612" s="42"/>
      <c r="L612" s="45"/>
      <c r="M612" s="45"/>
      <c r="N612" s="45"/>
      <c r="O612" s="45"/>
    </row>
    <row r="613" spans="3:15" x14ac:dyDescent="0.3">
      <c r="C613" s="90"/>
      <c r="D613" s="87"/>
      <c r="E613" s="90"/>
      <c r="F613" s="92"/>
      <c r="G613" s="45"/>
      <c r="H613" s="42"/>
      <c r="I613" s="42"/>
      <c r="J613" s="41"/>
      <c r="K613" s="42"/>
      <c r="L613" s="45"/>
      <c r="M613" s="45"/>
      <c r="N613" s="45"/>
      <c r="O613" s="45"/>
    </row>
    <row r="614" spans="3:15" x14ac:dyDescent="0.3">
      <c r="C614" s="90"/>
      <c r="D614" s="87"/>
      <c r="E614" s="90"/>
      <c r="F614" s="92"/>
      <c r="G614" s="45"/>
      <c r="H614" s="42"/>
      <c r="I614" s="42"/>
      <c r="J614" s="41"/>
      <c r="K614" s="42"/>
      <c r="L614" s="45"/>
      <c r="M614" s="45"/>
      <c r="N614" s="45"/>
      <c r="O614" s="45"/>
    </row>
    <row r="615" spans="3:15" x14ac:dyDescent="0.3">
      <c r="C615" s="90"/>
      <c r="D615" s="87"/>
      <c r="E615" s="90"/>
      <c r="F615" s="92"/>
      <c r="G615" s="45"/>
      <c r="H615" s="42"/>
      <c r="I615" s="42"/>
      <c r="J615" s="41"/>
      <c r="K615" s="42"/>
      <c r="L615" s="45"/>
      <c r="M615" s="45"/>
      <c r="N615" s="45"/>
      <c r="O615" s="45"/>
    </row>
    <row r="616" spans="3:15" x14ac:dyDescent="0.3">
      <c r="C616" s="90"/>
      <c r="D616" s="87"/>
      <c r="E616" s="90"/>
      <c r="F616" s="92"/>
      <c r="G616" s="45"/>
      <c r="H616" s="42"/>
      <c r="I616" s="42"/>
      <c r="J616" s="41"/>
      <c r="K616" s="42"/>
      <c r="L616" s="45"/>
      <c r="M616" s="45"/>
      <c r="N616" s="45"/>
      <c r="O616" s="45"/>
    </row>
    <row r="617" spans="3:15" x14ac:dyDescent="0.3">
      <c r="C617" s="90"/>
      <c r="D617" s="87"/>
      <c r="E617" s="90"/>
      <c r="F617" s="92"/>
      <c r="G617" s="45"/>
      <c r="H617" s="42"/>
      <c r="I617" s="42"/>
      <c r="J617" s="41"/>
      <c r="K617" s="42"/>
      <c r="L617" s="45"/>
      <c r="M617" s="45"/>
      <c r="N617" s="45"/>
      <c r="O617" s="45"/>
    </row>
    <row r="618" spans="3:15" x14ac:dyDescent="0.3">
      <c r="C618" s="90"/>
      <c r="D618" s="87"/>
      <c r="E618" s="90"/>
      <c r="F618" s="92"/>
      <c r="G618" s="45"/>
      <c r="H618" s="42"/>
      <c r="I618" s="42"/>
      <c r="J618" s="41"/>
      <c r="K618" s="42"/>
      <c r="L618" s="45"/>
      <c r="M618" s="45"/>
      <c r="N618" s="45"/>
      <c r="O618" s="45"/>
    </row>
    <row r="619" spans="3:15" x14ac:dyDescent="0.3">
      <c r="C619" s="90"/>
      <c r="D619" s="87"/>
      <c r="E619" s="90"/>
      <c r="F619" s="92"/>
      <c r="G619" s="45"/>
      <c r="H619" s="42"/>
      <c r="I619" s="42"/>
      <c r="J619" s="41"/>
      <c r="K619" s="42"/>
      <c r="L619" s="45"/>
      <c r="M619" s="45"/>
      <c r="N619" s="45"/>
      <c r="O619" s="45"/>
    </row>
    <row r="620" spans="3:15" x14ac:dyDescent="0.3">
      <c r="C620" s="90"/>
      <c r="D620" s="87"/>
      <c r="E620" s="90"/>
      <c r="F620" s="92"/>
      <c r="G620" s="45"/>
      <c r="H620" s="42"/>
      <c r="I620" s="42"/>
      <c r="J620" s="41"/>
      <c r="K620" s="42"/>
      <c r="L620" s="45"/>
      <c r="M620" s="45"/>
      <c r="N620" s="45"/>
      <c r="O620" s="45"/>
    </row>
    <row r="621" spans="3:15" x14ac:dyDescent="0.3">
      <c r="C621" s="90"/>
      <c r="D621" s="87"/>
      <c r="E621" s="90"/>
      <c r="F621" s="92"/>
      <c r="G621" s="45"/>
      <c r="H621" s="42"/>
      <c r="I621" s="42"/>
      <c r="J621" s="41"/>
      <c r="K621" s="42"/>
      <c r="L621" s="45"/>
      <c r="M621" s="45"/>
      <c r="N621" s="45"/>
      <c r="O621" s="45"/>
    </row>
    <row r="622" spans="3:15" x14ac:dyDescent="0.3">
      <c r="C622" s="90"/>
      <c r="D622" s="87"/>
      <c r="E622" s="90"/>
      <c r="F622" s="92"/>
      <c r="G622" s="45"/>
      <c r="H622" s="42"/>
      <c r="I622" s="42"/>
      <c r="J622" s="41"/>
      <c r="K622" s="42"/>
      <c r="L622" s="45"/>
      <c r="M622" s="45"/>
      <c r="N622" s="45"/>
      <c r="O622" s="45"/>
    </row>
    <row r="623" spans="3:15" x14ac:dyDescent="0.3">
      <c r="C623" s="90"/>
      <c r="D623" s="87"/>
      <c r="E623" s="90"/>
      <c r="F623" s="92"/>
      <c r="G623" s="45"/>
      <c r="H623" s="42"/>
      <c r="I623" s="42"/>
      <c r="J623" s="41"/>
      <c r="K623" s="42"/>
      <c r="L623" s="45"/>
      <c r="M623" s="45"/>
      <c r="N623" s="45"/>
      <c r="O623" s="45"/>
    </row>
    <row r="624" spans="3:15" x14ac:dyDescent="0.3">
      <c r="C624" s="90"/>
      <c r="D624" s="87"/>
      <c r="E624" s="90"/>
      <c r="F624" s="92"/>
      <c r="G624" s="45"/>
      <c r="H624" s="42"/>
      <c r="I624" s="42"/>
      <c r="J624" s="41"/>
      <c r="K624" s="42"/>
      <c r="L624" s="45"/>
      <c r="M624" s="45"/>
      <c r="N624" s="45"/>
      <c r="O624" s="45"/>
    </row>
    <row r="625" spans="3:15" x14ac:dyDescent="0.3">
      <c r="C625" s="90"/>
      <c r="D625" s="87"/>
      <c r="E625" s="90"/>
      <c r="F625" s="92"/>
      <c r="G625" s="45"/>
      <c r="H625" s="42"/>
      <c r="I625" s="42"/>
      <c r="J625" s="41"/>
      <c r="K625" s="42"/>
      <c r="L625" s="45"/>
      <c r="M625" s="45"/>
      <c r="N625" s="45"/>
      <c r="O625" s="45"/>
    </row>
    <row r="626" spans="3:15" x14ac:dyDescent="0.3">
      <c r="C626" s="90"/>
      <c r="D626" s="87"/>
      <c r="E626" s="90"/>
      <c r="F626" s="92"/>
      <c r="G626" s="45"/>
      <c r="H626" s="42"/>
      <c r="I626" s="42"/>
      <c r="J626" s="41"/>
      <c r="K626" s="42"/>
      <c r="L626" s="45"/>
      <c r="M626" s="45"/>
      <c r="N626" s="45"/>
      <c r="O626" s="45"/>
    </row>
    <row r="627" spans="3:15" x14ac:dyDescent="0.3">
      <c r="C627" s="90"/>
      <c r="D627" s="87"/>
      <c r="E627" s="90"/>
      <c r="F627" s="92"/>
      <c r="G627" s="45"/>
      <c r="H627" s="42"/>
      <c r="I627" s="42"/>
      <c r="J627" s="41"/>
      <c r="K627" s="42"/>
      <c r="L627" s="45"/>
      <c r="M627" s="45"/>
      <c r="N627" s="45"/>
      <c r="O627" s="45"/>
    </row>
    <row r="628" spans="3:15" x14ac:dyDescent="0.3">
      <c r="C628" s="90"/>
      <c r="D628" s="87"/>
      <c r="E628" s="90"/>
      <c r="F628" s="92"/>
      <c r="G628" s="45"/>
      <c r="H628" s="42"/>
      <c r="I628" s="42"/>
      <c r="J628" s="41"/>
      <c r="K628" s="42"/>
      <c r="L628" s="45"/>
      <c r="M628" s="45"/>
      <c r="N628" s="45"/>
      <c r="O628" s="45"/>
    </row>
    <row r="629" spans="3:15" x14ac:dyDescent="0.3">
      <c r="C629" s="90"/>
      <c r="D629" s="87"/>
      <c r="E629" s="90"/>
      <c r="F629" s="92"/>
      <c r="G629" s="45"/>
      <c r="H629" s="42"/>
      <c r="I629" s="42"/>
      <c r="J629" s="41"/>
      <c r="K629" s="42"/>
      <c r="L629" s="45"/>
      <c r="M629" s="45"/>
      <c r="N629" s="45"/>
      <c r="O629" s="45"/>
    </row>
    <row r="630" spans="3:15" x14ac:dyDescent="0.3">
      <c r="C630" s="90"/>
      <c r="D630" s="87"/>
      <c r="E630" s="90"/>
      <c r="F630" s="92"/>
      <c r="G630" s="45"/>
      <c r="H630" s="42"/>
      <c r="I630" s="42"/>
      <c r="J630" s="41"/>
      <c r="K630" s="42"/>
      <c r="L630" s="45"/>
      <c r="M630" s="45"/>
      <c r="N630" s="45"/>
      <c r="O630" s="45"/>
    </row>
    <row r="631" spans="3:15" x14ac:dyDescent="0.3">
      <c r="C631" s="90"/>
      <c r="D631" s="87"/>
      <c r="E631" s="90"/>
      <c r="F631" s="92"/>
      <c r="G631" s="45"/>
      <c r="H631" s="42"/>
      <c r="I631" s="42"/>
      <c r="J631" s="41"/>
      <c r="K631" s="42"/>
      <c r="L631" s="45"/>
      <c r="M631" s="45"/>
      <c r="N631" s="45"/>
      <c r="O631" s="45"/>
    </row>
    <row r="632" spans="3:15" x14ac:dyDescent="0.3">
      <c r="C632" s="90"/>
      <c r="D632" s="87"/>
      <c r="E632" s="90"/>
      <c r="F632" s="92"/>
      <c r="G632" s="45"/>
      <c r="H632" s="42"/>
      <c r="I632" s="42"/>
      <c r="J632" s="41"/>
      <c r="K632" s="42"/>
      <c r="L632" s="45"/>
      <c r="M632" s="45"/>
      <c r="N632" s="45"/>
      <c r="O632" s="45"/>
    </row>
    <row r="633" spans="3:15" x14ac:dyDescent="0.3">
      <c r="C633" s="90"/>
      <c r="D633" s="87"/>
      <c r="E633" s="90"/>
      <c r="F633" s="92"/>
      <c r="G633" s="45"/>
      <c r="H633" s="42"/>
      <c r="I633" s="42"/>
      <c r="J633" s="41"/>
      <c r="K633" s="42"/>
      <c r="L633" s="45"/>
      <c r="M633" s="45"/>
      <c r="N633" s="45"/>
      <c r="O633" s="45"/>
    </row>
    <row r="634" spans="3:15" x14ac:dyDescent="0.3">
      <c r="C634" s="90"/>
      <c r="D634" s="87"/>
      <c r="E634" s="90"/>
      <c r="F634" s="92"/>
      <c r="G634" s="45"/>
      <c r="H634" s="42"/>
      <c r="I634" s="42"/>
      <c r="J634" s="41"/>
      <c r="K634" s="42"/>
      <c r="L634" s="45"/>
      <c r="M634" s="45"/>
      <c r="N634" s="45"/>
      <c r="O634" s="45"/>
    </row>
    <row r="635" spans="3:15" x14ac:dyDescent="0.3">
      <c r="C635" s="90"/>
      <c r="D635" s="87"/>
      <c r="E635" s="90"/>
      <c r="F635" s="92"/>
      <c r="G635" s="45"/>
      <c r="H635" s="42"/>
      <c r="I635" s="42"/>
      <c r="J635" s="41"/>
      <c r="K635" s="42"/>
      <c r="L635" s="45"/>
      <c r="M635" s="45"/>
      <c r="N635" s="45"/>
      <c r="O635" s="45"/>
    </row>
    <row r="636" spans="3:15" x14ac:dyDescent="0.3">
      <c r="C636" s="90"/>
      <c r="D636" s="87"/>
      <c r="E636" s="90"/>
      <c r="F636" s="92"/>
      <c r="G636" s="45"/>
      <c r="H636" s="42"/>
      <c r="I636" s="42"/>
      <c r="J636" s="41"/>
      <c r="K636" s="42"/>
      <c r="L636" s="45"/>
      <c r="M636" s="45"/>
      <c r="N636" s="45"/>
      <c r="O636" s="45"/>
    </row>
    <row r="637" spans="3:15" x14ac:dyDescent="0.3">
      <c r="C637" s="90"/>
      <c r="D637" s="87"/>
      <c r="E637" s="90"/>
      <c r="F637" s="92"/>
      <c r="G637" s="45"/>
      <c r="H637" s="42"/>
      <c r="I637" s="42"/>
      <c r="J637" s="41"/>
      <c r="K637" s="42"/>
      <c r="L637" s="45"/>
      <c r="M637" s="45"/>
      <c r="N637" s="45"/>
      <c r="O637" s="45"/>
    </row>
    <row r="638" spans="3:15" x14ac:dyDescent="0.3">
      <c r="C638" s="90"/>
      <c r="D638" s="87"/>
      <c r="E638" s="90"/>
      <c r="F638" s="92"/>
      <c r="G638" s="45"/>
      <c r="H638" s="42"/>
      <c r="I638" s="42"/>
      <c r="J638" s="41"/>
      <c r="K638" s="42"/>
      <c r="L638" s="45"/>
      <c r="M638" s="45"/>
      <c r="N638" s="45"/>
      <c r="O638" s="45"/>
    </row>
    <row r="639" spans="3:15" x14ac:dyDescent="0.3">
      <c r="C639" s="90"/>
      <c r="D639" s="87"/>
      <c r="E639" s="90"/>
      <c r="F639" s="92"/>
      <c r="G639" s="45"/>
      <c r="H639" s="42"/>
      <c r="I639" s="42"/>
      <c r="J639" s="41"/>
      <c r="K639" s="42"/>
      <c r="L639" s="45"/>
      <c r="M639" s="45"/>
      <c r="N639" s="45"/>
      <c r="O639" s="45"/>
    </row>
    <row r="640" spans="3:15" x14ac:dyDescent="0.3">
      <c r="C640" s="90"/>
      <c r="D640" s="87"/>
      <c r="E640" s="90"/>
      <c r="F640" s="92"/>
      <c r="G640" s="45"/>
      <c r="H640" s="42"/>
      <c r="I640" s="42"/>
      <c r="J640" s="41"/>
      <c r="K640" s="42"/>
      <c r="L640" s="45"/>
      <c r="M640" s="45"/>
      <c r="N640" s="45"/>
      <c r="O640" s="45"/>
    </row>
    <row r="641" spans="3:15" x14ac:dyDescent="0.3">
      <c r="C641" s="90"/>
      <c r="D641" s="87"/>
      <c r="E641" s="90"/>
      <c r="F641" s="92"/>
      <c r="G641" s="45"/>
      <c r="H641" s="42"/>
      <c r="I641" s="42"/>
      <c r="J641" s="41"/>
      <c r="K641" s="42"/>
      <c r="L641" s="45"/>
      <c r="M641" s="45"/>
      <c r="N641" s="45"/>
      <c r="O641" s="45"/>
    </row>
    <row r="642" spans="3:15" x14ac:dyDescent="0.3">
      <c r="C642" s="90"/>
      <c r="D642" s="87"/>
      <c r="E642" s="90"/>
      <c r="F642" s="92"/>
      <c r="G642" s="45"/>
      <c r="H642" s="42"/>
      <c r="I642" s="42"/>
      <c r="J642" s="41"/>
      <c r="K642" s="42"/>
      <c r="L642" s="45"/>
      <c r="M642" s="45"/>
      <c r="N642" s="45"/>
      <c r="O642" s="45"/>
    </row>
    <row r="643" spans="3:15" x14ac:dyDescent="0.3">
      <c r="C643" s="90"/>
      <c r="D643" s="87"/>
      <c r="E643" s="90"/>
      <c r="F643" s="92"/>
      <c r="G643" s="45"/>
      <c r="H643" s="42"/>
      <c r="I643" s="42"/>
      <c r="J643" s="41"/>
      <c r="K643" s="42"/>
      <c r="L643" s="45"/>
      <c r="M643" s="45"/>
      <c r="N643" s="45"/>
      <c r="O643" s="45"/>
    </row>
    <row r="644" spans="3:15" x14ac:dyDescent="0.3">
      <c r="C644" s="90"/>
      <c r="D644" s="87"/>
      <c r="E644" s="90"/>
      <c r="F644" s="92"/>
      <c r="G644" s="45"/>
      <c r="H644" s="42"/>
      <c r="I644" s="42"/>
      <c r="J644" s="41"/>
      <c r="K644" s="42"/>
      <c r="L644" s="45"/>
      <c r="M644" s="45"/>
      <c r="N644" s="45"/>
      <c r="O644" s="45"/>
    </row>
    <row r="645" spans="3:15" x14ac:dyDescent="0.3">
      <c r="C645" s="90"/>
      <c r="D645" s="87"/>
      <c r="E645" s="90"/>
      <c r="F645" s="92"/>
      <c r="G645" s="45"/>
      <c r="H645" s="42"/>
      <c r="I645" s="42"/>
      <c r="J645" s="41"/>
      <c r="K645" s="42"/>
      <c r="L645" s="45"/>
      <c r="M645" s="45"/>
      <c r="N645" s="45"/>
      <c r="O645" s="45"/>
    </row>
    <row r="646" spans="3:15" x14ac:dyDescent="0.3">
      <c r="C646" s="90"/>
      <c r="D646" s="87"/>
      <c r="E646" s="90"/>
      <c r="F646" s="92"/>
      <c r="G646" s="45"/>
      <c r="H646" s="42"/>
      <c r="I646" s="42"/>
      <c r="J646" s="41"/>
      <c r="K646" s="42"/>
      <c r="L646" s="45"/>
      <c r="M646" s="45"/>
      <c r="N646" s="45"/>
      <c r="O646" s="45"/>
    </row>
    <row r="647" spans="3:15" x14ac:dyDescent="0.3">
      <c r="C647" s="90"/>
      <c r="D647" s="87"/>
      <c r="E647" s="90"/>
      <c r="F647" s="92"/>
      <c r="G647" s="45"/>
      <c r="H647" s="42"/>
      <c r="I647" s="42"/>
      <c r="J647" s="41"/>
      <c r="K647" s="42"/>
      <c r="L647" s="45"/>
      <c r="M647" s="45"/>
      <c r="N647" s="45"/>
      <c r="O647" s="45"/>
    </row>
    <row r="648" spans="3:15" x14ac:dyDescent="0.3">
      <c r="C648" s="90"/>
      <c r="D648" s="87"/>
      <c r="E648" s="90"/>
      <c r="F648" s="92"/>
      <c r="G648" s="45"/>
      <c r="H648" s="42"/>
      <c r="I648" s="42"/>
      <c r="J648" s="41"/>
      <c r="K648" s="42"/>
      <c r="L648" s="45"/>
      <c r="M648" s="45"/>
      <c r="N648" s="45"/>
      <c r="O648" s="45"/>
    </row>
    <row r="649" spans="3:15" x14ac:dyDescent="0.3">
      <c r="C649" s="90"/>
      <c r="D649" s="87"/>
      <c r="E649" s="90"/>
      <c r="F649" s="92"/>
      <c r="G649" s="45"/>
      <c r="H649" s="42"/>
      <c r="I649" s="42"/>
      <c r="J649" s="41"/>
      <c r="K649" s="42"/>
      <c r="L649" s="45"/>
      <c r="M649" s="45"/>
      <c r="N649" s="45"/>
      <c r="O649" s="45"/>
    </row>
    <row r="650" spans="3:15" x14ac:dyDescent="0.3">
      <c r="C650" s="90"/>
      <c r="D650" s="87"/>
      <c r="E650" s="90"/>
      <c r="F650" s="92"/>
      <c r="G650" s="45"/>
      <c r="H650" s="42"/>
      <c r="I650" s="42"/>
      <c r="J650" s="41"/>
      <c r="K650" s="42"/>
      <c r="L650" s="45"/>
      <c r="M650" s="45"/>
      <c r="N650" s="45"/>
      <c r="O650" s="45"/>
    </row>
    <row r="651" spans="3:15" x14ac:dyDescent="0.3">
      <c r="C651" s="90"/>
      <c r="D651" s="87"/>
      <c r="E651" s="90"/>
      <c r="F651" s="92"/>
      <c r="G651" s="45"/>
      <c r="H651" s="42"/>
      <c r="I651" s="42"/>
      <c r="J651" s="41"/>
      <c r="K651" s="42"/>
      <c r="L651" s="45"/>
      <c r="M651" s="45"/>
      <c r="N651" s="45"/>
      <c r="O651" s="45"/>
    </row>
    <row r="652" spans="3:15" x14ac:dyDescent="0.3">
      <c r="C652" s="90"/>
      <c r="D652" s="87"/>
      <c r="E652" s="90"/>
      <c r="F652" s="92"/>
      <c r="G652" s="45"/>
      <c r="H652" s="42"/>
      <c r="I652" s="42"/>
      <c r="J652" s="41"/>
      <c r="K652" s="42"/>
      <c r="L652" s="45"/>
      <c r="M652" s="45"/>
      <c r="N652" s="45"/>
      <c r="O652" s="45"/>
    </row>
    <row r="653" spans="3:15" x14ac:dyDescent="0.3">
      <c r="C653" s="90"/>
      <c r="D653" s="87"/>
      <c r="E653" s="90"/>
      <c r="F653" s="92"/>
      <c r="G653" s="45"/>
      <c r="H653" s="42"/>
      <c r="I653" s="42"/>
      <c r="J653" s="41"/>
      <c r="K653" s="42"/>
      <c r="L653" s="45"/>
      <c r="M653" s="45"/>
      <c r="N653" s="45"/>
      <c r="O653" s="45"/>
    </row>
    <row r="654" spans="3:15" x14ac:dyDescent="0.3">
      <c r="C654" s="90"/>
      <c r="D654" s="87"/>
      <c r="E654" s="90"/>
      <c r="F654" s="92"/>
      <c r="G654" s="45"/>
      <c r="H654" s="42"/>
      <c r="I654" s="42"/>
      <c r="J654" s="41"/>
      <c r="K654" s="42"/>
      <c r="L654" s="45"/>
      <c r="M654" s="45"/>
      <c r="N654" s="45"/>
      <c r="O654" s="45"/>
    </row>
    <row r="655" spans="3:15" x14ac:dyDescent="0.3">
      <c r="C655" s="90"/>
      <c r="D655" s="87"/>
      <c r="E655" s="90"/>
      <c r="F655" s="92"/>
      <c r="G655" s="45"/>
      <c r="H655" s="42"/>
      <c r="I655" s="42"/>
      <c r="J655" s="41"/>
      <c r="K655" s="42"/>
      <c r="L655" s="45"/>
      <c r="M655" s="45"/>
      <c r="N655" s="45"/>
      <c r="O655" s="45"/>
    </row>
    <row r="656" spans="3:15" x14ac:dyDescent="0.3">
      <c r="C656" s="90"/>
      <c r="D656" s="87"/>
      <c r="E656" s="90"/>
      <c r="F656" s="92"/>
      <c r="G656" s="45"/>
      <c r="H656" s="42"/>
      <c r="I656" s="42"/>
      <c r="J656" s="41"/>
      <c r="K656" s="42"/>
      <c r="L656" s="45"/>
      <c r="M656" s="45"/>
      <c r="N656" s="45"/>
      <c r="O656" s="45"/>
    </row>
    <row r="657" spans="3:15" x14ac:dyDescent="0.3">
      <c r="C657" s="90"/>
      <c r="D657" s="87"/>
      <c r="E657" s="90"/>
      <c r="F657" s="92"/>
      <c r="G657" s="45"/>
      <c r="H657" s="42"/>
      <c r="I657" s="42"/>
      <c r="J657" s="41"/>
      <c r="K657" s="42"/>
      <c r="L657" s="45"/>
      <c r="M657" s="45"/>
      <c r="N657" s="45"/>
      <c r="O657" s="45"/>
    </row>
    <row r="658" spans="3:15" x14ac:dyDescent="0.3">
      <c r="C658" s="90"/>
      <c r="D658" s="87"/>
      <c r="E658" s="90"/>
      <c r="F658" s="92"/>
      <c r="G658" s="45"/>
      <c r="H658" s="42"/>
      <c r="I658" s="42"/>
      <c r="J658" s="41"/>
      <c r="K658" s="42"/>
      <c r="L658" s="45"/>
      <c r="M658" s="45"/>
      <c r="N658" s="45"/>
      <c r="O658" s="45"/>
    </row>
    <row r="659" spans="3:15" x14ac:dyDescent="0.3">
      <c r="C659" s="90"/>
      <c r="D659" s="87"/>
      <c r="E659" s="90"/>
      <c r="F659" s="92"/>
      <c r="G659" s="45"/>
      <c r="H659" s="42"/>
      <c r="I659" s="42"/>
      <c r="J659" s="41"/>
      <c r="K659" s="42"/>
      <c r="L659" s="45"/>
      <c r="M659" s="45"/>
      <c r="N659" s="45"/>
      <c r="O659" s="45"/>
    </row>
    <row r="660" spans="3:15" x14ac:dyDescent="0.3">
      <c r="C660" s="90"/>
      <c r="D660" s="87"/>
      <c r="E660" s="90"/>
      <c r="F660" s="92"/>
      <c r="G660" s="45"/>
      <c r="H660" s="42"/>
      <c r="I660" s="42"/>
      <c r="J660" s="41"/>
      <c r="K660" s="42"/>
      <c r="L660" s="45"/>
      <c r="M660" s="45"/>
      <c r="N660" s="45"/>
      <c r="O660" s="45"/>
    </row>
    <row r="661" spans="3:15" x14ac:dyDescent="0.3">
      <c r="C661" s="90"/>
      <c r="D661" s="87"/>
      <c r="E661" s="90"/>
      <c r="F661" s="92"/>
      <c r="G661" s="45"/>
      <c r="H661" s="42"/>
      <c r="I661" s="42"/>
      <c r="J661" s="41"/>
      <c r="K661" s="42"/>
      <c r="L661" s="45"/>
      <c r="M661" s="45"/>
      <c r="N661" s="45"/>
      <c r="O661" s="45"/>
    </row>
    <row r="662" spans="3:15" x14ac:dyDescent="0.3">
      <c r="C662" s="90"/>
      <c r="D662" s="87"/>
      <c r="E662" s="90"/>
      <c r="F662" s="92"/>
      <c r="G662" s="45"/>
      <c r="H662" s="42"/>
      <c r="I662" s="42"/>
      <c r="J662" s="41"/>
      <c r="K662" s="42"/>
      <c r="L662" s="45"/>
      <c r="M662" s="45"/>
      <c r="N662" s="45"/>
      <c r="O662" s="45"/>
    </row>
    <row r="663" spans="3:15" x14ac:dyDescent="0.3">
      <c r="C663" s="90"/>
      <c r="D663" s="87"/>
      <c r="E663" s="90"/>
      <c r="F663" s="92"/>
      <c r="G663" s="45"/>
      <c r="H663" s="42"/>
      <c r="I663" s="42"/>
      <c r="J663" s="41"/>
      <c r="K663" s="42"/>
      <c r="L663" s="45"/>
      <c r="M663" s="45"/>
      <c r="N663" s="45"/>
      <c r="O663" s="45"/>
    </row>
    <row r="664" spans="3:15" x14ac:dyDescent="0.3">
      <c r="C664" s="90"/>
      <c r="D664" s="87"/>
      <c r="E664" s="90"/>
      <c r="F664" s="92"/>
      <c r="G664" s="45"/>
      <c r="H664" s="42"/>
      <c r="I664" s="42"/>
      <c r="J664" s="41"/>
      <c r="K664" s="42"/>
      <c r="L664" s="45"/>
      <c r="M664" s="45"/>
      <c r="N664" s="45"/>
      <c r="O664" s="45"/>
    </row>
    <row r="665" spans="3:15" x14ac:dyDescent="0.3">
      <c r="C665" s="90"/>
      <c r="D665" s="87"/>
      <c r="E665" s="90"/>
      <c r="F665" s="92"/>
      <c r="G665" s="45"/>
      <c r="H665" s="42"/>
      <c r="I665" s="42"/>
      <c r="J665" s="41"/>
      <c r="K665" s="42"/>
      <c r="L665" s="45"/>
      <c r="M665" s="45"/>
      <c r="N665" s="45"/>
      <c r="O665" s="45"/>
    </row>
    <row r="666" spans="3:15" x14ac:dyDescent="0.3">
      <c r="C666" s="90"/>
      <c r="D666" s="87"/>
      <c r="E666" s="90"/>
      <c r="F666" s="92"/>
      <c r="G666" s="45"/>
      <c r="H666" s="42"/>
      <c r="I666" s="42"/>
      <c r="J666" s="41"/>
      <c r="K666" s="42"/>
      <c r="L666" s="45"/>
      <c r="M666" s="45"/>
      <c r="N666" s="45"/>
      <c r="O666" s="45"/>
    </row>
    <row r="667" spans="3:15" x14ac:dyDescent="0.3">
      <c r="C667" s="90"/>
      <c r="D667" s="87"/>
      <c r="E667" s="90"/>
      <c r="F667" s="92"/>
      <c r="G667" s="45"/>
      <c r="H667" s="42"/>
      <c r="I667" s="42"/>
      <c r="J667" s="41"/>
      <c r="K667" s="42"/>
      <c r="L667" s="45"/>
      <c r="M667" s="45"/>
      <c r="N667" s="45"/>
      <c r="O667" s="45"/>
    </row>
    <row r="668" spans="3:15" x14ac:dyDescent="0.3">
      <c r="C668" s="90"/>
      <c r="D668" s="87"/>
      <c r="E668" s="90"/>
      <c r="F668" s="92"/>
      <c r="G668" s="45"/>
      <c r="H668" s="42"/>
      <c r="I668" s="42"/>
      <c r="J668" s="41"/>
      <c r="K668" s="42"/>
      <c r="L668" s="45"/>
      <c r="M668" s="45"/>
      <c r="N668" s="45"/>
      <c r="O668" s="45"/>
    </row>
    <row r="669" spans="3:15" x14ac:dyDescent="0.3">
      <c r="C669" s="90"/>
      <c r="D669" s="87"/>
      <c r="E669" s="90"/>
      <c r="F669" s="92"/>
      <c r="G669" s="45"/>
      <c r="H669" s="42"/>
      <c r="I669" s="42"/>
      <c r="J669" s="41"/>
      <c r="K669" s="42"/>
      <c r="L669" s="45"/>
      <c r="M669" s="45"/>
      <c r="N669" s="45"/>
      <c r="O669" s="45"/>
    </row>
    <row r="670" spans="3:15" x14ac:dyDescent="0.3">
      <c r="C670" s="90"/>
      <c r="D670" s="87"/>
      <c r="E670" s="90"/>
      <c r="F670" s="92"/>
      <c r="G670" s="45"/>
      <c r="H670" s="42"/>
      <c r="I670" s="42"/>
      <c r="J670" s="41"/>
      <c r="K670" s="42"/>
      <c r="L670" s="45"/>
      <c r="M670" s="45"/>
      <c r="N670" s="45"/>
      <c r="O670" s="45"/>
    </row>
    <row r="671" spans="3:15" x14ac:dyDescent="0.3">
      <c r="C671" s="90"/>
      <c r="D671" s="87"/>
      <c r="E671" s="90"/>
      <c r="F671" s="92"/>
      <c r="G671" s="45"/>
      <c r="H671" s="42"/>
      <c r="I671" s="42"/>
      <c r="J671" s="41"/>
      <c r="K671" s="42"/>
      <c r="L671" s="45"/>
      <c r="M671" s="45"/>
      <c r="N671" s="45"/>
      <c r="O671" s="45"/>
    </row>
    <row r="672" spans="3:15" x14ac:dyDescent="0.3">
      <c r="C672" s="90"/>
      <c r="D672" s="87"/>
      <c r="E672" s="90"/>
      <c r="F672" s="92"/>
      <c r="G672" s="45"/>
      <c r="H672" s="42"/>
      <c r="I672" s="42"/>
      <c r="J672" s="41"/>
      <c r="K672" s="42"/>
      <c r="L672" s="45"/>
      <c r="M672" s="45"/>
      <c r="N672" s="45"/>
      <c r="O672" s="45"/>
    </row>
    <row r="673" spans="3:15" x14ac:dyDescent="0.3">
      <c r="C673" s="90"/>
      <c r="D673" s="87"/>
      <c r="E673" s="90"/>
      <c r="F673" s="92"/>
      <c r="G673" s="45"/>
      <c r="H673" s="42"/>
      <c r="I673" s="42"/>
      <c r="J673" s="41"/>
      <c r="K673" s="42"/>
      <c r="L673" s="45"/>
      <c r="M673" s="45"/>
      <c r="N673" s="45"/>
      <c r="O673" s="45"/>
    </row>
    <row r="674" spans="3:15" x14ac:dyDescent="0.3">
      <c r="C674" s="90"/>
      <c r="D674" s="87"/>
      <c r="E674" s="90"/>
      <c r="F674" s="92"/>
      <c r="G674" s="45"/>
      <c r="H674" s="42"/>
      <c r="I674" s="42"/>
      <c r="J674" s="41"/>
      <c r="K674" s="42"/>
      <c r="L674" s="45"/>
      <c r="M674" s="45"/>
      <c r="N674" s="45"/>
      <c r="O674" s="45"/>
    </row>
    <row r="675" spans="3:15" x14ac:dyDescent="0.3">
      <c r="C675" s="90"/>
      <c r="D675" s="87"/>
      <c r="E675" s="90"/>
      <c r="F675" s="92"/>
      <c r="G675" s="45"/>
      <c r="H675" s="42"/>
      <c r="I675" s="42"/>
      <c r="J675" s="41"/>
      <c r="K675" s="42"/>
      <c r="L675" s="45"/>
      <c r="M675" s="45"/>
      <c r="N675" s="45"/>
      <c r="O675" s="45"/>
    </row>
    <row r="676" spans="3:15" x14ac:dyDescent="0.3">
      <c r="C676" s="90"/>
      <c r="D676" s="87"/>
      <c r="E676" s="90"/>
      <c r="F676" s="92"/>
      <c r="G676" s="45"/>
      <c r="H676" s="42"/>
      <c r="I676" s="42"/>
      <c r="J676" s="41"/>
      <c r="K676" s="42"/>
      <c r="L676" s="45"/>
      <c r="M676" s="45"/>
      <c r="N676" s="45"/>
      <c r="O676" s="45"/>
    </row>
    <row r="677" spans="3:15" x14ac:dyDescent="0.3">
      <c r="C677" s="90"/>
      <c r="D677" s="87"/>
      <c r="E677" s="90"/>
      <c r="F677" s="92"/>
      <c r="G677" s="45"/>
      <c r="H677" s="42"/>
      <c r="I677" s="42"/>
      <c r="J677" s="41"/>
      <c r="K677" s="42"/>
      <c r="L677" s="45"/>
      <c r="M677" s="45"/>
      <c r="N677" s="45"/>
      <c r="O677" s="45"/>
    </row>
    <row r="678" spans="3:15" x14ac:dyDescent="0.3">
      <c r="C678" s="90"/>
      <c r="D678" s="87"/>
      <c r="E678" s="90"/>
      <c r="F678" s="92"/>
      <c r="G678" s="45"/>
      <c r="H678" s="42"/>
      <c r="I678" s="42"/>
      <c r="J678" s="41"/>
      <c r="K678" s="42"/>
      <c r="L678" s="45"/>
      <c r="M678" s="45"/>
      <c r="N678" s="45"/>
      <c r="O678" s="45"/>
    </row>
    <row r="679" spans="3:15" x14ac:dyDescent="0.3">
      <c r="C679" s="90"/>
      <c r="D679" s="87"/>
      <c r="E679" s="90"/>
      <c r="F679" s="92"/>
      <c r="G679" s="45"/>
      <c r="H679" s="42"/>
      <c r="I679" s="42"/>
      <c r="J679" s="41"/>
      <c r="K679" s="42"/>
      <c r="L679" s="45"/>
      <c r="M679" s="45"/>
      <c r="N679" s="45"/>
      <c r="O679" s="45"/>
    </row>
    <row r="680" spans="3:15" x14ac:dyDescent="0.3">
      <c r="C680" s="90"/>
      <c r="D680" s="87"/>
      <c r="E680" s="90"/>
      <c r="F680" s="92"/>
      <c r="G680" s="45"/>
      <c r="H680" s="42"/>
      <c r="I680" s="42"/>
      <c r="J680" s="41"/>
      <c r="K680" s="42"/>
      <c r="L680" s="45"/>
      <c r="M680" s="45"/>
      <c r="N680" s="45"/>
      <c r="O680" s="45"/>
    </row>
    <row r="681" spans="3:15" x14ac:dyDescent="0.3">
      <c r="C681" s="90"/>
      <c r="D681" s="87"/>
      <c r="E681" s="90"/>
      <c r="F681" s="92"/>
      <c r="G681" s="45"/>
      <c r="H681" s="42"/>
      <c r="I681" s="42"/>
      <c r="J681" s="41"/>
      <c r="K681" s="42"/>
      <c r="L681" s="45"/>
      <c r="M681" s="45"/>
      <c r="N681" s="45"/>
      <c r="O681" s="45"/>
    </row>
    <row r="682" spans="3:15" x14ac:dyDescent="0.3">
      <c r="C682" s="90"/>
      <c r="D682" s="87"/>
      <c r="E682" s="90"/>
      <c r="F682" s="92"/>
      <c r="G682" s="45"/>
      <c r="H682" s="42"/>
      <c r="I682" s="42"/>
      <c r="J682" s="41"/>
      <c r="K682" s="42"/>
      <c r="L682" s="45"/>
      <c r="M682" s="45"/>
      <c r="N682" s="45"/>
      <c r="O682" s="45"/>
    </row>
    <row r="683" spans="3:15" x14ac:dyDescent="0.3">
      <c r="C683" s="90"/>
      <c r="D683" s="87"/>
      <c r="E683" s="90"/>
      <c r="F683" s="92"/>
      <c r="G683" s="45"/>
      <c r="H683" s="42"/>
      <c r="I683" s="42"/>
      <c r="J683" s="41"/>
      <c r="K683" s="42"/>
      <c r="L683" s="45"/>
      <c r="M683" s="45"/>
      <c r="N683" s="45"/>
      <c r="O683" s="45"/>
    </row>
    <row r="684" spans="3:15" x14ac:dyDescent="0.3">
      <c r="C684" s="90"/>
      <c r="D684" s="87"/>
      <c r="E684" s="90"/>
      <c r="F684" s="92"/>
      <c r="G684" s="45"/>
      <c r="H684" s="42"/>
      <c r="I684" s="42"/>
      <c r="J684" s="41"/>
      <c r="K684" s="42"/>
      <c r="L684" s="45"/>
      <c r="M684" s="45"/>
      <c r="N684" s="45"/>
      <c r="O684" s="45"/>
    </row>
    <row r="685" spans="3:15" x14ac:dyDescent="0.3">
      <c r="C685" s="90"/>
      <c r="D685" s="87"/>
      <c r="E685" s="90"/>
      <c r="F685" s="92"/>
      <c r="G685" s="45"/>
      <c r="H685" s="42"/>
      <c r="I685" s="42"/>
      <c r="J685" s="41"/>
      <c r="K685" s="42"/>
      <c r="L685" s="45"/>
      <c r="M685" s="45"/>
      <c r="N685" s="45"/>
      <c r="O685" s="45"/>
    </row>
    <row r="686" spans="3:15" x14ac:dyDescent="0.3">
      <c r="C686" s="90"/>
      <c r="D686" s="87"/>
      <c r="E686" s="90"/>
      <c r="F686" s="92"/>
      <c r="G686" s="45"/>
      <c r="H686" s="42"/>
      <c r="I686" s="42"/>
      <c r="J686" s="41"/>
      <c r="K686" s="42"/>
      <c r="L686" s="45"/>
      <c r="M686" s="45"/>
      <c r="N686" s="45"/>
      <c r="O686" s="45"/>
    </row>
    <row r="687" spans="3:15" x14ac:dyDescent="0.3">
      <c r="C687" s="90"/>
      <c r="D687" s="87"/>
      <c r="E687" s="90"/>
      <c r="F687" s="92"/>
      <c r="G687" s="45"/>
      <c r="H687" s="42"/>
      <c r="I687" s="42"/>
      <c r="J687" s="41"/>
      <c r="K687" s="42"/>
      <c r="L687" s="45"/>
      <c r="M687" s="45"/>
      <c r="N687" s="45"/>
      <c r="O687" s="45"/>
    </row>
    <row r="688" spans="3:15" x14ac:dyDescent="0.3">
      <c r="C688" s="90"/>
      <c r="D688" s="87"/>
      <c r="E688" s="90"/>
      <c r="F688" s="92"/>
      <c r="G688" s="45"/>
      <c r="H688" s="42"/>
      <c r="I688" s="42"/>
      <c r="J688" s="41"/>
      <c r="K688" s="42"/>
      <c r="L688" s="45"/>
      <c r="M688" s="45"/>
      <c r="N688" s="45"/>
      <c r="O688" s="45"/>
    </row>
    <row r="689" spans="3:15" x14ac:dyDescent="0.3">
      <c r="C689" s="90"/>
      <c r="D689" s="87"/>
      <c r="E689" s="90"/>
      <c r="F689" s="92"/>
      <c r="G689" s="45"/>
      <c r="H689" s="42"/>
      <c r="I689" s="42"/>
      <c r="J689" s="41"/>
      <c r="K689" s="42"/>
      <c r="L689" s="45"/>
      <c r="M689" s="45"/>
      <c r="N689" s="45"/>
      <c r="O689" s="45"/>
    </row>
    <row r="690" spans="3:15" x14ac:dyDescent="0.3">
      <c r="C690" s="90"/>
      <c r="D690" s="87"/>
      <c r="E690" s="90"/>
      <c r="F690" s="92"/>
      <c r="G690" s="45"/>
      <c r="H690" s="42"/>
      <c r="I690" s="42"/>
      <c r="J690" s="41"/>
      <c r="K690" s="42"/>
      <c r="L690" s="45"/>
      <c r="M690" s="45"/>
      <c r="N690" s="45"/>
      <c r="O690" s="45"/>
    </row>
    <row r="691" spans="3:15" x14ac:dyDescent="0.3">
      <c r="C691" s="90"/>
      <c r="D691" s="87"/>
      <c r="E691" s="90"/>
      <c r="F691" s="92"/>
      <c r="G691" s="45"/>
      <c r="H691" s="42"/>
      <c r="I691" s="42"/>
      <c r="J691" s="41"/>
      <c r="K691" s="42"/>
      <c r="L691" s="45"/>
      <c r="M691" s="45"/>
      <c r="N691" s="45"/>
      <c r="O691" s="45"/>
    </row>
    <row r="692" spans="3:15" x14ac:dyDescent="0.3">
      <c r="C692" s="90"/>
      <c r="D692" s="87"/>
      <c r="E692" s="90"/>
      <c r="F692" s="92"/>
      <c r="G692" s="45"/>
      <c r="H692" s="42"/>
      <c r="I692" s="42"/>
      <c r="J692" s="41"/>
      <c r="K692" s="42"/>
      <c r="L692" s="45"/>
      <c r="M692" s="45"/>
      <c r="N692" s="45"/>
      <c r="O692" s="45"/>
    </row>
    <row r="693" spans="3:15" x14ac:dyDescent="0.3">
      <c r="C693" s="90"/>
      <c r="D693" s="87"/>
      <c r="E693" s="90"/>
      <c r="F693" s="92"/>
      <c r="G693" s="45"/>
      <c r="H693" s="42"/>
      <c r="I693" s="42"/>
      <c r="J693" s="41"/>
      <c r="K693" s="42"/>
      <c r="L693" s="45"/>
      <c r="M693" s="45"/>
      <c r="N693" s="45"/>
      <c r="O693" s="45"/>
    </row>
    <row r="694" spans="3:15" x14ac:dyDescent="0.3">
      <c r="C694" s="90"/>
      <c r="D694" s="87"/>
      <c r="E694" s="90"/>
      <c r="F694" s="92"/>
      <c r="G694" s="45"/>
      <c r="H694" s="42"/>
      <c r="I694" s="42"/>
      <c r="J694" s="41"/>
      <c r="K694" s="42"/>
      <c r="L694" s="45"/>
      <c r="M694" s="45"/>
      <c r="N694" s="45"/>
      <c r="O694" s="45"/>
    </row>
    <row r="695" spans="3:15" x14ac:dyDescent="0.3">
      <c r="C695" s="90"/>
      <c r="D695" s="87"/>
      <c r="E695" s="90"/>
      <c r="F695" s="92"/>
      <c r="G695" s="45"/>
      <c r="H695" s="42"/>
      <c r="I695" s="42"/>
      <c r="J695" s="41"/>
      <c r="K695" s="42"/>
      <c r="L695" s="45"/>
      <c r="M695" s="45"/>
      <c r="N695" s="45"/>
      <c r="O695" s="45"/>
    </row>
    <row r="696" spans="3:15" x14ac:dyDescent="0.3">
      <c r="C696" s="90"/>
      <c r="D696" s="87"/>
      <c r="E696" s="90"/>
      <c r="F696" s="92"/>
      <c r="G696" s="45"/>
      <c r="H696" s="42"/>
      <c r="I696" s="42"/>
      <c r="J696" s="41"/>
      <c r="K696" s="42"/>
      <c r="L696" s="45"/>
      <c r="M696" s="45"/>
      <c r="N696" s="45"/>
      <c r="O696" s="45"/>
    </row>
    <row r="697" spans="3:15" x14ac:dyDescent="0.3">
      <c r="C697" s="90"/>
      <c r="D697" s="87"/>
      <c r="E697" s="90"/>
      <c r="F697" s="92"/>
      <c r="G697" s="45"/>
      <c r="H697" s="42"/>
      <c r="I697" s="42"/>
      <c r="J697" s="41"/>
      <c r="K697" s="42"/>
      <c r="L697" s="45"/>
      <c r="M697" s="45"/>
      <c r="N697" s="45"/>
      <c r="O697" s="45"/>
    </row>
    <row r="698" spans="3:15" x14ac:dyDescent="0.3">
      <c r="C698" s="90"/>
      <c r="D698" s="87"/>
      <c r="E698" s="90"/>
      <c r="F698" s="92"/>
      <c r="G698" s="45"/>
      <c r="H698" s="42"/>
      <c r="I698" s="42"/>
      <c r="J698" s="41"/>
      <c r="K698" s="42"/>
      <c r="L698" s="45"/>
      <c r="M698" s="45"/>
      <c r="N698" s="45"/>
      <c r="O698" s="45"/>
    </row>
    <row r="699" spans="3:15" x14ac:dyDescent="0.3">
      <c r="C699" s="90"/>
      <c r="D699" s="87"/>
      <c r="E699" s="90"/>
      <c r="F699" s="92"/>
      <c r="G699" s="45"/>
      <c r="H699" s="42"/>
      <c r="I699" s="42"/>
      <c r="J699" s="41"/>
      <c r="K699" s="42"/>
      <c r="L699" s="45"/>
      <c r="M699" s="45"/>
      <c r="N699" s="45"/>
      <c r="O699" s="45"/>
    </row>
    <row r="700" spans="3:15" x14ac:dyDescent="0.3">
      <c r="C700" s="90"/>
      <c r="D700" s="87"/>
      <c r="E700" s="90"/>
      <c r="F700" s="92"/>
      <c r="G700" s="45"/>
      <c r="H700" s="42"/>
      <c r="I700" s="42"/>
      <c r="J700" s="41"/>
      <c r="K700" s="42"/>
      <c r="L700" s="45"/>
      <c r="M700" s="45"/>
      <c r="N700" s="45"/>
      <c r="O700" s="45"/>
    </row>
    <row r="701" spans="3:15" x14ac:dyDescent="0.3">
      <c r="C701" s="90"/>
      <c r="D701" s="87"/>
      <c r="E701" s="90"/>
      <c r="F701" s="92"/>
      <c r="G701" s="45"/>
      <c r="H701" s="42"/>
      <c r="I701" s="42"/>
      <c r="J701" s="41"/>
      <c r="K701" s="42"/>
      <c r="L701" s="45"/>
      <c r="M701" s="45"/>
      <c r="N701" s="45"/>
      <c r="O701" s="45"/>
    </row>
    <row r="702" spans="3:15" x14ac:dyDescent="0.3">
      <c r="C702" s="90"/>
      <c r="D702" s="87"/>
      <c r="E702" s="90"/>
      <c r="F702" s="92"/>
      <c r="G702" s="45"/>
      <c r="H702" s="42"/>
      <c r="I702" s="42"/>
      <c r="J702" s="41"/>
      <c r="K702" s="42"/>
      <c r="L702" s="45"/>
      <c r="M702" s="45"/>
      <c r="N702" s="45"/>
      <c r="O702" s="45"/>
    </row>
    <row r="703" spans="3:15" x14ac:dyDescent="0.3">
      <c r="C703" s="90"/>
      <c r="D703" s="87"/>
      <c r="E703" s="90"/>
      <c r="F703" s="92"/>
      <c r="G703" s="45"/>
      <c r="H703" s="42"/>
      <c r="I703" s="42"/>
      <c r="J703" s="41"/>
      <c r="K703" s="42"/>
      <c r="L703" s="45"/>
      <c r="M703" s="45"/>
      <c r="N703" s="45"/>
      <c r="O703" s="45"/>
    </row>
    <row r="704" spans="3:15" x14ac:dyDescent="0.3">
      <c r="C704" s="90"/>
      <c r="D704" s="87"/>
      <c r="E704" s="90"/>
      <c r="F704" s="92"/>
      <c r="G704" s="45"/>
      <c r="H704" s="42"/>
      <c r="I704" s="42"/>
      <c r="J704" s="41"/>
      <c r="K704" s="42"/>
      <c r="L704" s="45"/>
      <c r="M704" s="45"/>
      <c r="N704" s="45"/>
      <c r="O704" s="45"/>
    </row>
    <row r="705" spans="3:15" x14ac:dyDescent="0.3">
      <c r="C705" s="90"/>
      <c r="D705" s="87"/>
      <c r="E705" s="90"/>
      <c r="F705" s="92"/>
      <c r="G705" s="45"/>
      <c r="H705" s="42"/>
      <c r="I705" s="42"/>
      <c r="J705" s="41"/>
      <c r="K705" s="42"/>
      <c r="L705" s="45"/>
      <c r="M705" s="45"/>
      <c r="N705" s="45"/>
      <c r="O705" s="45"/>
    </row>
    <row r="706" spans="3:15" x14ac:dyDescent="0.3">
      <c r="C706" s="90"/>
      <c r="D706" s="87"/>
      <c r="E706" s="90"/>
      <c r="F706" s="92"/>
      <c r="G706" s="45"/>
      <c r="H706" s="42"/>
      <c r="I706" s="42"/>
      <c r="J706" s="41"/>
      <c r="K706" s="42"/>
      <c r="L706" s="45"/>
      <c r="M706" s="45"/>
      <c r="N706" s="45"/>
      <c r="O706" s="45"/>
    </row>
    <row r="707" spans="3:15" x14ac:dyDescent="0.3">
      <c r="C707" s="90"/>
      <c r="D707" s="87"/>
      <c r="E707" s="90"/>
      <c r="F707" s="92"/>
      <c r="G707" s="45"/>
      <c r="H707" s="42"/>
      <c r="I707" s="42"/>
      <c r="J707" s="41"/>
      <c r="K707" s="42"/>
      <c r="L707" s="45"/>
      <c r="M707" s="45"/>
      <c r="N707" s="45"/>
      <c r="O707" s="45"/>
    </row>
    <row r="708" spans="3:15" x14ac:dyDescent="0.3">
      <c r="C708" s="90"/>
      <c r="D708" s="87"/>
      <c r="E708" s="90"/>
      <c r="F708" s="92"/>
      <c r="G708" s="45"/>
      <c r="H708" s="42"/>
      <c r="I708" s="42"/>
      <c r="J708" s="41"/>
      <c r="K708" s="42"/>
      <c r="L708" s="45"/>
      <c r="M708" s="45"/>
      <c r="N708" s="45"/>
      <c r="O708" s="45"/>
    </row>
    <row r="709" spans="3:15" x14ac:dyDescent="0.3">
      <c r="C709" s="90"/>
      <c r="D709" s="87"/>
      <c r="E709" s="90"/>
      <c r="F709" s="92"/>
      <c r="G709" s="45"/>
      <c r="H709" s="42"/>
      <c r="I709" s="42"/>
      <c r="J709" s="41"/>
      <c r="K709" s="42"/>
      <c r="L709" s="45"/>
      <c r="M709" s="45"/>
      <c r="N709" s="45"/>
      <c r="O709" s="45"/>
    </row>
    <row r="710" spans="3:15" x14ac:dyDescent="0.3">
      <c r="C710" s="90"/>
      <c r="D710" s="87"/>
      <c r="E710" s="90"/>
      <c r="F710" s="92"/>
      <c r="G710" s="45"/>
      <c r="H710" s="42"/>
      <c r="I710" s="42"/>
      <c r="J710" s="41"/>
      <c r="K710" s="42"/>
      <c r="L710" s="45"/>
      <c r="M710" s="45"/>
      <c r="N710" s="45"/>
      <c r="O710" s="45"/>
    </row>
    <row r="711" spans="3:15" x14ac:dyDescent="0.3">
      <c r="C711" s="90"/>
      <c r="D711" s="87"/>
      <c r="E711" s="90"/>
      <c r="F711" s="92"/>
      <c r="G711" s="45"/>
      <c r="H711" s="42"/>
      <c r="I711" s="42"/>
      <c r="J711" s="41"/>
      <c r="K711" s="42"/>
      <c r="L711" s="45"/>
      <c r="M711" s="45"/>
      <c r="N711" s="45"/>
      <c r="O711" s="45"/>
    </row>
    <row r="712" spans="3:15" x14ac:dyDescent="0.3">
      <c r="C712" s="90"/>
      <c r="D712" s="87"/>
      <c r="E712" s="90"/>
      <c r="F712" s="92"/>
      <c r="G712" s="45"/>
      <c r="H712" s="42"/>
      <c r="I712" s="42"/>
      <c r="J712" s="41"/>
      <c r="K712" s="42"/>
      <c r="L712" s="45"/>
      <c r="M712" s="45"/>
      <c r="N712" s="45"/>
      <c r="O712" s="45"/>
    </row>
    <row r="713" spans="3:15" x14ac:dyDescent="0.3">
      <c r="C713" s="90"/>
      <c r="D713" s="87"/>
      <c r="E713" s="90"/>
      <c r="F713" s="92"/>
      <c r="G713" s="45"/>
      <c r="H713" s="42"/>
      <c r="I713" s="42"/>
      <c r="J713" s="41"/>
      <c r="K713" s="42"/>
      <c r="L713" s="45"/>
      <c r="M713" s="45"/>
      <c r="N713" s="45"/>
      <c r="O713" s="45"/>
    </row>
    <row r="714" spans="3:15" x14ac:dyDescent="0.3">
      <c r="C714" s="90"/>
      <c r="D714" s="87"/>
      <c r="E714" s="90"/>
      <c r="F714" s="92"/>
      <c r="G714" s="45"/>
      <c r="H714" s="42"/>
      <c r="I714" s="42"/>
      <c r="J714" s="41"/>
      <c r="K714" s="42"/>
      <c r="L714" s="45"/>
      <c r="M714" s="45"/>
      <c r="N714" s="45"/>
      <c r="O714" s="45"/>
    </row>
    <row r="715" spans="3:15" x14ac:dyDescent="0.3">
      <c r="C715" s="90"/>
      <c r="D715" s="87"/>
      <c r="E715" s="90"/>
      <c r="F715" s="92"/>
      <c r="G715" s="45"/>
      <c r="H715" s="42"/>
      <c r="I715" s="42"/>
      <c r="J715" s="41"/>
      <c r="K715" s="42"/>
      <c r="L715" s="45"/>
      <c r="M715" s="45"/>
      <c r="N715" s="45"/>
      <c r="O715" s="45"/>
    </row>
    <row r="716" spans="3:15" x14ac:dyDescent="0.3">
      <c r="C716" s="90"/>
      <c r="D716" s="87"/>
      <c r="E716" s="90"/>
      <c r="F716" s="92"/>
      <c r="G716" s="45"/>
      <c r="H716" s="42"/>
      <c r="I716" s="42"/>
      <c r="J716" s="41"/>
      <c r="K716" s="42"/>
      <c r="L716" s="45"/>
      <c r="M716" s="45"/>
      <c r="N716" s="45"/>
      <c r="O716" s="45"/>
    </row>
    <row r="717" spans="3:15" x14ac:dyDescent="0.3">
      <c r="C717" s="90"/>
      <c r="D717" s="87"/>
      <c r="E717" s="90"/>
      <c r="F717" s="92"/>
      <c r="G717" s="45"/>
      <c r="H717" s="42"/>
      <c r="I717" s="42"/>
      <c r="J717" s="41"/>
      <c r="K717" s="42"/>
      <c r="L717" s="45"/>
      <c r="M717" s="45"/>
      <c r="N717" s="45"/>
      <c r="O717" s="45"/>
    </row>
    <row r="718" spans="3:15" x14ac:dyDescent="0.3">
      <c r="C718" s="90"/>
      <c r="D718" s="87"/>
      <c r="E718" s="90"/>
      <c r="F718" s="92"/>
      <c r="G718" s="45"/>
      <c r="H718" s="42"/>
      <c r="I718" s="42"/>
      <c r="J718" s="41"/>
      <c r="K718" s="42"/>
      <c r="L718" s="45"/>
      <c r="M718" s="45"/>
      <c r="N718" s="45"/>
      <c r="O718" s="45"/>
    </row>
    <row r="719" spans="3:15" x14ac:dyDescent="0.3">
      <c r="C719" s="90"/>
      <c r="D719" s="87"/>
      <c r="E719" s="90"/>
      <c r="F719" s="92"/>
      <c r="G719" s="45"/>
      <c r="H719" s="42"/>
      <c r="I719" s="42"/>
      <c r="J719" s="41"/>
      <c r="K719" s="42"/>
      <c r="L719" s="45"/>
      <c r="M719" s="45"/>
      <c r="N719" s="45"/>
      <c r="O719" s="45"/>
    </row>
    <row r="720" spans="3:15" x14ac:dyDescent="0.3">
      <c r="C720" s="90"/>
      <c r="D720" s="87"/>
      <c r="E720" s="90"/>
      <c r="F720" s="92"/>
      <c r="G720" s="45"/>
      <c r="H720" s="42"/>
      <c r="I720" s="42"/>
      <c r="J720" s="41"/>
      <c r="K720" s="42"/>
      <c r="L720" s="45"/>
      <c r="M720" s="45"/>
      <c r="N720" s="45"/>
      <c r="O720" s="45"/>
    </row>
    <row r="721" spans="3:15" x14ac:dyDescent="0.3">
      <c r="C721" s="90"/>
      <c r="D721" s="87"/>
      <c r="E721" s="90"/>
      <c r="F721" s="92"/>
      <c r="G721" s="45"/>
      <c r="H721" s="42"/>
      <c r="I721" s="42"/>
      <c r="J721" s="41"/>
      <c r="K721" s="42"/>
      <c r="L721" s="45"/>
      <c r="M721" s="45"/>
      <c r="N721" s="45"/>
      <c r="O721" s="45"/>
    </row>
    <row r="722" spans="3:15" x14ac:dyDescent="0.3">
      <c r="C722" s="90"/>
      <c r="D722" s="87"/>
      <c r="E722" s="90"/>
      <c r="F722" s="92"/>
      <c r="G722" s="45"/>
      <c r="H722" s="42"/>
      <c r="I722" s="42"/>
      <c r="J722" s="41"/>
      <c r="K722" s="42"/>
      <c r="L722" s="45"/>
      <c r="M722" s="45"/>
      <c r="N722" s="45"/>
      <c r="O722" s="45"/>
    </row>
    <row r="723" spans="3:15" x14ac:dyDescent="0.3">
      <c r="C723" s="90"/>
      <c r="D723" s="87"/>
      <c r="E723" s="90"/>
      <c r="F723" s="92"/>
      <c r="G723" s="45"/>
      <c r="H723" s="42"/>
      <c r="I723" s="42"/>
      <c r="J723" s="41"/>
      <c r="K723" s="42"/>
      <c r="L723" s="45"/>
      <c r="M723" s="45"/>
      <c r="N723" s="45"/>
      <c r="O723" s="45"/>
    </row>
    <row r="724" spans="3:15" x14ac:dyDescent="0.3">
      <c r="C724" s="90"/>
      <c r="D724" s="87"/>
      <c r="E724" s="90"/>
      <c r="F724" s="92"/>
      <c r="G724" s="45"/>
      <c r="H724" s="42"/>
      <c r="I724" s="42"/>
      <c r="J724" s="41"/>
      <c r="K724" s="42"/>
      <c r="L724" s="45"/>
      <c r="M724" s="45"/>
      <c r="N724" s="45"/>
      <c r="O724" s="45"/>
    </row>
    <row r="725" spans="3:15" x14ac:dyDescent="0.3">
      <c r="C725" s="90"/>
      <c r="D725" s="87"/>
      <c r="E725" s="90"/>
      <c r="F725" s="92"/>
      <c r="G725" s="45"/>
      <c r="H725" s="42"/>
      <c r="I725" s="42"/>
      <c r="J725" s="41"/>
      <c r="K725" s="42"/>
      <c r="L725" s="45"/>
      <c r="M725" s="45"/>
      <c r="N725" s="45"/>
      <c r="O725" s="45"/>
    </row>
    <row r="726" spans="3:15" x14ac:dyDescent="0.3">
      <c r="C726" s="90"/>
      <c r="D726" s="87"/>
      <c r="E726" s="90"/>
      <c r="F726" s="92"/>
      <c r="G726" s="45"/>
      <c r="H726" s="42"/>
      <c r="I726" s="42"/>
      <c r="J726" s="41"/>
      <c r="K726" s="42"/>
      <c r="L726" s="45"/>
      <c r="M726" s="45"/>
      <c r="N726" s="45"/>
      <c r="O726" s="45"/>
    </row>
    <row r="727" spans="3:15" x14ac:dyDescent="0.3">
      <c r="C727" s="90"/>
      <c r="D727" s="87"/>
      <c r="E727" s="90"/>
      <c r="F727" s="92"/>
      <c r="G727" s="45"/>
      <c r="H727" s="42"/>
      <c r="I727" s="42"/>
      <c r="J727" s="41"/>
      <c r="K727" s="42"/>
      <c r="L727" s="45"/>
      <c r="M727" s="45"/>
      <c r="N727" s="45"/>
      <c r="O727" s="45"/>
    </row>
    <row r="728" spans="3:15" x14ac:dyDescent="0.3">
      <c r="C728" s="90"/>
      <c r="D728" s="87"/>
      <c r="E728" s="90"/>
      <c r="F728" s="92"/>
      <c r="G728" s="45"/>
      <c r="H728" s="42"/>
      <c r="I728" s="42"/>
      <c r="J728" s="41"/>
      <c r="K728" s="42"/>
      <c r="L728" s="45"/>
      <c r="M728" s="45"/>
      <c r="N728" s="45"/>
      <c r="O728" s="45"/>
    </row>
    <row r="729" spans="3:15" x14ac:dyDescent="0.3">
      <c r="C729" s="90"/>
      <c r="D729" s="87"/>
      <c r="E729" s="90"/>
      <c r="F729" s="92"/>
      <c r="G729" s="45"/>
      <c r="H729" s="42"/>
      <c r="I729" s="42"/>
      <c r="J729" s="41"/>
      <c r="K729" s="42"/>
      <c r="L729" s="45"/>
      <c r="M729" s="45"/>
      <c r="N729" s="45"/>
      <c r="O729" s="45"/>
    </row>
    <row r="730" spans="3:15" x14ac:dyDescent="0.3">
      <c r="C730" s="90"/>
      <c r="D730" s="87"/>
      <c r="E730" s="90"/>
      <c r="F730" s="92"/>
      <c r="G730" s="45"/>
      <c r="H730" s="42"/>
      <c r="I730" s="42"/>
      <c r="J730" s="41"/>
      <c r="K730" s="42"/>
      <c r="L730" s="45"/>
      <c r="M730" s="45"/>
      <c r="N730" s="45"/>
      <c r="O730" s="45"/>
    </row>
    <row r="731" spans="3:15" x14ac:dyDescent="0.3">
      <c r="C731" s="90"/>
      <c r="D731" s="87"/>
      <c r="E731" s="90"/>
      <c r="F731" s="92"/>
      <c r="G731" s="45"/>
      <c r="H731" s="42"/>
      <c r="I731" s="42"/>
      <c r="J731" s="41"/>
      <c r="K731" s="42"/>
      <c r="L731" s="45"/>
      <c r="M731" s="45"/>
      <c r="N731" s="45"/>
      <c r="O731" s="45"/>
    </row>
    <row r="732" spans="3:15" x14ac:dyDescent="0.3">
      <c r="C732" s="90"/>
      <c r="D732" s="87"/>
      <c r="E732" s="90"/>
      <c r="F732" s="92"/>
      <c r="G732" s="45"/>
      <c r="H732" s="42"/>
      <c r="I732" s="42"/>
      <c r="J732" s="41"/>
      <c r="K732" s="42"/>
      <c r="L732" s="45"/>
      <c r="M732" s="45"/>
      <c r="N732" s="45"/>
      <c r="O732" s="45"/>
    </row>
    <row r="733" spans="3:15" x14ac:dyDescent="0.3">
      <c r="C733" s="90"/>
      <c r="D733" s="87"/>
      <c r="E733" s="90"/>
      <c r="F733" s="92"/>
      <c r="G733" s="45"/>
      <c r="H733" s="42"/>
      <c r="I733" s="42"/>
      <c r="J733" s="41"/>
      <c r="K733" s="42"/>
      <c r="L733" s="45"/>
      <c r="M733" s="45"/>
      <c r="N733" s="45"/>
      <c r="O733" s="45"/>
    </row>
    <row r="734" spans="3:15" x14ac:dyDescent="0.3">
      <c r="C734" s="90"/>
      <c r="D734" s="87"/>
      <c r="E734" s="90"/>
      <c r="F734" s="92"/>
      <c r="G734" s="45"/>
      <c r="H734" s="42"/>
      <c r="I734" s="42"/>
      <c r="J734" s="41"/>
      <c r="K734" s="42"/>
      <c r="L734" s="45"/>
      <c r="M734" s="45"/>
      <c r="N734" s="45"/>
      <c r="O734" s="45"/>
    </row>
    <row r="735" spans="3:15" x14ac:dyDescent="0.3">
      <c r="C735" s="90"/>
      <c r="D735" s="87"/>
      <c r="E735" s="90"/>
      <c r="F735" s="92"/>
      <c r="G735" s="45"/>
      <c r="H735" s="42"/>
      <c r="I735" s="42"/>
      <c r="J735" s="41"/>
      <c r="K735" s="42"/>
      <c r="L735" s="45"/>
      <c r="M735" s="45"/>
      <c r="N735" s="45"/>
      <c r="O735" s="45"/>
    </row>
    <row r="736" spans="3:15" x14ac:dyDescent="0.3">
      <c r="C736" s="90"/>
      <c r="D736" s="87"/>
      <c r="E736" s="90"/>
      <c r="F736" s="92"/>
      <c r="G736" s="45"/>
      <c r="H736" s="42"/>
      <c r="I736" s="42"/>
      <c r="J736" s="41"/>
      <c r="K736" s="42"/>
      <c r="L736" s="45"/>
      <c r="M736" s="45"/>
      <c r="N736" s="45"/>
      <c r="O736" s="45"/>
    </row>
    <row r="737" spans="3:15" x14ac:dyDescent="0.3">
      <c r="C737" s="90"/>
      <c r="D737" s="87"/>
      <c r="E737" s="90"/>
      <c r="F737" s="92"/>
      <c r="G737" s="45"/>
      <c r="H737" s="42"/>
      <c r="I737" s="42"/>
      <c r="J737" s="41"/>
      <c r="K737" s="42"/>
      <c r="L737" s="45"/>
      <c r="M737" s="45"/>
      <c r="N737" s="45"/>
      <c r="O737" s="45"/>
    </row>
    <row r="738" spans="3:15" x14ac:dyDescent="0.3">
      <c r="C738" s="90"/>
      <c r="D738" s="87"/>
      <c r="E738" s="90"/>
      <c r="F738" s="92"/>
      <c r="G738" s="45"/>
      <c r="H738" s="42"/>
      <c r="I738" s="42"/>
      <c r="J738" s="41"/>
      <c r="K738" s="42"/>
      <c r="L738" s="45"/>
      <c r="M738" s="45"/>
      <c r="N738" s="45"/>
      <c r="O738" s="45"/>
    </row>
    <row r="739" spans="3:15" x14ac:dyDescent="0.3">
      <c r="C739" s="90"/>
      <c r="D739" s="87"/>
      <c r="E739" s="90"/>
      <c r="F739" s="92"/>
      <c r="G739" s="45"/>
      <c r="H739" s="42"/>
      <c r="I739" s="42"/>
      <c r="J739" s="41"/>
      <c r="K739" s="42"/>
      <c r="L739" s="45"/>
      <c r="M739" s="45"/>
      <c r="N739" s="45"/>
      <c r="O739" s="45"/>
    </row>
    <row r="740" spans="3:15" x14ac:dyDescent="0.3">
      <c r="C740" s="90"/>
      <c r="D740" s="87"/>
      <c r="E740" s="90"/>
      <c r="F740" s="92"/>
      <c r="G740" s="45"/>
      <c r="H740" s="42"/>
      <c r="I740" s="42"/>
      <c r="J740" s="41"/>
      <c r="K740" s="42"/>
      <c r="L740" s="45"/>
      <c r="M740" s="45"/>
      <c r="N740" s="45"/>
      <c r="O740" s="45"/>
    </row>
    <row r="741" spans="3:15" x14ac:dyDescent="0.3">
      <c r="C741" s="90"/>
      <c r="D741" s="87"/>
      <c r="E741" s="90"/>
      <c r="F741" s="92"/>
      <c r="G741" s="45"/>
      <c r="H741" s="42"/>
      <c r="I741" s="42"/>
      <c r="J741" s="41"/>
      <c r="K741" s="42"/>
      <c r="L741" s="45"/>
      <c r="M741" s="45"/>
      <c r="N741" s="45"/>
      <c r="O741" s="45"/>
    </row>
    <row r="742" spans="3:15" x14ac:dyDescent="0.3">
      <c r="C742" s="90"/>
      <c r="D742" s="87"/>
      <c r="E742" s="90"/>
      <c r="F742" s="92"/>
      <c r="G742" s="45"/>
      <c r="H742" s="42"/>
      <c r="I742" s="42"/>
      <c r="J742" s="41"/>
      <c r="K742" s="42"/>
      <c r="L742" s="45"/>
      <c r="M742" s="45"/>
      <c r="N742" s="45"/>
      <c r="O742" s="45"/>
    </row>
    <row r="743" spans="3:15" x14ac:dyDescent="0.3">
      <c r="C743" s="90"/>
      <c r="D743" s="87"/>
      <c r="E743" s="90"/>
      <c r="F743" s="92"/>
      <c r="G743" s="45"/>
      <c r="H743" s="42"/>
      <c r="I743" s="42"/>
      <c r="J743" s="41"/>
      <c r="K743" s="42"/>
      <c r="L743" s="45"/>
      <c r="M743" s="45"/>
      <c r="N743" s="45"/>
      <c r="O743" s="45"/>
    </row>
    <row r="744" spans="3:15" x14ac:dyDescent="0.3">
      <c r="C744" s="90"/>
      <c r="D744" s="87"/>
      <c r="E744" s="90"/>
      <c r="F744" s="92"/>
      <c r="G744" s="45"/>
      <c r="H744" s="42"/>
      <c r="I744" s="42"/>
      <c r="J744" s="41"/>
      <c r="K744" s="42"/>
      <c r="L744" s="45"/>
      <c r="M744" s="45"/>
      <c r="N744" s="45"/>
      <c r="O744" s="45"/>
    </row>
    <row r="745" spans="3:15" x14ac:dyDescent="0.3">
      <c r="C745" s="90"/>
      <c r="D745" s="87"/>
      <c r="E745" s="90"/>
      <c r="F745" s="92"/>
      <c r="G745" s="45"/>
      <c r="H745" s="42"/>
      <c r="I745" s="42"/>
      <c r="J745" s="41"/>
      <c r="K745" s="42"/>
      <c r="L745" s="45"/>
      <c r="M745" s="45"/>
      <c r="N745" s="45"/>
      <c r="O745" s="45"/>
    </row>
    <row r="746" spans="3:15" x14ac:dyDescent="0.3">
      <c r="C746" s="90"/>
      <c r="D746" s="87"/>
      <c r="E746" s="90"/>
      <c r="F746" s="92"/>
      <c r="G746" s="45"/>
      <c r="H746" s="42"/>
      <c r="I746" s="42"/>
      <c r="J746" s="41"/>
      <c r="K746" s="42"/>
      <c r="L746" s="45"/>
      <c r="M746" s="45"/>
      <c r="N746" s="45"/>
      <c r="O746" s="45"/>
    </row>
    <row r="747" spans="3:15" x14ac:dyDescent="0.3">
      <c r="C747" s="90"/>
      <c r="D747" s="87"/>
      <c r="E747" s="90"/>
      <c r="F747" s="92"/>
      <c r="G747" s="45"/>
      <c r="H747" s="42"/>
      <c r="I747" s="42"/>
      <c r="J747" s="41"/>
      <c r="K747" s="42"/>
      <c r="L747" s="45"/>
      <c r="M747" s="45"/>
      <c r="N747" s="45"/>
      <c r="O747" s="45"/>
    </row>
    <row r="748" spans="3:15" x14ac:dyDescent="0.3">
      <c r="C748" s="90"/>
      <c r="D748" s="87"/>
      <c r="E748" s="90"/>
      <c r="F748" s="92"/>
      <c r="G748" s="45"/>
      <c r="H748" s="42"/>
      <c r="I748" s="42"/>
      <c r="J748" s="41"/>
      <c r="K748" s="42"/>
      <c r="L748" s="45"/>
      <c r="M748" s="45"/>
      <c r="N748" s="45"/>
      <c r="O748" s="45"/>
    </row>
    <row r="749" spans="3:15" x14ac:dyDescent="0.3">
      <c r="C749" s="90"/>
      <c r="D749" s="87"/>
      <c r="E749" s="90"/>
      <c r="F749" s="92"/>
      <c r="G749" s="45"/>
      <c r="H749" s="42"/>
      <c r="I749" s="42"/>
      <c r="J749" s="41"/>
      <c r="K749" s="42"/>
      <c r="L749" s="45"/>
      <c r="M749" s="45"/>
      <c r="N749" s="45"/>
      <c r="O749" s="45"/>
    </row>
    <row r="750" spans="3:15" x14ac:dyDescent="0.3">
      <c r="C750" s="90"/>
      <c r="D750" s="87"/>
      <c r="E750" s="90"/>
      <c r="F750" s="92"/>
      <c r="G750" s="45"/>
      <c r="H750" s="42"/>
      <c r="I750" s="42"/>
      <c r="J750" s="41"/>
      <c r="K750" s="42"/>
      <c r="L750" s="45"/>
      <c r="M750" s="45"/>
      <c r="N750" s="45"/>
      <c r="O750" s="45"/>
    </row>
    <row r="751" spans="3:15" x14ac:dyDescent="0.3">
      <c r="C751" s="90"/>
      <c r="D751" s="87"/>
      <c r="E751" s="90"/>
      <c r="F751" s="92"/>
      <c r="G751" s="45"/>
      <c r="H751" s="42"/>
      <c r="I751" s="42"/>
      <c r="J751" s="41"/>
      <c r="K751" s="42"/>
      <c r="L751" s="45"/>
      <c r="M751" s="45"/>
      <c r="N751" s="45"/>
      <c r="O751" s="45"/>
    </row>
    <row r="752" spans="3:15" x14ac:dyDescent="0.3">
      <c r="C752" s="90"/>
      <c r="D752" s="87"/>
      <c r="E752" s="90"/>
      <c r="F752" s="92"/>
      <c r="G752" s="45"/>
      <c r="H752" s="42"/>
      <c r="I752" s="42"/>
      <c r="J752" s="41"/>
      <c r="K752" s="42"/>
      <c r="L752" s="45"/>
      <c r="M752" s="45"/>
      <c r="N752" s="45"/>
      <c r="O752" s="45"/>
    </row>
    <row r="753" spans="3:15" x14ac:dyDescent="0.3">
      <c r="C753" s="90"/>
      <c r="D753" s="87"/>
      <c r="E753" s="90"/>
      <c r="F753" s="92"/>
      <c r="G753" s="45"/>
      <c r="H753" s="42"/>
      <c r="I753" s="42"/>
      <c r="J753" s="41"/>
      <c r="K753" s="42"/>
      <c r="L753" s="45"/>
      <c r="M753" s="45"/>
      <c r="N753" s="45"/>
      <c r="O753" s="45"/>
    </row>
    <row r="754" spans="3:15" x14ac:dyDescent="0.3">
      <c r="C754" s="90"/>
      <c r="D754" s="87"/>
      <c r="E754" s="90"/>
      <c r="F754" s="92"/>
      <c r="G754" s="45"/>
      <c r="H754" s="42"/>
      <c r="I754" s="42"/>
      <c r="J754" s="41"/>
      <c r="K754" s="42"/>
      <c r="L754" s="45"/>
      <c r="M754" s="45"/>
      <c r="N754" s="45"/>
      <c r="O754" s="45"/>
    </row>
    <row r="755" spans="3:15" x14ac:dyDescent="0.3">
      <c r="C755" s="90"/>
      <c r="D755" s="87"/>
      <c r="E755" s="90"/>
      <c r="F755" s="92"/>
      <c r="G755" s="45"/>
      <c r="H755" s="42"/>
      <c r="I755" s="42"/>
      <c r="J755" s="41"/>
      <c r="K755" s="42"/>
      <c r="L755" s="45"/>
      <c r="M755" s="45"/>
      <c r="N755" s="45"/>
      <c r="O755" s="45"/>
    </row>
    <row r="756" spans="3:15" x14ac:dyDescent="0.3">
      <c r="C756" s="90"/>
      <c r="D756" s="87"/>
      <c r="E756" s="90"/>
      <c r="F756" s="92"/>
      <c r="G756" s="45"/>
      <c r="H756" s="42"/>
      <c r="I756" s="42"/>
      <c r="J756" s="41"/>
      <c r="K756" s="42"/>
      <c r="L756" s="45"/>
      <c r="M756" s="45"/>
      <c r="N756" s="45"/>
      <c r="O756" s="45"/>
    </row>
    <row r="757" spans="3:15" x14ac:dyDescent="0.3">
      <c r="C757" s="90"/>
      <c r="D757" s="87"/>
      <c r="E757" s="90"/>
      <c r="F757" s="92"/>
      <c r="G757" s="45"/>
      <c r="H757" s="42"/>
      <c r="I757" s="42"/>
      <c r="J757" s="41"/>
      <c r="K757" s="42"/>
      <c r="L757" s="45"/>
      <c r="M757" s="45"/>
      <c r="N757" s="45"/>
      <c r="O757" s="45"/>
    </row>
    <row r="758" spans="3:15" x14ac:dyDescent="0.3">
      <c r="C758" s="90"/>
      <c r="D758" s="87"/>
      <c r="E758" s="90"/>
      <c r="F758" s="92"/>
      <c r="G758" s="45"/>
      <c r="H758" s="42"/>
      <c r="I758" s="42"/>
      <c r="J758" s="41"/>
      <c r="K758" s="42"/>
      <c r="L758" s="45"/>
      <c r="M758" s="45"/>
      <c r="N758" s="45"/>
      <c r="O758" s="45"/>
    </row>
    <row r="759" spans="3:15" x14ac:dyDescent="0.3">
      <c r="C759" s="90"/>
      <c r="D759" s="87"/>
      <c r="E759" s="90"/>
      <c r="F759" s="92"/>
      <c r="G759" s="45"/>
      <c r="H759" s="42"/>
      <c r="I759" s="42"/>
      <c r="J759" s="41"/>
      <c r="K759" s="42"/>
      <c r="L759" s="45"/>
      <c r="M759" s="45"/>
      <c r="N759" s="45"/>
      <c r="O759" s="45"/>
    </row>
    <row r="760" spans="3:15" x14ac:dyDescent="0.3">
      <c r="C760" s="90"/>
      <c r="D760" s="87"/>
      <c r="E760" s="90"/>
      <c r="F760" s="92"/>
      <c r="G760" s="45"/>
      <c r="H760" s="42"/>
      <c r="I760" s="42"/>
      <c r="J760" s="41"/>
      <c r="K760" s="42"/>
      <c r="L760" s="45"/>
      <c r="M760" s="45"/>
      <c r="N760" s="45"/>
      <c r="O760" s="45"/>
    </row>
    <row r="761" spans="3:15" x14ac:dyDescent="0.3">
      <c r="C761" s="90"/>
      <c r="D761" s="87"/>
      <c r="E761" s="90"/>
      <c r="F761" s="92"/>
      <c r="G761" s="45"/>
      <c r="H761" s="42"/>
      <c r="I761" s="42"/>
      <c r="J761" s="41"/>
      <c r="K761" s="42"/>
      <c r="L761" s="45"/>
      <c r="M761" s="45"/>
      <c r="N761" s="45"/>
      <c r="O761" s="45"/>
    </row>
    <row r="762" spans="3:15" x14ac:dyDescent="0.3">
      <c r="C762" s="90"/>
      <c r="D762" s="87"/>
      <c r="E762" s="90"/>
      <c r="F762" s="92"/>
      <c r="G762" s="45"/>
      <c r="H762" s="42"/>
      <c r="I762" s="42"/>
      <c r="J762" s="41"/>
      <c r="K762" s="42"/>
      <c r="L762" s="45"/>
      <c r="M762" s="45"/>
      <c r="N762" s="45"/>
      <c r="O762" s="45"/>
    </row>
    <row r="763" spans="3:15" x14ac:dyDescent="0.3">
      <c r="C763" s="90"/>
      <c r="D763" s="87"/>
      <c r="E763" s="90"/>
      <c r="F763" s="92"/>
      <c r="G763" s="45"/>
      <c r="H763" s="42"/>
      <c r="I763" s="42"/>
      <c r="J763" s="41"/>
      <c r="K763" s="42"/>
      <c r="L763" s="45"/>
      <c r="M763" s="45"/>
      <c r="N763" s="45"/>
      <c r="O763" s="45"/>
    </row>
    <row r="764" spans="3:15" x14ac:dyDescent="0.3">
      <c r="C764" s="90"/>
      <c r="D764" s="87"/>
      <c r="E764" s="90"/>
      <c r="F764" s="92"/>
      <c r="G764" s="45"/>
      <c r="H764" s="42"/>
      <c r="I764" s="42"/>
      <c r="J764" s="41"/>
      <c r="K764" s="42"/>
      <c r="L764" s="45"/>
      <c r="M764" s="45"/>
      <c r="N764" s="45"/>
      <c r="O764" s="45"/>
    </row>
    <row r="765" spans="3:15" x14ac:dyDescent="0.3">
      <c r="C765" s="90"/>
      <c r="D765" s="87"/>
      <c r="E765" s="90"/>
      <c r="F765" s="92"/>
      <c r="G765" s="45"/>
      <c r="H765" s="42"/>
      <c r="I765" s="42"/>
      <c r="J765" s="41"/>
      <c r="K765" s="42"/>
      <c r="L765" s="45"/>
      <c r="M765" s="45"/>
      <c r="N765" s="45"/>
      <c r="O765" s="45"/>
    </row>
    <row r="766" spans="3:15" x14ac:dyDescent="0.3">
      <c r="C766" s="90"/>
      <c r="D766" s="87"/>
      <c r="E766" s="90"/>
      <c r="F766" s="92"/>
      <c r="G766" s="45"/>
      <c r="H766" s="42"/>
      <c r="I766" s="42"/>
      <c r="J766" s="41"/>
      <c r="K766" s="42"/>
      <c r="L766" s="45"/>
      <c r="M766" s="45"/>
      <c r="N766" s="45"/>
      <c r="O766" s="45"/>
    </row>
    <row r="767" spans="3:15" x14ac:dyDescent="0.3">
      <c r="C767" s="90"/>
      <c r="D767" s="87"/>
      <c r="E767" s="90"/>
      <c r="F767" s="92"/>
      <c r="G767" s="45"/>
      <c r="H767" s="42"/>
      <c r="I767" s="42"/>
      <c r="J767" s="41"/>
      <c r="K767" s="42"/>
      <c r="L767" s="45"/>
      <c r="M767" s="45"/>
      <c r="N767" s="45"/>
      <c r="O767" s="45"/>
    </row>
    <row r="768" spans="3:15" x14ac:dyDescent="0.3">
      <c r="C768" s="90"/>
      <c r="D768" s="87"/>
      <c r="E768" s="90"/>
      <c r="F768" s="92"/>
      <c r="G768" s="45"/>
      <c r="H768" s="42"/>
      <c r="I768" s="42"/>
      <c r="J768" s="41"/>
      <c r="K768" s="42"/>
      <c r="L768" s="45"/>
      <c r="M768" s="45"/>
      <c r="N768" s="45"/>
      <c r="O768" s="45"/>
    </row>
    <row r="769" spans="3:15" x14ac:dyDescent="0.3">
      <c r="C769" s="90"/>
      <c r="D769" s="87"/>
      <c r="E769" s="90"/>
      <c r="F769" s="92"/>
      <c r="G769" s="45"/>
      <c r="H769" s="42"/>
      <c r="I769" s="42"/>
      <c r="J769" s="41"/>
      <c r="K769" s="42"/>
      <c r="L769" s="45"/>
      <c r="M769" s="45"/>
      <c r="N769" s="45"/>
      <c r="O769" s="45"/>
    </row>
    <row r="770" spans="3:15" x14ac:dyDescent="0.3">
      <c r="C770" s="90"/>
      <c r="D770" s="87"/>
      <c r="E770" s="90"/>
      <c r="F770" s="92"/>
      <c r="G770" s="45"/>
      <c r="H770" s="42"/>
      <c r="I770" s="42"/>
      <c r="J770" s="41"/>
      <c r="K770" s="42"/>
      <c r="L770" s="45"/>
      <c r="M770" s="45"/>
      <c r="N770" s="45"/>
      <c r="O770" s="45"/>
    </row>
    <row r="771" spans="3:15" x14ac:dyDescent="0.3">
      <c r="C771" s="90"/>
      <c r="D771" s="87"/>
      <c r="E771" s="90"/>
      <c r="F771" s="92"/>
      <c r="G771" s="45"/>
      <c r="H771" s="42"/>
      <c r="I771" s="42"/>
      <c r="J771" s="41"/>
      <c r="K771" s="42"/>
      <c r="L771" s="45"/>
      <c r="M771" s="45"/>
      <c r="N771" s="45"/>
      <c r="O771" s="45"/>
    </row>
    <row r="772" spans="3:15" x14ac:dyDescent="0.3">
      <c r="C772" s="90"/>
      <c r="D772" s="87"/>
      <c r="E772" s="90"/>
      <c r="F772" s="92"/>
      <c r="G772" s="45"/>
      <c r="H772" s="42"/>
      <c r="I772" s="42"/>
      <c r="J772" s="41"/>
      <c r="K772" s="42"/>
      <c r="L772" s="45"/>
      <c r="M772" s="45"/>
      <c r="N772" s="45"/>
      <c r="O772" s="45"/>
    </row>
    <row r="773" spans="3:15" x14ac:dyDescent="0.3">
      <c r="C773" s="90"/>
      <c r="D773" s="87"/>
      <c r="E773" s="90"/>
      <c r="F773" s="92"/>
      <c r="G773" s="45"/>
      <c r="H773" s="42"/>
      <c r="I773" s="42"/>
      <c r="J773" s="41"/>
      <c r="K773" s="42"/>
      <c r="L773" s="45"/>
      <c r="M773" s="45"/>
      <c r="N773" s="45"/>
      <c r="O773" s="45"/>
    </row>
    <row r="774" spans="3:15" x14ac:dyDescent="0.3">
      <c r="C774" s="90"/>
      <c r="D774" s="87"/>
      <c r="E774" s="90"/>
      <c r="F774" s="92"/>
      <c r="G774" s="45"/>
      <c r="H774" s="42"/>
      <c r="I774" s="42"/>
      <c r="J774" s="41"/>
      <c r="K774" s="42"/>
      <c r="L774" s="45"/>
      <c r="M774" s="45"/>
      <c r="N774" s="45"/>
      <c r="O774" s="45"/>
    </row>
    <row r="775" spans="3:15" x14ac:dyDescent="0.3">
      <c r="C775" s="90"/>
      <c r="D775" s="87"/>
      <c r="E775" s="90"/>
      <c r="F775" s="92"/>
      <c r="G775" s="45"/>
      <c r="H775" s="42"/>
      <c r="I775" s="42"/>
      <c r="J775" s="41"/>
      <c r="K775" s="42"/>
      <c r="L775" s="45"/>
      <c r="M775" s="45"/>
      <c r="N775" s="45"/>
      <c r="O775" s="45"/>
    </row>
    <row r="776" spans="3:15" x14ac:dyDescent="0.3">
      <c r="C776" s="90"/>
      <c r="D776" s="87"/>
      <c r="E776" s="90"/>
      <c r="F776" s="92"/>
      <c r="G776" s="45"/>
      <c r="H776" s="42"/>
      <c r="I776" s="42"/>
      <c r="J776" s="41"/>
      <c r="K776" s="42"/>
      <c r="L776" s="45"/>
      <c r="M776" s="45"/>
      <c r="N776" s="45"/>
      <c r="O776" s="45"/>
    </row>
    <row r="777" spans="3:15" x14ac:dyDescent="0.3">
      <c r="C777" s="90"/>
      <c r="D777" s="87"/>
      <c r="E777" s="90"/>
      <c r="F777" s="92"/>
      <c r="G777" s="45"/>
      <c r="H777" s="42"/>
      <c r="I777" s="42"/>
      <c r="J777" s="41"/>
      <c r="K777" s="42"/>
      <c r="L777" s="45"/>
      <c r="M777" s="45"/>
      <c r="N777" s="45"/>
      <c r="O777" s="45"/>
    </row>
    <row r="778" spans="3:15" x14ac:dyDescent="0.3">
      <c r="C778" s="90"/>
      <c r="D778" s="87"/>
      <c r="E778" s="90"/>
      <c r="F778" s="92"/>
      <c r="G778" s="45"/>
      <c r="H778" s="42"/>
      <c r="I778" s="42"/>
      <c r="J778" s="41"/>
      <c r="K778" s="42"/>
      <c r="L778" s="45"/>
      <c r="M778" s="45"/>
      <c r="N778" s="45"/>
      <c r="O778" s="45"/>
    </row>
    <row r="779" spans="3:15" x14ac:dyDescent="0.3">
      <c r="C779" s="90"/>
      <c r="D779" s="87"/>
      <c r="E779" s="90"/>
      <c r="F779" s="92"/>
      <c r="G779" s="45"/>
      <c r="H779" s="42"/>
      <c r="I779" s="42"/>
      <c r="J779" s="41"/>
      <c r="K779" s="42"/>
      <c r="L779" s="45"/>
      <c r="M779" s="45"/>
      <c r="N779" s="45"/>
      <c r="O779" s="45"/>
    </row>
    <row r="780" spans="3:15" x14ac:dyDescent="0.3">
      <c r="C780" s="90"/>
      <c r="D780" s="87"/>
      <c r="E780" s="90"/>
      <c r="F780" s="92"/>
      <c r="G780" s="45"/>
      <c r="H780" s="42"/>
      <c r="I780" s="42"/>
      <c r="J780" s="41"/>
      <c r="K780" s="42"/>
      <c r="L780" s="45"/>
      <c r="M780" s="45"/>
      <c r="N780" s="45"/>
      <c r="O780" s="45"/>
    </row>
    <row r="781" spans="3:15" x14ac:dyDescent="0.3">
      <c r="C781" s="90"/>
      <c r="D781" s="87"/>
      <c r="E781" s="90"/>
      <c r="F781" s="92"/>
      <c r="G781" s="45"/>
      <c r="H781" s="42"/>
      <c r="I781" s="42"/>
      <c r="J781" s="41"/>
      <c r="K781" s="42"/>
      <c r="L781" s="45"/>
      <c r="M781" s="45"/>
      <c r="N781" s="45"/>
      <c r="O781" s="45"/>
    </row>
    <row r="782" spans="3:15" x14ac:dyDescent="0.3">
      <c r="C782" s="90"/>
      <c r="D782" s="87"/>
      <c r="E782" s="90"/>
      <c r="F782" s="92"/>
      <c r="G782" s="45"/>
      <c r="H782" s="42"/>
      <c r="I782" s="42"/>
      <c r="J782" s="41"/>
      <c r="K782" s="42"/>
      <c r="L782" s="45"/>
      <c r="M782" s="45"/>
      <c r="N782" s="45"/>
      <c r="O782" s="45"/>
    </row>
    <row r="783" spans="3:15" x14ac:dyDescent="0.3">
      <c r="C783" s="90"/>
      <c r="D783" s="87"/>
      <c r="E783" s="90"/>
      <c r="F783" s="92"/>
      <c r="G783" s="45"/>
      <c r="H783" s="42"/>
      <c r="I783" s="42"/>
      <c r="J783" s="41"/>
      <c r="K783" s="42"/>
      <c r="L783" s="45"/>
      <c r="M783" s="45"/>
      <c r="N783" s="45"/>
      <c r="O783" s="45"/>
    </row>
    <row r="784" spans="3:15" x14ac:dyDescent="0.3">
      <c r="C784" s="90"/>
      <c r="D784" s="87"/>
      <c r="E784" s="90"/>
      <c r="F784" s="92"/>
      <c r="G784" s="45"/>
      <c r="H784" s="42"/>
      <c r="I784" s="42"/>
      <c r="J784" s="41"/>
      <c r="K784" s="42"/>
      <c r="L784" s="45"/>
      <c r="M784" s="45"/>
      <c r="N784" s="45"/>
      <c r="O784" s="45"/>
    </row>
    <row r="785" spans="3:15" x14ac:dyDescent="0.3">
      <c r="C785" s="90"/>
      <c r="D785" s="87"/>
      <c r="E785" s="90"/>
      <c r="F785" s="92"/>
      <c r="G785" s="45"/>
      <c r="H785" s="42"/>
      <c r="I785" s="42"/>
      <c r="J785" s="41"/>
      <c r="K785" s="42"/>
      <c r="L785" s="45"/>
      <c r="M785" s="45"/>
      <c r="N785" s="45"/>
      <c r="O785" s="45"/>
    </row>
    <row r="786" spans="3:15" x14ac:dyDescent="0.3">
      <c r="C786" s="90"/>
      <c r="D786" s="87"/>
      <c r="E786" s="90"/>
      <c r="F786" s="92"/>
      <c r="G786" s="45"/>
      <c r="H786" s="42"/>
      <c r="I786" s="42"/>
      <c r="J786" s="41"/>
      <c r="K786" s="42"/>
      <c r="L786" s="45"/>
      <c r="M786" s="45"/>
      <c r="N786" s="45"/>
      <c r="O786" s="45"/>
    </row>
    <row r="787" spans="3:15" x14ac:dyDescent="0.3">
      <c r="C787" s="90"/>
      <c r="D787" s="87"/>
      <c r="E787" s="90"/>
      <c r="F787" s="92"/>
      <c r="G787" s="45"/>
      <c r="H787" s="42"/>
      <c r="I787" s="42"/>
      <c r="J787" s="41"/>
      <c r="K787" s="42"/>
      <c r="L787" s="45"/>
      <c r="M787" s="45"/>
      <c r="N787" s="45"/>
      <c r="O787" s="45"/>
    </row>
    <row r="788" spans="3:15" x14ac:dyDescent="0.3">
      <c r="C788" s="90"/>
      <c r="D788" s="87"/>
      <c r="E788" s="90"/>
      <c r="F788" s="92"/>
      <c r="G788" s="45"/>
      <c r="H788" s="42"/>
      <c r="I788" s="42"/>
      <c r="J788" s="41"/>
      <c r="K788" s="42"/>
      <c r="L788" s="45"/>
      <c r="M788" s="45"/>
      <c r="N788" s="45"/>
      <c r="O788" s="45"/>
    </row>
    <row r="789" spans="3:15" x14ac:dyDescent="0.3">
      <c r="C789" s="90"/>
      <c r="D789" s="87"/>
      <c r="E789" s="90"/>
      <c r="F789" s="92"/>
      <c r="G789" s="45"/>
      <c r="H789" s="42"/>
      <c r="I789" s="42"/>
      <c r="J789" s="41"/>
      <c r="K789" s="42"/>
      <c r="L789" s="45"/>
      <c r="M789" s="45"/>
      <c r="N789" s="45"/>
      <c r="O789" s="45"/>
    </row>
  </sheetData>
  <mergeCells count="7">
    <mergeCell ref="C6:L6"/>
    <mergeCell ref="C7:L7"/>
    <mergeCell ref="C1:L1"/>
    <mergeCell ref="C2:L2"/>
    <mergeCell ref="C3:L3"/>
    <mergeCell ref="C4:L4"/>
    <mergeCell ref="C5:L5"/>
  </mergeCells>
  <phoneticPr fontId="5" type="noConversion"/>
  <conditionalFormatting sqref="C11:D826">
    <cfRule type="expression" dxfId="27" priority="1">
      <formula>$E11=""</formula>
    </cfRule>
  </conditionalFormatting>
  <conditionalFormatting sqref="G359:O686 G11:L358">
    <cfRule type="cellIs" dxfId="26" priority="8" operator="lessThan">
      <formula>2.9</formula>
    </cfRule>
    <cfRule type="cellIs" dxfId="25" priority="9" operator="between">
      <formula>2.91</formula>
      <formula>5</formula>
    </cfRule>
    <cfRule type="cellIs" dxfId="24" priority="10" operator="between">
      <formula>5.01</formula>
      <formula>12</formula>
    </cfRule>
    <cfRule type="cellIs" dxfId="23" priority="11" operator="between">
      <formula>12.01</formula>
      <formula>29</formula>
    </cfRule>
    <cfRule type="cellIs" dxfId="22" priority="12" operator="greaterThan">
      <formula>29.01</formula>
    </cfRule>
  </conditionalFormatting>
  <printOptions horizontalCentered="1"/>
  <pageMargins left="0.31496062992125984" right="0.31496062992125984" top="0.62992125984251968" bottom="0.74803149606299213" header="0.31496062992125984" footer="0.31496062992125984"/>
  <pageSetup scale="55" fitToHeight="50" orientation="landscape" r:id="rId1"/>
  <headerFooter>
    <oddHeader>&amp;L&amp;G&amp;C&amp;"Arial Nova,Negrita"SUBDIRECCIÓN DE MANTENIMIENTO, LOGÍSTICA E INFRAESTRUCTURA COMPLEMENTARIA
GERENCIA DE MANTENIMIENTO E INFRAESTRUCTURA COMPLEMENTARIA MARINA &amp;R&amp;G</oddHeader>
    <oddFooter>&amp;CPágina &amp;P de &amp;N&amp;RC. EMILIO JOSÉ SEGURA
REPRESENTANTE TÉCNICO-ADMINISTRATIVO 
BME SUBTEC S.A. de C.V.</oddFooter>
  </headerFooter>
  <rowBreaks count="3" manualBreakCount="3">
    <brk id="39" min="2" max="11" man="1"/>
    <brk id="72" min="2" max="11" man="1"/>
    <brk id="131" min="2" max="11" man="1"/>
  </rowBreaks>
  <legacyDrawingHF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38EB12-C602-4906-A560-0A4D2B91AA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10</vt:i4>
      </vt:variant>
    </vt:vector>
  </HeadingPairs>
  <TitlesOfParts>
    <vt:vector size="16" baseType="lpstr">
      <vt:lpstr>DATOS</vt:lpstr>
      <vt:lpstr>ANEXO C</vt:lpstr>
      <vt:lpstr>ANEXO DE-MN</vt:lpstr>
      <vt:lpstr>ANEXO DE-ME</vt:lpstr>
      <vt:lpstr>ANEXO DT-6</vt:lpstr>
      <vt:lpstr>ANEXO DT-6-3</vt:lpstr>
      <vt:lpstr>'ANEXO C'!Área_de_impresión</vt:lpstr>
      <vt:lpstr>'ANEXO DE-ME'!Área_de_impresión</vt:lpstr>
      <vt:lpstr>'ANEXO DE-MN'!Área_de_impresión</vt:lpstr>
      <vt:lpstr>'ANEXO DT-6'!Área_de_impresión</vt:lpstr>
      <vt:lpstr>'ANEXO DT-6-3'!Área_de_impresión</vt:lpstr>
      <vt:lpstr>'ANEXO C'!Títulos_a_imprimir</vt:lpstr>
      <vt:lpstr>'ANEXO DE-ME'!Títulos_a_imprimir</vt:lpstr>
      <vt:lpstr>'ANEXO DE-MN'!Títulos_a_imprimir</vt:lpstr>
      <vt:lpstr>'ANEXO DT-6'!Títulos_a_imprimir</vt:lpstr>
      <vt:lpstr>'ANEXO DT-6-3'!Títulos_a_imprimir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Alfredo Anaya Rios</dc:creator>
  <cp:keywords/>
  <dc:description/>
  <cp:lastModifiedBy>Jose Armando Perera Antonio</cp:lastModifiedBy>
  <cp:revision/>
  <dcterms:created xsi:type="dcterms:W3CDTF">2023-05-03T17:14:38Z</dcterms:created>
  <dcterms:modified xsi:type="dcterms:W3CDTF">2026-01-03T18:29:34Z</dcterms:modified>
  <cp:category/>
  <cp:contentStatus/>
</cp:coreProperties>
</file>