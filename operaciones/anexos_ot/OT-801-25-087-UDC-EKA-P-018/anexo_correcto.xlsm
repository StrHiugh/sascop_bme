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171108FD-5086-4D28-A681-20F0F0D71C5E}"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<sst xmlns="http://schemas.openxmlformats.org/spreadsheetml/2006/main" count="813" uniqueCount="268">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</sst>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sz val="10"/>
        <color theme="1"/>
        <name val="Aptos Display"/>
        <family val="2"/>
        <scheme val="none"/>
      </font>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7" dataDxfId="86">
  <autoFilter ref="C11:M16" xr:uid="{0D5C96FB-0DF1-4021-B930-6E971E8588FE}"/>
  <tableColumns count="11">
    <tableColumn id="1" xr3:uid="{DD420003-54D4-4434-B51B-5F91E43ADF1A}" name="PARTIDA" dataDxfId="43" totalsRowDxfId="44"/>
    <tableColumn id="2" xr3:uid="{82FDAF4C-BB73-4FFD-81C9-8C2C25575F8F}" name="CONCEPTO" dataDxfId="41" totalsRowDxfId="42"/>
    <tableColumn id="3" xr3:uid="{285D6E73-691B-4B68-BC69-D00FC9638C1E}" name="UNIDAD" dataDxfId="39" totalsRowDxfId="40"/>
    <tableColumn id="4" xr3:uid="{D9B73593-B3B1-49C2-8824-959E3C01985B}" name="VOLUMEN PTE" dataDxfId="37" totalsRowDxfId="38"/>
    <tableColumn id="5" xr3:uid="{A1ECBF3E-4919-4931-AACD-0FE77F751F47}" name="P.U. M.N." dataDxfId="35" totalsRowDxfId="36"/>
    <tableColumn id="6" xr3:uid="{2AF75FFD-258F-4D7F-97C5-77E3903BE5D7}" name="P.U. USD" dataDxfId="33" totalsRowDxfId="34"/>
    <tableColumn id="7" xr3:uid="{2A17FCA4-9973-47B4-B3C3-E1827106E98A}" name="PRECIO UNITARIO CON LETRA" dataDxfId="31" totalsRowDxfId="32"/>
    <tableColumn id="8" xr3:uid="{3A5C67D1-2017-467B-88C6-7A1D8AC88F51}" name="IMPORTE PTE M.N." dataDxfId="29" totalsRowDxfId="30"/>
    <tableColumn id="9" xr3:uid="{C7BBBF50-D460-49A6-9DC4-C665F499CA1E}" name="IMPORTE PTE USD" dataDxfId="27" totalsRowDxfId="28"/>
    <tableColumn id="10" xr3:uid="{71D5BDE9-DE7F-4AA3-9B02-484851D4A7AF}" name="Column64" dataDxfId="85"/>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84" dataDxfId="83">
  <autoFilter ref="C10:L145" xr:uid="{DFAF970C-DFD4-4BB3-8A55-E5CB19273DC7}"/>
  <tableColumns count="10">
    <tableColumn id="57" xr3:uid="{050B8709-AAC3-4F5D-93B0-EBF8A06245DF}" name="PARTIDA" dataDxfId="82"/>
    <tableColumn id="58" xr3:uid="{36727243-91DC-42DD-BDF7-B5B1935699CC}" name="CONCEPTO" dataDxfId="81"/>
    <tableColumn id="59" xr3:uid="{505A0CF5-F2EB-4AA0-AED6-074540D695A8}" name="UNIDAD" dataDxfId="80"/>
    <tableColumn id="60" xr3:uid="{8E7EEB30-D0F7-47F7-9178-1807042067A1}" name="VOLUMEN PTE" dataDxfId="79"/>
    <tableColumn id="61" xr3:uid="{45B467AE-A9EB-4432-9383-24A16B2033C5}" name="P.U. M.N." dataDxfId="78" dataCellStyle="Moneda"/>
    <tableColumn id="5" xr3:uid="{4F3AAE6B-B167-4957-A7C0-FF004F4315F9}" name="IMPORTE PTE M.N." dataDxfId="77" dataCellStyle="Moneda"/>
    <tableColumn id="63" xr3:uid="{E90B66F6-FB39-4723-ADC5-90D3046A8169}" name="IMPORTE _x000a_MES 1 M.N." dataDxfId="76" dataCellStyle="Moneda"/>
    <tableColumn id="1" xr3:uid="{EB6DAEB3-40D0-4159-8A95-CB7FC8E4E7A0}" name="IMPORTE _x000a_MES 2 M.N." dataDxfId="75"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74" dataDxfId="73">
  <autoFilter ref="C10:L22" xr:uid="{60666DF6-4B0E-4551-B7C9-9174934D7DA2}"/>
  <tableColumns count="10">
    <tableColumn id="57" xr3:uid="{68E06E9F-909D-4197-8FB6-72B8CB51817B}" name="PARTIDA" dataDxfId="72"/>
    <tableColumn id="58" xr3:uid="{E825ED6E-4023-4AD9-BEBD-A3713ABB1CA3}" name="CONCEPTO" dataDxfId="71"/>
    <tableColumn id="59" xr3:uid="{165A444A-2901-4C59-ABC1-10127BAE42D1}" name="UNIDAD" dataDxfId="70"/>
    <tableColumn id="60" xr3:uid="{6E250D6D-78FB-47E9-AC71-89535F0E0DE3}" name="VOLUMEN PTE" dataDxfId="69"/>
    <tableColumn id="61" xr3:uid="{13455D6D-0887-491A-9BE6-909798505EF3}" name="P.U. USD" dataDxfId="68" dataCellStyle="Moneda"/>
    <tableColumn id="62" xr3:uid="{5155EF33-EB5E-49DA-9951-77A8916C00D3}" name="IMPORTE PTE USD" dataDxfId="67" dataCellStyle="Moneda"/>
    <tableColumn id="63" xr3:uid="{A9257C49-B624-4CF7-AFE2-2D19A9D54CF1}" name="IMPORTE _x000a_MES 1 USD" dataDxfId="66" dataCellStyle="Moneda"/>
    <tableColumn id="1" xr3:uid="{20888258-EE95-4C27-886D-0E6CDB39735B}" name="IMPORTE _x000a_MES 2 USD" dataDxfId="65" dataCellStyle="Moneda"/>
    <tableColumn id="2" xr3:uid="{389BB3FF-7F36-4D42-909A-D1FABE919FFD}" name="IMPORTE _x000a_MES 3 USD" dataCellStyle="Moneda"/>
    <tableColumn id="5" xr3:uid="{6D69F4D7-435E-45B2-9387-979CA0194528}" name="Column65" dataDxfId="64"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63" dataDxfId="61" headerRowBorderDxfId="62">
  <autoFilter ref="C10:L136" xr:uid="{00D27DFA-3C9D-4E76-8314-BBAD3CE58A04}"/>
  <tableColumns count="10">
    <tableColumn id="57" xr3:uid="{E1411861-9DF6-4DB7-A466-009CF4461D0A}" name="PARTIDA" dataDxfId="60"/>
    <tableColumn id="58" xr3:uid="{FD0966CD-BCDD-4084-B86F-E266AF16EC34}" name="CONCEPTO" dataDxfId="59"/>
    <tableColumn id="59" xr3:uid="{C5026A65-AECD-46F1-B16C-635A67188495}" name="UNIDAD" dataDxfId="58"/>
    <tableColumn id="60" xr3:uid="{432399D8-D331-4AA1-8034-69FF818D558F}" name="VOLUMEN PTE" dataDxfId="57"/>
    <tableColumn id="61" xr3:uid="{290DA53E-1986-4DA5-BCA5-9123C66E2B1C}" name="VOLUMEN 1" dataDxfId="56"/>
    <tableColumn id="1" xr3:uid="{E4B4A224-2BE0-4143-85BF-157A5DE86649}" name="VOLUMEN 2" dataDxfId="55"/>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54" dataDxfId="52" headerRowBorderDxfId="53">
  <autoFilter ref="C10:L21" xr:uid="{2AA14215-4139-4015-ACDB-36DEC1C75ED4}"/>
  <tableColumns count="10">
    <tableColumn id="57" xr3:uid="{8A3BB9BE-D1F0-4323-A142-1702E876A8EB}" name="PARTIDA" dataDxfId="51"/>
    <tableColumn id="58" xr3:uid="{99CAA9F2-2313-4BEB-95B6-3E750F006CE0}" name="CONCEPTO" dataDxfId="50"/>
    <tableColumn id="59" xr3:uid="{A92108EF-7E09-4AEE-B148-B4752ACBFCE5}" name="UNIDAD" dataDxfId="49"/>
    <tableColumn id="60" xr3:uid="{4C3D5644-2187-43AD-9D62-9B404A973F85}" name="VOLUMEN PTE" dataDxfId="48"/>
    <tableColumn id="61" xr3:uid="{1AEFA2FA-3ED2-4A4A-AFB6-A50C24BB2C58}" name="VOLUMEN 1" dataDxfId="47"/>
    <tableColumn id="1" xr3:uid="{ED2BBA7B-D0D2-467A-BE5B-3069DBAB10F0}" name="VOLUMEN 2" dataDxfId="46"/>
    <tableColumn id="2" xr3:uid="{699CFA93-3847-47FD-B0FF-7C08B7321D3F}" name="VOLUMEN 3" dataDxfId="45"/>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topLeftCell="A3" zoomScale="70" zoomScaleNormal="100" zoomScaleSheetLayoutView="70" workbookViewId="0">
      <selection activeCell="D13" sqref="D13"/>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2" t="str">
        <f>DATOS!B14</f>
        <v>ANEXO "C"</v>
      </c>
      <c r="D1" s="92"/>
      <c r="E1" s="92"/>
      <c r="F1" s="92"/>
      <c r="G1" s="92"/>
      <c r="H1" s="92"/>
      <c r="I1" s="92"/>
      <c r="J1" s="92"/>
      <c r="K1" s="92"/>
      <c r="L1" s="28"/>
      <c r="M1" s="28"/>
      <c r="N1" s="28"/>
      <c r="O1" s="28"/>
    </row>
    <row r="2" spans="1:15" ht="12.75" customHeight="1" x14ac:dyDescent="0.25">
      <c r="A2" s="3"/>
      <c r="B2" s="3"/>
      <c r="C2" s="93" t="str">
        <f>DATOS!C14</f>
        <v>CATALOGO DE CONCEPTOS</v>
      </c>
      <c r="D2" s="93"/>
      <c r="E2" s="93"/>
      <c r="F2" s="93"/>
      <c r="G2" s="93"/>
      <c r="H2" s="93"/>
      <c r="I2" s="93"/>
      <c r="J2" s="93"/>
      <c r="K2" s="93"/>
      <c r="L2" s="29"/>
      <c r="M2" s="29"/>
      <c r="N2" s="29"/>
      <c r="O2" s="29"/>
    </row>
    <row r="3" spans="1:15" ht="15" customHeight="1" x14ac:dyDescent="0.25">
      <c r="A3" s="3"/>
      <c r="B3" s="3"/>
      <c r="C3" s="95" t="str">
        <f>DATOS!B8</f>
        <v>CONTRATO: 648233801</v>
      </c>
      <c r="D3" s="95"/>
      <c r="E3" s="95"/>
      <c r="F3" s="95"/>
      <c r="G3" s="95"/>
      <c r="H3" s="95"/>
      <c r="I3" s="95"/>
      <c r="J3" s="95"/>
      <c r="K3" s="95"/>
      <c r="L3" s="30"/>
      <c r="M3" s="30"/>
      <c r="N3" s="30"/>
      <c r="O3" s="30"/>
    </row>
    <row r="4" spans="1:15" ht="29.25" customHeight="1" x14ac:dyDescent="0.25">
      <c r="A4" s="3"/>
      <c r="B4" s="3"/>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94"/>
      <c r="L4" s="5"/>
      <c r="M4" s="5"/>
      <c r="N4" s="5"/>
      <c r="O4" s="5"/>
    </row>
    <row r="5" spans="1:15" ht="15" customHeight="1" x14ac:dyDescent="0.25">
      <c r="A5" s="3"/>
      <c r="B5" s="3"/>
      <c r="C5" s="94" t="str">
        <f>DATOS!B11</f>
        <v>OBJETO DE LOS TRABAJOS: “REHABILITACION DE TECHUMBRE EN CUARTO DE CONTROL DE LA PLATAFORMA DE TELECOMUNICACIONES DEL CP POL-A”</v>
      </c>
      <c r="D5" s="94"/>
      <c r="E5" s="94"/>
      <c r="F5" s="94"/>
      <c r="G5" s="94"/>
      <c r="H5" s="94"/>
      <c r="I5" s="94"/>
      <c r="J5" s="94"/>
      <c r="K5" s="94"/>
      <c r="L5" s="29"/>
      <c r="M5" s="29"/>
      <c r="N5" s="29"/>
      <c r="O5" s="29"/>
    </row>
    <row r="6" spans="1:15" ht="12.75" customHeight="1" x14ac:dyDescent="0.25">
      <c r="A6" s="3"/>
      <c r="B6" s="3"/>
      <c r="C6" s="91" t="str">
        <f>DATOS!B13</f>
        <v>PLAZO DE EJECUCIÓN: 59 DÍAS NATURALES.</v>
      </c>
      <c r="D6" s="91"/>
      <c r="E6" s="91"/>
      <c r="F6" s="91"/>
      <c r="G6" s="91"/>
      <c r="H6" s="91"/>
      <c r="I6" s="91"/>
      <c r="J6" s="91"/>
      <c r="K6" s="91"/>
      <c r="L6" s="31"/>
      <c r="M6" s="31"/>
      <c r="N6" s="31"/>
      <c r="O6" s="31"/>
    </row>
    <row r="7" spans="1:15" ht="25.05" customHeight="1" x14ac:dyDescent="0.25">
      <c r="A7" s="3"/>
      <c r="B7" s="3"/>
      <c r="C7" s="90" t="str">
        <f>DATOS!B12</f>
        <v>PROPUESTA TECNICA Y ECONOMICA No. BME-801-118-2025</v>
      </c>
      <c r="D7" s="90"/>
      <c r="E7" s="90"/>
      <c r="F7" s="90"/>
      <c r="G7" s="90"/>
      <c r="H7" s="90"/>
      <c r="I7" s="90"/>
      <c r="J7" s="90"/>
      <c r="K7" s="90"/>
      <c r="L7" s="32"/>
      <c r="M7" s="32"/>
      <c r="N7" s="32"/>
      <c r="O7" s="32"/>
    </row>
    <row r="8" spans="1:15" ht="14.4" x14ac:dyDescent="0.25">
      <c r="A8" s="3"/>
      <c r="B8" s="3"/>
      <c r="C8" s="96" t="s">
        <v>0</v>
      </c>
      <c r="D8" s="96" t="s">
        <v>1</v>
      </c>
      <c r="E8" s="96" t="s">
        <v>2</v>
      </c>
      <c r="F8" s="98" t="s">
        <v>24</v>
      </c>
      <c r="G8" s="97" t="s">
        <v>19</v>
      </c>
      <c r="H8" s="97"/>
      <c r="I8" s="96" t="s">
        <v>22</v>
      </c>
      <c r="J8" s="97" t="s">
        <v>23</v>
      </c>
      <c r="K8" s="97"/>
      <c r="L8" s="34"/>
      <c r="M8" s="34"/>
      <c r="N8" s="34"/>
      <c r="O8" s="34"/>
    </row>
    <row r="9" spans="1:15" ht="14.4" x14ac:dyDescent="0.25">
      <c r="A9" s="3"/>
      <c r="B9" s="3"/>
      <c r="C9" s="96"/>
      <c r="D9" s="96"/>
      <c r="E9" s="96"/>
      <c r="F9" s="98"/>
      <c r="G9" s="85" t="s">
        <v>20</v>
      </c>
      <c r="H9" s="85" t="s">
        <v>21</v>
      </c>
      <c r="I9" s="96"/>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3.5000000000000003E-2</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I8:I9"/>
    <mergeCell ref="J8:K8"/>
    <mergeCell ref="C8:C9"/>
    <mergeCell ref="D8:D9"/>
    <mergeCell ref="E8:E9"/>
    <mergeCell ref="F8:F9"/>
    <mergeCell ref="G8:H8"/>
    <mergeCell ref="C7:K7"/>
    <mergeCell ref="C6:K6"/>
    <mergeCell ref="C1:K1"/>
    <mergeCell ref="C2:K2"/>
    <mergeCell ref="C4:K4"/>
    <mergeCell ref="C5:K5"/>
    <mergeCell ref="C3:K3"/>
  </mergeCells>
  <phoneticPr fontId="6" type="noConversion"/>
  <conditionalFormatting sqref="C18:M2409 C12:K17">
    <cfRule type="expression" dxfId="26" priority="13">
      <formula>$E12=""</formula>
    </cfRule>
  </conditionalFormatting>
  <conditionalFormatting sqref="N118:O2509">
    <cfRule type="expression" dxfId="25"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4" t="str">
        <f>DATOS!B15</f>
        <v>ANEXO "DE-MN"</v>
      </c>
      <c r="D1" s="94"/>
      <c r="E1" s="94"/>
      <c r="F1" s="94"/>
      <c r="G1" s="94"/>
      <c r="H1" s="94"/>
      <c r="I1" s="94"/>
      <c r="J1" s="94"/>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4" t="str">
        <f>DATOS!C15</f>
        <v>PROGRAMA DE EROGACIONES DE LA EJECUCIÓN GENERAL DE LOS TRABAJOS CANDELARIZADO Y CUANTIFICADO MENSUALMENTE</v>
      </c>
      <c r="D2" s="94"/>
      <c r="E2" s="94"/>
      <c r="F2" s="94"/>
      <c r="G2" s="94"/>
      <c r="H2" s="94"/>
      <c r="I2" s="94"/>
      <c r="J2" s="94"/>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4" t="str">
        <f>DATOS!B8</f>
        <v>CONTRATO: 648233801</v>
      </c>
      <c r="D3" s="94"/>
      <c r="E3" s="94"/>
      <c r="F3" s="94"/>
      <c r="G3" s="94"/>
      <c r="H3" s="94"/>
      <c r="I3" s="94"/>
      <c r="J3" s="94"/>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4" t="str">
        <f>DATOS!B11</f>
        <v>OBJETO DE LOS TRABAJOS: “REHABILITACION DE TECHUMBRE EN CUARTO DE CONTROL DE LA PLATAFORMA DE TELECOMUNICACIONES DEL CP POL-A”</v>
      </c>
      <c r="D5" s="94"/>
      <c r="E5" s="94"/>
      <c r="F5" s="94"/>
      <c r="G5" s="94"/>
      <c r="H5" s="94"/>
      <c r="I5" s="94"/>
      <c r="J5" s="94"/>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0" t="str">
        <f>DATOS!B12</f>
        <v>PROPUESTA TECNICA Y ECONOMICA No. BME-801-118-2025</v>
      </c>
      <c r="D7" s="90"/>
      <c r="E7" s="90"/>
      <c r="F7" s="90"/>
      <c r="G7" s="90"/>
      <c r="H7" s="90"/>
      <c r="I7" s="90"/>
      <c r="J7" s="90"/>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24" priority="18">
      <formula>$E306=""</formula>
    </cfRule>
  </conditionalFormatting>
  <conditionalFormatting sqref="C11:I96 J96 C97:J145 C146:L2613">
    <cfRule type="expression" dxfId="23" priority="60">
      <formula>$E11=""</formula>
    </cfRule>
  </conditionalFormatting>
  <conditionalFormatting sqref="O273:O2548">
    <cfRule type="expression" dxfId="22" priority="64">
      <formula>$E338=""</formula>
    </cfRule>
  </conditionalFormatting>
  <conditionalFormatting sqref="J63">
    <cfRule type="expression" dxfId="21" priority="11">
      <formula>$E63=""</formula>
    </cfRule>
  </conditionalFormatting>
  <conditionalFormatting sqref="J15">
    <cfRule type="expression" dxfId="20" priority="10">
      <formula>$E15=""</formula>
    </cfRule>
  </conditionalFormatting>
  <conditionalFormatting sqref="J34">
    <cfRule type="expression" dxfId="19" priority="9">
      <formula>$E34=""</formula>
    </cfRule>
  </conditionalFormatting>
  <conditionalFormatting sqref="J45">
    <cfRule type="expression" dxfId="18" priority="8">
      <formula>$E45=""</formula>
    </cfRule>
  </conditionalFormatting>
  <conditionalFormatting sqref="J73">
    <cfRule type="expression" dxfId="17" priority="7">
      <formula>$E73=""</formula>
    </cfRule>
  </conditionalFormatting>
  <conditionalFormatting sqref="J85">
    <cfRule type="expression" dxfId="16" priority="6">
      <formula>$E85=""</formula>
    </cfRule>
  </conditionalFormatting>
  <conditionalFormatting sqref="J88">
    <cfRule type="expression" dxfId="15" priority="5">
      <formula>$E88=""</formula>
    </cfRule>
  </conditionalFormatting>
  <conditionalFormatting sqref="J94">
    <cfRule type="expression" dxfId="14" priority="3">
      <formula>$E94=""</formula>
    </cfRule>
  </conditionalFormatting>
  <conditionalFormatting sqref="J91">
    <cfRule type="expression" dxfId="13" priority="2">
      <formula>$E91=""</formula>
    </cfRule>
  </conditionalFormatting>
  <conditionalFormatting sqref="M116:N2583">
    <cfRule type="expression" dxfId="12" priority="66">
      <formula>$E146=""</formula>
    </cfRule>
  </conditionalFormatting>
  <conditionalFormatting sqref="J76">
    <cfRule type="expression" dxfId="11"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5" t="str">
        <f>DATOS!B16</f>
        <v>ANEXO "DE-ME"</v>
      </c>
      <c r="D1" s="95"/>
      <c r="E1" s="95"/>
      <c r="F1" s="95"/>
      <c r="G1" s="95"/>
      <c r="H1" s="95"/>
      <c r="I1" s="95"/>
      <c r="J1" s="95"/>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3" t="str">
        <f>DATOS!B8</f>
        <v>CONTRATO: 648233801</v>
      </c>
      <c r="D3" s="93"/>
      <c r="E3" s="93"/>
      <c r="F3" s="93"/>
      <c r="G3" s="93"/>
      <c r="H3" s="93"/>
      <c r="I3" s="93"/>
      <c r="J3" s="93"/>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0" t="str">
        <f>DATOS!B12</f>
        <v>PROPUESTA TECNICA Y ECONOMICA No. BME-801-118-2025</v>
      </c>
      <c r="D7" s="90"/>
      <c r="E7" s="90"/>
      <c r="F7" s="90"/>
      <c r="G7" s="90"/>
      <c r="H7" s="90"/>
      <c r="I7" s="90"/>
      <c r="J7" s="90"/>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10" priority="8">
      <formula>$E11=""</formula>
    </cfRule>
  </conditionalFormatting>
  <conditionalFormatting sqref="BR106:CD500 Q23:AA35 O21:Y22 T36:AD105">
    <cfRule type="expression" dxfId="9" priority="31">
      <formula>$E22=""</formula>
    </cfRule>
  </conditionalFormatting>
  <conditionalFormatting sqref="T106:BQ584">
    <cfRule type="expression" dxfId="8" priority="46">
      <formula>$E23=""</formula>
    </cfRule>
  </conditionalFormatting>
  <conditionalFormatting sqref="R36:S3705 O36:O3705 O23:P35 M15:N22">
    <cfRule type="expression" dxfId="7" priority="47">
      <formula>$E23=""</formula>
    </cfRule>
  </conditionalFormatting>
  <conditionalFormatting sqref="P36:Q3704">
    <cfRule type="expression" dxfId="6" priority="50">
      <formula>$E45=""</formula>
    </cfRule>
  </conditionalFormatting>
  <conditionalFormatting sqref="J13">
    <cfRule type="expression" dxfId="5" priority="6">
      <formula>$E13=""</formula>
    </cfRule>
  </conditionalFormatting>
  <conditionalFormatting sqref="J16">
    <cfRule type="expression" dxfId="4" priority="4">
      <formula>$E16=""</formula>
    </cfRule>
  </conditionalFormatting>
  <conditionalFormatting sqref="M23:N3713">
    <cfRule type="expression" dxfId="3" priority="68">
      <formula>$E23=""</formula>
    </cfRule>
  </conditionalFormatting>
  <conditionalFormatting sqref="C12:I12">
    <cfRule type="expression" dxfId="2"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5" t="str">
        <f>DATOS!B17</f>
        <v>ANEXO "DT-6"</v>
      </c>
      <c r="D1" s="95"/>
      <c r="E1" s="95"/>
      <c r="F1" s="95"/>
      <c r="G1" s="95"/>
      <c r="H1" s="95"/>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3" t="str">
        <f>DATOS!B8</f>
        <v>CONTRATO: 648233801</v>
      </c>
      <c r="D3" s="93"/>
      <c r="E3" s="93"/>
      <c r="F3" s="93"/>
      <c r="G3" s="93"/>
      <c r="H3" s="93"/>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0" t="str">
        <f>DATOS!B12</f>
        <v>PROPUESTA TECNICA Y ECONOMICA No. BME-801-118-2025</v>
      </c>
      <c r="D7" s="90"/>
      <c r="E7" s="90"/>
      <c r="F7" s="90"/>
      <c r="G7" s="90"/>
      <c r="H7" s="90"/>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1"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5" t="s">
        <v>17</v>
      </c>
      <c r="D1" s="95"/>
      <c r="E1" s="95"/>
      <c r="F1" s="95"/>
      <c r="G1" s="95"/>
      <c r="H1" s="95"/>
      <c r="I1" s="95"/>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4" t="s">
        <v>18</v>
      </c>
      <c r="D2" s="94"/>
      <c r="E2" s="94"/>
      <c r="F2" s="94"/>
      <c r="G2" s="94"/>
      <c r="H2" s="94"/>
      <c r="I2" s="94"/>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0"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2026-01-05T19:19:55Z</dcterms:modified>
</cp:coreProperties>
</file>